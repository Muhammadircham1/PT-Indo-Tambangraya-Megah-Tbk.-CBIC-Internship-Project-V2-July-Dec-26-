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. Data Support\2026\13. Inventory\09. Sep\"/>
    </mc:Choice>
  </mc:AlternateContent>
  <bookViews>
    <workbookView xWindow="0" yWindow="0" windowWidth="19200" windowHeight="6930" firstSheet="1" activeTab="5"/>
  </bookViews>
  <sheets>
    <sheet name="weather" sheetId="1" r:id="rId1"/>
    <sheet name="Dashboard" sheetId="2" r:id="rId2"/>
    <sheet name="Summary Sep26" sheetId="3" r:id="rId3"/>
    <sheet name="To Date Summary" sheetId="4" r:id="rId4"/>
    <sheet name="Portion Blending" sheetId="5" r:id="rId5"/>
    <sheet name="Stock Information" sheetId="6" r:id="rId6"/>
    <sheet name="Summary Coal Inventory" sheetId="7" r:id="rId7"/>
  </sheets>
  <externalReferences>
    <externalReference r:id="rId8"/>
  </externalReferences>
  <definedNames>
    <definedName name="______________f1" localSheetId="6" hidden="1">{#N/A,#N/A,FALSE,"M06";#N/A,#N/A,FALSE,"M07"}</definedName>
    <definedName name="______________f1" hidden="1">{#N/A,#N/A,FALSE,"M06";#N/A,#N/A,FALSE,"M07"}</definedName>
    <definedName name="______________f2" localSheetId="6" hidden="1">{#N/A,#N/A,FALSE,"M01";#N/A,#N/A,FALSE,"M02";#N/A,#N/A,FALSE,"M03";#N/A,#N/A,FALSE,"M04";#N/A,#N/A,FALSE,"M05";#N/A,#N/A,FALSE,"M08"}</definedName>
    <definedName name="______________f2" hidden="1">{#N/A,#N/A,FALSE,"M01";#N/A,#N/A,FALSE,"M02";#N/A,#N/A,FALSE,"M03";#N/A,#N/A,FALSE,"M04";#N/A,#N/A,FALSE,"M05";#N/A,#N/A,FALSE,"M08"}</definedName>
    <definedName name="______________g1" localSheetId="6" hidden="1">{#N/A,#N/A,FALSE,"M01";#N/A,#N/A,FALSE,"M02";#N/A,#N/A,FALSE,"M03";#N/A,#N/A,FALSE,"M04";#N/A,#N/A,FALSE,"M05";#N/A,#N/A,FALSE,"M08"}</definedName>
    <definedName name="______________g1" hidden="1">{#N/A,#N/A,FALSE,"M01";#N/A,#N/A,FALSE,"M02";#N/A,#N/A,FALSE,"M03";#N/A,#N/A,FALSE,"M04";#N/A,#N/A,FALSE,"M05";#N/A,#N/A,FALSE,"M08"}</definedName>
    <definedName name="______________g3" localSheetId="6" hidden="1">{#N/A,#N/A,FALSE,"QR";#N/A,#N/A,FALSE,"R02";#N/A,#N/A,FALSE,"R04";#N/A,#N/A,FALSE,"R05";#N/A,#N/A,FALSE,"R08"}</definedName>
    <definedName name="______________g3" hidden="1">{#N/A,#N/A,FALSE,"QR";#N/A,#N/A,FALSE,"R02";#N/A,#N/A,FALSE,"R04";#N/A,#N/A,FALSE,"R05";#N/A,#N/A,FALSE,"R08"}</definedName>
    <definedName name="______________h1" localSheetId="6" hidden="1">{#N/A,#N/A,FALSE,"M01";#N/A,#N/A,FALSE,"M02";#N/A,#N/A,FALSE,"M03";#N/A,#N/A,FALSE,"M04";#N/A,#N/A,FALSE,"M05";#N/A,#N/A,FALSE,"M08"}</definedName>
    <definedName name="______________h1" hidden="1">{#N/A,#N/A,FALSE,"M01";#N/A,#N/A,FALSE,"M02";#N/A,#N/A,FALSE,"M03";#N/A,#N/A,FALSE,"M04";#N/A,#N/A,FALSE,"M05";#N/A,#N/A,FALSE,"M08"}</definedName>
    <definedName name="____________f1" localSheetId="6" hidden="1">{#N/A,#N/A,FALSE,"M06";#N/A,#N/A,FALSE,"M07"}</definedName>
    <definedName name="____________f1" hidden="1">{#N/A,#N/A,FALSE,"M06";#N/A,#N/A,FALSE,"M07"}</definedName>
    <definedName name="____________f2" localSheetId="6" hidden="1">{#N/A,#N/A,FALSE,"M01";#N/A,#N/A,FALSE,"M02";#N/A,#N/A,FALSE,"M03";#N/A,#N/A,FALSE,"M04";#N/A,#N/A,FALSE,"M05";#N/A,#N/A,FALSE,"M08"}</definedName>
    <definedName name="____________f2" hidden="1">{#N/A,#N/A,FALSE,"M01";#N/A,#N/A,FALSE,"M02";#N/A,#N/A,FALSE,"M03";#N/A,#N/A,FALSE,"M04";#N/A,#N/A,FALSE,"M05";#N/A,#N/A,FALSE,"M08"}</definedName>
    <definedName name="____________g1" localSheetId="6" hidden="1">{#N/A,#N/A,FALSE,"M01";#N/A,#N/A,FALSE,"M02";#N/A,#N/A,FALSE,"M03";#N/A,#N/A,FALSE,"M04";#N/A,#N/A,FALSE,"M05";#N/A,#N/A,FALSE,"M08"}</definedName>
    <definedName name="____________g1" hidden="1">{#N/A,#N/A,FALSE,"M01";#N/A,#N/A,FALSE,"M02";#N/A,#N/A,FALSE,"M03";#N/A,#N/A,FALSE,"M04";#N/A,#N/A,FALSE,"M05";#N/A,#N/A,FALSE,"M08"}</definedName>
    <definedName name="____________g3" localSheetId="6" hidden="1">{#N/A,#N/A,FALSE,"QR";#N/A,#N/A,FALSE,"R02";#N/A,#N/A,FALSE,"R04";#N/A,#N/A,FALSE,"R05";#N/A,#N/A,FALSE,"R08"}</definedName>
    <definedName name="____________g3" hidden="1">{#N/A,#N/A,FALSE,"QR";#N/A,#N/A,FALSE,"R02";#N/A,#N/A,FALSE,"R04";#N/A,#N/A,FALSE,"R05";#N/A,#N/A,FALSE,"R08"}</definedName>
    <definedName name="____________h1" localSheetId="6" hidden="1">{#N/A,#N/A,FALSE,"M01";#N/A,#N/A,FALSE,"M02";#N/A,#N/A,FALSE,"M03";#N/A,#N/A,FALSE,"M04";#N/A,#N/A,FALSE,"M05";#N/A,#N/A,FALSE,"M08"}</definedName>
    <definedName name="____________h1" hidden="1">{#N/A,#N/A,FALSE,"M01";#N/A,#N/A,FALSE,"M02";#N/A,#N/A,FALSE,"M03";#N/A,#N/A,FALSE,"M04";#N/A,#N/A,FALSE,"M05";#N/A,#N/A,FALSE,"M08"}</definedName>
    <definedName name="___________f1" localSheetId="6" hidden="1">{#N/A,#N/A,FALSE,"M06";#N/A,#N/A,FALSE,"M07"}</definedName>
    <definedName name="___________f1" hidden="1">{#N/A,#N/A,FALSE,"M06";#N/A,#N/A,FALSE,"M07"}</definedName>
    <definedName name="___________f2" localSheetId="6" hidden="1">{#N/A,#N/A,FALSE,"M01";#N/A,#N/A,FALSE,"M02";#N/A,#N/A,FALSE,"M03";#N/A,#N/A,FALSE,"M04";#N/A,#N/A,FALSE,"M05";#N/A,#N/A,FALSE,"M08"}</definedName>
    <definedName name="___________f2" hidden="1">{#N/A,#N/A,FALSE,"M01";#N/A,#N/A,FALSE,"M02";#N/A,#N/A,FALSE,"M03";#N/A,#N/A,FALSE,"M04";#N/A,#N/A,FALSE,"M05";#N/A,#N/A,FALSE,"M08"}</definedName>
    <definedName name="___________g1" localSheetId="6" hidden="1">{#N/A,#N/A,FALSE,"M01";#N/A,#N/A,FALSE,"M02";#N/A,#N/A,FALSE,"M03";#N/A,#N/A,FALSE,"M04";#N/A,#N/A,FALSE,"M05";#N/A,#N/A,FALSE,"M08"}</definedName>
    <definedName name="___________g1" hidden="1">{#N/A,#N/A,FALSE,"M01";#N/A,#N/A,FALSE,"M02";#N/A,#N/A,FALSE,"M03";#N/A,#N/A,FALSE,"M04";#N/A,#N/A,FALSE,"M05";#N/A,#N/A,FALSE,"M08"}</definedName>
    <definedName name="___________g3" localSheetId="6" hidden="1">{#N/A,#N/A,FALSE,"QR";#N/A,#N/A,FALSE,"R02";#N/A,#N/A,FALSE,"R04";#N/A,#N/A,FALSE,"R05";#N/A,#N/A,FALSE,"R08"}</definedName>
    <definedName name="___________g3" hidden="1">{#N/A,#N/A,FALSE,"QR";#N/A,#N/A,FALSE,"R02";#N/A,#N/A,FALSE,"R04";#N/A,#N/A,FALSE,"R05";#N/A,#N/A,FALSE,"R08"}</definedName>
    <definedName name="___________h1" localSheetId="6" hidden="1">{#N/A,#N/A,FALSE,"M01";#N/A,#N/A,FALSE,"M02";#N/A,#N/A,FALSE,"M03";#N/A,#N/A,FALSE,"M04";#N/A,#N/A,FALSE,"M05";#N/A,#N/A,FALSE,"M08"}</definedName>
    <definedName name="___________h1" hidden="1">{#N/A,#N/A,FALSE,"M01";#N/A,#N/A,FALSE,"M02";#N/A,#N/A,FALSE,"M03";#N/A,#N/A,FALSE,"M04";#N/A,#N/A,FALSE,"M05";#N/A,#N/A,FALSE,"M08"}</definedName>
    <definedName name="__________f1" localSheetId="6" hidden="1">{#N/A,#N/A,FALSE,"M06";#N/A,#N/A,FALSE,"M07"}</definedName>
    <definedName name="__________f1" hidden="1">{#N/A,#N/A,FALSE,"M06";#N/A,#N/A,FALSE,"M07"}</definedName>
    <definedName name="__________f2" localSheetId="6" hidden="1">{#N/A,#N/A,FALSE,"M01";#N/A,#N/A,FALSE,"M02";#N/A,#N/A,FALSE,"M03";#N/A,#N/A,FALSE,"M04";#N/A,#N/A,FALSE,"M05";#N/A,#N/A,FALSE,"M08"}</definedName>
    <definedName name="__________f2" hidden="1">{#N/A,#N/A,FALSE,"M01";#N/A,#N/A,FALSE,"M02";#N/A,#N/A,FALSE,"M03";#N/A,#N/A,FALSE,"M04";#N/A,#N/A,FALSE,"M05";#N/A,#N/A,FALSE,"M08"}</definedName>
    <definedName name="__________g1" localSheetId="6" hidden="1">{#N/A,#N/A,FALSE,"M01";#N/A,#N/A,FALSE,"M02";#N/A,#N/A,FALSE,"M03";#N/A,#N/A,FALSE,"M04";#N/A,#N/A,FALSE,"M05";#N/A,#N/A,FALSE,"M08"}</definedName>
    <definedName name="__________g1" hidden="1">{#N/A,#N/A,FALSE,"M01";#N/A,#N/A,FALSE,"M02";#N/A,#N/A,FALSE,"M03";#N/A,#N/A,FALSE,"M04";#N/A,#N/A,FALSE,"M05";#N/A,#N/A,FALSE,"M08"}</definedName>
    <definedName name="__________g3" localSheetId="6" hidden="1">{#N/A,#N/A,FALSE,"QR";#N/A,#N/A,FALSE,"R02";#N/A,#N/A,FALSE,"R04";#N/A,#N/A,FALSE,"R05";#N/A,#N/A,FALSE,"R08"}</definedName>
    <definedName name="__________g3" hidden="1">{#N/A,#N/A,FALSE,"QR";#N/A,#N/A,FALSE,"R02";#N/A,#N/A,FALSE,"R04";#N/A,#N/A,FALSE,"R05";#N/A,#N/A,FALSE,"R08"}</definedName>
    <definedName name="__________h1" localSheetId="6" hidden="1">{#N/A,#N/A,FALSE,"M01";#N/A,#N/A,FALSE,"M02";#N/A,#N/A,FALSE,"M03";#N/A,#N/A,FALSE,"M04";#N/A,#N/A,FALSE,"M05";#N/A,#N/A,FALSE,"M08"}</definedName>
    <definedName name="__________h1" hidden="1">{#N/A,#N/A,FALSE,"M01";#N/A,#N/A,FALSE,"M02";#N/A,#N/A,FALSE,"M03";#N/A,#N/A,FALSE,"M04";#N/A,#N/A,FALSE,"M05";#N/A,#N/A,FALSE,"M08"}</definedName>
    <definedName name="_________f1" localSheetId="6" hidden="1">{#N/A,#N/A,FALSE,"M06";#N/A,#N/A,FALSE,"M07"}</definedName>
    <definedName name="_________f1" hidden="1">{#N/A,#N/A,FALSE,"M06";#N/A,#N/A,FALSE,"M07"}</definedName>
    <definedName name="_________f2" localSheetId="6" hidden="1">{#N/A,#N/A,FALSE,"M01";#N/A,#N/A,FALSE,"M02";#N/A,#N/A,FALSE,"M03";#N/A,#N/A,FALSE,"M04";#N/A,#N/A,FALSE,"M05";#N/A,#N/A,FALSE,"M08"}</definedName>
    <definedName name="_________f2" hidden="1">{#N/A,#N/A,FALSE,"M01";#N/A,#N/A,FALSE,"M02";#N/A,#N/A,FALSE,"M03";#N/A,#N/A,FALSE,"M04";#N/A,#N/A,FALSE,"M05";#N/A,#N/A,FALSE,"M08"}</definedName>
    <definedName name="_________g1" localSheetId="6" hidden="1">{#N/A,#N/A,FALSE,"M01";#N/A,#N/A,FALSE,"M02";#N/A,#N/A,FALSE,"M03";#N/A,#N/A,FALSE,"M04";#N/A,#N/A,FALSE,"M05";#N/A,#N/A,FALSE,"M08"}</definedName>
    <definedName name="_________g1" hidden="1">{#N/A,#N/A,FALSE,"M01";#N/A,#N/A,FALSE,"M02";#N/A,#N/A,FALSE,"M03";#N/A,#N/A,FALSE,"M04";#N/A,#N/A,FALSE,"M05";#N/A,#N/A,FALSE,"M08"}</definedName>
    <definedName name="_________g3" localSheetId="6" hidden="1">{#N/A,#N/A,FALSE,"QR";#N/A,#N/A,FALSE,"R02";#N/A,#N/A,FALSE,"R04";#N/A,#N/A,FALSE,"R05";#N/A,#N/A,FALSE,"R08"}</definedName>
    <definedName name="_________g3" hidden="1">{#N/A,#N/A,FALSE,"QR";#N/A,#N/A,FALSE,"R02";#N/A,#N/A,FALSE,"R04";#N/A,#N/A,FALSE,"R05";#N/A,#N/A,FALSE,"R08"}</definedName>
    <definedName name="_________h1" localSheetId="6" hidden="1">{#N/A,#N/A,FALSE,"M01";#N/A,#N/A,FALSE,"M02";#N/A,#N/A,FALSE,"M03";#N/A,#N/A,FALSE,"M04";#N/A,#N/A,FALSE,"M05";#N/A,#N/A,FALSE,"M08"}</definedName>
    <definedName name="_________h1" hidden="1">{#N/A,#N/A,FALSE,"M01";#N/A,#N/A,FALSE,"M02";#N/A,#N/A,FALSE,"M03";#N/A,#N/A,FALSE,"M04";#N/A,#N/A,FALSE,"M05";#N/A,#N/A,FALSE,"M08"}</definedName>
    <definedName name="________f1" localSheetId="6" hidden="1">{#N/A,#N/A,FALSE,"M06";#N/A,#N/A,FALSE,"M07"}</definedName>
    <definedName name="________f1" hidden="1">{#N/A,#N/A,FALSE,"M06";#N/A,#N/A,FALSE,"M07"}</definedName>
    <definedName name="________f2" localSheetId="6" hidden="1">{#N/A,#N/A,FALSE,"M01";#N/A,#N/A,FALSE,"M02";#N/A,#N/A,FALSE,"M03";#N/A,#N/A,FALSE,"M04";#N/A,#N/A,FALSE,"M05";#N/A,#N/A,FALSE,"M08"}</definedName>
    <definedName name="________f2" hidden="1">{#N/A,#N/A,FALSE,"M01";#N/A,#N/A,FALSE,"M02";#N/A,#N/A,FALSE,"M03";#N/A,#N/A,FALSE,"M04";#N/A,#N/A,FALSE,"M05";#N/A,#N/A,FALSE,"M08"}</definedName>
    <definedName name="________g1" localSheetId="6" hidden="1">{#N/A,#N/A,FALSE,"M01";#N/A,#N/A,FALSE,"M02";#N/A,#N/A,FALSE,"M03";#N/A,#N/A,FALSE,"M04";#N/A,#N/A,FALSE,"M05";#N/A,#N/A,FALSE,"M08"}</definedName>
    <definedName name="________g1" hidden="1">{#N/A,#N/A,FALSE,"M01";#N/A,#N/A,FALSE,"M02";#N/A,#N/A,FALSE,"M03";#N/A,#N/A,FALSE,"M04";#N/A,#N/A,FALSE,"M05";#N/A,#N/A,FALSE,"M08"}</definedName>
    <definedName name="________g3" localSheetId="6" hidden="1">{#N/A,#N/A,FALSE,"QR";#N/A,#N/A,FALSE,"R02";#N/A,#N/A,FALSE,"R04";#N/A,#N/A,FALSE,"R05";#N/A,#N/A,FALSE,"R08"}</definedName>
    <definedName name="________g3" hidden="1">{#N/A,#N/A,FALSE,"QR";#N/A,#N/A,FALSE,"R02";#N/A,#N/A,FALSE,"R04";#N/A,#N/A,FALSE,"R05";#N/A,#N/A,FALSE,"R08"}</definedName>
    <definedName name="________h1" localSheetId="6" hidden="1">{#N/A,#N/A,FALSE,"M01";#N/A,#N/A,FALSE,"M02";#N/A,#N/A,FALSE,"M03";#N/A,#N/A,FALSE,"M04";#N/A,#N/A,FALSE,"M05";#N/A,#N/A,FALSE,"M08"}</definedName>
    <definedName name="________h1" hidden="1">{#N/A,#N/A,FALSE,"M01";#N/A,#N/A,FALSE,"M02";#N/A,#N/A,FALSE,"M03";#N/A,#N/A,FALSE,"M04";#N/A,#N/A,FALSE,"M05";#N/A,#N/A,FALSE,"M08"}</definedName>
    <definedName name="_______f1" localSheetId="6" hidden="1">{#N/A,#N/A,FALSE,"M06";#N/A,#N/A,FALSE,"M07"}</definedName>
    <definedName name="_______f1" hidden="1">{#N/A,#N/A,FALSE,"M06";#N/A,#N/A,FALSE,"M07"}</definedName>
    <definedName name="_______f2" localSheetId="6" hidden="1">{#N/A,#N/A,FALSE,"M01";#N/A,#N/A,FALSE,"M02";#N/A,#N/A,FALSE,"M03";#N/A,#N/A,FALSE,"M04";#N/A,#N/A,FALSE,"M05";#N/A,#N/A,FALSE,"M08"}</definedName>
    <definedName name="_______f2" hidden="1">{#N/A,#N/A,FALSE,"M01";#N/A,#N/A,FALSE,"M02";#N/A,#N/A,FALSE,"M03";#N/A,#N/A,FALSE,"M04";#N/A,#N/A,FALSE,"M05";#N/A,#N/A,FALSE,"M08"}</definedName>
    <definedName name="_______g1" localSheetId="6" hidden="1">{#N/A,#N/A,FALSE,"M01";#N/A,#N/A,FALSE,"M02";#N/A,#N/A,FALSE,"M03";#N/A,#N/A,FALSE,"M04";#N/A,#N/A,FALSE,"M05";#N/A,#N/A,FALSE,"M08"}</definedName>
    <definedName name="_______g1" hidden="1">{#N/A,#N/A,FALSE,"M01";#N/A,#N/A,FALSE,"M02";#N/A,#N/A,FALSE,"M03";#N/A,#N/A,FALSE,"M04";#N/A,#N/A,FALSE,"M05";#N/A,#N/A,FALSE,"M08"}</definedName>
    <definedName name="_______g3" localSheetId="6" hidden="1">{#N/A,#N/A,FALSE,"QR";#N/A,#N/A,FALSE,"R02";#N/A,#N/A,FALSE,"R04";#N/A,#N/A,FALSE,"R05";#N/A,#N/A,FALSE,"R08"}</definedName>
    <definedName name="_______g3" hidden="1">{#N/A,#N/A,FALSE,"QR";#N/A,#N/A,FALSE,"R02";#N/A,#N/A,FALSE,"R04";#N/A,#N/A,FALSE,"R05";#N/A,#N/A,FALSE,"R08"}</definedName>
    <definedName name="_______h1" localSheetId="6" hidden="1">{#N/A,#N/A,FALSE,"M01";#N/A,#N/A,FALSE,"M02";#N/A,#N/A,FALSE,"M03";#N/A,#N/A,FALSE,"M04";#N/A,#N/A,FALSE,"M05";#N/A,#N/A,FALSE,"M08"}</definedName>
    <definedName name="_______h1" hidden="1">{#N/A,#N/A,FALSE,"M01";#N/A,#N/A,FALSE,"M02";#N/A,#N/A,FALSE,"M03";#N/A,#N/A,FALSE,"M04";#N/A,#N/A,FALSE,"M05";#N/A,#N/A,FALSE,"M08"}</definedName>
    <definedName name="______f1" localSheetId="6" hidden="1">{#N/A,#N/A,FALSE,"M06";#N/A,#N/A,FALSE,"M07"}</definedName>
    <definedName name="______f1" hidden="1">{#N/A,#N/A,FALSE,"M06";#N/A,#N/A,FALSE,"M07"}</definedName>
    <definedName name="______f2" localSheetId="6" hidden="1">{#N/A,#N/A,FALSE,"M01";#N/A,#N/A,FALSE,"M02";#N/A,#N/A,FALSE,"M03";#N/A,#N/A,FALSE,"M04";#N/A,#N/A,FALSE,"M05";#N/A,#N/A,FALSE,"M08"}</definedName>
    <definedName name="______f2" hidden="1">{#N/A,#N/A,FALSE,"M01";#N/A,#N/A,FALSE,"M02";#N/A,#N/A,FALSE,"M03";#N/A,#N/A,FALSE,"M04";#N/A,#N/A,FALSE,"M05";#N/A,#N/A,FALSE,"M08"}</definedName>
    <definedName name="______g1" localSheetId="6" hidden="1">{#N/A,#N/A,FALSE,"M01";#N/A,#N/A,FALSE,"M02";#N/A,#N/A,FALSE,"M03";#N/A,#N/A,FALSE,"M04";#N/A,#N/A,FALSE,"M05";#N/A,#N/A,FALSE,"M08"}</definedName>
    <definedName name="______g1" hidden="1">{#N/A,#N/A,FALSE,"M01";#N/A,#N/A,FALSE,"M02";#N/A,#N/A,FALSE,"M03";#N/A,#N/A,FALSE,"M04";#N/A,#N/A,FALSE,"M05";#N/A,#N/A,FALSE,"M08"}</definedName>
    <definedName name="______g3" localSheetId="6" hidden="1">{#N/A,#N/A,FALSE,"QR";#N/A,#N/A,FALSE,"R02";#N/A,#N/A,FALSE,"R04";#N/A,#N/A,FALSE,"R05";#N/A,#N/A,FALSE,"R08"}</definedName>
    <definedName name="______g3" hidden="1">{#N/A,#N/A,FALSE,"QR";#N/A,#N/A,FALSE,"R02";#N/A,#N/A,FALSE,"R04";#N/A,#N/A,FALSE,"R05";#N/A,#N/A,FALSE,"R08"}</definedName>
    <definedName name="______h1" localSheetId="6" hidden="1">{#N/A,#N/A,FALSE,"M01";#N/A,#N/A,FALSE,"M02";#N/A,#N/A,FALSE,"M03";#N/A,#N/A,FALSE,"M04";#N/A,#N/A,FALSE,"M05";#N/A,#N/A,FALSE,"M08"}</definedName>
    <definedName name="______h1" hidden="1">{#N/A,#N/A,FALSE,"M01";#N/A,#N/A,FALSE,"M02";#N/A,#N/A,FALSE,"M03";#N/A,#N/A,FALSE,"M04";#N/A,#N/A,FALSE,"M05";#N/A,#N/A,FALSE,"M08"}</definedName>
    <definedName name="_____f1" localSheetId="6" hidden="1">{#N/A,#N/A,FALSE,"M06";#N/A,#N/A,FALSE,"M07"}</definedName>
    <definedName name="_____f1" hidden="1">{#N/A,#N/A,FALSE,"M06";#N/A,#N/A,FALSE,"M07"}</definedName>
    <definedName name="_____f2" localSheetId="6" hidden="1">{#N/A,#N/A,FALSE,"M01";#N/A,#N/A,FALSE,"M02";#N/A,#N/A,FALSE,"M03";#N/A,#N/A,FALSE,"M04";#N/A,#N/A,FALSE,"M05";#N/A,#N/A,FALSE,"M08"}</definedName>
    <definedName name="_____f2" hidden="1">{#N/A,#N/A,FALSE,"M01";#N/A,#N/A,FALSE,"M02";#N/A,#N/A,FALSE,"M03";#N/A,#N/A,FALSE,"M04";#N/A,#N/A,FALSE,"M05";#N/A,#N/A,FALSE,"M08"}</definedName>
    <definedName name="_____g1" localSheetId="6" hidden="1">{#N/A,#N/A,FALSE,"M01";#N/A,#N/A,FALSE,"M02";#N/A,#N/A,FALSE,"M03";#N/A,#N/A,FALSE,"M04";#N/A,#N/A,FALSE,"M05";#N/A,#N/A,FALSE,"M08"}</definedName>
    <definedName name="_____g1" hidden="1">{#N/A,#N/A,FALSE,"M01";#N/A,#N/A,FALSE,"M02";#N/A,#N/A,FALSE,"M03";#N/A,#N/A,FALSE,"M04";#N/A,#N/A,FALSE,"M05";#N/A,#N/A,FALSE,"M08"}</definedName>
    <definedName name="_____g3" localSheetId="6" hidden="1">{#N/A,#N/A,FALSE,"QR";#N/A,#N/A,FALSE,"R02";#N/A,#N/A,FALSE,"R04";#N/A,#N/A,FALSE,"R05";#N/A,#N/A,FALSE,"R08"}</definedName>
    <definedName name="_____g3" hidden="1">{#N/A,#N/A,FALSE,"QR";#N/A,#N/A,FALSE,"R02";#N/A,#N/A,FALSE,"R04";#N/A,#N/A,FALSE,"R05";#N/A,#N/A,FALSE,"R08"}</definedName>
    <definedName name="_____h1" localSheetId="6" hidden="1">{#N/A,#N/A,FALSE,"M01";#N/A,#N/A,FALSE,"M02";#N/A,#N/A,FALSE,"M03";#N/A,#N/A,FALSE,"M04";#N/A,#N/A,FALSE,"M05";#N/A,#N/A,FALSE,"M08"}</definedName>
    <definedName name="_____h1" hidden="1">{#N/A,#N/A,FALSE,"M01";#N/A,#N/A,FALSE,"M02";#N/A,#N/A,FALSE,"M03";#N/A,#N/A,FALSE,"M04";#N/A,#N/A,FALSE,"M05";#N/A,#N/A,FALSE,"M08"}</definedName>
    <definedName name="____f1" localSheetId="6" hidden="1">{#N/A,#N/A,FALSE,"M06";#N/A,#N/A,FALSE,"M07"}</definedName>
    <definedName name="____f1" hidden="1">{#N/A,#N/A,FALSE,"M06";#N/A,#N/A,FALSE,"M07"}</definedName>
    <definedName name="____f2" localSheetId="6" hidden="1">{#N/A,#N/A,FALSE,"M01";#N/A,#N/A,FALSE,"M02";#N/A,#N/A,FALSE,"M03";#N/A,#N/A,FALSE,"M04";#N/A,#N/A,FALSE,"M05";#N/A,#N/A,FALSE,"M08"}</definedName>
    <definedName name="____f2" hidden="1">{#N/A,#N/A,FALSE,"M01";#N/A,#N/A,FALSE,"M02";#N/A,#N/A,FALSE,"M03";#N/A,#N/A,FALSE,"M04";#N/A,#N/A,FALSE,"M05";#N/A,#N/A,FALSE,"M08"}</definedName>
    <definedName name="____g1" localSheetId="6" hidden="1">{#N/A,#N/A,FALSE,"M01";#N/A,#N/A,FALSE,"M02";#N/A,#N/A,FALSE,"M03";#N/A,#N/A,FALSE,"M04";#N/A,#N/A,FALSE,"M05";#N/A,#N/A,FALSE,"M08"}</definedName>
    <definedName name="____g1" hidden="1">{#N/A,#N/A,FALSE,"M01";#N/A,#N/A,FALSE,"M02";#N/A,#N/A,FALSE,"M03";#N/A,#N/A,FALSE,"M04";#N/A,#N/A,FALSE,"M05";#N/A,#N/A,FALSE,"M08"}</definedName>
    <definedName name="____g3" localSheetId="6" hidden="1">{#N/A,#N/A,FALSE,"QR";#N/A,#N/A,FALSE,"R02";#N/A,#N/A,FALSE,"R04";#N/A,#N/A,FALSE,"R05";#N/A,#N/A,FALSE,"R08"}</definedName>
    <definedName name="____g3" hidden="1">{#N/A,#N/A,FALSE,"QR";#N/A,#N/A,FALSE,"R02";#N/A,#N/A,FALSE,"R04";#N/A,#N/A,FALSE,"R05";#N/A,#N/A,FALSE,"R08"}</definedName>
    <definedName name="____h1" localSheetId="6" hidden="1">{#N/A,#N/A,FALSE,"M01";#N/A,#N/A,FALSE,"M02";#N/A,#N/A,FALSE,"M03";#N/A,#N/A,FALSE,"M04";#N/A,#N/A,FALSE,"M05";#N/A,#N/A,FALSE,"M08"}</definedName>
    <definedName name="____h1" hidden="1">{#N/A,#N/A,FALSE,"M01";#N/A,#N/A,FALSE,"M02";#N/A,#N/A,FALSE,"M03";#N/A,#N/A,FALSE,"M04";#N/A,#N/A,FALSE,"M05";#N/A,#N/A,FALSE,"M08"}</definedName>
    <definedName name="___f1" localSheetId="6" hidden="1">{#N/A,#N/A,FALSE,"M06";#N/A,#N/A,FALSE,"M07"}</definedName>
    <definedName name="___f1" hidden="1">{#N/A,#N/A,FALSE,"M06";#N/A,#N/A,FALSE,"M07"}</definedName>
    <definedName name="___f2" localSheetId="6" hidden="1">{#N/A,#N/A,FALSE,"M01";#N/A,#N/A,FALSE,"M02";#N/A,#N/A,FALSE,"M03";#N/A,#N/A,FALSE,"M04";#N/A,#N/A,FALSE,"M05";#N/A,#N/A,FALSE,"M08"}</definedName>
    <definedName name="___f2" hidden="1">{#N/A,#N/A,FALSE,"M01";#N/A,#N/A,FALSE,"M02";#N/A,#N/A,FALSE,"M03";#N/A,#N/A,FALSE,"M04";#N/A,#N/A,FALSE,"M05";#N/A,#N/A,FALSE,"M08"}</definedName>
    <definedName name="___g1" localSheetId="6" hidden="1">{#N/A,#N/A,FALSE,"M01";#N/A,#N/A,FALSE,"M02";#N/A,#N/A,FALSE,"M03";#N/A,#N/A,FALSE,"M04";#N/A,#N/A,FALSE,"M05";#N/A,#N/A,FALSE,"M08"}</definedName>
    <definedName name="___g1" hidden="1">{#N/A,#N/A,FALSE,"M01";#N/A,#N/A,FALSE,"M02";#N/A,#N/A,FALSE,"M03";#N/A,#N/A,FALSE,"M04";#N/A,#N/A,FALSE,"M05";#N/A,#N/A,FALSE,"M08"}</definedName>
    <definedName name="___g3" localSheetId="6" hidden="1">{#N/A,#N/A,FALSE,"QR";#N/A,#N/A,FALSE,"R02";#N/A,#N/A,FALSE,"R04";#N/A,#N/A,FALSE,"R05";#N/A,#N/A,FALSE,"R08"}</definedName>
    <definedName name="___g3" hidden="1">{#N/A,#N/A,FALSE,"QR";#N/A,#N/A,FALSE,"R02";#N/A,#N/A,FALSE,"R04";#N/A,#N/A,FALSE,"R05";#N/A,#N/A,FALSE,"R08"}</definedName>
    <definedName name="___h1" localSheetId="6" hidden="1">{#N/A,#N/A,FALSE,"M01";#N/A,#N/A,FALSE,"M02";#N/A,#N/A,FALSE,"M03";#N/A,#N/A,FALSE,"M04";#N/A,#N/A,FALSE,"M05";#N/A,#N/A,FALSE,"M08"}</definedName>
    <definedName name="___h1" hidden="1">{#N/A,#N/A,FALSE,"M01";#N/A,#N/A,FALSE,"M02";#N/A,#N/A,FALSE,"M03";#N/A,#N/A,FALSE,"M04";#N/A,#N/A,FALSE,"M05";#N/A,#N/A,FALSE,"M08"}</definedName>
    <definedName name="__f1" localSheetId="6" hidden="1">{#N/A,#N/A,FALSE,"M06";#N/A,#N/A,FALSE,"M07"}</definedName>
    <definedName name="__f1" hidden="1">{#N/A,#N/A,FALSE,"M06";#N/A,#N/A,FALSE,"M07"}</definedName>
    <definedName name="__f2" localSheetId="6" hidden="1">{#N/A,#N/A,FALSE,"M01";#N/A,#N/A,FALSE,"M02";#N/A,#N/A,FALSE,"M03";#N/A,#N/A,FALSE,"M04";#N/A,#N/A,FALSE,"M05";#N/A,#N/A,FALSE,"M08"}</definedName>
    <definedName name="__f2" hidden="1">{#N/A,#N/A,FALSE,"M01";#N/A,#N/A,FALSE,"M02";#N/A,#N/A,FALSE,"M03";#N/A,#N/A,FALSE,"M04";#N/A,#N/A,FALSE,"M05";#N/A,#N/A,FALSE,"M08"}</definedName>
    <definedName name="__g1" localSheetId="6" hidden="1">{#N/A,#N/A,FALSE,"M01";#N/A,#N/A,FALSE,"M02";#N/A,#N/A,FALSE,"M03";#N/A,#N/A,FALSE,"M04";#N/A,#N/A,FALSE,"M05";#N/A,#N/A,FALSE,"M08"}</definedName>
    <definedName name="__g1" hidden="1">{#N/A,#N/A,FALSE,"M01";#N/A,#N/A,FALSE,"M02";#N/A,#N/A,FALSE,"M03";#N/A,#N/A,FALSE,"M04";#N/A,#N/A,FALSE,"M05";#N/A,#N/A,FALSE,"M08"}</definedName>
    <definedName name="__g3" localSheetId="6" hidden="1">{#N/A,#N/A,FALSE,"QR";#N/A,#N/A,FALSE,"R02";#N/A,#N/A,FALSE,"R04";#N/A,#N/A,FALSE,"R05";#N/A,#N/A,FALSE,"R08"}</definedName>
    <definedName name="__g3" hidden="1">{#N/A,#N/A,FALSE,"QR";#N/A,#N/A,FALSE,"R02";#N/A,#N/A,FALSE,"R04";#N/A,#N/A,FALSE,"R05";#N/A,#N/A,FALSE,"R08"}</definedName>
    <definedName name="__h1" localSheetId="6" hidden="1">{#N/A,#N/A,FALSE,"M01";#N/A,#N/A,FALSE,"M02";#N/A,#N/A,FALSE,"M03";#N/A,#N/A,FALSE,"M04";#N/A,#N/A,FALSE,"M05";#N/A,#N/A,FALSE,"M08"}</definedName>
    <definedName name="__h1" hidden="1">{#N/A,#N/A,FALSE,"M01";#N/A,#N/A,FALSE,"M02";#N/A,#N/A,FALSE,"M03";#N/A,#N/A,FALSE,"M04";#N/A,#N/A,FALSE,"M05";#N/A,#N/A,FALSE,"M08"}</definedName>
    <definedName name="_f1" localSheetId="6" hidden="1">{#N/A,#N/A,FALSE,"M06";#N/A,#N/A,FALSE,"M07"}</definedName>
    <definedName name="_f1" hidden="1">{#N/A,#N/A,FALSE,"M06";#N/A,#N/A,FALSE,"M07"}</definedName>
    <definedName name="_f2" localSheetId="6" hidden="1">{#N/A,#N/A,FALSE,"M01";#N/A,#N/A,FALSE,"M02";#N/A,#N/A,FALSE,"M03";#N/A,#N/A,FALSE,"M04";#N/A,#N/A,FALSE,"M05";#N/A,#N/A,FALSE,"M08"}</definedName>
    <definedName name="_f2" hidden="1">{#N/A,#N/A,FALSE,"M01";#N/A,#N/A,FALSE,"M02";#N/A,#N/A,FALSE,"M03";#N/A,#N/A,FALSE,"M04";#N/A,#N/A,FALSE,"M05";#N/A,#N/A,FALSE,"M08"}</definedName>
    <definedName name="_xlnm._FilterDatabase" localSheetId="4" hidden="1">'Portion Blending'!$A$4:$A$62</definedName>
    <definedName name="_xlnm._FilterDatabase" localSheetId="5" hidden="1">'Stock Information'!$C$5:$C$40</definedName>
    <definedName name="_xlnm._FilterDatabase" localSheetId="2" hidden="1">'Summary Sep26'!$AH$19:$AI$53</definedName>
    <definedName name="_g1" localSheetId="6" hidden="1">{#N/A,#N/A,FALSE,"M01";#N/A,#N/A,FALSE,"M02";#N/A,#N/A,FALSE,"M03";#N/A,#N/A,FALSE,"M04";#N/A,#N/A,FALSE,"M05";#N/A,#N/A,FALSE,"M08"}</definedName>
    <definedName name="_g1" hidden="1">{#N/A,#N/A,FALSE,"M01";#N/A,#N/A,FALSE,"M02";#N/A,#N/A,FALSE,"M03";#N/A,#N/A,FALSE,"M04";#N/A,#N/A,FALSE,"M05";#N/A,#N/A,FALSE,"M08"}</definedName>
    <definedName name="_g3" localSheetId="6" hidden="1">{#N/A,#N/A,FALSE,"QR";#N/A,#N/A,FALSE,"R02";#N/A,#N/A,FALSE,"R04";#N/A,#N/A,FALSE,"R05";#N/A,#N/A,FALSE,"R08"}</definedName>
    <definedName name="_g3" hidden="1">{#N/A,#N/A,FALSE,"QR";#N/A,#N/A,FALSE,"R02";#N/A,#N/A,FALSE,"R04";#N/A,#N/A,FALSE,"R05";#N/A,#N/A,FALSE,"R08"}</definedName>
    <definedName name="_h1" localSheetId="6" hidden="1">{#N/A,#N/A,FALSE,"M01";#N/A,#N/A,FALSE,"M02";#N/A,#N/A,FALSE,"M03";#N/A,#N/A,FALSE,"M04";#N/A,#N/A,FALSE,"M05";#N/A,#N/A,FALSE,"M08"}</definedName>
    <definedName name="_h1" hidden="1">{#N/A,#N/A,FALSE,"M01";#N/A,#N/A,FALSE,"M02";#N/A,#N/A,FALSE,"M03";#N/A,#N/A,FALSE,"M04";#N/A,#N/A,FALSE,"M05";#N/A,#N/A,FALSE,"M08"}</definedName>
    <definedName name="_Key1" localSheetId="1" hidden="1">#REF!</definedName>
    <definedName name="_Key1" localSheetId="5" hidden="1">#REF!</definedName>
    <definedName name="_Key1" hidden="1">#REF!</definedName>
    <definedName name="_Key2" localSheetId="1" hidden="1">#REF!</definedName>
    <definedName name="_key222222222222222222222222222222222222222222222222222222222222222" localSheetId="1" hidden="1">#REF!</definedName>
    <definedName name="_Key3" localSheetId="1" hidden="1">#REF!</definedName>
    <definedName name="_Key33" localSheetId="1" hidden="1">#REF!</definedName>
    <definedName name="_Order1" hidden="1">255</definedName>
    <definedName name="_Order2" hidden="1">255</definedName>
    <definedName name="_rng11">SIGN(ROW(#REF!))</definedName>
    <definedName name="_Sort" localSheetId="1" hidden="1">#REF!</definedName>
    <definedName name="_Sort" localSheetId="5" hidden="1">#REF!</definedName>
    <definedName name="_Sort" hidden="1">#REF!</definedName>
    <definedName name="a" localSheetId="1" hidden="1">#REF!</definedName>
    <definedName name="a" localSheetId="5" hidden="1">#REF!</definedName>
    <definedName name="aa" localSheetId="6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6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6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6" hidden="1">{#N/A,#N/A,FALSE,"M06";#N/A,#N/A,FALSE,"M07"}</definedName>
    <definedName name="aaaaa" hidden="1">{#N/A,#N/A,FALSE,"M06";#N/A,#N/A,FALSE,"M07"}</definedName>
    <definedName name="aaaaaa" localSheetId="1" hidden="1">#REF!</definedName>
    <definedName name="aaaaaa" localSheetId="5" hidden="1">#REF!</definedName>
    <definedName name="aaaaaaaaaaa" localSheetId="1" hidden="1">#REF!</definedName>
    <definedName name="aaaaaaaaaaa" localSheetId="5" hidden="1">#REF!</definedName>
    <definedName name="aaaaaaaaaaaaaaaaaaaaaaaaaa" localSheetId="1" hidden="1">#REF!</definedName>
    <definedName name="ab" localSheetId="6" hidden="1">{#N/A,#N/A,FALSE,"M01";#N/A,#N/A,FALSE,"M02";#N/A,#N/A,FALSE,"M03";#N/A,#N/A,FALSE,"M04";#N/A,#N/A,FALSE,"M05";#N/A,#N/A,FALSE,"M08"}</definedName>
    <definedName name="ab" hidden="1">{#N/A,#N/A,FALSE,"M01";#N/A,#N/A,FALSE,"M02";#N/A,#N/A,FALSE,"M03";#N/A,#N/A,FALSE,"M04";#N/A,#N/A,FALSE,"M05";#N/A,#N/A,FALSE,"M08"}</definedName>
    <definedName name="abcd" localSheetId="6" hidden="1">{#N/A,#N/A,FALSE,"QR";#N/A,#N/A,FALSE,"R02";#N/A,#N/A,FALSE,"R04";#N/A,#N/A,FALSE,"R05";#N/A,#N/A,FALSE,"R08"}</definedName>
    <definedName name="abcd" hidden="1">{#N/A,#N/A,FALSE,"QR";#N/A,#N/A,FALSE,"R02";#N/A,#N/A,FALSE,"R04";#N/A,#N/A,FALSE,"R05";#N/A,#N/A,FALSE,"R08"}</definedName>
    <definedName name="abce" localSheetId="6" hidden="1">{#N/A,#N/A,FALSE,"M06";#N/A,#N/A,FALSE,"M07"}</definedName>
    <definedName name="abce" hidden="1">{#N/A,#N/A,FALSE,"M06";#N/A,#N/A,FALSE,"M07"}</definedName>
    <definedName name="acda" localSheetId="6" hidden="1">{#N/A,#N/A,FALSE,"M01";#N/A,#N/A,FALSE,"M02";#N/A,#N/A,FALSE,"M03";#N/A,#N/A,FALSE,"M04";#N/A,#N/A,FALSE,"M05";#N/A,#N/A,FALSE,"M08"}</definedName>
    <definedName name="acda" hidden="1">{#N/A,#N/A,FALSE,"M01";#N/A,#N/A,FALSE,"M02";#N/A,#N/A,FALSE,"M03";#N/A,#N/A,FALSE,"M04";#N/A,#N/A,FALSE,"M05";#N/A,#N/A,FALSE,"M08"}</definedName>
    <definedName name="anscount" hidden="1">6</definedName>
    <definedName name="april" localSheetId="6" hidden="1">{#N/A,#N/A,FALSE,"M01";#N/A,#N/A,FALSE,"M02";#N/A,#N/A,FALSE,"M03";#N/A,#N/A,FALSE,"M04";#N/A,#N/A,FALSE,"M05";#N/A,#N/A,FALSE,"M08"}</definedName>
    <definedName name="april" hidden="1">{#N/A,#N/A,FALSE,"M01";#N/A,#N/A,FALSE,"M02";#N/A,#N/A,FALSE,"M03";#N/A,#N/A,FALSE,"M04";#N/A,#N/A,FALSE,"M05";#N/A,#N/A,FALSE,"M08"}</definedName>
    <definedName name="ASS" localSheetId="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b" localSheetId="6" hidden="1">{#N/A,#N/A,FALSE,"M01";#N/A,#N/A,FALSE,"M02";#N/A,#N/A,FALSE,"M03";#N/A,#N/A,FALSE,"M04";#N/A,#N/A,FALSE,"M05";#N/A,#N/A,FALSE,"M08"}</definedName>
    <definedName name="b" hidden="1">{#N/A,#N/A,FALSE,"M01";#N/A,#N/A,FALSE,"M02";#N/A,#N/A,FALSE,"M03";#N/A,#N/A,FALSE,"M04";#N/A,#N/A,FALSE,"M05";#N/A,#N/A,FALSE,"M08"}</definedName>
    <definedName name="BARU" localSheetId="6" hidden="1">{#N/A,#N/A,FALSE,"M06";#N/A,#N/A,FALSE,"M07"}</definedName>
    <definedName name="BARU" hidden="1">{#N/A,#N/A,FALSE,"M06";#N/A,#N/A,FALSE,"M07"}</definedName>
    <definedName name="base_all">[1]actual!$D$5:$AM$560</definedName>
    <definedName name="base_quality">'[1]rom quality'!$A:$K</definedName>
    <definedName name="bb" localSheetId="6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udget_plan">[1]budget!$C$3:$O$22</definedName>
    <definedName name="Calendar">#N/A</definedName>
    <definedName name="cc" localSheetId="6" hidden="1">{"Valuation",#N/A,TRUE,"Valuation Summary";"Financial Statements",#N/A,TRUE,"Results";"Results",#N/A,TRUE,"Results";"Ratios",#N/A,TRUE,"Results";"P2 Summary",#N/A,TRUE,"Results"}</definedName>
    <definedName name="cc" hidden="1">{"Valuation",#N/A,TRUE,"Valuation Summary";"Financial Statements",#N/A,TRUE,"Results";"Results",#N/A,TRUE,"Results";"Ratios",#N/A,TRUE,"Results";"P2 Summary",#N/A,TRUE,"Results"}</definedName>
    <definedName name="cdsfc" localSheetId="6" hidden="1">{#N/A,#N/A,FALSE,"M01";#N/A,#N/A,FALSE,"M02";#N/A,#N/A,FALSE,"M03";#N/A,#N/A,FALSE,"M04";#N/A,#N/A,FALSE,"M05";#N/A,#N/A,FALSE,"M08"}</definedName>
    <definedName name="cdsfc" hidden="1">{#N/A,#N/A,FALSE,"M01";#N/A,#N/A,FALSE,"M02";#N/A,#N/A,FALSE,"M03";#N/A,#N/A,FALSE,"M04";#N/A,#N/A,FALSE,"M05";#N/A,#N/A,FALSE,"M08"}</definedName>
    <definedName name="chtYmajor">INDEX({1,2,5,10},MATCH(10^(LOG(6*[0]!valStD)-INT(LOG(6*[0]!valStD))),{1,1.2,2.2,6},1))*10^(INT(LOG(6*[0]!valStD))-1)</definedName>
    <definedName name="d" localSheetId="6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te_haul">'[1]coal trans'!$P$5:$P$1000</definedName>
    <definedName name="date_trf">'[1]coal trans'!$E$5:$E$1000</definedName>
    <definedName name="DayWeek">{1,2,3,4,5,6,7}</definedName>
    <definedName name="dd" localSheetId="1" hidden="1">#REF!</definedName>
    <definedName name="dd" localSheetId="5" hidden="1">#REF!</definedName>
    <definedName name="dd" hidden="1">#REF!</definedName>
    <definedName name="ddd" localSheetId="6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ddddddddddddddddddddddddddddddddddddddddddddddddddddddddddddddddddddd" localSheetId="1" hidden="1">#REF!</definedName>
    <definedName name="dddddddddddddddddddddddddddddddddddddddddddddddddddddddddddddddddddddddddd" localSheetId="5" hidden="1">#REF!</definedName>
    <definedName name="dddf" localSheetId="6" hidden="1">{#N/A,#N/A,FALSE,"M01";#N/A,#N/A,FALSE,"M02";#N/A,#N/A,FALSE,"M03";#N/A,#N/A,FALSE,"M04";#N/A,#N/A,FALSE,"M05";#N/A,#N/A,FALSE,"M08"}</definedName>
    <definedName name="dddf" hidden="1">{#N/A,#N/A,FALSE,"M01";#N/A,#N/A,FALSE,"M02";#N/A,#N/A,FALSE,"M03";#N/A,#N/A,FALSE,"M04";#N/A,#N/A,FALSE,"M05";#N/A,#N/A,FALSE,"M08"}</definedName>
    <definedName name="dest_trf">'[1]coal trans'!$I$5:$I$1000</definedName>
    <definedName name="dfg" localSheetId="6" hidden="1">{#N/A,#N/A,FALSE,"M06";#N/A,#N/A,FALSE,"M07"}</definedName>
    <definedName name="dfg" hidden="1">{#N/A,#N/A,FALSE,"M06";#N/A,#N/A,FALSE,"M07"}</definedName>
    <definedName name="dzfcdsf" localSheetId="6" hidden="1">{#N/A,#N/A,FALSE,"QR";#N/A,#N/A,FALSE,"R02";#N/A,#N/A,FALSE,"R04";#N/A,#N/A,FALSE,"R05";#N/A,#N/A,FALSE,"R08"}</definedName>
    <definedName name="dzfcdsf" hidden="1">{#N/A,#N/A,FALSE,"QR";#N/A,#N/A,FALSE,"R02";#N/A,#N/A,FALSE,"R04";#N/A,#N/A,FALSE,"R05";#N/A,#N/A,FALSE,"R08"}</definedName>
    <definedName name="e" localSheetId="6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6" hidden="1">{#N/A,#N/A,FALSE,"M06";#N/A,#N/A,FALSE,"M07"}</definedName>
    <definedName name="ebe" hidden="1">{#N/A,#N/A,FALSE,"M06";#N/A,#N/A,FALSE,"M07"}</definedName>
    <definedName name="ee" localSheetId="6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re" localSheetId="6" hidden="1">{#N/A,#N/A,FALSE,"M01";#N/A,#N/A,FALSE,"M02";#N/A,#N/A,FALSE,"M03";#N/A,#N/A,FALSE,"M04";#N/A,#N/A,FALSE,"M05";#N/A,#N/A,FALSE,"M08"}</definedName>
    <definedName name="ere" hidden="1">{#N/A,#N/A,FALSE,"M01";#N/A,#N/A,FALSE,"M02";#N/A,#N/A,FALSE,"M03";#N/A,#N/A,FALSE,"M04";#N/A,#N/A,FALSE,"M05";#N/A,#N/A,FALSE,"M08"}</definedName>
    <definedName name="f" localSheetId="6" hidden="1">{#N/A,#N/A,FALSE,"M06";#N/A,#N/A,FALSE,"M07"}</definedName>
    <definedName name="f" hidden="1">{#N/A,#N/A,FALSE,"M06";#N/A,#N/A,FALSE,"M07"}</definedName>
    <definedName name="ff" localSheetId="6" hidden="1">{#N/A,#N/A,FALSE,"M01";#N/A,#N/A,FALSE,"M02";#N/A,#N/A,FALSE,"M03";#N/A,#N/A,FALSE,"M04";#N/A,#N/A,FALSE,"M05";#N/A,#N/A,FALSE,"M08"}</definedName>
    <definedName name="ff" hidden="1">{#N/A,#N/A,FALSE,"M01";#N/A,#N/A,FALSE,"M02";#N/A,#N/A,FALSE,"M03";#N/A,#N/A,FALSE,"M04";#N/A,#N/A,FALSE,"M05";#N/A,#N/A,FALSE,"M08"}</definedName>
    <definedName name="fgfdg" localSheetId="6" hidden="1">{#N/A,#N/A,FALSE,"M01";#N/A,#N/A,FALSE,"M02";#N/A,#N/A,FALSE,"M03";#N/A,#N/A,FALSE,"M04";#N/A,#N/A,FALSE,"M05";#N/A,#N/A,FALSE,"M08"}</definedName>
    <definedName name="fgfdg" hidden="1">{#N/A,#N/A,FALSE,"M01";#N/A,#N/A,FALSE,"M02";#N/A,#N/A,FALSE,"M03";#N/A,#N/A,FALSE,"M04";#N/A,#N/A,FALSE,"M05";#N/A,#N/A,FALSE,"M08"}</definedName>
    <definedName name="FIRM" localSheetId="6" hidden="1">{#N/A,#N/A,FALSE,"M06";#N/A,#N/A,FALSE,"M07"}</definedName>
    <definedName name="FIRM" hidden="1">{#N/A,#N/A,FALSE,"M06";#N/A,#N/A,FALSE,"M07"}</definedName>
    <definedName name="formal" localSheetId="6" hidden="1">{#N/A,#N/A,FALSE,"M01";#N/A,#N/A,FALSE,"M02";#N/A,#N/A,FALSE,"M03";#N/A,#N/A,FALSE,"M04";#N/A,#N/A,FALSE,"M05";#N/A,#N/A,FALSE,"M08"}</definedName>
    <definedName name="formal" hidden="1">{#N/A,#N/A,FALSE,"M01";#N/A,#N/A,FALSE,"M02";#N/A,#N/A,FALSE,"M03";#N/A,#N/A,FALSE,"M04";#N/A,#N/A,FALSE,"M05";#N/A,#N/A,FALSE,"M08"}</definedName>
    <definedName name="ggg" localSheetId="6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ghf" localSheetId="6" hidden="1">{#N/A,#N/A,FALSE,"QR";#N/A,#N/A,FALSE,"R02";#N/A,#N/A,FALSE,"R04";#N/A,#N/A,FALSE,"R05";#N/A,#N/A,FALSE,"R08"}</definedName>
    <definedName name="gghf" hidden="1">{#N/A,#N/A,FALSE,"QR";#N/A,#N/A,FALSE,"R02";#N/A,#N/A,FALSE,"R04";#N/A,#N/A,FALSE,"R05";#N/A,#N/A,FALSE,"R08"}</definedName>
    <definedName name="grg" localSheetId="6" hidden="1">{#N/A,#N/A,FALSE,"M06";#N/A,#N/A,FALSE,"M07"}</definedName>
    <definedName name="grg" hidden="1">{#N/A,#N/A,FALSE,"M06";#N/A,#N/A,FALSE,"M07"}</definedName>
    <definedName name="h" localSheetId="6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e" localSheetId="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rhtr" localSheetId="6" hidden="1">{#N/A,#N/A,FALSE,"M01";#N/A,#N/A,FALSE,"M02";#N/A,#N/A,FALSE,"M03";#N/A,#N/A,FALSE,"M04";#N/A,#N/A,FALSE,"M05";#N/A,#N/A,FALSE,"M08"}</definedName>
    <definedName name="htrhtr" hidden="1">{#N/A,#N/A,FALSE,"M01";#N/A,#N/A,FALSE,"M02";#N/A,#N/A,FALSE,"M03";#N/A,#N/A,FALSE,"M04";#N/A,#N/A,FALSE,"M05";#N/A,#N/A,FALSE,"M08"}</definedName>
    <definedName name="htrhtrh" localSheetId="6" hidden="1">{#N/A,#N/A,FALSE,"M06";#N/A,#N/A,FALSE,"M07"}</definedName>
    <definedName name="htrhtrh" hidden="1">{#N/A,#N/A,FALSE,"M06";#N/A,#N/A,FALSE,"M07"}</definedName>
    <definedName name="httrh" localSheetId="6" hidden="1">{#N/A,#N/A,FALSE,"M01";#N/A,#N/A,FALSE,"M02";#N/A,#N/A,FALSE,"M03";#N/A,#N/A,FALSE,"M04";#N/A,#N/A,FALSE,"M05";#N/A,#N/A,FALSE,"M08"}</definedName>
    <definedName name="httrh" hidden="1">{#N/A,#N/A,FALSE,"M01";#N/A,#N/A,FALSE,"M02";#N/A,#N/A,FALSE,"M03";#N/A,#N/A,FALSE,"M04";#N/A,#N/A,FALSE,"M05";#N/A,#N/A,FALSE,"M08"}</definedName>
    <definedName name="IS" localSheetId="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oy" localSheetId="6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limcount" hidden="1">2</definedName>
    <definedName name="MM" localSheetId="6" hidden="1">{#N/A,#N/A,FALSE,"QR";#N/A,#N/A,FALSE,"R02";#N/A,#N/A,FALSE,"R04";#N/A,#N/A,FALSE,"R05";#N/A,#N/A,FALSE,"R08"}</definedName>
    <definedName name="MM" hidden="1">{#N/A,#N/A,FALSE,"QR";#N/A,#N/A,FALSE,"R02";#N/A,#N/A,FALSE,"R04";#N/A,#N/A,FALSE,"R05";#N/A,#N/A,FALSE,"R08"}</definedName>
    <definedName name="msy_biangan">[1]actual!$B$185:$AS$311</definedName>
    <definedName name="nav" localSheetId="6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mCategory">OFFSET(#REF!,0,0,MIN(COUNTA(#REF!)-2,COUNTA(#REF!)-1),1)</definedName>
    <definedName name="nmValue">OFFSET([0]!nmCategory,0,1)</definedName>
    <definedName name="NumWeek">{0;1;2;3;4;5}</definedName>
    <definedName name="oi" localSheetId="6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prod_haul">'[1]coal trans'!$U$5:$U$1000</definedName>
    <definedName name="psy_bunyut">[1]actual!$B$508:$AS$526</definedName>
    <definedName name="Q" localSheetId="6" hidden="1">{#N/A,#N/A,FALSE,"M01";#N/A,#N/A,FALSE,"M02";#N/A,#N/A,FALSE,"M03";#N/A,#N/A,FALSE,"M04";#N/A,#N/A,FALSE,"M05";#N/A,#N/A,FALSE,"M08"}</definedName>
    <definedName name="Q" hidden="1">{#N/A,#N/A,FALSE,"M01";#N/A,#N/A,FALSE,"M02";#N/A,#N/A,FALSE,"M03";#N/A,#N/A,FALSE,"M04";#N/A,#N/A,FALSE,"M05";#N/A,#N/A,FALSE,"M08"}</definedName>
    <definedName name="re" localSheetId="6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PORT03" localSheetId="6" hidden="1">{#N/A,#N/A,FALSE,"QR";#N/A,#N/A,FALSE,"R02";#N/A,#N/A,FALSE,"R04";#N/A,#N/A,FALSE,"R05";#N/A,#N/A,FALSE,"R08"}</definedName>
    <definedName name="REPORT03" hidden="1">{#N/A,#N/A,FALSE,"QR";#N/A,#N/A,FALSE,"R02";#N/A,#N/A,FALSE,"R04";#N/A,#N/A,FALSE,"R05";#N/A,#N/A,FALSE,"R08"}</definedName>
    <definedName name="rgregg" localSheetId="6" hidden="1">{#N/A,#N/A,FALSE,"QR";#N/A,#N/A,FALSE,"R02";#N/A,#N/A,FALSE,"R04";#N/A,#N/A,FALSE,"R05";#N/A,#N/A,FALSE,"R08"}</definedName>
    <definedName name="rgregg" hidden="1">{#N/A,#N/A,FALSE,"QR";#N/A,#N/A,FALSE,"R02";#N/A,#N/A,FALSE,"R04";#N/A,#N/A,FALSE,"R05";#N/A,#N/A,FALSE,"R08"}</definedName>
    <definedName name="rom" localSheetId="1" hidden="1">#REF!</definedName>
    <definedName name="rom" localSheetId="5" hidden="1">#REF!</definedName>
    <definedName name="rom_haul">'[1]coal trans'!$T$5:$T$1000</definedName>
    <definedName name="sencount" hidden="1">2</definedName>
    <definedName name="sfsdfcxz" localSheetId="6" hidden="1">{#N/A,#N/A,FALSE,"M06";#N/A,#N/A,FALSE,"M07"}</definedName>
    <definedName name="sfsdfcxz" hidden="1">{#N/A,#N/A,FALSE,"M06";#N/A,#N/A,FALSE,"M07"}</definedName>
    <definedName name="shift_haul">'[1]coal trans'!$Q$5:$Q$1000</definedName>
    <definedName name="shift_trf">'[1]coal trans'!$F$5:$F$1000</definedName>
    <definedName name="source_haul">'[1]coal trans'!$R$5:$R$1000</definedName>
    <definedName name="source_trf">'[1]coal trans'!$H$5:$H$1000</definedName>
    <definedName name="ss" localSheetId="6" hidden="1">{#N/A,#N/A,FALSE,"QR";#N/A,#N/A,FALSE,"R02";#N/A,#N/A,FALSE,"R04";#N/A,#N/A,FALSE,"R05";#N/A,#N/A,FALSE,"R08"}</definedName>
    <definedName name="ss" hidden="1">{#N/A,#N/A,FALSE,"QR";#N/A,#N/A,FALSE,"R02";#N/A,#N/A,FALSE,"R04";#N/A,#N/A,FALSE,"R05";#N/A,#N/A,FALSE,"R08"}</definedName>
    <definedName name="todate_plan">[1]budget!$B$29:$AH$394</definedName>
    <definedName name="ton_haul">'[1]coal trans'!$V$5:$V$1000</definedName>
    <definedName name="ton_trf">'[1]coal trans'!$L$5:$L$1000</definedName>
    <definedName name="try" localSheetId="6" hidden="1">{#N/A,#N/A,FALSE,"QR";#N/A,#N/A,FALSE,"R02";#N/A,#N/A,FALSE,"R04";#N/A,#N/A,FALSE,"R05";#N/A,#N/A,FALSE,"R08"}</definedName>
    <definedName name="try" hidden="1">{#N/A,#N/A,FALSE,"QR";#N/A,#N/A,FALSE,"R02";#N/A,#N/A,FALSE,"R04";#N/A,#N/A,FALSE,"R05";#N/A,#N/A,FALSE,"R08"}</definedName>
    <definedName name="tsy_sb1">[1]actual!$B$327:$AS$345</definedName>
    <definedName name="uu" localSheetId="6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valStD">STDEV([0]!nmValue)</definedName>
    <definedName name="vfdgfdg" localSheetId="6" hidden="1">{#N/A,#N/A,FALSE,"M01";#N/A,#N/A,FALSE,"M02";#N/A,#N/A,FALSE,"M03";#N/A,#N/A,FALSE,"M04";#N/A,#N/A,FALSE,"M05";#N/A,#N/A,FALSE,"M08"}</definedName>
    <definedName name="vfdgfdg" hidden="1">{#N/A,#N/A,FALSE,"M01";#N/A,#N/A,FALSE,"M02";#N/A,#N/A,FALSE,"M03";#N/A,#N/A,FALSE,"M04";#N/A,#N/A,FALSE,"M05";#N/A,#N/A,FALSE,"M08"}</definedName>
    <definedName name="wm" localSheetId="6" hidden="1">{#N/A,#N/A,FALSE,"M01";#N/A,#N/A,FALSE,"M02";#N/A,#N/A,FALSE,"M03";#N/A,#N/A,FALSE,"M04";#N/A,#N/A,FALSE,"M05";#N/A,#N/A,FALSE,"M08"}</definedName>
    <definedName name="wm" hidden="1">{#N/A,#N/A,FALSE,"M01";#N/A,#N/A,FALSE,"M02";#N/A,#N/A,FALSE,"M03";#N/A,#N/A,FALSE,"M04";#N/A,#N/A,FALSE,"M05";#N/A,#N/A,FALSE,"M08"}</definedName>
    <definedName name="wn" localSheetId="6" hidden="1">{#N/A,#N/A,FALSE,"QR";#N/A,#N/A,FALSE,"R02";#N/A,#N/A,FALSE,"R04";#N/A,#N/A,FALSE,"R05";#N/A,#N/A,FALSE,"R08"}</definedName>
    <definedName name="wn" hidden="1">{#N/A,#N/A,FALSE,"QR";#N/A,#N/A,FALSE,"R02";#N/A,#N/A,FALSE,"R04";#N/A,#N/A,FALSE,"R05";#N/A,#N/A,FALSE,"R08"}</definedName>
    <definedName name="wq" localSheetId="6" hidden="1">{#N/A,#N/A,FALSE,"QR";#N/A,#N/A,FALSE,"R02";#N/A,#N/A,FALSE,"R04";#N/A,#N/A,FALSE,"R05";#N/A,#N/A,FALSE,"R08"}</definedName>
    <definedName name="wq" hidden="1">{#N/A,#N/A,FALSE,"QR";#N/A,#N/A,FALSE,"R02";#N/A,#N/A,FALSE,"R04";#N/A,#N/A,FALSE,"R05";#N/A,#N/A,FALSE,"R08"}</definedName>
    <definedName name="wr" localSheetId="6" hidden="1">{#N/A,#N/A,FALSE,"M01";#N/A,#N/A,FALSE,"M02";#N/A,#N/A,FALSE,"M03";#N/A,#N/A,FALSE,"M04";#N/A,#N/A,FALSE,"M05";#N/A,#N/A,FALSE,"M08"}</definedName>
    <definedName name="wr" hidden="1">{#N/A,#N/A,FALSE,"M01";#N/A,#N/A,FALSE,"M02";#N/A,#N/A,FALSE,"M03";#N/A,#N/A,FALSE,"M04";#N/A,#N/A,FALSE,"M05";#N/A,#N/A,FALSE,"M08"}</definedName>
    <definedName name="wrn.M." localSheetId="6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6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6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6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quater1" localSheetId="6" hidden="1">{#N/A,#N/A,FALSE,"QR";#N/A,#N/A,FALSE,"R02";#N/A,#N/A,FALSE,"R04";#N/A,#N/A,FALSE,"R05";#N/A,#N/A,FALSE,"R08"}</definedName>
    <definedName name="wrn.quater1" hidden="1">{#N/A,#N/A,FALSE,"QR";#N/A,#N/A,FALSE,"R02";#N/A,#N/A,FALSE,"R04";#N/A,#N/A,FALSE,"R05";#N/A,#N/A,FALSE,"R08"}</definedName>
    <definedName name="wrn.Valuation._.LB." localSheetId="6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6" hidden="1">{#N/A,#N/A,FALSE,"M06";#N/A,#N/A,FALSE,"M07"}</definedName>
    <definedName name="wrn.Variance." hidden="1">{#N/A,#N/A,FALSE,"M06";#N/A,#N/A,FALSE,"M07"}</definedName>
    <definedName name="wv" localSheetId="6" hidden="1">{#N/A,#N/A,FALSE,"M06";#N/A,#N/A,FALSE,"M07"}</definedName>
    <definedName name="wv" hidden="1">{#N/A,#N/A,FALSE,"M06";#N/A,#N/A,FALSE,"M07"}</definedName>
    <definedName name="wvr" localSheetId="6" hidden="1">{#N/A,#N/A,FALSE,"M06";#N/A,#N/A,FALSE,"M07"}</definedName>
    <definedName name="wvr" hidden="1">{#N/A,#N/A,FALSE,"M06";#N/A,#N/A,FALSE,"M07"}</definedName>
    <definedName name="www" localSheetId="6" hidden="1">{#N/A,#N/A,FALSE,"M01";#N/A,#N/A,FALSE,"M02";#N/A,#N/A,FALSE,"M03";#N/A,#N/A,FALSE,"M04";#N/A,#N/A,FALSE,"M05";#N/A,#N/A,FALSE,"M08"}</definedName>
    <definedName name="www" hidden="1">{#N/A,#N/A,FALSE,"M01";#N/A,#N/A,FALSE,"M02";#N/A,#N/A,FALSE,"M03";#N/A,#N/A,FALSE,"M04";#N/A,#N/A,FALSE,"M05";#N/A,#N/A,FALSE,"M08"}</definedName>
    <definedName name="wwwwwwwwwwwwwwwwwwwwwwwwwwwwww" localSheetId="1" hidden="1">#REF!</definedName>
    <definedName name="Z" localSheetId="6" hidden="1">{#N/A,#N/A,FALSE,"M01";#N/A,#N/A,FALSE,"M02";#N/A,#N/A,FALSE,"M03";#N/A,#N/A,FALSE,"M04";#N/A,#N/A,FALSE,"M05";#N/A,#N/A,FALSE,"M08"}</definedName>
    <definedName name="Z" hidden="1">{#N/A,#N/A,FALSE,"M01";#N/A,#N/A,FALSE,"M02";#N/A,#N/A,FALSE,"M03";#N/A,#N/A,FALSE,"M04";#N/A,#N/A,FALSE,"M05";#N/A,#N/A,FALSE,"M08"}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6" l="1"/>
  <c r="R37" i="6" s="1"/>
  <c r="S37" i="6" s="1"/>
  <c r="T37" i="6" s="1"/>
  <c r="U37" i="6" s="1"/>
  <c r="V37" i="6" s="1"/>
  <c r="W37" i="6" s="1"/>
  <c r="W36" i="6"/>
  <c r="V36" i="6"/>
  <c r="R36" i="6"/>
  <c r="S36" i="6" s="1"/>
  <c r="T36" i="6" s="1"/>
  <c r="U36" i="6" s="1"/>
  <c r="D36" i="6"/>
  <c r="D35" i="6"/>
  <c r="R35" i="6" s="1"/>
  <c r="S35" i="6" s="1"/>
  <c r="T35" i="6" s="1"/>
  <c r="U35" i="6" s="1"/>
  <c r="V35" i="6" s="1"/>
  <c r="W35" i="6" s="1"/>
  <c r="Z34" i="6"/>
  <c r="R33" i="6"/>
  <c r="S33" i="6" s="1"/>
  <c r="T33" i="6" s="1"/>
  <c r="U33" i="6" s="1"/>
  <c r="V33" i="6" s="1"/>
  <c r="W33" i="6" s="1"/>
  <c r="D33" i="6"/>
  <c r="B33" i="6"/>
  <c r="A33" i="6"/>
  <c r="R32" i="6"/>
  <c r="S32" i="6" s="1"/>
  <c r="T32" i="6" s="1"/>
  <c r="U32" i="6" s="1"/>
  <c r="V32" i="6" s="1"/>
  <c r="W32" i="6" s="1"/>
  <c r="D32" i="6"/>
  <c r="D31" i="6"/>
  <c r="B31" i="6"/>
  <c r="A31" i="6"/>
  <c r="O30" i="6"/>
  <c r="M30" i="6"/>
  <c r="K30" i="6"/>
  <c r="I30" i="6"/>
  <c r="G30" i="6"/>
  <c r="B30" i="6"/>
  <c r="A30" i="6"/>
  <c r="S29" i="6"/>
  <c r="T29" i="6" s="1"/>
  <c r="U29" i="6" s="1"/>
  <c r="V29" i="6" s="1"/>
  <c r="W29" i="6" s="1"/>
  <c r="R29" i="6"/>
  <c r="D29" i="6"/>
  <c r="X28" i="6"/>
  <c r="R28" i="6"/>
  <c r="S28" i="6" s="1"/>
  <c r="T28" i="6" s="1"/>
  <c r="U28" i="6" s="1"/>
  <c r="V28" i="6" s="1"/>
  <c r="W28" i="6" s="1"/>
  <c r="D28" i="6"/>
  <c r="B28" i="6" s="1"/>
  <c r="A28" i="6"/>
  <c r="R27" i="6"/>
  <c r="S27" i="6" s="1"/>
  <c r="T27" i="6" s="1"/>
  <c r="U27" i="6" s="1"/>
  <c r="V27" i="6" s="1"/>
  <c r="W27" i="6" s="1"/>
  <c r="D27" i="6"/>
  <c r="B27" i="6"/>
  <c r="X26" i="6"/>
  <c r="S26" i="6"/>
  <c r="T26" i="6" s="1"/>
  <c r="U26" i="6" s="1"/>
  <c r="V26" i="6" s="1"/>
  <c r="W26" i="6" s="1"/>
  <c r="R26" i="6"/>
  <c r="D26" i="6"/>
  <c r="B26" i="6"/>
  <c r="A26" i="6"/>
  <c r="T25" i="6"/>
  <c r="U25" i="6" s="1"/>
  <c r="V25" i="6" s="1"/>
  <c r="W25" i="6" s="1"/>
  <c r="R25" i="6"/>
  <c r="S25" i="6" s="1"/>
  <c r="D25" i="6"/>
  <c r="R24" i="6"/>
  <c r="S24" i="6" s="1"/>
  <c r="T24" i="6" s="1"/>
  <c r="U24" i="6" s="1"/>
  <c r="V24" i="6" s="1"/>
  <c r="W24" i="6" s="1"/>
  <c r="D24" i="6"/>
  <c r="X23" i="6"/>
  <c r="B23" i="6"/>
  <c r="A23" i="6"/>
  <c r="D22" i="6"/>
  <c r="X22" i="6" s="1"/>
  <c r="B22" i="6"/>
  <c r="A22" i="6"/>
  <c r="S21" i="6"/>
  <c r="T21" i="6" s="1"/>
  <c r="U21" i="6" s="1"/>
  <c r="V21" i="6" s="1"/>
  <c r="W21" i="6" s="1"/>
  <c r="R21" i="6"/>
  <c r="D21" i="6"/>
  <c r="X21" i="6" s="1"/>
  <c r="B21" i="6"/>
  <c r="A21" i="6"/>
  <c r="X20" i="6"/>
  <c r="R20" i="6"/>
  <c r="S20" i="6" s="1"/>
  <c r="T20" i="6" s="1"/>
  <c r="U20" i="6" s="1"/>
  <c r="V20" i="6" s="1"/>
  <c r="W20" i="6" s="1"/>
  <c r="D20" i="6"/>
  <c r="B20" i="6"/>
  <c r="A20" i="6"/>
  <c r="R19" i="6"/>
  <c r="S19" i="6" s="1"/>
  <c r="T19" i="6" s="1"/>
  <c r="U19" i="6" s="1"/>
  <c r="V19" i="6" s="1"/>
  <c r="W19" i="6" s="1"/>
  <c r="D19" i="6"/>
  <c r="X18" i="6"/>
  <c r="S18" i="6"/>
  <c r="T18" i="6" s="1"/>
  <c r="U18" i="6" s="1"/>
  <c r="V18" i="6" s="1"/>
  <c r="W18" i="6" s="1"/>
  <c r="R18" i="6"/>
  <c r="D18" i="6"/>
  <c r="B18" i="6"/>
  <c r="A18" i="6"/>
  <c r="X17" i="6"/>
  <c r="S17" i="6"/>
  <c r="T17" i="6" s="1"/>
  <c r="U17" i="6" s="1"/>
  <c r="V17" i="6" s="1"/>
  <c r="W17" i="6" s="1"/>
  <c r="D17" i="6"/>
  <c r="R17" i="6" s="1"/>
  <c r="B17" i="6"/>
  <c r="A17" i="6"/>
  <c r="X16" i="6"/>
  <c r="B16" i="6"/>
  <c r="A16" i="6"/>
  <c r="D15" i="6"/>
  <c r="X14" i="6"/>
  <c r="S14" i="6"/>
  <c r="T14" i="6" s="1"/>
  <c r="U14" i="6" s="1"/>
  <c r="V14" i="6" s="1"/>
  <c r="W14" i="6" s="1"/>
  <c r="R14" i="6"/>
  <c r="D14" i="6"/>
  <c r="B14" i="6"/>
  <c r="A14" i="6"/>
  <c r="X13" i="6"/>
  <c r="S13" i="6"/>
  <c r="T13" i="6" s="1"/>
  <c r="U13" i="6" s="1"/>
  <c r="V13" i="6" s="1"/>
  <c r="W13" i="6" s="1"/>
  <c r="R13" i="6"/>
  <c r="D13" i="6"/>
  <c r="B13" i="6"/>
  <c r="A13" i="6"/>
  <c r="D12" i="6"/>
  <c r="B12" i="6" s="1"/>
  <c r="R11" i="6"/>
  <c r="S11" i="6" s="1"/>
  <c r="T11" i="6" s="1"/>
  <c r="U11" i="6" s="1"/>
  <c r="V11" i="6" s="1"/>
  <c r="W11" i="6" s="1"/>
  <c r="D11" i="6"/>
  <c r="A11" i="6"/>
  <c r="X10" i="6"/>
  <c r="S10" i="6"/>
  <c r="T10" i="6" s="1"/>
  <c r="U10" i="6" s="1"/>
  <c r="V10" i="6" s="1"/>
  <c r="W10" i="6" s="1"/>
  <c r="R10" i="6"/>
  <c r="D10" i="6"/>
  <c r="B10" i="6"/>
  <c r="A10" i="6"/>
  <c r="B9" i="6"/>
  <c r="A9" i="6"/>
  <c r="G62" i="5"/>
  <c r="F62" i="5"/>
  <c r="F61" i="5"/>
  <c r="G61" i="5" s="1"/>
  <c r="F60" i="5"/>
  <c r="G60" i="5" s="1"/>
  <c r="F59" i="5"/>
  <c r="G59" i="5" s="1"/>
  <c r="F57" i="5"/>
  <c r="F58" i="5" s="1"/>
  <c r="G58" i="5" s="1"/>
  <c r="G56" i="5"/>
  <c r="F56" i="5"/>
  <c r="E55" i="5"/>
  <c r="A55" i="5" s="1"/>
  <c r="D55" i="5"/>
  <c r="F55" i="5" s="1"/>
  <c r="E54" i="5"/>
  <c r="D54" i="5"/>
  <c r="F54" i="5" s="1"/>
  <c r="A54" i="5" s="1"/>
  <c r="F53" i="5"/>
  <c r="E53" i="5"/>
  <c r="D53" i="5"/>
  <c r="A53" i="5"/>
  <c r="F52" i="5"/>
  <c r="E52" i="5"/>
  <c r="A52" i="5" s="1"/>
  <c r="D52" i="5"/>
  <c r="E51" i="5"/>
  <c r="D51" i="5"/>
  <c r="F51" i="5" s="1"/>
  <c r="E50" i="5"/>
  <c r="D50" i="5"/>
  <c r="F50" i="5" s="1"/>
  <c r="A50" i="5" s="1"/>
  <c r="F49" i="5"/>
  <c r="E49" i="5"/>
  <c r="A49" i="5" s="1"/>
  <c r="D49" i="5"/>
  <c r="F48" i="5"/>
  <c r="E48" i="5"/>
  <c r="D48" i="5"/>
  <c r="E47" i="5"/>
  <c r="D47" i="5"/>
  <c r="F47" i="5" s="1"/>
  <c r="E46" i="5"/>
  <c r="D46" i="5"/>
  <c r="F46" i="5" s="1"/>
  <c r="B45" i="5"/>
  <c r="F43" i="5"/>
  <c r="G43" i="5" s="1"/>
  <c r="G42" i="5"/>
  <c r="F42" i="5"/>
  <c r="G41" i="5"/>
  <c r="F41" i="5"/>
  <c r="F40" i="5"/>
  <c r="G40" i="5" s="1"/>
  <c r="F38" i="5"/>
  <c r="F37" i="5"/>
  <c r="E36" i="5"/>
  <c r="D36" i="5"/>
  <c r="E35" i="5"/>
  <c r="D35" i="5"/>
  <c r="F35" i="5" s="1"/>
  <c r="E34" i="5"/>
  <c r="D34" i="5"/>
  <c r="E33" i="5"/>
  <c r="D33" i="5"/>
  <c r="F33" i="5" s="1"/>
  <c r="A33" i="5" s="1"/>
  <c r="E32" i="5"/>
  <c r="D32" i="5"/>
  <c r="E31" i="5"/>
  <c r="D31" i="5"/>
  <c r="D30" i="5"/>
  <c r="E29" i="5"/>
  <c r="D29" i="5"/>
  <c r="E28" i="5"/>
  <c r="D28" i="5"/>
  <c r="F27" i="5"/>
  <c r="E27" i="5"/>
  <c r="D27" i="5"/>
  <c r="B26" i="5"/>
  <c r="F24" i="5"/>
  <c r="G24" i="5" s="1"/>
  <c r="F23" i="5"/>
  <c r="G23" i="5" s="1"/>
  <c r="F22" i="5"/>
  <c r="G22" i="5" s="1"/>
  <c r="G21" i="5"/>
  <c r="F21" i="5"/>
  <c r="G19" i="5"/>
  <c r="F19" i="5"/>
  <c r="G18" i="5"/>
  <c r="F18" i="5"/>
  <c r="E17" i="5"/>
  <c r="D17" i="5"/>
  <c r="F17" i="5" s="1"/>
  <c r="E16" i="5"/>
  <c r="D16" i="5"/>
  <c r="F16" i="5" s="1"/>
  <c r="A16" i="5" s="1"/>
  <c r="F15" i="5"/>
  <c r="E15" i="5"/>
  <c r="D15" i="5"/>
  <c r="E14" i="5"/>
  <c r="D14" i="5"/>
  <c r="E13" i="5"/>
  <c r="D13" i="5"/>
  <c r="E12" i="5"/>
  <c r="D12" i="5"/>
  <c r="E11" i="5"/>
  <c r="D11" i="5"/>
  <c r="F11" i="5" s="1"/>
  <c r="F10" i="5"/>
  <c r="E10" i="5"/>
  <c r="D10" i="5"/>
  <c r="E9" i="5"/>
  <c r="D9" i="5"/>
  <c r="E8" i="5"/>
  <c r="D8" i="5"/>
  <c r="F8" i="5" s="1"/>
  <c r="A8" i="5" s="1"/>
  <c r="B7" i="5"/>
  <c r="I61" i="4"/>
  <c r="H61" i="4"/>
  <c r="G61" i="4"/>
  <c r="F61" i="4"/>
  <c r="E61" i="4"/>
  <c r="D61" i="4"/>
  <c r="C61" i="4"/>
  <c r="H60" i="4"/>
  <c r="G60" i="4"/>
  <c r="F60" i="4"/>
  <c r="E60" i="4"/>
  <c r="D60" i="4"/>
  <c r="C60" i="4"/>
  <c r="G58" i="4"/>
  <c r="F58" i="4"/>
  <c r="E58" i="4"/>
  <c r="D58" i="4"/>
  <c r="C58" i="4"/>
  <c r="F46" i="4"/>
  <c r="D46" i="4"/>
  <c r="F45" i="4"/>
  <c r="D32" i="4" s="1"/>
  <c r="D45" i="4"/>
  <c r="I43" i="4"/>
  <c r="F43" i="4"/>
  <c r="D29" i="4" s="1"/>
  <c r="D43" i="4"/>
  <c r="I42" i="4"/>
  <c r="F42" i="4"/>
  <c r="D28" i="4" s="1"/>
  <c r="D26" i="4" s="1"/>
  <c r="D42" i="4"/>
  <c r="I41" i="4"/>
  <c r="D41" i="4"/>
  <c r="F39" i="4"/>
  <c r="D39" i="4"/>
  <c r="F38" i="4"/>
  <c r="D38" i="4"/>
  <c r="D37" i="4"/>
  <c r="I33" i="4"/>
  <c r="H33" i="4"/>
  <c r="D33" i="4"/>
  <c r="C33" i="4"/>
  <c r="I32" i="4"/>
  <c r="H32" i="4"/>
  <c r="C32" i="4"/>
  <c r="I29" i="4"/>
  <c r="H29" i="4"/>
  <c r="C29" i="4"/>
  <c r="I28" i="4"/>
  <c r="H28" i="4"/>
  <c r="C28" i="4"/>
  <c r="P27" i="4"/>
  <c r="M27" i="4"/>
  <c r="J27" i="4"/>
  <c r="I24" i="4"/>
  <c r="H24" i="4"/>
  <c r="D24" i="4"/>
  <c r="C24" i="4"/>
  <c r="I23" i="4"/>
  <c r="H23" i="4"/>
  <c r="D23" i="4"/>
  <c r="D21" i="4" s="1"/>
  <c r="C23" i="4"/>
  <c r="O22" i="4"/>
  <c r="M22" i="4"/>
  <c r="J22" i="4"/>
  <c r="E22" i="4"/>
  <c r="D22" i="4"/>
  <c r="D18" i="4"/>
  <c r="B18" i="4"/>
  <c r="B33" i="4" s="1"/>
  <c r="D17" i="4"/>
  <c r="B17" i="4"/>
  <c r="B32" i="4" s="1"/>
  <c r="D16" i="4"/>
  <c r="D14" i="4"/>
  <c r="D13" i="4"/>
  <c r="D12" i="4"/>
  <c r="D9" i="4"/>
  <c r="D8" i="4"/>
  <c r="D7" i="4"/>
  <c r="D6" i="4" s="1"/>
  <c r="L51" i="2"/>
  <c r="I51" i="2"/>
  <c r="H51" i="2"/>
  <c r="G51" i="2"/>
  <c r="F51" i="2"/>
  <c r="E51" i="2"/>
  <c r="D51" i="2"/>
  <c r="L50" i="2"/>
  <c r="I50" i="2"/>
  <c r="H50" i="2"/>
  <c r="G50" i="2"/>
  <c r="F50" i="2"/>
  <c r="E50" i="2"/>
  <c r="D50" i="2"/>
  <c r="L49" i="2"/>
  <c r="I49" i="2"/>
  <c r="H49" i="2"/>
  <c r="G49" i="2"/>
  <c r="F49" i="2"/>
  <c r="E49" i="2"/>
  <c r="D49" i="2"/>
  <c r="O41" i="2"/>
  <c r="R37" i="2"/>
  <c r="R34" i="2"/>
  <c r="O34" i="2"/>
  <c r="N34" i="2"/>
  <c r="M34" i="2"/>
  <c r="L34" i="2"/>
  <c r="K34" i="2"/>
  <c r="J34" i="2"/>
  <c r="C34" i="2"/>
  <c r="C33" i="2"/>
  <c r="O32" i="2"/>
  <c r="N32" i="2"/>
  <c r="M32" i="2"/>
  <c r="L32" i="2"/>
  <c r="K32" i="2"/>
  <c r="J32" i="2"/>
  <c r="J31" i="2"/>
  <c r="L31" i="2" s="1"/>
  <c r="C30" i="2"/>
  <c r="O28" i="2"/>
  <c r="N28" i="2"/>
  <c r="M28" i="2"/>
  <c r="L28" i="2"/>
  <c r="K28" i="2"/>
  <c r="J28" i="2"/>
  <c r="J27" i="2"/>
  <c r="O26" i="2"/>
  <c r="N26" i="2"/>
  <c r="M26" i="2"/>
  <c r="L26" i="2"/>
  <c r="K26" i="2"/>
  <c r="J26" i="2"/>
  <c r="C26" i="2"/>
  <c r="J25" i="2"/>
  <c r="N25" i="2" s="1"/>
  <c r="C25" i="2"/>
  <c r="C29" i="2" s="1"/>
  <c r="C24" i="2"/>
  <c r="T23" i="2"/>
  <c r="S23" i="2"/>
  <c r="R23" i="2"/>
  <c r="W22" i="2"/>
  <c r="O22" i="2"/>
  <c r="N22" i="2"/>
  <c r="M22" i="2"/>
  <c r="L22" i="2"/>
  <c r="K22" i="2"/>
  <c r="J22" i="2"/>
  <c r="Q21" i="2"/>
  <c r="O20" i="2"/>
  <c r="N20" i="2"/>
  <c r="M20" i="2"/>
  <c r="L20" i="2"/>
  <c r="K20" i="2"/>
  <c r="J20" i="2"/>
  <c r="T18" i="2"/>
  <c r="S18" i="2"/>
  <c r="Q18" i="2"/>
  <c r="Q22" i="2" s="1"/>
  <c r="T17" i="2"/>
  <c r="S17" i="2"/>
  <c r="Q17" i="2"/>
  <c r="E5" i="2"/>
  <c r="F25" i="2" s="1"/>
  <c r="B1" i="2"/>
  <c r="S31" i="2" s="1"/>
  <c r="AZ74" i="1"/>
  <c r="AV73" i="1"/>
  <c r="AT73" i="1"/>
  <c r="AO73" i="1"/>
  <c r="AJ73" i="1"/>
  <c r="AE73" i="1"/>
  <c r="AX73" i="1" s="1"/>
  <c r="BB73" i="1" s="1"/>
  <c r="Z73" i="1"/>
  <c r="AV72" i="1"/>
  <c r="AT72" i="1"/>
  <c r="AO72" i="1"/>
  <c r="AX72" i="1" s="1"/>
  <c r="BB72" i="1" s="1"/>
  <c r="AJ72" i="1"/>
  <c r="AE72" i="1"/>
  <c r="Z72" i="1"/>
  <c r="AV71" i="1"/>
  <c r="AT71" i="1"/>
  <c r="AO71" i="1"/>
  <c r="AJ71" i="1"/>
  <c r="AE71" i="1"/>
  <c r="AX71" i="1" s="1"/>
  <c r="BB71" i="1" s="1"/>
  <c r="Z71" i="1"/>
  <c r="AV70" i="1"/>
  <c r="AT70" i="1"/>
  <c r="AO70" i="1"/>
  <c r="AJ70" i="1"/>
  <c r="AE70" i="1"/>
  <c r="Z70" i="1"/>
  <c r="AV69" i="1"/>
  <c r="AT69" i="1"/>
  <c r="AO69" i="1"/>
  <c r="AJ69" i="1"/>
  <c r="AE69" i="1"/>
  <c r="Z69" i="1"/>
  <c r="AV68" i="1"/>
  <c r="AT68" i="1"/>
  <c r="AO68" i="1"/>
  <c r="AX68" i="1" s="1"/>
  <c r="BB68" i="1" s="1"/>
  <c r="AJ68" i="1"/>
  <c r="AE68" i="1"/>
  <c r="Z68" i="1"/>
  <c r="AV67" i="1"/>
  <c r="AT67" i="1"/>
  <c r="AO67" i="1"/>
  <c r="AJ67" i="1"/>
  <c r="AE67" i="1"/>
  <c r="Z67" i="1"/>
  <c r="AV66" i="1"/>
  <c r="AT66" i="1"/>
  <c r="AO66" i="1"/>
  <c r="AJ66" i="1"/>
  <c r="AE66" i="1"/>
  <c r="Z66" i="1"/>
  <c r="AV65" i="1"/>
  <c r="AT65" i="1"/>
  <c r="AO65" i="1"/>
  <c r="AJ65" i="1"/>
  <c r="AE65" i="1"/>
  <c r="AX65" i="1" s="1"/>
  <c r="BB65" i="1" s="1"/>
  <c r="Z65" i="1"/>
  <c r="AV64" i="1"/>
  <c r="AT64" i="1"/>
  <c r="AO64" i="1"/>
  <c r="AX64" i="1" s="1"/>
  <c r="BB64" i="1" s="1"/>
  <c r="AJ64" i="1"/>
  <c r="AE64" i="1"/>
  <c r="Z64" i="1"/>
  <c r="AV63" i="1"/>
  <c r="AT63" i="1"/>
  <c r="AO63" i="1"/>
  <c r="AJ63" i="1"/>
  <c r="AE63" i="1"/>
  <c r="AX63" i="1" s="1"/>
  <c r="BB63" i="1" s="1"/>
  <c r="Z63" i="1"/>
  <c r="AV62" i="1"/>
  <c r="AT62" i="1"/>
  <c r="AO62" i="1"/>
  <c r="AJ62" i="1"/>
  <c r="AE62" i="1"/>
  <c r="Z62" i="1"/>
  <c r="AV61" i="1"/>
  <c r="AT61" i="1"/>
  <c r="AO61" i="1"/>
  <c r="AJ61" i="1"/>
  <c r="AE61" i="1"/>
  <c r="Z61" i="1"/>
  <c r="AV60" i="1"/>
  <c r="AT60" i="1"/>
  <c r="AO60" i="1"/>
  <c r="AX60" i="1" s="1"/>
  <c r="BB60" i="1" s="1"/>
  <c r="AJ60" i="1"/>
  <c r="AE60" i="1"/>
  <c r="Z60" i="1"/>
  <c r="AV59" i="1"/>
  <c r="AT59" i="1"/>
  <c r="AO59" i="1"/>
  <c r="AJ59" i="1"/>
  <c r="AE59" i="1"/>
  <c r="Z59" i="1"/>
  <c r="AV58" i="1"/>
  <c r="AT58" i="1"/>
  <c r="AO58" i="1"/>
  <c r="AJ58" i="1"/>
  <c r="AE58" i="1"/>
  <c r="Z58" i="1"/>
  <c r="AV57" i="1"/>
  <c r="AT57" i="1"/>
  <c r="AO57" i="1"/>
  <c r="AJ57" i="1"/>
  <c r="AE57" i="1"/>
  <c r="AX57" i="1" s="1"/>
  <c r="BB57" i="1" s="1"/>
  <c r="Z57" i="1"/>
  <c r="AV56" i="1"/>
  <c r="AT56" i="1"/>
  <c r="AO56" i="1"/>
  <c r="AX56" i="1" s="1"/>
  <c r="BB56" i="1" s="1"/>
  <c r="AJ56" i="1"/>
  <c r="AE56" i="1"/>
  <c r="Z56" i="1"/>
  <c r="AV55" i="1"/>
  <c r="AT55" i="1"/>
  <c r="AO55" i="1"/>
  <c r="AJ55" i="1"/>
  <c r="AE55" i="1"/>
  <c r="AX55" i="1" s="1"/>
  <c r="BB55" i="1" s="1"/>
  <c r="Z55" i="1"/>
  <c r="AV54" i="1"/>
  <c r="AT54" i="1"/>
  <c r="AO54" i="1"/>
  <c r="AJ54" i="1"/>
  <c r="AE54" i="1"/>
  <c r="Z54" i="1"/>
  <c r="AV53" i="1"/>
  <c r="AT53" i="1"/>
  <c r="AO53" i="1"/>
  <c r="AJ53" i="1"/>
  <c r="AE53" i="1"/>
  <c r="Z53" i="1"/>
  <c r="AV52" i="1"/>
  <c r="AT52" i="1"/>
  <c r="AO52" i="1"/>
  <c r="AX52" i="1" s="1"/>
  <c r="BB52" i="1" s="1"/>
  <c r="AJ52" i="1"/>
  <c r="AE52" i="1"/>
  <c r="Z52" i="1"/>
  <c r="AV51" i="1"/>
  <c r="AT51" i="1"/>
  <c r="AO51" i="1"/>
  <c r="AJ51" i="1"/>
  <c r="AE51" i="1"/>
  <c r="Z51" i="1"/>
  <c r="AV50" i="1"/>
  <c r="AT50" i="1"/>
  <c r="AO50" i="1"/>
  <c r="AJ50" i="1"/>
  <c r="AE50" i="1"/>
  <c r="Z50" i="1"/>
  <c r="AV49" i="1"/>
  <c r="AT49" i="1"/>
  <c r="AO49" i="1"/>
  <c r="AJ49" i="1"/>
  <c r="AE49" i="1"/>
  <c r="AX49" i="1" s="1"/>
  <c r="BB49" i="1" s="1"/>
  <c r="Z49" i="1"/>
  <c r="AX48" i="1"/>
  <c r="BB48" i="1" s="1"/>
  <c r="AV48" i="1"/>
  <c r="AT48" i="1"/>
  <c r="AO48" i="1"/>
  <c r="AJ48" i="1"/>
  <c r="AE48" i="1"/>
  <c r="Z48" i="1"/>
  <c r="AV47" i="1"/>
  <c r="AT47" i="1"/>
  <c r="AO47" i="1"/>
  <c r="AX47" i="1" s="1"/>
  <c r="BB47" i="1" s="1"/>
  <c r="AJ47" i="1"/>
  <c r="AE47" i="1"/>
  <c r="Z47" i="1"/>
  <c r="BB46" i="1"/>
  <c r="AX46" i="1"/>
  <c r="AV46" i="1"/>
  <c r="AT46" i="1"/>
  <c r="AO46" i="1"/>
  <c r="AJ46" i="1"/>
  <c r="AE46" i="1"/>
  <c r="Z46" i="1"/>
  <c r="AV45" i="1"/>
  <c r="AT45" i="1"/>
  <c r="AO45" i="1"/>
  <c r="AJ45" i="1"/>
  <c r="AE45" i="1"/>
  <c r="Z45" i="1"/>
  <c r="AV44" i="1"/>
  <c r="AT44" i="1"/>
  <c r="AO44" i="1"/>
  <c r="AJ44" i="1"/>
  <c r="AE44" i="1"/>
  <c r="Z44" i="1"/>
  <c r="AX44" i="1" s="1"/>
  <c r="BB44" i="1" s="1"/>
  <c r="D44" i="1"/>
  <c r="AX43" i="1"/>
  <c r="BB43" i="1" s="1"/>
  <c r="AV43" i="1"/>
  <c r="AT43" i="1"/>
  <c r="AO43" i="1"/>
  <c r="AJ43" i="1"/>
  <c r="AE43" i="1"/>
  <c r="Z43" i="1"/>
  <c r="D42" i="1"/>
  <c r="I40" i="1"/>
  <c r="H40" i="1"/>
  <c r="F40" i="1"/>
  <c r="E40" i="1"/>
  <c r="D40" i="1"/>
  <c r="T27" i="1" s="1"/>
  <c r="C40" i="1"/>
  <c r="I39" i="1"/>
  <c r="H39" i="1"/>
  <c r="F39" i="1"/>
  <c r="E39" i="1"/>
  <c r="D39" i="1"/>
  <c r="C39" i="1"/>
  <c r="I38" i="1"/>
  <c r="H38" i="1"/>
  <c r="F38" i="1"/>
  <c r="E38" i="1"/>
  <c r="D38" i="1"/>
  <c r="C38" i="1"/>
  <c r="I37" i="1"/>
  <c r="H37" i="1"/>
  <c r="F37" i="1"/>
  <c r="E37" i="1"/>
  <c r="D37" i="1"/>
  <c r="C37" i="1"/>
  <c r="N36" i="1"/>
  <c r="I36" i="1"/>
  <c r="H36" i="1"/>
  <c r="F36" i="1"/>
  <c r="E36" i="1"/>
  <c r="D36" i="1"/>
  <c r="C36" i="1"/>
  <c r="K35" i="1"/>
  <c r="J35" i="1"/>
  <c r="L35" i="1" s="1"/>
  <c r="G35" i="1"/>
  <c r="L34" i="1"/>
  <c r="K34" i="1"/>
  <c r="J34" i="1"/>
  <c r="G34" i="1"/>
  <c r="M33" i="1"/>
  <c r="K33" i="1"/>
  <c r="J33" i="1"/>
  <c r="L33" i="1" s="1"/>
  <c r="G33" i="1"/>
  <c r="M32" i="1"/>
  <c r="K32" i="1"/>
  <c r="J32" i="1"/>
  <c r="L32" i="1" s="1"/>
  <c r="G32" i="1"/>
  <c r="G39" i="1" s="1"/>
  <c r="M31" i="1"/>
  <c r="K31" i="1"/>
  <c r="J31" i="1"/>
  <c r="L31" i="1" s="1"/>
  <c r="G31" i="1"/>
  <c r="M30" i="1"/>
  <c r="K30" i="1"/>
  <c r="J30" i="1"/>
  <c r="L30" i="1" s="1"/>
  <c r="G30" i="1"/>
  <c r="M29" i="1"/>
  <c r="K29" i="1"/>
  <c r="J29" i="1"/>
  <c r="L29" i="1" s="1"/>
  <c r="G29" i="1"/>
  <c r="M28" i="1"/>
  <c r="K28" i="1"/>
  <c r="J28" i="1"/>
  <c r="L28" i="1" s="1"/>
  <c r="G28" i="1"/>
  <c r="U27" i="1"/>
  <c r="S27" i="1"/>
  <c r="M27" i="1"/>
  <c r="L27" i="1"/>
  <c r="K27" i="1"/>
  <c r="J27" i="1"/>
  <c r="G27" i="1"/>
  <c r="M26" i="1"/>
  <c r="K26" i="1"/>
  <c r="J26" i="1"/>
  <c r="L26" i="1" s="1"/>
  <c r="G26" i="1"/>
  <c r="M25" i="1"/>
  <c r="L25" i="1"/>
  <c r="K25" i="1"/>
  <c r="J25" i="1"/>
  <c r="G25" i="1"/>
  <c r="M24" i="1"/>
  <c r="L24" i="1"/>
  <c r="K24" i="1"/>
  <c r="J24" i="1"/>
  <c r="G24" i="1"/>
  <c r="M23" i="1"/>
  <c r="K23" i="1"/>
  <c r="J23" i="1"/>
  <c r="L23" i="1" s="1"/>
  <c r="G23" i="1"/>
  <c r="M22" i="1"/>
  <c r="K22" i="1"/>
  <c r="J22" i="1"/>
  <c r="L22" i="1" s="1"/>
  <c r="G22" i="1"/>
  <c r="G38" i="1" s="1"/>
  <c r="M21" i="1"/>
  <c r="K21" i="1"/>
  <c r="J21" i="1"/>
  <c r="L21" i="1" s="1"/>
  <c r="G21" i="1"/>
  <c r="M20" i="1"/>
  <c r="L20" i="1"/>
  <c r="K20" i="1"/>
  <c r="J20" i="1"/>
  <c r="G20" i="1"/>
  <c r="M19" i="1"/>
  <c r="K19" i="1"/>
  <c r="J19" i="1"/>
  <c r="L19" i="1" s="1"/>
  <c r="G19" i="1"/>
  <c r="M18" i="1"/>
  <c r="K18" i="1"/>
  <c r="J18" i="1"/>
  <c r="L18" i="1" s="1"/>
  <c r="G18" i="1"/>
  <c r="M17" i="1"/>
  <c r="L17" i="1"/>
  <c r="K17" i="1"/>
  <c r="J17" i="1"/>
  <c r="G17" i="1"/>
  <c r="M16" i="1"/>
  <c r="L16" i="1"/>
  <c r="K16" i="1"/>
  <c r="J16" i="1"/>
  <c r="G16" i="1"/>
  <c r="M15" i="1"/>
  <c r="K15" i="1"/>
  <c r="J15" i="1"/>
  <c r="L15" i="1" s="1"/>
  <c r="G15" i="1"/>
  <c r="M14" i="1"/>
  <c r="K14" i="1"/>
  <c r="J14" i="1"/>
  <c r="L14" i="1" s="1"/>
  <c r="G14" i="1"/>
  <c r="M13" i="1"/>
  <c r="K13" i="1"/>
  <c r="J13" i="1"/>
  <c r="L13" i="1" s="1"/>
  <c r="G13" i="1"/>
  <c r="M12" i="1"/>
  <c r="K12" i="1"/>
  <c r="J12" i="1"/>
  <c r="G12" i="1"/>
  <c r="G37" i="1" s="1"/>
  <c r="M11" i="1"/>
  <c r="L11" i="1"/>
  <c r="K11" i="1"/>
  <c r="J11" i="1"/>
  <c r="G11" i="1"/>
  <c r="M10" i="1"/>
  <c r="J10" i="1"/>
  <c r="L10" i="1" s="1"/>
  <c r="G10" i="1"/>
  <c r="M9" i="1"/>
  <c r="L9" i="1"/>
  <c r="K9" i="1"/>
  <c r="J9" i="1"/>
  <c r="G9" i="1"/>
  <c r="M8" i="1"/>
  <c r="L8" i="1"/>
  <c r="K8" i="1"/>
  <c r="J8" i="1"/>
  <c r="G8" i="1"/>
  <c r="M7" i="1"/>
  <c r="J7" i="1"/>
  <c r="G7" i="1"/>
  <c r="M6" i="1"/>
  <c r="J6" i="1"/>
  <c r="G6" i="1"/>
  <c r="G3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M5" i="1"/>
  <c r="K5" i="1"/>
  <c r="J5" i="1"/>
  <c r="L5" i="1" s="1"/>
  <c r="G5" i="1"/>
  <c r="B2" i="1"/>
  <c r="A5" i="1" s="1"/>
  <c r="A46" i="5" l="1"/>
  <c r="A47" i="5"/>
  <c r="A17" i="5"/>
  <c r="A10" i="5"/>
  <c r="A11" i="5"/>
  <c r="A20" i="1"/>
  <c r="A21" i="1" s="1"/>
  <c r="A22" i="1" s="1"/>
  <c r="AX50" i="1"/>
  <c r="BB50" i="1" s="1"/>
  <c r="AX53" i="1"/>
  <c r="BB53" i="1" s="1"/>
  <c r="AX58" i="1"/>
  <c r="BB58" i="1" s="1"/>
  <c r="AX61" i="1"/>
  <c r="BB61" i="1" s="1"/>
  <c r="AX66" i="1"/>
  <c r="BB66" i="1" s="1"/>
  <c r="AX69" i="1"/>
  <c r="BB69" i="1" s="1"/>
  <c r="B3" i="4"/>
  <c r="U34" i="2"/>
  <c r="B2" i="5"/>
  <c r="U33" i="2"/>
  <c r="U30" i="2"/>
  <c r="D25" i="2"/>
  <c r="T41" i="2"/>
  <c r="R41" i="2"/>
  <c r="U31" i="2"/>
  <c r="F24" i="2"/>
  <c r="F23" i="2" s="1"/>
  <c r="D24" i="2"/>
  <c r="T14" i="2"/>
  <c r="T22" i="2" s="1"/>
  <c r="F9" i="2"/>
  <c r="R14" i="2"/>
  <c r="O47" i="2"/>
  <c r="D9" i="2"/>
  <c r="G40" i="1"/>
  <c r="R13" i="2"/>
  <c r="AX51" i="1"/>
  <c r="BB51" i="1" s="1"/>
  <c r="AX59" i="1"/>
  <c r="BB59" i="1" s="1"/>
  <c r="AX67" i="1"/>
  <c r="BB67" i="1" s="1"/>
  <c r="L7" i="1"/>
  <c r="K7" i="1"/>
  <c r="T13" i="2"/>
  <c r="T21" i="2" s="1"/>
  <c r="U32" i="2"/>
  <c r="J19" i="2"/>
  <c r="K19" i="2" s="1"/>
  <c r="K31" i="2"/>
  <c r="J30" i="2"/>
  <c r="H31" i="2" s="1"/>
  <c r="N31" i="2"/>
  <c r="J38" i="1"/>
  <c r="J39" i="1"/>
  <c r="C49" i="1" s="1"/>
  <c r="C32" i="2"/>
  <c r="C28" i="2"/>
  <c r="N27" i="2"/>
  <c r="S33" i="2"/>
  <c r="S34" i="2"/>
  <c r="S30" i="2"/>
  <c r="AV74" i="1"/>
  <c r="AX54" i="1"/>
  <c r="BB54" i="1" s="1"/>
  <c r="AX62" i="1"/>
  <c r="BB62" i="1" s="1"/>
  <c r="AX70" i="1"/>
  <c r="BB70" i="1" s="1"/>
  <c r="M31" i="2"/>
  <c r="AX45" i="1"/>
  <c r="BB45" i="1" s="1"/>
  <c r="T16" i="2"/>
  <c r="O31" i="2"/>
  <c r="G12" i="4"/>
  <c r="F12" i="4"/>
  <c r="D11" i="4"/>
  <c r="J36" i="1"/>
  <c r="C46" i="1" s="1"/>
  <c r="V27" i="1"/>
  <c r="K6" i="1"/>
  <c r="L6" i="1"/>
  <c r="J40" i="1"/>
  <c r="K40" i="1" s="1"/>
  <c r="S16" i="2"/>
  <c r="M47" i="2"/>
  <c r="K21" i="2"/>
  <c r="J21" i="2"/>
  <c r="J24" i="2"/>
  <c r="H25" i="2" s="1"/>
  <c r="O25" i="2"/>
  <c r="M25" i="2"/>
  <c r="K25" i="2"/>
  <c r="L25" i="2"/>
  <c r="J37" i="1"/>
  <c r="L12" i="1"/>
  <c r="B15" i="6"/>
  <c r="A15" i="6"/>
  <c r="R15" i="6"/>
  <c r="S15" i="6" s="1"/>
  <c r="T15" i="6" s="1"/>
  <c r="U15" i="6" s="1"/>
  <c r="V15" i="6" s="1"/>
  <c r="W15" i="6" s="1"/>
  <c r="X15" i="6"/>
  <c r="T32" i="2"/>
  <c r="P22" i="4"/>
  <c r="K10" i="1"/>
  <c r="J33" i="2"/>
  <c r="L33" i="2" s="1"/>
  <c r="K33" i="2"/>
  <c r="E30" i="5"/>
  <c r="O27" i="2"/>
  <c r="M27" i="2"/>
  <c r="L27" i="2"/>
  <c r="K27" i="2"/>
  <c r="F28" i="5"/>
  <c r="A28" i="5" s="1"/>
  <c r="G37" i="5"/>
  <c r="F36" i="5"/>
  <c r="A36" i="5" s="1"/>
  <c r="F31" i="5"/>
  <c r="A31" i="5" s="1"/>
  <c r="F12" i="5"/>
  <c r="A12" i="5" s="1"/>
  <c r="D31" i="4"/>
  <c r="F13" i="5"/>
  <c r="A13" i="5" s="1"/>
  <c r="G22" i="4"/>
  <c r="F14" i="5"/>
  <c r="A14" i="5" s="1"/>
  <c r="F32" i="5"/>
  <c r="A32" i="5" s="1"/>
  <c r="A27" i="5"/>
  <c r="F39" i="5"/>
  <c r="G39" i="5" s="1"/>
  <c r="A48" i="5"/>
  <c r="B25" i="6"/>
  <c r="A25" i="6"/>
  <c r="X25" i="6"/>
  <c r="R31" i="6"/>
  <c r="S31" i="6" s="1"/>
  <c r="T31" i="6" s="1"/>
  <c r="U31" i="6" s="1"/>
  <c r="V31" i="6" s="1"/>
  <c r="W31" i="6" s="1"/>
  <c r="F20" i="5"/>
  <c r="G20" i="5" s="1"/>
  <c r="F34" i="5"/>
  <c r="A34" i="5"/>
  <c r="F9" i="5"/>
  <c r="A9" i="5" s="1"/>
  <c r="F29" i="5"/>
  <c r="A29" i="5" s="1"/>
  <c r="A12" i="6"/>
  <c r="R12" i="6"/>
  <c r="S12" i="6" s="1"/>
  <c r="T12" i="6" s="1"/>
  <c r="U12" i="6" s="1"/>
  <c r="V12" i="6" s="1"/>
  <c r="W12" i="6" s="1"/>
  <c r="X12" i="6"/>
  <c r="A35" i="5"/>
  <c r="B19" i="6"/>
  <c r="A19" i="6"/>
  <c r="X19" i="6"/>
  <c r="B24" i="6"/>
  <c r="A24" i="6"/>
  <c r="X24" i="6"/>
  <c r="F30" i="5"/>
  <c r="X11" i="6"/>
  <c r="B11" i="6"/>
  <c r="B32" i="6"/>
  <c r="A32" i="6"/>
  <c r="A51" i="5"/>
  <c r="G57" i="5"/>
  <c r="A27" i="6"/>
  <c r="X27" i="6"/>
  <c r="A15" i="5"/>
  <c r="J65" i="6"/>
  <c r="D5" i="6"/>
  <c r="G38" i="5"/>
  <c r="R22" i="6"/>
  <c r="S22" i="6" s="1"/>
  <c r="T22" i="6" s="1"/>
  <c r="U22" i="6" s="1"/>
  <c r="V22" i="6" s="1"/>
  <c r="W22" i="6" s="1"/>
  <c r="R12" i="2" l="1"/>
  <c r="K39" i="1"/>
  <c r="C48" i="1"/>
  <c r="K38" i="1"/>
  <c r="K36" i="1"/>
  <c r="AX74" i="1"/>
  <c r="C12" i="4"/>
  <c r="C13" i="4"/>
  <c r="M7" i="4"/>
  <c r="E29" i="4"/>
  <c r="E33" i="4"/>
  <c r="E32" i="4"/>
  <c r="C8" i="4"/>
  <c r="C7" i="4"/>
  <c r="C6" i="4" s="1"/>
  <c r="C14" i="4"/>
  <c r="C22" i="4"/>
  <c r="F22" i="4" s="1"/>
  <c r="M12" i="4"/>
  <c r="E28" i="4"/>
  <c r="C17" i="4"/>
  <c r="E24" i="4"/>
  <c r="C18" i="4"/>
  <c r="A4" i="4"/>
  <c r="M13" i="4"/>
  <c r="M9" i="4"/>
  <c r="C27" i="4"/>
  <c r="F27" i="4" s="1"/>
  <c r="E23" i="4"/>
  <c r="C9" i="4"/>
  <c r="M14" i="4"/>
  <c r="M18" i="4"/>
  <c r="M8" i="4"/>
  <c r="M17" i="4"/>
  <c r="O33" i="2"/>
  <c r="H33" i="2"/>
  <c r="L19" i="2"/>
  <c r="L40" i="1"/>
  <c r="K41" i="1"/>
  <c r="G41" i="1"/>
  <c r="T36" i="2" s="1"/>
  <c r="S37" i="2"/>
  <c r="M19" i="2"/>
  <c r="D43" i="6"/>
  <c r="D3" i="6"/>
  <c r="S36" i="2"/>
  <c r="N19" i="2"/>
  <c r="D23" i="2"/>
  <c r="O21" i="2"/>
  <c r="C47" i="1"/>
  <c r="K37" i="1"/>
  <c r="T35" i="2"/>
  <c r="J44" i="1"/>
  <c r="M33" i="2"/>
  <c r="A30" i="5"/>
  <c r="H27" i="2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L21" i="2"/>
  <c r="N33" i="2"/>
  <c r="J18" i="2"/>
  <c r="J16" i="2" s="1"/>
  <c r="M21" i="2"/>
  <c r="N21" i="2"/>
  <c r="W17" i="2"/>
  <c r="U14" i="2"/>
  <c r="T12" i="2"/>
  <c r="U11" i="2" s="1"/>
  <c r="O19" i="2"/>
  <c r="T20" i="2" l="1"/>
  <c r="M11" i="4"/>
  <c r="C21" i="4"/>
  <c r="G28" i="4"/>
  <c r="F28" i="4"/>
  <c r="H19" i="2"/>
  <c r="F32" i="4"/>
  <c r="G32" i="4"/>
  <c r="U18" i="2"/>
  <c r="F33" i="4"/>
  <c r="G33" i="4"/>
  <c r="G23" i="4"/>
  <c r="F23" i="4"/>
  <c r="F29" i="4"/>
  <c r="G29" i="4"/>
  <c r="M6" i="4"/>
  <c r="H21" i="2"/>
  <c r="M16" i="4"/>
  <c r="W14" i="2"/>
  <c r="U17" i="2"/>
  <c r="C11" i="4"/>
  <c r="U35" i="2"/>
  <c r="K44" i="1"/>
  <c r="F24" i="4"/>
  <c r="G24" i="4"/>
  <c r="C26" i="4"/>
  <c r="C16" i="4"/>
  <c r="C31" i="4"/>
  <c r="E13" i="4" l="1"/>
  <c r="E18" i="4"/>
  <c r="E9" i="4"/>
  <c r="D10" i="2"/>
  <c r="D11" i="2" s="1"/>
  <c r="E14" i="4"/>
  <c r="E7" i="4"/>
  <c r="E8" i="4"/>
  <c r="E17" i="4"/>
  <c r="A1" i="2"/>
  <c r="G7" i="4" l="1"/>
  <c r="F7" i="4"/>
  <c r="E6" i="4"/>
  <c r="M51" i="2"/>
  <c r="F14" i="4"/>
  <c r="G14" i="4"/>
  <c r="G18" i="4"/>
  <c r="F18" i="4"/>
  <c r="I22" i="4"/>
  <c r="C5" i="6"/>
  <c r="I14" i="4"/>
  <c r="N14" i="4" s="1"/>
  <c r="I9" i="4"/>
  <c r="N9" i="4" s="1"/>
  <c r="I13" i="4"/>
  <c r="I7" i="4"/>
  <c r="I18" i="4"/>
  <c r="N18" i="4" s="1"/>
  <c r="I12" i="4"/>
  <c r="S35" i="2"/>
  <c r="S38" i="2" s="1"/>
  <c r="I17" i="4"/>
  <c r="I8" i="4"/>
  <c r="S32" i="2"/>
  <c r="D47" i="2"/>
  <c r="J15" i="2"/>
  <c r="T31" i="2"/>
  <c r="T34" i="2"/>
  <c r="O44" i="1" s="1"/>
  <c r="N44" i="1"/>
  <c r="U36" i="2" s="1"/>
  <c r="T33" i="2"/>
  <c r="N45" i="1"/>
  <c r="U37" i="2" s="1"/>
  <c r="T30" i="2"/>
  <c r="H8" i="4"/>
  <c r="H21" i="4" s="1"/>
  <c r="S41" i="2"/>
  <c r="H14" i="4"/>
  <c r="S14" i="2"/>
  <c r="S22" i="2" s="1"/>
  <c r="H22" i="4"/>
  <c r="K22" i="4" s="1"/>
  <c r="E9" i="2"/>
  <c r="L44" i="1"/>
  <c r="S13" i="2"/>
  <c r="H13" i="4"/>
  <c r="E25" i="2"/>
  <c r="H9" i="4"/>
  <c r="N47" i="2"/>
  <c r="E24" i="2"/>
  <c r="E23" i="2" s="1"/>
  <c r="H7" i="4"/>
  <c r="H12" i="4"/>
  <c r="H27" i="4"/>
  <c r="K27" i="4" s="1"/>
  <c r="H18" i="4"/>
  <c r="H17" i="4"/>
  <c r="M49" i="2"/>
  <c r="R42" i="2"/>
  <c r="R43" i="2" s="1"/>
  <c r="E11" i="4"/>
  <c r="E26" i="4"/>
  <c r="F13" i="4"/>
  <c r="G13" i="4"/>
  <c r="E21" i="4"/>
  <c r="G8" i="4"/>
  <c r="F8" i="4"/>
  <c r="D28" i="2"/>
  <c r="M50" i="2"/>
  <c r="G9" i="4"/>
  <c r="F9" i="4"/>
  <c r="D48" i="2"/>
  <c r="W20" i="2"/>
  <c r="D29" i="2"/>
  <c r="D33" i="2" s="1"/>
  <c r="D30" i="2"/>
  <c r="D34" i="2" s="1"/>
  <c r="G17" i="4"/>
  <c r="E16" i="4"/>
  <c r="E31" i="4"/>
  <c r="F17" i="4"/>
  <c r="H11" i="4" l="1"/>
  <c r="H26" i="4"/>
  <c r="R26" i="2"/>
  <c r="I26" i="4"/>
  <c r="N13" i="4"/>
  <c r="N7" i="4"/>
  <c r="I6" i="4"/>
  <c r="F21" i="4"/>
  <c r="G21" i="4"/>
  <c r="H6" i="4"/>
  <c r="P37" i="6"/>
  <c r="I35" i="6"/>
  <c r="J33" i="6"/>
  <c r="J32" i="6"/>
  <c r="J31" i="6"/>
  <c r="F29" i="6"/>
  <c r="F27" i="6"/>
  <c r="C27" i="6" s="1"/>
  <c r="O37" i="6"/>
  <c r="H35" i="6"/>
  <c r="H33" i="6"/>
  <c r="H32" i="6"/>
  <c r="H31" i="6"/>
  <c r="N37" i="6"/>
  <c r="G35" i="6"/>
  <c r="F33" i="6"/>
  <c r="C33" i="6" s="1"/>
  <c r="F32" i="6"/>
  <c r="C32" i="6" s="1"/>
  <c r="F31" i="6"/>
  <c r="F25" i="6"/>
  <c r="C25" i="6" s="1"/>
  <c r="H24" i="6"/>
  <c r="G22" i="6"/>
  <c r="M21" i="6"/>
  <c r="L19" i="6"/>
  <c r="K17" i="6"/>
  <c r="K13" i="6"/>
  <c r="G37" i="6"/>
  <c r="H36" i="6"/>
  <c r="K35" i="6"/>
  <c r="H29" i="6"/>
  <c r="F21" i="6"/>
  <c r="C21" i="6" s="1"/>
  <c r="L20" i="6"/>
  <c r="J18" i="6"/>
  <c r="F14" i="6"/>
  <c r="C14" i="6" s="1"/>
  <c r="L13" i="6"/>
  <c r="I11" i="6"/>
  <c r="P10" i="6"/>
  <c r="F37" i="6"/>
  <c r="C37" i="6" s="1"/>
  <c r="G36" i="6"/>
  <c r="J35" i="6"/>
  <c r="E21" i="6"/>
  <c r="K20" i="6"/>
  <c r="I18" i="6"/>
  <c r="P17" i="6"/>
  <c r="J13" i="6"/>
  <c r="H11" i="6"/>
  <c r="O10" i="6"/>
  <c r="E37" i="6"/>
  <c r="F36" i="6"/>
  <c r="C36" i="6" s="1"/>
  <c r="F35" i="6"/>
  <c r="P22" i="6"/>
  <c r="J20" i="6"/>
  <c r="H18" i="6"/>
  <c r="O17" i="6"/>
  <c r="I13" i="6"/>
  <c r="P12" i="6"/>
  <c r="G11" i="6"/>
  <c r="N10" i="6"/>
  <c r="N32" i="6"/>
  <c r="K22" i="6"/>
  <c r="P21" i="6"/>
  <c r="E20" i="6"/>
  <c r="M19" i="6"/>
  <c r="I17" i="6"/>
  <c r="N15" i="6"/>
  <c r="K12" i="6"/>
  <c r="I10" i="6"/>
  <c r="L37" i="6"/>
  <c r="M36" i="6"/>
  <c r="P35" i="6"/>
  <c r="L33" i="6"/>
  <c r="K37" i="6"/>
  <c r="L36" i="6"/>
  <c r="O35" i="6"/>
  <c r="P29" i="6"/>
  <c r="J28" i="6"/>
  <c r="J27" i="6"/>
  <c r="H26" i="6"/>
  <c r="J25" i="6"/>
  <c r="J24" i="6"/>
  <c r="J21" i="6"/>
  <c r="P20" i="6"/>
  <c r="G19" i="6"/>
  <c r="N18" i="6"/>
  <c r="I15" i="6"/>
  <c r="L14" i="6"/>
  <c r="P13" i="6"/>
  <c r="F12" i="6"/>
  <c r="M11" i="6"/>
  <c r="J37" i="6"/>
  <c r="K36" i="6"/>
  <c r="N35" i="6"/>
  <c r="N29" i="6"/>
  <c r="H28" i="6"/>
  <c r="H27" i="6"/>
  <c r="F26" i="6"/>
  <c r="C26" i="6" s="1"/>
  <c r="H25" i="6"/>
  <c r="F24" i="6"/>
  <c r="I21" i="6"/>
  <c r="O20" i="6"/>
  <c r="F19" i="6"/>
  <c r="M18" i="6"/>
  <c r="F15" i="6"/>
  <c r="C15" i="6" s="1"/>
  <c r="K14" i="6"/>
  <c r="O13" i="6"/>
  <c r="E12" i="6"/>
  <c r="L11" i="6"/>
  <c r="E36" i="6"/>
  <c r="P32" i="6"/>
  <c r="L27" i="6"/>
  <c r="P24" i="6"/>
  <c r="O22" i="6"/>
  <c r="N21" i="6"/>
  <c r="I20" i="6"/>
  <c r="I19" i="6"/>
  <c r="E18" i="6"/>
  <c r="O14" i="6"/>
  <c r="M13" i="6"/>
  <c r="J12" i="6"/>
  <c r="F11" i="6"/>
  <c r="F10" i="6"/>
  <c r="L32" i="6"/>
  <c r="N24" i="6"/>
  <c r="N22" i="6"/>
  <c r="L21" i="6"/>
  <c r="H20" i="6"/>
  <c r="H19" i="6"/>
  <c r="P15" i="6"/>
  <c r="N14" i="6"/>
  <c r="H13" i="6"/>
  <c r="I12" i="6"/>
  <c r="E11" i="6"/>
  <c r="C11" i="6" s="1"/>
  <c r="E10" i="6"/>
  <c r="L24" i="6"/>
  <c r="M22" i="6"/>
  <c r="K21" i="6"/>
  <c r="G20" i="6"/>
  <c r="E19" i="6"/>
  <c r="O15" i="6"/>
  <c r="M14" i="6"/>
  <c r="G13" i="6"/>
  <c r="H12" i="6"/>
  <c r="M37" i="6"/>
  <c r="P28" i="6"/>
  <c r="L22" i="6"/>
  <c r="H21" i="6"/>
  <c r="F20" i="6"/>
  <c r="C20" i="6" s="1"/>
  <c r="M15" i="6"/>
  <c r="J14" i="6"/>
  <c r="F13" i="6"/>
  <c r="G12" i="6"/>
  <c r="I37" i="6"/>
  <c r="N28" i="6"/>
  <c r="J22" i="6"/>
  <c r="G21" i="6"/>
  <c r="L15" i="6"/>
  <c r="I14" i="6"/>
  <c r="E13" i="6"/>
  <c r="H37" i="6"/>
  <c r="L28" i="6"/>
  <c r="I22" i="6"/>
  <c r="K15" i="6"/>
  <c r="P31" i="6"/>
  <c r="F28" i="6"/>
  <c r="C28" i="6" s="1"/>
  <c r="P25" i="6"/>
  <c r="H22" i="6"/>
  <c r="J15" i="6"/>
  <c r="E35" i="6"/>
  <c r="N33" i="6"/>
  <c r="P26" i="6"/>
  <c r="M17" i="6"/>
  <c r="L29" i="6"/>
  <c r="N26" i="6"/>
  <c r="P36" i="6"/>
  <c r="J29" i="6"/>
  <c r="L26" i="6"/>
  <c r="P19" i="6"/>
  <c r="O18" i="6"/>
  <c r="J17" i="6"/>
  <c r="P11" i="6"/>
  <c r="L10" i="6"/>
  <c r="O36" i="6"/>
  <c r="J26" i="6"/>
  <c r="O19" i="6"/>
  <c r="L18" i="6"/>
  <c r="H17" i="6"/>
  <c r="O12" i="6"/>
  <c r="O11" i="6"/>
  <c r="K10" i="6"/>
  <c r="J36" i="6"/>
  <c r="P27" i="6"/>
  <c r="N20" i="6"/>
  <c r="K19" i="6"/>
  <c r="G18" i="6"/>
  <c r="F17" i="6"/>
  <c r="M12" i="6"/>
  <c r="K11" i="6"/>
  <c r="H10" i="6"/>
  <c r="N36" i="6"/>
  <c r="N31" i="6"/>
  <c r="N19" i="6"/>
  <c r="L17" i="6"/>
  <c r="J10" i="6"/>
  <c r="I36" i="6"/>
  <c r="L31" i="6"/>
  <c r="J19" i="6"/>
  <c r="G17" i="6"/>
  <c r="N12" i="6"/>
  <c r="G10" i="6"/>
  <c r="N25" i="6"/>
  <c r="E17" i="6"/>
  <c r="L12" i="6"/>
  <c r="M35" i="6"/>
  <c r="L25" i="6"/>
  <c r="P14" i="6"/>
  <c r="L35" i="6"/>
  <c r="O21" i="6"/>
  <c r="N27" i="6"/>
  <c r="P18" i="6"/>
  <c r="N11" i="6"/>
  <c r="P33" i="6"/>
  <c r="F18" i="6"/>
  <c r="M20" i="6"/>
  <c r="N13" i="6"/>
  <c r="R17" i="2"/>
  <c r="M10" i="6"/>
  <c r="N17" i="6"/>
  <c r="F22" i="6"/>
  <c r="C22" i="6" s="1"/>
  <c r="J11" i="6"/>
  <c r="K18" i="6"/>
  <c r="R18" i="2"/>
  <c r="R22" i="2" s="1"/>
  <c r="N22" i="4"/>
  <c r="Q22" i="4" s="1"/>
  <c r="L22" i="4"/>
  <c r="O44" i="6"/>
  <c r="O44" i="5"/>
  <c r="O39" i="1"/>
  <c r="T37" i="2"/>
  <c r="F31" i="4"/>
  <c r="G31" i="4"/>
  <c r="G16" i="4"/>
  <c r="F16" i="4"/>
  <c r="G26" i="4"/>
  <c r="F26" i="4"/>
  <c r="G11" i="4"/>
  <c r="F11" i="4"/>
  <c r="S12" i="2"/>
  <c r="S20" i="2" s="1"/>
  <c r="S21" i="2"/>
  <c r="U38" i="2"/>
  <c r="N8" i="4"/>
  <c r="I21" i="4"/>
  <c r="D32" i="2"/>
  <c r="D27" i="2"/>
  <c r="D31" i="2" s="1"/>
  <c r="I31" i="4"/>
  <c r="N17" i="4"/>
  <c r="I16" i="4"/>
  <c r="G6" i="4"/>
  <c r="F6" i="4"/>
  <c r="M48" i="2"/>
  <c r="M52" i="2" s="1"/>
  <c r="N12" i="4"/>
  <c r="N11" i="4" s="1"/>
  <c r="I11" i="4"/>
  <c r="H31" i="4"/>
  <c r="H16" i="4"/>
  <c r="C24" i="6" l="1"/>
  <c r="F23" i="6"/>
  <c r="C23" i="6" s="1"/>
  <c r="F34" i="6"/>
  <c r="N34" i="6" s="1"/>
  <c r="L34" i="6"/>
  <c r="C35" i="6"/>
  <c r="R16" i="2"/>
  <c r="R20" i="2" s="1"/>
  <c r="R21" i="2"/>
  <c r="C18" i="6"/>
  <c r="AA18" i="6"/>
  <c r="N6" i="4"/>
  <c r="R27" i="2"/>
  <c r="F9" i="6"/>
  <c r="J9" i="6" s="1"/>
  <c r="D38" i="6"/>
  <c r="H17" i="2"/>
  <c r="C10" i="6"/>
  <c r="E34" i="6"/>
  <c r="M34" i="6" s="1"/>
  <c r="AA11" i="6"/>
  <c r="H23" i="2"/>
  <c r="AA12" i="6"/>
  <c r="C12" i="6"/>
  <c r="C29" i="6"/>
  <c r="N16" i="4"/>
  <c r="C13" i="6"/>
  <c r="AA13" i="6"/>
  <c r="E9" i="6"/>
  <c r="M9" i="6" s="1"/>
  <c r="AA19" i="6"/>
  <c r="C19" i="6"/>
  <c r="E16" i="6"/>
  <c r="I16" i="6" s="1"/>
  <c r="F16" i="6"/>
  <c r="C16" i="6" s="1"/>
  <c r="C17" i="6"/>
  <c r="I9" i="6"/>
  <c r="F30" i="6"/>
  <c r="C30" i="6" s="1"/>
  <c r="H30" i="6"/>
  <c r="H29" i="2"/>
  <c r="C31" i="6"/>
  <c r="L23" i="6" l="1"/>
  <c r="K16" i="6"/>
  <c r="N23" i="6"/>
  <c r="J23" i="6"/>
  <c r="O16" i="6"/>
  <c r="K9" i="6"/>
  <c r="M16" i="6"/>
  <c r="J30" i="6"/>
  <c r="I34" i="6"/>
  <c r="C34" i="6"/>
  <c r="Q34" i="6"/>
  <c r="H34" i="6"/>
  <c r="J34" i="6"/>
  <c r="H16" i="6"/>
  <c r="O9" i="6"/>
  <c r="G16" i="6"/>
  <c r="P23" i="6"/>
  <c r="H23" i="6"/>
  <c r="J16" i="6"/>
  <c r="C9" i="6"/>
  <c r="F8" i="6"/>
  <c r="L16" i="6"/>
  <c r="H9" i="6"/>
  <c r="L30" i="6"/>
  <c r="N9" i="6"/>
  <c r="N8" i="6" s="1"/>
  <c r="P30" i="6"/>
  <c r="K34" i="6"/>
  <c r="P9" i="6"/>
  <c r="P16" i="6"/>
  <c r="AA34" i="6"/>
  <c r="G34" i="6"/>
  <c r="O34" i="6"/>
  <c r="N16" i="6"/>
  <c r="L9" i="6"/>
  <c r="N30" i="6"/>
  <c r="E8" i="6"/>
  <c r="G9" i="6"/>
  <c r="P34" i="6"/>
  <c r="H8" i="6" l="1"/>
  <c r="G8" i="6"/>
  <c r="O8" i="6"/>
  <c r="L8" i="6"/>
  <c r="J8" i="6"/>
  <c r="P8" i="6"/>
  <c r="I8" i="6"/>
  <c r="K8" i="6"/>
  <c r="M8" i="6"/>
  <c r="AA35" i="6"/>
  <c r="J64" i="6"/>
  <c r="J66" i="6"/>
  <c r="C8" i="6"/>
  <c r="D39" i="6"/>
  <c r="L66" i="6" l="1"/>
  <c r="L65" i="6"/>
  <c r="L64" i="6"/>
  <c r="J8" i="4" l="1"/>
  <c r="O8" i="4"/>
  <c r="J14" i="4"/>
  <c r="O14" i="4"/>
  <c r="E28" i="2"/>
  <c r="E30" i="2"/>
  <c r="E34" i="2" s="1"/>
  <c r="O13" i="4"/>
  <c r="J13" i="4"/>
  <c r="J17" i="4"/>
  <c r="O17" i="4"/>
  <c r="J9" i="4"/>
  <c r="O9" i="4"/>
  <c r="J18" i="4"/>
  <c r="O18" i="4"/>
  <c r="J41" i="1"/>
  <c r="T38" i="2" s="1"/>
  <c r="O51" i="2"/>
  <c r="N51" i="2" l="1"/>
  <c r="Q14" i="4"/>
  <c r="P14" i="4"/>
  <c r="F28" i="2"/>
  <c r="Q17" i="4"/>
  <c r="P17" i="4"/>
  <c r="O16" i="4"/>
  <c r="E29" i="2"/>
  <c r="E33" i="2" s="1"/>
  <c r="F29" i="2"/>
  <c r="F33" i="2" s="1"/>
  <c r="O50" i="2"/>
  <c r="L18" i="4"/>
  <c r="K18" i="4"/>
  <c r="P8" i="4"/>
  <c r="Q8" i="4"/>
  <c r="L9" i="4"/>
  <c r="K9" i="4"/>
  <c r="E10" i="2"/>
  <c r="E11" i="2" s="1"/>
  <c r="F30" i="2"/>
  <c r="F34" i="2" s="1"/>
  <c r="O7" i="4"/>
  <c r="J7" i="4"/>
  <c r="J12" i="4"/>
  <c r="L8" i="4"/>
  <c r="K8" i="4"/>
  <c r="Q9" i="4"/>
  <c r="P9" i="4"/>
  <c r="L13" i="4"/>
  <c r="K13" i="4"/>
  <c r="G42" i="4"/>
  <c r="Q18" i="4"/>
  <c r="P18" i="4"/>
  <c r="Q13" i="4"/>
  <c r="P13" i="4"/>
  <c r="E32" i="2"/>
  <c r="J16" i="4"/>
  <c r="L17" i="4"/>
  <c r="K17" i="4"/>
  <c r="O49" i="2"/>
  <c r="G43" i="4"/>
  <c r="L14" i="4"/>
  <c r="K14" i="4"/>
  <c r="N49" i="2"/>
  <c r="O48" i="2" l="1"/>
  <c r="O52" i="2" s="1"/>
  <c r="E27" i="2"/>
  <c r="E31" i="2" s="1"/>
  <c r="O6" i="4"/>
  <c r="P7" i="4"/>
  <c r="Q7" i="4"/>
  <c r="L16" i="4"/>
  <c r="K16" i="4"/>
  <c r="F32" i="2"/>
  <c r="F27" i="2"/>
  <c r="F31" i="2" s="1"/>
  <c r="N48" i="2"/>
  <c r="N52" i="2" s="1"/>
  <c r="G41" i="4"/>
  <c r="J11" i="4"/>
  <c r="L12" i="4"/>
  <c r="K12" i="4"/>
  <c r="T42" i="2"/>
  <c r="T43" i="2" s="1"/>
  <c r="S42" i="2"/>
  <c r="S43" i="2" s="1"/>
  <c r="O12" i="4"/>
  <c r="F10" i="2"/>
  <c r="F11" i="2" s="1"/>
  <c r="L7" i="4"/>
  <c r="K7" i="4"/>
  <c r="J6" i="4"/>
  <c r="N50" i="2"/>
  <c r="Q16" i="4"/>
  <c r="P16" i="4"/>
  <c r="Q6" i="4" l="1"/>
  <c r="P6" i="4"/>
  <c r="T27" i="2"/>
  <c r="T26" i="2"/>
  <c r="L6" i="4"/>
  <c r="K6" i="4"/>
  <c r="S27" i="2"/>
  <c r="L11" i="4"/>
  <c r="K11" i="4"/>
  <c r="Q12" i="4"/>
  <c r="P12" i="4"/>
  <c r="O11" i="4"/>
  <c r="S26" i="2"/>
  <c r="P11" i="4" l="1"/>
  <c r="Q11" i="4"/>
  <c r="M33" i="4" l="1"/>
  <c r="N29" i="4"/>
  <c r="M29" i="4"/>
  <c r="J29" i="4"/>
  <c r="J28" i="4"/>
  <c r="N24" i="4"/>
  <c r="J24" i="4"/>
  <c r="J23" i="4"/>
  <c r="F52" i="4"/>
  <c r="E53" i="4"/>
  <c r="F50" i="4"/>
  <c r="G50" i="4"/>
  <c r="C51" i="4"/>
  <c r="H53" i="4"/>
  <c r="E50" i="4"/>
  <c r="H52" i="4"/>
  <c r="E52" i="4"/>
  <c r="F53" i="4"/>
  <c r="G53" i="4"/>
  <c r="F51" i="4"/>
  <c r="D52" i="4"/>
  <c r="C50" i="4"/>
  <c r="G51" i="4"/>
  <c r="H51" i="4"/>
  <c r="H50" i="4"/>
  <c r="G52" i="4"/>
  <c r="C53" i="4"/>
  <c r="C52" i="4"/>
  <c r="D51" i="4"/>
  <c r="D53" i="4"/>
  <c r="D50" i="4"/>
  <c r="E51" i="4"/>
  <c r="D54" i="4" l="1"/>
  <c r="I52" i="4"/>
  <c r="I53" i="4"/>
  <c r="I27" i="4"/>
  <c r="D27" i="4"/>
  <c r="G27" i="4" s="1"/>
  <c r="C54" i="4"/>
  <c r="I50" i="4"/>
  <c r="E54" i="4"/>
  <c r="I51" i="4"/>
  <c r="L28" i="4"/>
  <c r="K28" i="4"/>
  <c r="J26" i="4"/>
  <c r="G54" i="4"/>
  <c r="L23" i="4"/>
  <c r="K23" i="4"/>
  <c r="J21" i="4"/>
  <c r="K24" i="4"/>
  <c r="L24" i="4"/>
  <c r="H54" i="4"/>
  <c r="K29" i="4"/>
  <c r="L29" i="4"/>
  <c r="F54" i="4"/>
  <c r="J33" i="4"/>
  <c r="J32" i="4"/>
  <c r="M32" i="4"/>
  <c r="M31" i="4" s="1"/>
  <c r="N33" i="4"/>
  <c r="N28" i="4"/>
  <c r="N26" i="4" s="1"/>
  <c r="M28" i="4"/>
  <c r="M26" i="4" s="1"/>
  <c r="M23" i="4"/>
  <c r="M24" i="4"/>
  <c r="L32" i="4" l="1"/>
  <c r="K32" i="4"/>
  <c r="J31" i="4"/>
  <c r="K21" i="4"/>
  <c r="L21" i="4"/>
  <c r="K33" i="4"/>
  <c r="L33" i="4"/>
  <c r="L26" i="4"/>
  <c r="K26" i="4"/>
  <c r="M21" i="4"/>
  <c r="I54" i="4"/>
  <c r="J54" i="4" s="1"/>
  <c r="N27" i="4"/>
  <c r="Q27" i="4" s="1"/>
  <c r="L27" i="4"/>
  <c r="O33" i="4"/>
  <c r="N32" i="4"/>
  <c r="N31" i="4" s="1"/>
  <c r="O24" i="4"/>
  <c r="N23" i="4"/>
  <c r="N21" i="4" s="1"/>
  <c r="O23" i="4"/>
  <c r="P23" i="4" l="1"/>
  <c r="Q23" i="4"/>
  <c r="O21" i="4"/>
  <c r="Q33" i="4"/>
  <c r="P33" i="4"/>
  <c r="L31" i="4"/>
  <c r="K31" i="4"/>
  <c r="Q24" i="4"/>
  <c r="P24" i="4"/>
  <c r="O28" i="4"/>
  <c r="Q21" i="4" l="1"/>
  <c r="P21" i="4"/>
  <c r="P28" i="4"/>
  <c r="Q28" i="4"/>
  <c r="O29" i="4"/>
  <c r="O26" i="4" s="1"/>
  <c r="P26" i="4" l="1"/>
  <c r="Q26" i="4"/>
  <c r="Q29" i="4"/>
  <c r="P29" i="4"/>
  <c r="O32" i="4" l="1"/>
  <c r="Q32" i="4" l="1"/>
  <c r="P32" i="4"/>
  <c r="O31" i="4"/>
  <c r="Q31" i="4" l="1"/>
  <c r="P31" i="4"/>
  <c r="H58" i="4"/>
</calcChain>
</file>

<file path=xl/comments1.xml><?xml version="1.0" encoding="utf-8"?>
<comments xmlns="http://schemas.openxmlformats.org/spreadsheetml/2006/main">
  <authors>
    <author>Christina Dinata</author>
    <author>Afrina Amalia</author>
  </authors>
  <commentList>
    <comment ref="A37" authorId="0" shapeId="0">
      <text>
        <r>
          <rPr>
            <b/>
            <sz val="9"/>
            <color indexed="81"/>
            <rFont val="Tahoma"/>
            <family val="2"/>
          </rPr>
          <t>Christina Dinata:</t>
        </r>
        <r>
          <rPr>
            <sz val="9"/>
            <color indexed="81"/>
            <rFont val="Tahoma"/>
            <family val="2"/>
          </rPr>
          <t xml:space="preserve">
pake outlook bulan sebelum aja dulu, kalo sudah ada untuk bulan yg baru diganti</t>
        </r>
      </text>
    </comment>
    <comment ref="E38" authorId="1" shapeId="0">
      <text>
        <r>
          <rPr>
            <b/>
            <sz val="9"/>
            <color indexed="81"/>
            <rFont val="Tahoma"/>
            <family val="2"/>
          </rPr>
          <t>Afrina Amalia:</t>
        </r>
        <r>
          <rPr>
            <sz val="9"/>
            <color indexed="81"/>
            <rFont val="Tahoma"/>
            <family val="2"/>
          </rPr>
          <t xml:space="preserve">
manual update by outlook</t>
        </r>
      </text>
    </comment>
  </commentList>
</comments>
</file>

<file path=xl/comments2.xml><?xml version="1.0" encoding="utf-8"?>
<comments xmlns="http://schemas.openxmlformats.org/spreadsheetml/2006/main">
  <authors>
    <author>Afrina Amalia</author>
  </authors>
  <commentList>
    <comment ref="BD5" authorId="0" shapeId="0">
      <text>
        <r>
          <rPr>
            <b/>
            <sz val="9"/>
            <color indexed="81"/>
            <rFont val="Tahoma"/>
            <family val="2"/>
          </rPr>
          <t>Afrina Amalia:</t>
        </r>
        <r>
          <rPr>
            <sz val="9"/>
            <color indexed="81"/>
            <rFont val="Tahoma"/>
            <family val="2"/>
          </rPr>
          <t xml:space="preserve">
Transaction by source product</t>
        </r>
      </text>
    </comment>
  </commentList>
</comments>
</file>

<file path=xl/sharedStrings.xml><?xml version="1.0" encoding="utf-8"?>
<sst xmlns="http://schemas.openxmlformats.org/spreadsheetml/2006/main" count="827" uniqueCount="271">
  <si>
    <t>Rainfall</t>
  </si>
  <si>
    <t>Duration</t>
  </si>
  <si>
    <t>Summary</t>
  </si>
  <si>
    <t>Prediction</t>
  </si>
  <si>
    <t>Actual</t>
  </si>
  <si>
    <t>Rain</t>
  </si>
  <si>
    <t>Slippery</t>
  </si>
  <si>
    <t>Total</t>
  </si>
  <si>
    <t>-</t>
  </si>
  <si>
    <t>MTD</t>
  </si>
  <si>
    <t>Rain Day</t>
  </si>
  <si>
    <t>RS over plan</t>
  </si>
  <si>
    <t>week1</t>
  </si>
  <si>
    <t>week2</t>
  </si>
  <si>
    <t>week3</t>
  </si>
  <si>
    <t>week4</t>
  </si>
  <si>
    <t>p20bk14</t>
  </si>
  <si>
    <t>p30bk14</t>
  </si>
  <si>
    <t>p30bk18</t>
  </si>
  <si>
    <t>p30bk20</t>
  </si>
  <si>
    <t>p60bk14</t>
  </si>
  <si>
    <t>Date</t>
  </si>
  <si>
    <t>raintime</t>
  </si>
  <si>
    <t>slippery time</t>
  </si>
  <si>
    <t>total</t>
  </si>
  <si>
    <t>Rainfall Max</t>
  </si>
  <si>
    <t>R&amp;S Max</t>
  </si>
  <si>
    <t>rain</t>
  </si>
  <si>
    <t>slippery</t>
  </si>
  <si>
    <t>date</t>
  </si>
  <si>
    <t>YTD Plan</t>
  </si>
  <si>
    <t>MTD Out</t>
  </si>
  <si>
    <t>Aktual YTD</t>
  </si>
  <si>
    <t>W1</t>
  </si>
  <si>
    <t>W2</t>
  </si>
  <si>
    <t>W3</t>
  </si>
  <si>
    <t>W4</t>
  </si>
  <si>
    <t/>
  </si>
  <si>
    <t>as update on</t>
  </si>
  <si>
    <t>ROM Hauling</t>
  </si>
  <si>
    <t>Today</t>
  </si>
  <si>
    <t>YTD</t>
  </si>
  <si>
    <t>Plan</t>
  </si>
  <si>
    <t>Ach.</t>
  </si>
  <si>
    <t>Coal Winning</t>
  </si>
  <si>
    <t>ROM LS</t>
  </si>
  <si>
    <t>Mine Stock Yard</t>
  </si>
  <si>
    <t>CV</t>
  </si>
  <si>
    <t>TS</t>
  </si>
  <si>
    <t>Ash</t>
  </si>
  <si>
    <t>IM</t>
  </si>
  <si>
    <t>TM</t>
  </si>
  <si>
    <t>ROM HS</t>
  </si>
  <si>
    <t>Outlook</t>
  </si>
  <si>
    <t>ROM STOCK STATUS</t>
  </si>
  <si>
    <t>ROM 1</t>
  </si>
  <si>
    <t>FC Production</t>
  </si>
  <si>
    <t>ROM 4</t>
  </si>
  <si>
    <t>Stripping Ratio</t>
  </si>
  <si>
    <t>ROM</t>
  </si>
  <si>
    <t>FC</t>
  </si>
  <si>
    <t>Weather</t>
  </si>
  <si>
    <t>Rain &amp; Slip.</t>
  </si>
  <si>
    <t>(Hrs)</t>
  </si>
  <si>
    <t>(%)</t>
  </si>
  <si>
    <t>Level</t>
  </si>
  <si>
    <t>OB Removal</t>
  </si>
  <si>
    <t>Port Stock Yard</t>
  </si>
  <si>
    <t>FC Loading</t>
  </si>
  <si>
    <t>Remark:</t>
  </si>
  <si>
    <t>HCV LS</t>
  </si>
  <si>
    <t>HCV HS</t>
  </si>
  <si>
    <t>MCV LS</t>
  </si>
  <si>
    <t>OB Removal Inpit</t>
  </si>
  <si>
    <t>OB Outpit (Void Management)</t>
  </si>
  <si>
    <t>ROM Stock</t>
  </si>
  <si>
    <t>ROM Transfer</t>
  </si>
  <si>
    <t>FC Stock at PSY</t>
  </si>
  <si>
    <t>FC Load</t>
  </si>
  <si>
    <t>PAMA</t>
  </si>
  <si>
    <t>SNS</t>
  </si>
  <si>
    <t>TJP</t>
  </si>
  <si>
    <t>MPA</t>
  </si>
  <si>
    <t xml:space="preserve"> Biangan</t>
  </si>
  <si>
    <t xml:space="preserve"> SB1</t>
  </si>
  <si>
    <t>Biangan to    SB1</t>
  </si>
  <si>
    <t>Biangan  to
Crusher</t>
  </si>
  <si>
    <t>SB1 to
Crusher</t>
  </si>
  <si>
    <t>BEK.HCV.LS</t>
  </si>
  <si>
    <t>BEK.HCV.HS</t>
  </si>
  <si>
    <t>BEK.MCV.LS</t>
  </si>
  <si>
    <t>BEK COAL INVENTORY REPORT</t>
  </si>
  <si>
    <t>Day</t>
  </si>
  <si>
    <t xml:space="preserve">MTD </t>
  </si>
  <si>
    <t xml:space="preserve">YTD </t>
  </si>
  <si>
    <t>Rainfall/Rain &amp; Slipp. Time</t>
  </si>
  <si>
    <t>%</t>
  </si>
  <si>
    <t>Coal Winning :</t>
  </si>
  <si>
    <t>by PAMA</t>
  </si>
  <si>
    <t>by SNS</t>
  </si>
  <si>
    <t>ROM Transfer :</t>
  </si>
  <si>
    <t>Biangan - BEK SB1</t>
  </si>
  <si>
    <t>ROM Hauling :</t>
  </si>
  <si>
    <t>from MSY</t>
  </si>
  <si>
    <t xml:space="preserve">from BEK SB1 </t>
  </si>
  <si>
    <t>FC Production :</t>
  </si>
  <si>
    <t>FC Load :</t>
  </si>
  <si>
    <t>OB Inpit :</t>
  </si>
  <si>
    <t>OB Outpit (Void management) :</t>
  </si>
  <si>
    <t>by TJP</t>
  </si>
  <si>
    <t>by MPA</t>
  </si>
  <si>
    <t>Stripping Ratio :</t>
  </si>
  <si>
    <t>OB : ROM</t>
  </si>
  <si>
    <t>OB : FC</t>
  </si>
  <si>
    <t>0,30</t>
  </si>
  <si>
    <t>590830.74</t>
  </si>
  <si>
    <t>154453.3</t>
  </si>
  <si>
    <t>Click Here for Graph</t>
  </si>
  <si>
    <t>ROM Prod</t>
  </si>
  <si>
    <t>Barge Loading</t>
  </si>
  <si>
    <t>FC Prod</t>
  </si>
  <si>
    <t>HCV.LS</t>
  </si>
  <si>
    <t>HCV.HS</t>
  </si>
  <si>
    <t>OB Inpit</t>
  </si>
  <si>
    <t>% Achievement</t>
  </si>
  <si>
    <t>REMARK</t>
  </si>
  <si>
    <t>Budget</t>
  </si>
  <si>
    <t>By Budget</t>
  </si>
  <si>
    <t>By Outlook</t>
  </si>
  <si>
    <t>OB</t>
  </si>
  <si>
    <t>COAL</t>
  </si>
  <si>
    <t>OUTPIT</t>
  </si>
  <si>
    <t>DISTANCE OB (M)</t>
  </si>
  <si>
    <t>DISTANCE COAL (M)</t>
  </si>
  <si>
    <t>DISTANCE OUTPIT (M)</t>
  </si>
  <si>
    <t>TRUST</t>
  </si>
  <si>
    <t>Coal</t>
  </si>
  <si>
    <t>Void</t>
  </si>
  <si>
    <t>COAL WINNING</t>
  </si>
  <si>
    <t>TOTAL</t>
  </si>
  <si>
    <t>BY ROM</t>
  </si>
  <si>
    <t>Week1</t>
  </si>
  <si>
    <t>Week2</t>
  </si>
  <si>
    <t>Week3</t>
  </si>
  <si>
    <t>Week4</t>
  </si>
  <si>
    <t>Distance OB</t>
  </si>
  <si>
    <t>P3000Bk14</t>
  </si>
  <si>
    <t>P6000Bk14</t>
  </si>
  <si>
    <t>P3000Bk18</t>
  </si>
  <si>
    <t>P3000Bk20</t>
  </si>
  <si>
    <t>P6000Bk20</t>
  </si>
  <si>
    <t>Total Distance</t>
  </si>
  <si>
    <t>% Blending</t>
  </si>
  <si>
    <t>Tonnage Blending</t>
  </si>
  <si>
    <t>Ach./</t>
  </si>
  <si>
    <t>PRODUCTION</t>
  </si>
  <si>
    <t>Diff.</t>
  </si>
  <si>
    <t>ROM 1.U1</t>
  </si>
  <si>
    <t>ROM 1.B1</t>
  </si>
  <si>
    <t>ROM 1.B2</t>
  </si>
  <si>
    <t>ROM 1.B3</t>
  </si>
  <si>
    <t>ROM 1.B4</t>
  </si>
  <si>
    <t>ROM 4.U1</t>
  </si>
  <si>
    <t>ROM 4.B1</t>
  </si>
  <si>
    <t>ROM 4.B2</t>
  </si>
  <si>
    <t>ROM 1-01</t>
  </si>
  <si>
    <t>ROM 4-01</t>
  </si>
  <si>
    <t>Total FC</t>
  </si>
  <si>
    <t>Quality</t>
  </si>
  <si>
    <t>CVadb</t>
  </si>
  <si>
    <t>CVar</t>
  </si>
  <si>
    <t>ASH</t>
  </si>
  <si>
    <t>LOCATION</t>
  </si>
  <si>
    <t>QUANTITY</t>
  </si>
  <si>
    <t>OUTLOOK</t>
  </si>
  <si>
    <t>ACTUAL</t>
  </si>
  <si>
    <t>ROM STOCK BIANGAN</t>
  </si>
  <si>
    <t>not RTH</t>
  </si>
  <si>
    <t>diff</t>
  </si>
  <si>
    <t>CV &gt;6300, TS &lt;0.6%</t>
  </si>
  <si>
    <t>CV &gt;6300, TS &gt;0.6 - 0.9%</t>
  </si>
  <si>
    <t>CVar &lt; 6000, TS &lt;0.65%</t>
  </si>
  <si>
    <t>CV 6000 - 6300, TS &lt;0.9%</t>
  </si>
  <si>
    <t>TS &lt;1.9%</t>
  </si>
  <si>
    <t>TS &gt;2%</t>
  </si>
  <si>
    <t>ROM STOCK SB1</t>
  </si>
  <si>
    <t>SB1</t>
  </si>
  <si>
    <t>FC STOCK PSY BUNYUT</t>
  </si>
  <si>
    <t>TOTAL READY TO HAUL</t>
  </si>
  <si>
    <t>Ton</t>
  </si>
  <si>
    <t>TOTAL UNREADY TO HAUL</t>
  </si>
  <si>
    <t>TOTAL ROM STOCK</t>
  </si>
  <si>
    <t>ROM Stock Status : 371,468.39 Ton available in Bengkirai (based on transaction)_</t>
  </si>
  <si>
    <t>ROM 1.U</t>
  </si>
  <si>
    <t>ROM 4.U</t>
  </si>
  <si>
    <t>ROM 1.M</t>
  </si>
  <si>
    <t>ROM 4.M</t>
  </si>
  <si>
    <t>ROM 1.B</t>
  </si>
  <si>
    <t>ROM 4.B</t>
  </si>
  <si>
    <t>ROM 1-0</t>
  </si>
  <si>
    <t>ROM 4-0</t>
  </si>
  <si>
    <t>ROM Transfer (Biangan to SB1)</t>
  </si>
  <si>
    <t>DISTANCE (M)</t>
  </si>
  <si>
    <t>DAY</t>
  </si>
  <si>
    <t>Ulin</t>
  </si>
  <si>
    <t>Meranti</t>
  </si>
  <si>
    <t>Bengkirai</t>
  </si>
  <si>
    <t>Grand Total</t>
  </si>
  <si>
    <t>End of Aug26</t>
  </si>
  <si>
    <t>OB REMOVAL</t>
  </si>
  <si>
    <t>1646266</t>
  </si>
  <si>
    <t>1646267</t>
  </si>
  <si>
    <t>1646268</t>
  </si>
  <si>
    <t>1646269</t>
  </si>
  <si>
    <t>1646270</t>
  </si>
  <si>
    <t>1646271</t>
  </si>
  <si>
    <t>1646272</t>
  </si>
  <si>
    <t>1646273</t>
  </si>
  <si>
    <t>1646274</t>
  </si>
  <si>
    <t>1646275</t>
  </si>
  <si>
    <t>1646276</t>
  </si>
  <si>
    <t>1646277</t>
  </si>
  <si>
    <t>1646278</t>
  </si>
  <si>
    <t>1646279</t>
  </si>
  <si>
    <t>1646280</t>
  </si>
  <si>
    <t>1646281</t>
  </si>
  <si>
    <t>1646282</t>
  </si>
  <si>
    <t>1646283</t>
  </si>
  <si>
    <t>1646284</t>
  </si>
  <si>
    <t>1646285</t>
  </si>
  <si>
    <t>1646286</t>
  </si>
  <si>
    <t>1646287</t>
  </si>
  <si>
    <t>1646288</t>
  </si>
  <si>
    <t>1646289</t>
  </si>
  <si>
    <t>1646290</t>
  </si>
  <si>
    <t>1646291</t>
  </si>
  <si>
    <t>1646292</t>
  </si>
  <si>
    <t>1646293</t>
  </si>
  <si>
    <t>1646294</t>
  </si>
  <si>
    <t>1646295</t>
  </si>
  <si>
    <t>1646296</t>
  </si>
  <si>
    <t>11 mm  / 3.88 hr</t>
  </si>
  <si>
    <t>41 mm  / 10.00 hr</t>
  </si>
  <si>
    <t>2,342 mm  / 1,002.03 hr</t>
  </si>
  <si>
    <t>*BEK Prod. 07 Sep 26 (Today/MTD/YTD)*</t>
  </si>
  <si>
    <t>Rainfall (11/41/2,342)</t>
  </si>
  <si>
    <t>Total Rain &amp; Slippery Time (3.88[16%]/10.00[6%]/1,002.03[17%])</t>
  </si>
  <si>
    <t>ROM Production (22,161/174,095/5,532,837), (98%/26%/69%)</t>
  </si>
  <si>
    <t>ROM Transfer (-/0/0)</t>
  </si>
  <si>
    <t>ROM Hauling (25,248/144,435/5,690,096), (108%/21%/67%)</t>
  </si>
  <si>
    <t>FC Production (25,248/144,435/5,690,096), (108%/21%/67%)</t>
  </si>
  <si>
    <t xml:space="preserve">     _HCV LS (11,700/21,307/4,113,206)_</t>
  </si>
  <si>
    <t xml:space="preserve">     _HCV HS (13,548/73,939/1,200,454)_</t>
  </si>
  <si>
    <t xml:space="preserve">     _MCV LS (-/49,189/376,436)_</t>
  </si>
  <si>
    <t>FC Load to Barge (-/46,610/5,441,416), (0%/7%/64%)</t>
  </si>
  <si>
    <t xml:space="preserve">     _HCV LS (-/32,825/4,100,567)_</t>
  </si>
  <si>
    <t xml:space="preserve">     _HCV HS (-/13,785/1,041,637)_</t>
  </si>
  <si>
    <t xml:space="preserve">     _MCV LS (-/0/299,212)_</t>
  </si>
  <si>
    <t>OB Inpit (203,440/1,608,220/50,925,764), (95%/25%/0%)</t>
  </si>
  <si>
    <t>OB Outpit (43,553/317,094/9,638,161)</t>
  </si>
  <si>
    <t>SR ROM (9.18/9.24/9.20)</t>
  </si>
  <si>
    <t>SR FC (8.06/11.13/8.95)</t>
  </si>
  <si>
    <t>ROM Stock (511,307.74 Ton)</t>
  </si>
  <si>
    <t xml:space="preserve">     _ROM ULIN (0.00) </t>
  </si>
  <si>
    <t xml:space="preserve">     _ROM BENGKIRAI (511,307.74) 511,307.74 Ton available in Bengkirai (base on transaction)</t>
  </si>
  <si>
    <t xml:space="preserve">     _ROM SB1 (-)_</t>
  </si>
  <si>
    <t xml:space="preserve">     _HAC (-)_</t>
  </si>
  <si>
    <t>FC Stock PSY Bunyut (386,971 Ton)</t>
  </si>
  <si>
    <t xml:space="preserve">     _BEK.HCV.LS (182,881)_</t>
  </si>
  <si>
    <t xml:space="preserve">     _BEK.HCV.HS (139,915)_</t>
  </si>
  <si>
    <t xml:space="preserve">     _BEK.MCV.LS (64,175)_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</si>
</sst>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3">
    <numFmt numFmtId="43" formatCode="_(* #,##0.00_);_(* \(#,##0.00\);_(* &quot;-&quot;??_);_(@_)"/>
    <numFmt numFmtId="164" formatCode="[$-409]dd\-mmm\-yy;@"/>
    <numFmt numFmtId="165" formatCode="[$-409]d\-mmm;@"/>
    <numFmt numFmtId="166" formatCode="mmm"/>
    <numFmt numFmtId="167" formatCode="_(* #,##0_);_(* \(#,##0\);_(* &quot;-&quot;??_);_(@_)"/>
    <numFmt numFmtId="168" formatCode="_(* #,##0.0_);_(* \(#,##0.0\);_(* &quot;-&quot;??_);_(@_)"/>
    <numFmt numFmtId="169" formatCode="_-* #,##0_-;\-* #,##0_-;_-* &quot;-&quot;_-;_-@_-"/>
    <numFmt numFmtId="170" formatCode="_-* #,##0.00_-;\-* #,##0.00_-;_-* &quot;-&quot;_-;_-@_-"/>
    <numFmt numFmtId="171" formatCode="[$-409]mmmm\ d\,\ yyyy;@"/>
    <numFmt numFmtId="172" formatCode="_(* #,##0.0000_);_(* \(#,##0.0000\);_(* &quot;-&quot;??_);_(@_)"/>
    <numFmt numFmtId="173" formatCode="&quot;LS      &quot;0%"/>
    <numFmt numFmtId="174" formatCode="&quot;HS     &quot;0%"/>
    <numFmt numFmtId="175" formatCode="&quot;MS     &quot;0%"/>
    <numFmt numFmtId="176" formatCode="&quot;Summary BEK Coal Inventory&quot;\ mmmm\ yyyy"/>
    <numFmt numFmtId="177" formatCode="mmm\ yyyy"/>
    <numFmt numFmtId="178" formatCode="_(* #,##0.000_);_(* \(#,##0.000\);_(* &quot;-&quot;??_);_(@_)"/>
    <numFmt numFmtId="179" formatCode="&quot;End of&quot;\ mmm&quot;'&quot;yy"/>
    <numFmt numFmtId="180" formatCode="[$-409]d\-mmm\-yy;@"/>
    <numFmt numFmtId="181" formatCode="_(* #,##0.000000_);_(* \(#,##0.000000\);_(* &quot;-&quot;??_);_(@_)"/>
    <numFmt numFmtId="182" formatCode="_(* #,##0.00000_);_(* \(#,##0.00000\);_(* &quot;-&quot;??_);_(@_)"/>
    <numFmt numFmtId="183" formatCode="yyyy"/>
    <numFmt numFmtId="184" formatCode="d"/>
    <numFmt numFmtId="185" formatCode="mmmm"/>
    <numFmt numFmtId="186" formatCode="dmmm"/>
    <numFmt numFmtId="187" formatCode="_-* #,##0.0000_-;\-* #,##0.0000_-;_-* &quot;-&quot;_-;_-@_-"/>
    <numFmt numFmtId="188" formatCode="#,###.00"/>
    <numFmt numFmtId="189" formatCode="&quot;FC Production Blending Portion end of &quot;dd\ mmm\ yyyy"/>
    <numFmt numFmtId="190" formatCode="_-* #,##0_-;\-* #,##0_-;_-* &quot;-&quot;??_-;_-@_-"/>
    <numFmt numFmtId="191" formatCode="_-* #,##0.00_-;\-* #,##0.00_-;_-* &quot;-&quot;??_-;_-@_-"/>
    <numFmt numFmtId="192" formatCode="&quot;BEK Coal Stock Quality&quot;\ mmmm\ yyyy"/>
    <numFmt numFmtId="193" formatCode="&quot;End of,&quot;\ dd\ mmmm\ yyyy"/>
    <numFmt numFmtId="194" formatCode="_(* #,##0.00_);_(* \(#,##0.00\);_(* \-??_);_(@_)"/>
    <numFmt numFmtId="195" formatCode="_(* #,##0.000_);_(* \(#,##0.000\);_(* \-??_);_(@_)"/>
  </numFmts>
  <fonts count="10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0"/>
      <color theme="0"/>
      <name val="Calibri"/>
      <family val="2"/>
      <charset val="1"/>
      <scheme val="minor"/>
    </font>
    <font>
      <sz val="10"/>
      <color theme="0" tint="-0.249977111117893"/>
      <name val="Calibri"/>
      <family val="2"/>
      <charset val="1"/>
      <scheme val="minor"/>
    </font>
    <font>
      <sz val="10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 tint="-0.14999847407452621"/>
      <name val="Calibri"/>
      <family val="2"/>
      <charset val="1"/>
      <scheme val="minor"/>
    </font>
    <font>
      <sz val="9"/>
      <color rgb="FFFF0000"/>
      <name val="Calibri"/>
      <family val="2"/>
      <charset val="1"/>
      <scheme val="minor"/>
    </font>
    <font>
      <sz val="10"/>
      <color rgb="FFFF0000"/>
      <name val="Calibri"/>
      <family val="2"/>
      <charset val="1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0" tint="-0.249977111117893"/>
      <name val="Calibri"/>
      <family val="2"/>
      <charset val="1"/>
      <scheme val="minor"/>
    </font>
    <font>
      <sz val="9"/>
      <color theme="0" tint="-0.14999847407452621"/>
      <name val="Calibri"/>
      <family val="2"/>
      <charset val="1"/>
      <scheme val="minor"/>
    </font>
    <font>
      <sz val="9"/>
      <color theme="0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sz val="9"/>
      <color theme="0" tint="-4.9989318521683403E-2"/>
      <name val="Calibri"/>
      <family val="2"/>
      <charset val="1"/>
      <scheme val="minor"/>
    </font>
    <font>
      <sz val="9"/>
      <color theme="4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b/>
      <sz val="12"/>
      <color rgb="FF003399"/>
      <name val="Calibri"/>
      <family val="2"/>
      <charset val="1"/>
      <scheme val="minor"/>
    </font>
    <font>
      <b/>
      <sz val="9"/>
      <color rgb="FF003399"/>
      <name val="Calibri"/>
      <family val="2"/>
      <charset val="1"/>
      <scheme val="minor"/>
    </font>
    <font>
      <b/>
      <sz val="9"/>
      <color theme="0"/>
      <name val="Calibri"/>
      <family val="2"/>
      <charset val="1"/>
      <scheme val="minor"/>
    </font>
    <font>
      <b/>
      <sz val="9"/>
      <color theme="3"/>
      <name val="Calibri"/>
      <family val="2"/>
      <charset val="1"/>
      <scheme val="minor"/>
    </font>
    <font>
      <b/>
      <sz val="9"/>
      <name val="Calibri"/>
      <family val="2"/>
      <charset val="1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sz val="9"/>
      <color theme="3"/>
      <name val="Calibri"/>
      <family val="2"/>
      <charset val="1"/>
      <scheme val="minor"/>
    </font>
    <font>
      <sz val="9"/>
      <name val="Calibri"/>
      <family val="2"/>
      <charset val="1"/>
      <scheme val="minor"/>
    </font>
    <font>
      <sz val="9"/>
      <color theme="1"/>
      <name val="Calibri"/>
      <family val="2"/>
    </font>
    <font>
      <b/>
      <sz val="9"/>
      <color theme="6" tint="-0.249977111117893"/>
      <name val="Calibri"/>
      <family val="2"/>
      <charset val="1"/>
      <scheme val="minor"/>
    </font>
    <font>
      <b/>
      <sz val="16"/>
      <color theme="0" tint="-0.249977111117893"/>
      <name val="Calibri"/>
      <family val="2"/>
      <charset val="1"/>
      <scheme val="minor"/>
    </font>
    <font>
      <b/>
      <sz val="9"/>
      <color theme="1"/>
      <name val="Calibri"/>
      <family val="2"/>
      <charset val="1"/>
      <scheme val="minor"/>
    </font>
    <font>
      <b/>
      <sz val="9"/>
      <color theme="4"/>
      <name val="Calibri"/>
      <family val="2"/>
      <charset val="1"/>
      <scheme val="minor"/>
    </font>
    <font>
      <sz val="9"/>
      <color theme="5"/>
      <name val="Calibri"/>
      <family val="2"/>
      <charset val="1"/>
      <scheme val="minor"/>
    </font>
    <font>
      <b/>
      <sz val="9"/>
      <color theme="5"/>
      <name val="Calibri"/>
      <family val="2"/>
      <charset val="1"/>
      <scheme val="minor"/>
    </font>
    <font>
      <b/>
      <sz val="9"/>
      <color theme="0"/>
      <name val="Calibri"/>
      <family val="2"/>
    </font>
    <font>
      <b/>
      <sz val="9"/>
      <color theme="4" tint="-0.249977111117893"/>
      <name val="Calibri"/>
      <family val="2"/>
      <charset val="1"/>
      <scheme val="minor"/>
    </font>
    <font>
      <b/>
      <sz val="9"/>
      <color theme="9" tint="-0.249977111117893"/>
      <name val="Calibri"/>
      <family val="2"/>
      <charset val="1"/>
      <scheme val="minor"/>
    </font>
    <font>
      <b/>
      <i/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0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b/>
      <sz val="26"/>
      <color theme="1"/>
      <name val="Calibri"/>
      <family val="2"/>
      <scheme val="minor"/>
    </font>
    <font>
      <b/>
      <sz val="26"/>
      <color theme="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0.14999847407452621"/>
      <name val="Calibri"/>
      <family val="2"/>
      <scheme val="minor"/>
    </font>
    <font>
      <sz val="9"/>
      <color theme="2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sz val="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0"/>
      <name val="Arial"/>
      <family val="2"/>
    </font>
    <font>
      <sz val="12"/>
      <color theme="0" tint="-4.9989318521683403E-2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0" tint="-4.9989318521683403E-2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theme="0" tint="-0.14999847407452621"/>
      <name val="Calibri"/>
      <family val="2"/>
      <charset val="1"/>
      <scheme val="minor"/>
    </font>
    <font>
      <b/>
      <sz val="12"/>
      <color rgb="FF000000"/>
      <name val="Inherit"/>
    </font>
    <font>
      <b/>
      <sz val="16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3" tint="-0.499984740745262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rgb="FF482F92"/>
      <name val="Calibri"/>
      <family val="2"/>
      <scheme val="minor"/>
    </font>
    <font>
      <b/>
      <sz val="9"/>
      <color rgb="FF4D4D4D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2"/>
      <color rgb="FF4D4D4D"/>
      <name val="Calibri"/>
      <family val="2"/>
      <scheme val="minor"/>
    </font>
    <font>
      <sz val="11"/>
      <color theme="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42E6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9471D"/>
        <bgColor indexed="64"/>
      </patternFill>
    </fill>
    <fill>
      <patternFill patternType="solid">
        <fgColor rgb="FFA7C957"/>
        <bgColor indexed="64"/>
      </patternFill>
    </fill>
    <fill>
      <patternFill patternType="solid">
        <fgColor rgb="FFE9EDC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0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96795556505021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 style="hair">
        <color theme="0" tint="-0.499984740745262"/>
      </left>
      <right/>
      <top/>
      <bottom/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/>
      <right style="hair">
        <color theme="0" tint="-0.499984740745262"/>
      </right>
      <top/>
      <bottom style="thin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34998626667073579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double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auto="1"/>
      </right>
      <top/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double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/>
      <right/>
      <top style="thin">
        <color theme="0" tint="-0.24994659260841701"/>
      </top>
      <bottom style="double">
        <color indexed="64"/>
      </bottom>
      <diagonal/>
    </border>
    <border>
      <left/>
      <right style="thin">
        <color auto="1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medium">
        <color indexed="64"/>
      </right>
      <top/>
      <bottom style="thin">
        <color theme="0" tint="-4.9989318521683403E-2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8">
    <xf numFmtId="164" fontId="0" fillId="0" borderId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1" fillId="0" borderId="0"/>
    <xf numFmtId="43" fontId="72" fillId="0" borderId="0" applyFont="0" applyFill="0" applyBorder="0" applyAlignment="0" applyProtection="0"/>
    <xf numFmtId="164" fontId="1" fillId="0" borderId="0"/>
    <xf numFmtId="164" fontId="1" fillId="0" borderId="0"/>
  </cellStyleXfs>
  <cellXfs count="1096">
    <xf numFmtId="164" fontId="0" fillId="0" borderId="0" xfId="0"/>
    <xf numFmtId="165" fontId="7" fillId="0" borderId="0" xfId="0" applyNumberFormat="1" applyFont="1"/>
    <xf numFmtId="166" fontId="8" fillId="2" borderId="1" xfId="0" applyNumberFormat="1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/>
    </xf>
    <xf numFmtId="164" fontId="8" fillId="2" borderId="2" xfId="0" applyFont="1" applyFill="1" applyBorder="1" applyAlignment="1">
      <alignment horizontal="center" vertical="center"/>
    </xf>
    <xf numFmtId="164" fontId="8" fillId="2" borderId="4" xfId="0" applyFont="1" applyFill="1" applyBorder="1" applyAlignment="1">
      <alignment horizontal="center" vertical="center"/>
    </xf>
    <xf numFmtId="164" fontId="8" fillId="2" borderId="3" xfId="0" applyFont="1" applyFill="1" applyBorder="1" applyAlignment="1">
      <alignment horizontal="center" vertical="center"/>
    </xf>
    <xf numFmtId="164" fontId="8" fillId="2" borderId="1" xfId="0" applyFont="1" applyFill="1" applyBorder="1" applyAlignment="1">
      <alignment horizontal="center" vertical="center"/>
    </xf>
    <xf numFmtId="0" fontId="7" fillId="0" borderId="0" xfId="0" applyNumberFormat="1" applyFont="1"/>
    <xf numFmtId="164" fontId="7" fillId="0" borderId="0" xfId="0" applyFont="1"/>
    <xf numFmtId="166" fontId="8" fillId="2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/>
    </xf>
    <xf numFmtId="164" fontId="8" fillId="2" borderId="5" xfId="0" applyFont="1" applyFill="1" applyBorder="1" applyAlignment="1">
      <alignment horizontal="center" vertical="center"/>
    </xf>
    <xf numFmtId="166" fontId="8" fillId="2" borderId="2" xfId="0" applyNumberFormat="1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/>
    </xf>
    <xf numFmtId="0" fontId="9" fillId="0" borderId="0" xfId="0" applyNumberFormat="1" applyFont="1"/>
    <xf numFmtId="164" fontId="9" fillId="0" borderId="0" xfId="0" applyFont="1" applyAlignment="1">
      <alignment horizontal="right"/>
    </xf>
    <xf numFmtId="0" fontId="7" fillId="0" borderId="6" xfId="0" applyNumberFormat="1" applyFont="1" applyBorder="1" applyAlignment="1">
      <alignment horizontal="center" vertical="center"/>
    </xf>
    <xf numFmtId="43" fontId="7" fillId="0" borderId="6" xfId="1" applyFont="1" applyFill="1" applyBorder="1" applyAlignment="1">
      <alignment horizontal="center"/>
    </xf>
    <xf numFmtId="43" fontId="7" fillId="0" borderId="6" xfId="1" applyFont="1" applyFill="1" applyBorder="1" applyAlignment="1">
      <alignment vertical="center"/>
    </xf>
    <xf numFmtId="43" fontId="7" fillId="0" borderId="6" xfId="1" applyFont="1" applyFill="1" applyBorder="1" applyAlignment="1">
      <alignment horizontal="center" vertical="center"/>
    </xf>
    <xf numFmtId="43" fontId="7" fillId="0" borderId="6" xfId="1" applyFont="1" applyBorder="1" applyAlignment="1">
      <alignment vertical="center"/>
    </xf>
    <xf numFmtId="43" fontId="7" fillId="0" borderId="6" xfId="1" applyFont="1" applyBorder="1" applyAlignment="1">
      <alignment horizontal="center" vertical="center"/>
    </xf>
    <xf numFmtId="43" fontId="7" fillId="0" borderId="7" xfId="1" applyFont="1" applyBorder="1" applyAlignment="1">
      <alignment horizontal="right"/>
    </xf>
    <xf numFmtId="9" fontId="7" fillId="0" borderId="0" xfId="3" applyFont="1" applyBorder="1" applyAlignment="1">
      <alignment horizontal="right"/>
    </xf>
    <xf numFmtId="43" fontId="7" fillId="0" borderId="0" xfId="1" applyFont="1" applyBorder="1" applyAlignment="1">
      <alignment horizontal="right"/>
    </xf>
    <xf numFmtId="0" fontId="9" fillId="0" borderId="0" xfId="3" applyNumberFormat="1" applyFont="1"/>
    <xf numFmtId="43" fontId="9" fillId="0" borderId="0" xfId="1" applyFont="1" applyAlignment="1">
      <alignment horizontal="right"/>
    </xf>
    <xf numFmtId="43" fontId="9" fillId="0" borderId="0" xfId="1" applyFont="1"/>
    <xf numFmtId="0" fontId="7" fillId="0" borderId="8" xfId="0" applyNumberFormat="1" applyFont="1" applyBorder="1" applyAlignment="1">
      <alignment horizontal="center" vertical="center"/>
    </xf>
    <xf numFmtId="43" fontId="7" fillId="0" borderId="8" xfId="1" applyFont="1" applyBorder="1" applyAlignment="1">
      <alignment horizontal="right"/>
    </xf>
    <xf numFmtId="0" fontId="10" fillId="0" borderId="8" xfId="0" applyNumberFormat="1" applyFont="1" applyBorder="1" applyAlignment="1">
      <alignment horizontal="center" vertical="center"/>
    </xf>
    <xf numFmtId="43" fontId="7" fillId="0" borderId="0" xfId="1" applyFont="1"/>
    <xf numFmtId="43" fontId="7" fillId="0" borderId="8" xfId="1" applyFont="1" applyFill="1" applyBorder="1" applyAlignment="1">
      <alignment horizontal="center" vertical="center"/>
    </xf>
    <xf numFmtId="9" fontId="9" fillId="0" borderId="0" xfId="3" applyFont="1" applyAlignment="1">
      <alignment horizontal="right"/>
    </xf>
    <xf numFmtId="0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43" fontId="10" fillId="0" borderId="8" xfId="1" applyFont="1" applyBorder="1" applyAlignment="1">
      <alignment horizontal="right"/>
    </xf>
    <xf numFmtId="9" fontId="7" fillId="0" borderId="0" xfId="3" applyFont="1"/>
    <xf numFmtId="43" fontId="7" fillId="0" borderId="8" xfId="1" applyFont="1" applyFill="1" applyBorder="1" applyAlignment="1">
      <alignment vertical="center"/>
    </xf>
    <xf numFmtId="43" fontId="7" fillId="0" borderId="8" xfId="1" applyFont="1" applyFill="1" applyBorder="1" applyAlignment="1">
      <alignment horizontal="right"/>
    </xf>
    <xf numFmtId="0" fontId="11" fillId="3" borderId="9" xfId="0" applyNumberFormat="1" applyFont="1" applyFill="1" applyBorder="1" applyAlignment="1">
      <alignment horizontal="center" vertical="center"/>
    </xf>
    <xf numFmtId="0" fontId="12" fillId="3" borderId="9" xfId="0" applyNumberFormat="1" applyFont="1" applyFill="1" applyBorder="1" applyAlignment="1">
      <alignment horizontal="center" vertical="center"/>
    </xf>
    <xf numFmtId="0" fontId="12" fillId="3" borderId="9" xfId="0" applyNumberFormat="1" applyFont="1" applyFill="1" applyBorder="1" applyAlignment="1">
      <alignment horizontal="center"/>
    </xf>
    <xf numFmtId="0" fontId="11" fillId="3" borderId="9" xfId="0" applyNumberFormat="1" applyFont="1" applyFill="1" applyBorder="1" applyAlignment="1">
      <alignment horizontal="center"/>
    </xf>
    <xf numFmtId="166" fontId="12" fillId="3" borderId="9" xfId="0" applyNumberFormat="1" applyFont="1" applyFill="1" applyBorder="1" applyAlignment="1">
      <alignment horizontal="center" vertical="center"/>
    </xf>
    <xf numFmtId="0" fontId="12" fillId="3" borderId="9" xfId="0" applyNumberFormat="1" applyFont="1" applyFill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/>
    </xf>
    <xf numFmtId="43" fontId="7" fillId="0" borderId="0" xfId="0" applyNumberFormat="1" applyFont="1" applyAlignment="1">
      <alignment horizontal="center"/>
    </xf>
    <xf numFmtId="43" fontId="7" fillId="0" borderId="8" xfId="1" applyFont="1" applyBorder="1" applyAlignment="1">
      <alignment vertical="center"/>
    </xf>
    <xf numFmtId="43" fontId="7" fillId="0" borderId="8" xfId="1" applyFont="1" applyBorder="1" applyAlignment="1">
      <alignment horizontal="center" vertical="center"/>
    </xf>
    <xf numFmtId="9" fontId="9" fillId="0" borderId="0" xfId="3" applyFont="1"/>
    <xf numFmtId="167" fontId="9" fillId="0" borderId="0" xfId="1" applyNumberFormat="1" applyFont="1" applyAlignment="1">
      <alignment horizontal="right"/>
    </xf>
    <xf numFmtId="168" fontId="7" fillId="0" borderId="8" xfId="1" applyNumberFormat="1" applyFont="1" applyFill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/>
    </xf>
    <xf numFmtId="43" fontId="7" fillId="0" borderId="9" xfId="1" applyFont="1" applyBorder="1" applyAlignment="1">
      <alignment horizontal="right"/>
    </xf>
    <xf numFmtId="0" fontId="7" fillId="0" borderId="10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43" fontId="7" fillId="0" borderId="10" xfId="1" applyFont="1" applyBorder="1" applyAlignment="1">
      <alignment horizontal="right"/>
    </xf>
    <xf numFmtId="0" fontId="7" fillId="0" borderId="0" xfId="0" applyNumberFormat="1" applyFont="1" applyAlignment="1">
      <alignment horizontal="left"/>
    </xf>
    <xf numFmtId="169" fontId="7" fillId="0" borderId="0" xfId="2" applyFont="1"/>
    <xf numFmtId="43" fontId="13" fillId="0" borderId="0" xfId="1" applyFont="1"/>
    <xf numFmtId="0" fontId="7" fillId="0" borderId="0" xfId="0" applyNumberFormat="1" applyFont="1" applyAlignment="1">
      <alignment horizontal="center" vertical="center"/>
    </xf>
    <xf numFmtId="9" fontId="7" fillId="0" borderId="0" xfId="3" applyFont="1" applyFill="1" applyAlignment="1">
      <alignment horizontal="center" vertical="center"/>
    </xf>
    <xf numFmtId="9" fontId="7" fillId="0" borderId="0" xfId="3" applyFont="1" applyAlignment="1">
      <alignment horizontal="center" vertical="center"/>
    </xf>
    <xf numFmtId="9" fontId="7" fillId="4" borderId="0" xfId="3" applyFont="1" applyFill="1" applyAlignment="1">
      <alignment horizontal="center" vertical="center"/>
    </xf>
    <xf numFmtId="10" fontId="7" fillId="0" borderId="0" xfId="3" applyNumberFormat="1" applyFont="1"/>
    <xf numFmtId="43" fontId="9" fillId="0" borderId="0" xfId="1" applyFont="1" applyFill="1" applyAlignment="1">
      <alignment horizontal="right"/>
    </xf>
    <xf numFmtId="43" fontId="7" fillId="0" borderId="0" xfId="1" applyFont="1" applyFill="1"/>
    <xf numFmtId="43" fontId="0" fillId="0" borderId="0" xfId="1" applyFont="1" applyFill="1" applyBorder="1"/>
    <xf numFmtId="43" fontId="7" fillId="0" borderId="0" xfId="1" applyFont="1" applyFill="1" applyBorder="1"/>
    <xf numFmtId="9" fontId="7" fillId="0" borderId="0" xfId="0" applyNumberFormat="1" applyFont="1" applyAlignment="1">
      <alignment horizontal="center" vertical="center"/>
    </xf>
    <xf numFmtId="10" fontId="7" fillId="0" borderId="0" xfId="3" applyNumberFormat="1" applyFont="1" applyAlignment="1">
      <alignment horizontal="center" vertical="center"/>
    </xf>
    <xf numFmtId="167" fontId="9" fillId="0" borderId="0" xfId="1" applyNumberFormat="1" applyFont="1" applyFill="1" applyAlignment="1">
      <alignment horizontal="right"/>
    </xf>
    <xf numFmtId="43" fontId="7" fillId="0" borderId="0" xfId="0" applyNumberFormat="1" applyFont="1"/>
    <xf numFmtId="169" fontId="7" fillId="0" borderId="0" xfId="2" applyFont="1" applyFill="1"/>
    <xf numFmtId="170" fontId="7" fillId="0" borderId="0" xfId="2" applyNumberFormat="1" applyFont="1" applyFill="1"/>
    <xf numFmtId="43" fontId="14" fillId="5" borderId="0" xfId="1" applyFont="1" applyFill="1" applyAlignment="1">
      <alignment horizontal="center" vertical="center"/>
    </xf>
    <xf numFmtId="43" fontId="7" fillId="0" borderId="0" xfId="1" applyFont="1" applyAlignment="1">
      <alignment horizontal="right" vertical="center"/>
    </xf>
    <xf numFmtId="43" fontId="7" fillId="0" borderId="0" xfId="1" applyFont="1" applyAlignment="1">
      <alignment horizontal="center" vertical="center"/>
    </xf>
    <xf numFmtId="43" fontId="15" fillId="5" borderId="0" xfId="1" applyFont="1" applyFill="1" applyAlignment="1">
      <alignment horizontal="center" vertical="center"/>
    </xf>
    <xf numFmtId="9" fontId="15" fillId="5" borderId="0" xfId="3" applyFont="1" applyFill="1" applyAlignment="1">
      <alignment horizontal="center" vertical="center"/>
    </xf>
    <xf numFmtId="167" fontId="7" fillId="0" borderId="0" xfId="1" applyNumberFormat="1" applyFont="1" applyAlignment="1">
      <alignment horizontal="right" vertical="center"/>
    </xf>
    <xf numFmtId="0" fontId="7" fillId="0" borderId="0" xfId="0" applyNumberFormat="1" applyFont="1" applyAlignment="1">
      <alignment horizontal="right"/>
    </xf>
    <xf numFmtId="9" fontId="7" fillId="0" borderId="0" xfId="3" applyFont="1" applyAlignment="1">
      <alignment horizontal="right"/>
    </xf>
    <xf numFmtId="10" fontId="7" fillId="0" borderId="0" xfId="3" applyNumberFormat="1" applyFont="1" applyFill="1"/>
    <xf numFmtId="43" fontId="7" fillId="0" borderId="0" xfId="0" applyNumberFormat="1" applyFont="1" applyAlignment="1">
      <alignment horizontal="center" vertical="center"/>
    </xf>
    <xf numFmtId="43" fontId="6" fillId="0" borderId="0" xfId="1" applyFill="1" applyBorder="1"/>
    <xf numFmtId="43" fontId="1" fillId="0" borderId="0" xfId="1" applyFont="1" applyFill="1" applyBorder="1"/>
    <xf numFmtId="43" fontId="0" fillId="5" borderId="0" xfId="1" applyFont="1" applyFill="1" applyBorder="1"/>
    <xf numFmtId="170" fontId="7" fillId="0" borderId="0" xfId="2" applyNumberFormat="1" applyFont="1"/>
    <xf numFmtId="0" fontId="18" fillId="0" borderId="0" xfId="1" applyNumberFormat="1" applyFont="1" applyFill="1" applyAlignment="1">
      <alignment horizontal="left"/>
    </xf>
    <xf numFmtId="164" fontId="19" fillId="0" borderId="0" xfId="0" applyFont="1"/>
    <xf numFmtId="164" fontId="20" fillId="0" borderId="0" xfId="0" applyFont="1"/>
    <xf numFmtId="164" fontId="21" fillId="0" borderId="0" xfId="0" applyFont="1"/>
    <xf numFmtId="164" fontId="22" fillId="0" borderId="0" xfId="0" applyFont="1"/>
    <xf numFmtId="164" fontId="21" fillId="0" borderId="0" xfId="0" applyFont="1" applyAlignment="1">
      <alignment horizontal="center"/>
    </xf>
    <xf numFmtId="164" fontId="20" fillId="0" borderId="11" xfId="0" applyFont="1" applyBorder="1"/>
    <xf numFmtId="164" fontId="20" fillId="0" borderId="12" xfId="0" applyFont="1" applyBorder="1"/>
    <xf numFmtId="164" fontId="21" fillId="0" borderId="12" xfId="0" applyFont="1" applyBorder="1"/>
    <xf numFmtId="164" fontId="22" fillId="0" borderId="12" xfId="0" applyFont="1" applyBorder="1"/>
    <xf numFmtId="43" fontId="21" fillId="0" borderId="13" xfId="1" applyFont="1" applyFill="1" applyBorder="1"/>
    <xf numFmtId="164" fontId="20" fillId="0" borderId="14" xfId="0" applyFont="1" applyBorder="1"/>
    <xf numFmtId="164" fontId="21" fillId="0" borderId="15" xfId="0" applyFont="1" applyBorder="1"/>
    <xf numFmtId="164" fontId="14" fillId="0" borderId="0" xfId="0" applyFont="1"/>
    <xf numFmtId="164" fontId="23" fillId="0" borderId="0" xfId="0" applyFont="1"/>
    <xf numFmtId="164" fontId="24" fillId="0" borderId="0" xfId="0" applyFont="1" applyAlignment="1">
      <alignment horizontal="right" vertical="top"/>
    </xf>
    <xf numFmtId="171" fontId="25" fillId="0" borderId="0" xfId="1" applyNumberFormat="1" applyFont="1" applyFill="1" applyBorder="1" applyAlignment="1">
      <alignment horizontal="left" vertical="top"/>
    </xf>
    <xf numFmtId="171" fontId="25" fillId="0" borderId="0" xfId="1" applyNumberFormat="1" applyFont="1" applyFill="1" applyBorder="1" applyAlignment="1">
      <alignment horizontal="left" vertical="top"/>
    </xf>
    <xf numFmtId="171" fontId="26" fillId="0" borderId="0" xfId="1" applyNumberFormat="1" applyFont="1" applyFill="1" applyBorder="1" applyAlignment="1">
      <alignment vertical="center"/>
    </xf>
    <xf numFmtId="171" fontId="26" fillId="0" borderId="0" xfId="1" applyNumberFormat="1" applyFont="1" applyFill="1" applyBorder="1" applyAlignment="1">
      <alignment horizontal="left" vertical="center"/>
    </xf>
    <xf numFmtId="1" fontId="27" fillId="2" borderId="16" xfId="1" applyNumberFormat="1" applyFont="1" applyFill="1" applyBorder="1" applyAlignment="1">
      <alignment horizontal="center" vertical="center"/>
    </xf>
    <xf numFmtId="164" fontId="20" fillId="6" borderId="0" xfId="0" applyFont="1" applyFill="1"/>
    <xf numFmtId="164" fontId="22" fillId="6" borderId="0" xfId="0" applyFont="1" applyFill="1"/>
    <xf numFmtId="1" fontId="28" fillId="0" borderId="16" xfId="1" applyNumberFormat="1" applyFont="1" applyFill="1" applyBorder="1" applyAlignment="1">
      <alignment horizontal="left" vertical="center"/>
    </xf>
    <xf numFmtId="3" fontId="29" fillId="0" borderId="16" xfId="1" applyNumberFormat="1" applyFont="1" applyFill="1" applyBorder="1" applyAlignment="1">
      <alignment horizontal="center" vertical="center"/>
    </xf>
    <xf numFmtId="167" fontId="30" fillId="0" borderId="0" xfId="1" applyNumberFormat="1" applyFont="1" applyFill="1" applyBorder="1" applyAlignment="1"/>
    <xf numFmtId="0" fontId="22" fillId="0" borderId="0" xfId="0" applyNumberFormat="1" applyFont="1"/>
    <xf numFmtId="9" fontId="31" fillId="0" borderId="0" xfId="3" applyFont="1" applyFill="1" applyBorder="1" applyAlignment="1">
      <alignment vertical="center"/>
    </xf>
    <xf numFmtId="9" fontId="29" fillId="0" borderId="16" xfId="3" applyFont="1" applyFill="1" applyBorder="1" applyAlignment="1">
      <alignment horizontal="center" vertical="center"/>
    </xf>
    <xf numFmtId="172" fontId="21" fillId="0" borderId="0" xfId="1" applyNumberFormat="1" applyFont="1"/>
    <xf numFmtId="43" fontId="20" fillId="6" borderId="0" xfId="1" applyFont="1" applyFill="1"/>
    <xf numFmtId="1" fontId="28" fillId="0" borderId="17" xfId="1" applyNumberFormat="1" applyFont="1" applyFill="1" applyBorder="1" applyAlignment="1">
      <alignment horizontal="left" vertical="center"/>
    </xf>
    <xf numFmtId="3" fontId="29" fillId="0" borderId="17" xfId="1" applyNumberFormat="1" applyFont="1" applyFill="1" applyBorder="1" applyAlignment="1">
      <alignment horizontal="center" vertical="center"/>
    </xf>
    <xf numFmtId="0" fontId="20" fillId="0" borderId="14" xfId="0" applyNumberFormat="1" applyFont="1" applyBorder="1"/>
    <xf numFmtId="0" fontId="32" fillId="0" borderId="18" xfId="1" applyNumberFormat="1" applyFont="1" applyFill="1" applyBorder="1" applyAlignment="1">
      <alignment horizontal="left" vertical="center" indent="1"/>
    </xf>
    <xf numFmtId="3" fontId="33" fillId="0" borderId="18" xfId="1" applyNumberFormat="1" applyFont="1" applyFill="1" applyBorder="1" applyAlignment="1">
      <alignment horizontal="center" vertical="center"/>
    </xf>
    <xf numFmtId="43" fontId="21" fillId="0" borderId="0" xfId="1" applyFont="1"/>
    <xf numFmtId="164" fontId="34" fillId="0" borderId="0" xfId="0" applyFont="1"/>
    <xf numFmtId="0" fontId="27" fillId="7" borderId="19" xfId="0" applyNumberFormat="1" applyFont="1" applyFill="1" applyBorder="1"/>
    <xf numFmtId="0" fontId="27" fillId="7" borderId="20" xfId="0" applyNumberFormat="1" applyFont="1" applyFill="1" applyBorder="1"/>
    <xf numFmtId="0" fontId="27" fillId="7" borderId="21" xfId="0" applyNumberFormat="1" applyFont="1" applyFill="1" applyBorder="1"/>
    <xf numFmtId="0" fontId="29" fillId="8" borderId="17" xfId="0" applyNumberFormat="1" applyFont="1" applyFill="1" applyBorder="1" applyAlignment="1">
      <alignment horizontal="center" vertical="center"/>
    </xf>
    <xf numFmtId="43" fontId="14" fillId="0" borderId="0" xfId="1" applyFont="1"/>
    <xf numFmtId="0" fontId="35" fillId="0" borderId="19" xfId="0" applyNumberFormat="1" applyFont="1" applyBorder="1" applyAlignment="1">
      <alignment horizontal="left"/>
    </xf>
    <xf numFmtId="0" fontId="35" fillId="0" borderId="20" xfId="0" applyNumberFormat="1" applyFont="1" applyBorder="1" applyAlignment="1">
      <alignment horizontal="left"/>
    </xf>
    <xf numFmtId="3" fontId="29" fillId="0" borderId="22" xfId="1" applyNumberFormat="1" applyFont="1" applyFill="1" applyBorder="1" applyAlignment="1">
      <alignment horizontal="center" vertical="center"/>
    </xf>
    <xf numFmtId="164" fontId="36" fillId="9" borderId="23" xfId="0" applyFont="1" applyFill="1" applyBorder="1" applyAlignment="1">
      <alignment horizontal="center" vertical="center"/>
    </xf>
    <xf numFmtId="164" fontId="36" fillId="9" borderId="24" xfId="0" applyFont="1" applyFill="1" applyBorder="1" applyAlignment="1">
      <alignment horizontal="center" vertical="center"/>
    </xf>
    <xf numFmtId="164" fontId="36" fillId="9" borderId="25" xfId="0" applyFont="1" applyFill="1" applyBorder="1" applyAlignment="1">
      <alignment horizontal="center" vertical="center"/>
    </xf>
    <xf numFmtId="0" fontId="32" fillId="0" borderId="16" xfId="1" applyNumberFormat="1" applyFont="1" applyFill="1" applyBorder="1" applyAlignment="1">
      <alignment horizontal="left" vertical="center" indent="1"/>
    </xf>
    <xf numFmtId="3" fontId="33" fillId="0" borderId="16" xfId="1" applyNumberFormat="1" applyFont="1" applyFill="1" applyBorder="1" applyAlignment="1">
      <alignment horizontal="center" vertical="center"/>
    </xf>
    <xf numFmtId="169" fontId="20" fillId="6" borderId="0" xfId="2" applyFont="1" applyFill="1"/>
    <xf numFmtId="43" fontId="14" fillId="0" borderId="0" xfId="1" applyFont="1" applyFill="1"/>
    <xf numFmtId="0" fontId="35" fillId="0" borderId="23" xfId="0" applyNumberFormat="1" applyFont="1" applyBorder="1" applyAlignment="1">
      <alignment horizontal="left"/>
    </xf>
    <xf numFmtId="0" fontId="35" fillId="0" borderId="24" xfId="0" applyNumberFormat="1" applyFont="1" applyBorder="1" applyAlignment="1">
      <alignment horizontal="left"/>
    </xf>
    <xf numFmtId="164" fontId="36" fillId="9" borderId="26" xfId="0" applyFont="1" applyFill="1" applyBorder="1" applyAlignment="1">
      <alignment horizontal="center" vertical="center"/>
    </xf>
    <xf numFmtId="164" fontId="36" fillId="9" borderId="0" xfId="0" applyFont="1" applyFill="1" applyAlignment="1">
      <alignment horizontal="center" vertical="center"/>
    </xf>
    <xf numFmtId="164" fontId="36" fillId="9" borderId="27" xfId="0" applyFont="1" applyFill="1" applyBorder="1" applyAlignment="1">
      <alignment horizontal="center" vertical="center"/>
    </xf>
    <xf numFmtId="167" fontId="14" fillId="0" borderId="0" xfId="1" applyNumberFormat="1" applyFont="1" applyFill="1"/>
    <xf numFmtId="43" fontId="21" fillId="0" borderId="0" xfId="1" applyFont="1" applyFill="1"/>
    <xf numFmtId="164" fontId="37" fillId="9" borderId="19" xfId="0" applyFont="1" applyFill="1" applyBorder="1"/>
    <xf numFmtId="164" fontId="37" fillId="9" borderId="20" xfId="0" applyFont="1" applyFill="1" applyBorder="1"/>
    <xf numFmtId="43" fontId="37" fillId="9" borderId="21" xfId="3" applyNumberFormat="1" applyFont="1" applyFill="1" applyBorder="1" applyAlignment="1"/>
    <xf numFmtId="164" fontId="21" fillId="0" borderId="24" xfId="0" applyFont="1" applyBorder="1"/>
    <xf numFmtId="164" fontId="21" fillId="0" borderId="25" xfId="0" applyFont="1" applyBorder="1"/>
    <xf numFmtId="9" fontId="20" fillId="6" borderId="0" xfId="3" applyFont="1" applyFill="1"/>
    <xf numFmtId="0" fontId="37" fillId="9" borderId="19" xfId="0" applyNumberFormat="1" applyFont="1" applyFill="1" applyBorder="1"/>
    <xf numFmtId="0" fontId="37" fillId="9" borderId="28" xfId="0" applyNumberFormat="1" applyFont="1" applyFill="1" applyBorder="1"/>
    <xf numFmtId="3" fontId="29" fillId="9" borderId="16" xfId="1" applyNumberFormat="1" applyFont="1" applyFill="1" applyBorder="1" applyAlignment="1">
      <alignment horizontal="center" vertical="center"/>
    </xf>
    <xf numFmtId="164" fontId="21" fillId="0" borderId="29" xfId="0" applyFont="1" applyBorder="1"/>
    <xf numFmtId="164" fontId="21" fillId="0" borderId="28" xfId="0" applyFont="1" applyBorder="1"/>
    <xf numFmtId="43" fontId="20" fillId="6" borderId="0" xfId="3" applyNumberFormat="1" applyFont="1" applyFill="1"/>
    <xf numFmtId="0" fontId="20" fillId="6" borderId="0" xfId="0" applyNumberFormat="1" applyFont="1" applyFill="1"/>
    <xf numFmtId="173" fontId="29" fillId="10" borderId="30" xfId="3" applyNumberFormat="1" applyFont="1" applyFill="1" applyBorder="1" applyAlignment="1">
      <alignment horizontal="left" vertical="center"/>
    </xf>
    <xf numFmtId="173" fontId="29" fillId="10" borderId="28" xfId="3" applyNumberFormat="1" applyFont="1" applyFill="1" applyBorder="1" applyAlignment="1">
      <alignment horizontal="left" vertical="center"/>
    </xf>
    <xf numFmtId="3" fontId="29" fillId="10" borderId="16" xfId="1" applyNumberFormat="1" applyFont="1" applyFill="1" applyBorder="1" applyAlignment="1">
      <alignment horizontal="center" vertical="center"/>
    </xf>
    <xf numFmtId="1" fontId="29" fillId="10" borderId="16" xfId="1" applyNumberFormat="1" applyFont="1" applyFill="1" applyBorder="1" applyAlignment="1">
      <alignment horizontal="center" vertical="center"/>
    </xf>
    <xf numFmtId="2" fontId="29" fillId="10" borderId="16" xfId="1" applyNumberFormat="1" applyFont="1" applyFill="1" applyBorder="1" applyAlignment="1">
      <alignment horizontal="center" vertical="center"/>
    </xf>
    <xf numFmtId="9" fontId="20" fillId="0" borderId="0" xfId="3" applyFont="1"/>
    <xf numFmtId="167" fontId="21" fillId="0" borderId="0" xfId="1" applyNumberFormat="1" applyFont="1" applyFill="1"/>
    <xf numFmtId="167" fontId="23" fillId="0" borderId="30" xfId="1" applyNumberFormat="1" applyFont="1" applyFill="1" applyBorder="1" applyAlignment="1">
      <alignment horizontal="left" vertical="center"/>
    </xf>
    <xf numFmtId="167" fontId="23" fillId="0" borderId="28" xfId="1" applyNumberFormat="1" applyFont="1" applyFill="1" applyBorder="1" applyAlignment="1">
      <alignment horizontal="left" vertical="center"/>
    </xf>
    <xf numFmtId="3" fontId="38" fillId="0" borderId="16" xfId="1" applyNumberFormat="1" applyFont="1" applyFill="1" applyBorder="1" applyAlignment="1">
      <alignment horizontal="center" vertical="center"/>
    </xf>
    <xf numFmtId="1" fontId="33" fillId="0" borderId="16" xfId="1" applyNumberFormat="1" applyFont="1" applyFill="1" applyBorder="1" applyAlignment="1">
      <alignment horizontal="center" vertical="center"/>
    </xf>
    <xf numFmtId="4" fontId="33" fillId="0" borderId="16" xfId="1" applyNumberFormat="1" applyFont="1" applyFill="1" applyBorder="1" applyAlignment="1">
      <alignment horizontal="center" vertical="center"/>
    </xf>
    <xf numFmtId="9" fontId="29" fillId="0" borderId="17" xfId="3" applyFont="1" applyFill="1" applyBorder="1" applyAlignment="1">
      <alignment horizontal="center" vertical="center"/>
    </xf>
    <xf numFmtId="174" fontId="29" fillId="11" borderId="30" xfId="3" applyNumberFormat="1" applyFont="1" applyFill="1" applyBorder="1" applyAlignment="1">
      <alignment horizontal="left" vertical="center"/>
    </xf>
    <xf numFmtId="175" fontId="29" fillId="11" borderId="28" xfId="3" applyNumberFormat="1" applyFont="1" applyFill="1" applyBorder="1" applyAlignment="1">
      <alignment horizontal="left" vertical="center"/>
    </xf>
    <xf numFmtId="3" fontId="29" fillId="11" borderId="22" xfId="1" applyNumberFormat="1" applyFont="1" applyFill="1" applyBorder="1" applyAlignment="1">
      <alignment horizontal="center" vertical="center"/>
    </xf>
    <xf numFmtId="1" fontId="29" fillId="11" borderId="22" xfId="1" applyNumberFormat="1" applyFont="1" applyFill="1" applyBorder="1" applyAlignment="1">
      <alignment horizontal="center" vertical="center"/>
    </xf>
    <xf numFmtId="4" fontId="29" fillId="11" borderId="22" xfId="1" applyNumberFormat="1" applyFont="1" applyFill="1" applyBorder="1" applyAlignment="1">
      <alignment horizontal="center" vertical="center"/>
    </xf>
    <xf numFmtId="9" fontId="33" fillId="0" borderId="18" xfId="3" applyFont="1" applyFill="1" applyBorder="1" applyAlignment="1">
      <alignment horizontal="center" vertical="center"/>
    </xf>
    <xf numFmtId="167" fontId="39" fillId="0" borderId="30" xfId="1" applyNumberFormat="1" applyFont="1" applyFill="1" applyBorder="1" applyAlignment="1">
      <alignment horizontal="left" vertical="center"/>
    </xf>
    <xf numFmtId="167" fontId="39" fillId="0" borderId="28" xfId="1" applyNumberFormat="1" applyFont="1" applyFill="1" applyBorder="1" applyAlignment="1">
      <alignment horizontal="left" vertical="center"/>
    </xf>
    <xf numFmtId="3" fontId="40" fillId="0" borderId="22" xfId="1" applyNumberFormat="1" applyFont="1" applyFill="1" applyBorder="1" applyAlignment="1">
      <alignment horizontal="center" vertical="center"/>
    </xf>
    <xf numFmtId="1" fontId="33" fillId="0" borderId="22" xfId="1" applyNumberFormat="1" applyFont="1" applyFill="1" applyBorder="1" applyAlignment="1">
      <alignment horizontal="center" vertical="center"/>
    </xf>
    <xf numFmtId="4" fontId="33" fillId="0" borderId="22" xfId="1" applyNumberFormat="1" applyFont="1" applyFill="1" applyBorder="1" applyAlignment="1">
      <alignment horizontal="center" vertical="center"/>
    </xf>
    <xf numFmtId="3" fontId="37" fillId="9" borderId="21" xfId="0" applyNumberFormat="1" applyFont="1" applyFill="1" applyBorder="1"/>
    <xf numFmtId="9" fontId="33" fillId="0" borderId="16" xfId="3" applyFont="1" applyFill="1" applyBorder="1" applyAlignment="1">
      <alignment horizontal="center" vertical="center"/>
    </xf>
    <xf numFmtId="4" fontId="29" fillId="0" borderId="16" xfId="1" applyNumberFormat="1" applyFont="1" applyFill="1" applyBorder="1" applyAlignment="1">
      <alignment horizontal="center" vertical="center"/>
    </xf>
    <xf numFmtId="174" fontId="29" fillId="11" borderId="23" xfId="3" applyNumberFormat="1" applyFont="1" applyFill="1" applyBorder="1" applyAlignment="1">
      <alignment horizontal="left" vertical="center"/>
    </xf>
    <xf numFmtId="175" fontId="29" fillId="11" borderId="25" xfId="3" applyNumberFormat="1" applyFont="1" applyFill="1" applyBorder="1" applyAlignment="1">
      <alignment horizontal="left" vertical="center"/>
    </xf>
    <xf numFmtId="3" fontId="29" fillId="11" borderId="17" xfId="1" applyNumberFormat="1" applyFont="1" applyFill="1" applyBorder="1" applyAlignment="1">
      <alignment horizontal="center" vertical="center"/>
    </xf>
    <xf numFmtId="1" fontId="29" fillId="11" borderId="17" xfId="1" applyNumberFormat="1" applyFont="1" applyFill="1" applyBorder="1" applyAlignment="1">
      <alignment horizontal="center" vertical="center"/>
    </xf>
    <xf numFmtId="4" fontId="29" fillId="11" borderId="17" xfId="1" applyNumberFormat="1" applyFont="1" applyFill="1" applyBorder="1" applyAlignment="1">
      <alignment horizontal="center" vertical="center"/>
    </xf>
    <xf numFmtId="167" fontId="39" fillId="0" borderId="2" xfId="1" applyNumberFormat="1" applyFont="1" applyFill="1" applyBorder="1" applyAlignment="1">
      <alignment horizontal="left" vertical="center"/>
    </xf>
    <xf numFmtId="167" fontId="39" fillId="0" borderId="31" xfId="1" applyNumberFormat="1" applyFont="1" applyFill="1" applyBorder="1" applyAlignment="1">
      <alignment horizontal="left" vertical="center"/>
    </xf>
    <xf numFmtId="3" fontId="40" fillId="0" borderId="32" xfId="1" applyNumberFormat="1" applyFont="1" applyFill="1" applyBorder="1" applyAlignment="1">
      <alignment horizontal="center" vertical="center"/>
    </xf>
    <xf numFmtId="1" fontId="33" fillId="0" borderId="32" xfId="1" applyNumberFormat="1" applyFont="1" applyFill="1" applyBorder="1" applyAlignment="1">
      <alignment horizontal="center" vertical="center"/>
    </xf>
    <xf numFmtId="4" fontId="33" fillId="0" borderId="32" xfId="1" applyNumberFormat="1" applyFont="1" applyFill="1" applyBorder="1" applyAlignment="1">
      <alignment horizontal="center" vertical="center"/>
    </xf>
    <xf numFmtId="4" fontId="33" fillId="0" borderId="33" xfId="1" applyNumberFormat="1" applyFont="1" applyFill="1" applyBorder="1" applyAlignment="1">
      <alignment horizontal="center" vertical="center"/>
    </xf>
    <xf numFmtId="9" fontId="21" fillId="0" borderId="0" xfId="3" applyFont="1" applyAlignment="1">
      <alignment horizontal="center"/>
    </xf>
    <xf numFmtId="1" fontId="27" fillId="12" borderId="30" xfId="1" applyNumberFormat="1" applyFont="1" applyFill="1" applyBorder="1" applyAlignment="1">
      <alignment horizontal="center" vertical="center"/>
    </xf>
    <xf numFmtId="164" fontId="41" fillId="12" borderId="21" xfId="0" applyFont="1" applyFill="1" applyBorder="1"/>
    <xf numFmtId="1" fontId="27" fillId="12" borderId="16" xfId="1" applyNumberFormat="1" applyFont="1" applyFill="1" applyBorder="1" applyAlignment="1">
      <alignment horizontal="center" vertical="center"/>
    </xf>
    <xf numFmtId="0" fontId="21" fillId="0" borderId="0" xfId="0" applyNumberFormat="1" applyFont="1"/>
    <xf numFmtId="43" fontId="33" fillId="0" borderId="18" xfId="1" applyFont="1" applyFill="1" applyBorder="1" applyAlignment="1">
      <alignment vertical="center"/>
    </xf>
    <xf numFmtId="4" fontId="33" fillId="0" borderId="18" xfId="1" applyNumberFormat="1" applyFont="1" applyFill="1" applyBorder="1" applyAlignment="1">
      <alignment horizontal="center" vertical="center"/>
    </xf>
    <xf numFmtId="1" fontId="28" fillId="0" borderId="18" xfId="1" applyNumberFormat="1" applyFont="1" applyFill="1" applyBorder="1" applyAlignment="1">
      <alignment horizontal="left" vertical="center"/>
    </xf>
    <xf numFmtId="43" fontId="29" fillId="0" borderId="16" xfId="1" applyFont="1" applyFill="1" applyBorder="1" applyAlignment="1">
      <alignment horizontal="left" vertical="center"/>
    </xf>
    <xf numFmtId="43" fontId="33" fillId="0" borderId="17" xfId="1" applyFont="1" applyFill="1" applyBorder="1" applyAlignment="1">
      <alignment vertical="center"/>
    </xf>
    <xf numFmtId="4" fontId="33" fillId="0" borderId="17" xfId="1" applyNumberFormat="1" applyFont="1" applyFill="1" applyBorder="1" applyAlignment="1">
      <alignment horizontal="center" vertical="center"/>
    </xf>
    <xf numFmtId="1" fontId="28" fillId="0" borderId="34" xfId="1" applyNumberFormat="1" applyFont="1" applyFill="1" applyBorder="1" applyAlignment="1">
      <alignment horizontal="left" vertical="center"/>
    </xf>
    <xf numFmtId="43" fontId="29" fillId="0" borderId="34" xfId="1" applyFont="1" applyFill="1" applyBorder="1" applyAlignment="1">
      <alignment horizontal="left" vertical="center"/>
    </xf>
    <xf numFmtId="4" fontId="29" fillId="0" borderId="34" xfId="1" applyNumberFormat="1" applyFont="1" applyFill="1" applyBorder="1" applyAlignment="1">
      <alignment horizontal="center" vertical="center"/>
    </xf>
    <xf numFmtId="164" fontId="42" fillId="0" borderId="0" xfId="0" applyFont="1" applyAlignment="1">
      <alignment horizontal="center"/>
    </xf>
    <xf numFmtId="1" fontId="27" fillId="13" borderId="16" xfId="1" applyNumberFormat="1" applyFont="1" applyFill="1" applyBorder="1" applyAlignment="1">
      <alignment horizontal="center" vertical="center"/>
    </xf>
    <xf numFmtId="2" fontId="42" fillId="0" borderId="0" xfId="1" applyNumberFormat="1" applyFont="1" applyBorder="1" applyAlignment="1">
      <alignment horizontal="center"/>
    </xf>
    <xf numFmtId="1" fontId="43" fillId="0" borderId="16" xfId="1" applyNumberFormat="1" applyFont="1" applyFill="1" applyBorder="1" applyAlignment="1">
      <alignment horizontal="left" vertical="center"/>
    </xf>
    <xf numFmtId="1" fontId="27" fillId="0" borderId="0" xfId="1" applyNumberFormat="1" applyFont="1" applyFill="1" applyBorder="1" applyAlignment="1">
      <alignment horizontal="center" vertical="center"/>
    </xf>
    <xf numFmtId="169" fontId="21" fillId="0" borderId="0" xfId="2" applyFont="1"/>
    <xf numFmtId="164" fontId="21" fillId="9" borderId="23" xfId="0" applyFont="1" applyFill="1" applyBorder="1"/>
    <xf numFmtId="164" fontId="21" fillId="9" borderId="24" xfId="0" applyFont="1" applyFill="1" applyBorder="1"/>
    <xf numFmtId="164" fontId="21" fillId="9" borderId="24" xfId="0" applyFont="1" applyFill="1" applyBorder="1" applyAlignment="1">
      <alignment horizontal="center"/>
    </xf>
    <xf numFmtId="164" fontId="21" fillId="9" borderId="25" xfId="0" applyFont="1" applyFill="1" applyBorder="1" applyAlignment="1">
      <alignment horizontal="center"/>
    </xf>
    <xf numFmtId="164" fontId="44" fillId="14" borderId="0" xfId="0" applyFont="1" applyFill="1"/>
    <xf numFmtId="164" fontId="21" fillId="14" borderId="0" xfId="0" applyFont="1" applyFill="1"/>
    <xf numFmtId="164" fontId="21" fillId="9" borderId="30" xfId="0" applyFont="1" applyFill="1" applyBorder="1"/>
    <xf numFmtId="164" fontId="21" fillId="9" borderId="29" xfId="0" applyFont="1" applyFill="1" applyBorder="1"/>
    <xf numFmtId="164" fontId="21" fillId="9" borderId="29" xfId="0" applyFont="1" applyFill="1" applyBorder="1" applyAlignment="1">
      <alignment horizontal="center"/>
    </xf>
    <xf numFmtId="164" fontId="21" fillId="9" borderId="28" xfId="0" applyFont="1" applyFill="1" applyBorder="1" applyAlignment="1">
      <alignment horizontal="center"/>
    </xf>
    <xf numFmtId="3" fontId="29" fillId="0" borderId="0" xfId="1" applyNumberFormat="1" applyFont="1" applyFill="1" applyBorder="1" applyAlignment="1">
      <alignment horizontal="center" vertical="center"/>
    </xf>
    <xf numFmtId="164" fontId="45" fillId="14" borderId="0" xfId="0" applyFont="1" applyFill="1"/>
    <xf numFmtId="9" fontId="21" fillId="0" borderId="0" xfId="3" applyFont="1"/>
    <xf numFmtId="1" fontId="28" fillId="0" borderId="0" xfId="1" applyNumberFormat="1" applyFont="1" applyFill="1" applyBorder="1" applyAlignment="1">
      <alignment horizontal="left" vertical="center"/>
    </xf>
    <xf numFmtId="164" fontId="46" fillId="14" borderId="0" xfId="0" quotePrefix="1" applyFont="1" applyFill="1" applyAlignment="1">
      <alignment horizontal="left"/>
    </xf>
    <xf numFmtId="0" fontId="38" fillId="9" borderId="22" xfId="1" applyNumberFormat="1" applyFont="1" applyFill="1" applyBorder="1" applyAlignment="1">
      <alignment vertical="center"/>
    </xf>
    <xf numFmtId="3" fontId="38" fillId="0" borderId="22" xfId="1" applyNumberFormat="1" applyFont="1" applyFill="1" applyBorder="1" applyAlignment="1">
      <alignment horizontal="center" vertical="center"/>
    </xf>
    <xf numFmtId="1" fontId="29" fillId="0" borderId="22" xfId="1" applyNumberFormat="1" applyFont="1" applyFill="1" applyBorder="1" applyAlignment="1">
      <alignment horizontal="center" vertical="center"/>
    </xf>
    <xf numFmtId="4" fontId="29" fillId="0" borderId="22" xfId="1" applyNumberFormat="1" applyFont="1" applyFill="1" applyBorder="1" applyAlignment="1">
      <alignment horizontal="center" vertical="center"/>
    </xf>
    <xf numFmtId="0" fontId="32" fillId="0" borderId="0" xfId="1" applyNumberFormat="1" applyFont="1" applyFill="1" applyBorder="1" applyAlignment="1">
      <alignment horizontal="left" vertical="center" indent="1"/>
    </xf>
    <xf numFmtId="3" fontId="33" fillId="0" borderId="0" xfId="1" applyNumberFormat="1" applyFont="1" applyFill="1" applyBorder="1" applyAlignment="1">
      <alignment horizontal="center" vertical="center"/>
    </xf>
    <xf numFmtId="164" fontId="46" fillId="14" borderId="0" xfId="0" quotePrefix="1" applyFont="1" applyFill="1"/>
    <xf numFmtId="0" fontId="40" fillId="9" borderId="22" xfId="1" applyNumberFormat="1" applyFont="1" applyFill="1" applyBorder="1" applyAlignment="1">
      <alignment vertical="center"/>
    </xf>
    <xf numFmtId="0" fontId="32" fillId="0" borderId="26" xfId="1" applyNumberFormat="1" applyFont="1" applyFill="1" applyBorder="1" applyAlignment="1">
      <alignment horizontal="left" vertical="center" indent="1"/>
    </xf>
    <xf numFmtId="164" fontId="45" fillId="14" borderId="0" xfId="0" quotePrefix="1" applyFont="1" applyFill="1" applyAlignment="1">
      <alignment horizontal="left"/>
    </xf>
    <xf numFmtId="9" fontId="29" fillId="0" borderId="0" xfId="3" applyFont="1" applyFill="1" applyBorder="1" applyAlignment="1">
      <alignment horizontal="center" vertical="center"/>
    </xf>
    <xf numFmtId="0" fontId="20" fillId="0" borderId="35" xfId="0" applyNumberFormat="1" applyFont="1" applyBorder="1"/>
    <xf numFmtId="164" fontId="20" fillId="0" borderId="36" xfId="0" applyFont="1" applyBorder="1"/>
    <xf numFmtId="164" fontId="21" fillId="0" borderId="36" xfId="0" applyFont="1" applyBorder="1"/>
    <xf numFmtId="9" fontId="29" fillId="0" borderId="36" xfId="3" applyFont="1" applyFill="1" applyBorder="1" applyAlignment="1">
      <alignment horizontal="center" vertical="center"/>
    </xf>
    <xf numFmtId="164" fontId="21" fillId="0" borderId="37" xfId="0" applyFont="1" applyBorder="1"/>
    <xf numFmtId="164" fontId="47" fillId="0" borderId="12" xfId="0" applyFont="1" applyBorder="1"/>
    <xf numFmtId="164" fontId="33" fillId="0" borderId="0" xfId="0" applyFont="1"/>
    <xf numFmtId="43" fontId="22" fillId="0" borderId="0" xfId="1" applyFont="1"/>
    <xf numFmtId="167" fontId="45" fillId="0" borderId="0" xfId="1" applyNumberFormat="1" applyFont="1"/>
    <xf numFmtId="43" fontId="48" fillId="0" borderId="0" xfId="1" applyFont="1" applyFill="1" applyAlignment="1"/>
    <xf numFmtId="43" fontId="49" fillId="0" borderId="0" xfId="1" applyFont="1" applyFill="1" applyAlignment="1"/>
    <xf numFmtId="165" fontId="1" fillId="0" borderId="0" xfId="4" applyNumberFormat="1" applyAlignment="1">
      <alignment horizontal="center"/>
    </xf>
    <xf numFmtId="164" fontId="1" fillId="0" borderId="0" xfId="4" applyAlignment="1">
      <alignment horizontal="center"/>
    </xf>
    <xf numFmtId="0" fontId="5" fillId="0" borderId="0" xfId="1" applyNumberFormat="1" applyFont="1" applyAlignment="1">
      <alignment horizontal="center"/>
    </xf>
    <xf numFmtId="176" fontId="50" fillId="0" borderId="0" xfId="4" applyNumberFormat="1" applyFont="1" applyAlignment="1">
      <alignment horizontal="center"/>
    </xf>
    <xf numFmtId="176" fontId="51" fillId="0" borderId="0" xfId="4" applyNumberFormat="1" applyFont="1"/>
    <xf numFmtId="164" fontId="3" fillId="0" borderId="0" xfId="4" applyFont="1" applyAlignment="1">
      <alignment horizontal="center"/>
    </xf>
    <xf numFmtId="43" fontId="52" fillId="0" borderId="0" xfId="1" applyFont="1" applyAlignment="1">
      <alignment horizontal="center"/>
    </xf>
    <xf numFmtId="164" fontId="52" fillId="0" borderId="0" xfId="4" applyFont="1" applyAlignment="1">
      <alignment horizontal="center"/>
    </xf>
    <xf numFmtId="1" fontId="3" fillId="0" borderId="0" xfId="4" applyNumberFormat="1" applyFont="1" applyAlignment="1">
      <alignment horizontal="center"/>
    </xf>
    <xf numFmtId="4" fontId="5" fillId="0" borderId="0" xfId="4" applyNumberFormat="1" applyFont="1" applyAlignment="1">
      <alignment horizontal="center"/>
    </xf>
    <xf numFmtId="4" fontId="53" fillId="0" borderId="0" xfId="4" applyNumberFormat="1" applyFont="1" applyAlignment="1">
      <alignment horizontal="center"/>
    </xf>
    <xf numFmtId="164" fontId="53" fillId="0" borderId="0" xfId="4" applyFont="1" applyAlignment="1">
      <alignment horizontal="center"/>
    </xf>
    <xf numFmtId="176" fontId="54" fillId="0" borderId="0" xfId="4" applyNumberFormat="1" applyFont="1"/>
    <xf numFmtId="176" fontId="55" fillId="0" borderId="0" xfId="4" applyNumberFormat="1" applyFont="1"/>
    <xf numFmtId="165" fontId="56" fillId="0" borderId="0" xfId="4" applyNumberFormat="1" applyFont="1" applyAlignment="1">
      <alignment horizontal="center"/>
    </xf>
    <xf numFmtId="0" fontId="56" fillId="0" borderId="0" xfId="4" applyNumberFormat="1" applyFont="1" applyAlignment="1">
      <alignment horizontal="center"/>
    </xf>
    <xf numFmtId="0" fontId="56" fillId="0" borderId="0" xfId="1" applyNumberFormat="1" applyFont="1" applyAlignment="1">
      <alignment horizontal="center"/>
    </xf>
    <xf numFmtId="0" fontId="57" fillId="0" borderId="0" xfId="4" applyNumberFormat="1" applyFont="1" applyAlignment="1">
      <alignment horizontal="center"/>
    </xf>
    <xf numFmtId="0" fontId="58" fillId="0" borderId="0" xfId="4" applyNumberFormat="1" applyFont="1" applyAlignment="1">
      <alignment horizontal="center"/>
    </xf>
    <xf numFmtId="0" fontId="59" fillId="0" borderId="0" xfId="4" applyNumberFormat="1" applyFont="1" applyAlignment="1">
      <alignment horizontal="center"/>
    </xf>
    <xf numFmtId="4" fontId="3" fillId="0" borderId="0" xfId="4" applyNumberFormat="1" applyFont="1" applyAlignment="1">
      <alignment horizontal="center"/>
    </xf>
    <xf numFmtId="0" fontId="3" fillId="0" borderId="0" xfId="4" applyNumberFormat="1" applyFont="1" applyAlignment="1">
      <alignment horizontal="center"/>
    </xf>
    <xf numFmtId="165" fontId="46" fillId="0" borderId="0" xfId="4" applyNumberFormat="1" applyFont="1" applyAlignment="1">
      <alignment horizontal="center" vertical="center"/>
    </xf>
    <xf numFmtId="164" fontId="46" fillId="0" borderId="0" xfId="4" applyFont="1" applyAlignment="1">
      <alignment horizontal="center" vertical="center"/>
    </xf>
    <xf numFmtId="0" fontId="60" fillId="0" borderId="0" xfId="1" applyNumberFormat="1" applyFont="1" applyAlignment="1">
      <alignment horizontal="center" vertical="center"/>
    </xf>
    <xf numFmtId="164" fontId="2" fillId="15" borderId="38" xfId="4" applyFont="1" applyFill="1" applyBorder="1" applyAlignment="1">
      <alignment horizontal="center" vertical="center"/>
    </xf>
    <xf numFmtId="164" fontId="2" fillId="15" borderId="39" xfId="4" applyFont="1" applyFill="1" applyBorder="1" applyAlignment="1">
      <alignment horizontal="center" vertical="center"/>
    </xf>
    <xf numFmtId="164" fontId="2" fillId="15" borderId="40" xfId="4" applyFont="1" applyFill="1" applyBorder="1" applyAlignment="1">
      <alignment horizontal="center" vertical="center"/>
    </xf>
    <xf numFmtId="164" fontId="2" fillId="15" borderId="41" xfId="4" applyFont="1" applyFill="1" applyBorder="1" applyAlignment="1">
      <alignment horizontal="center" vertical="center"/>
    </xf>
    <xf numFmtId="164" fontId="2" fillId="15" borderId="39" xfId="4" applyFont="1" applyFill="1" applyBorder="1" applyAlignment="1">
      <alignment horizontal="center" vertical="center"/>
    </xf>
    <xf numFmtId="164" fontId="2" fillId="15" borderId="42" xfId="4" applyFont="1" applyFill="1" applyBorder="1" applyAlignment="1">
      <alignment horizontal="center" vertical="center" wrapText="1"/>
    </xf>
    <xf numFmtId="164" fontId="2" fillId="15" borderId="43" xfId="4" applyFont="1" applyFill="1" applyBorder="1" applyAlignment="1">
      <alignment horizontal="center" vertical="center" wrapText="1"/>
    </xf>
    <xf numFmtId="164" fontId="61" fillId="0" borderId="0" xfId="4" applyFont="1" applyAlignment="1">
      <alignment horizontal="center" vertical="center"/>
    </xf>
    <xf numFmtId="43" fontId="61" fillId="0" borderId="0" xfId="1" applyFont="1" applyAlignment="1">
      <alignment horizontal="center" vertical="center"/>
    </xf>
    <xf numFmtId="1" fontId="59" fillId="0" borderId="0" xfId="4" applyNumberFormat="1" applyFont="1" applyAlignment="1">
      <alignment horizontal="center" vertical="center"/>
    </xf>
    <xf numFmtId="4" fontId="62" fillId="0" borderId="0" xfId="4" applyNumberFormat="1" applyFont="1" applyAlignment="1">
      <alignment horizontal="center" vertical="center"/>
    </xf>
    <xf numFmtId="164" fontId="62" fillId="0" borderId="0" xfId="4" applyFont="1" applyAlignment="1">
      <alignment horizontal="center" vertical="center"/>
    </xf>
    <xf numFmtId="165" fontId="46" fillId="0" borderId="0" xfId="4" applyNumberFormat="1" applyFont="1" applyAlignment="1">
      <alignment horizontal="center" vertical="top"/>
    </xf>
    <xf numFmtId="164" fontId="46" fillId="0" borderId="0" xfId="4" applyFont="1" applyAlignment="1">
      <alignment horizontal="center" vertical="top"/>
    </xf>
    <xf numFmtId="0" fontId="60" fillId="0" borderId="0" xfId="1" applyNumberFormat="1" applyFont="1" applyAlignment="1">
      <alignment horizontal="center" vertical="top"/>
    </xf>
    <xf numFmtId="164" fontId="2" fillId="15" borderId="44" xfId="4" applyFont="1" applyFill="1" applyBorder="1" applyAlignment="1">
      <alignment horizontal="center" vertical="center"/>
    </xf>
    <xf numFmtId="164" fontId="5" fillId="15" borderId="44" xfId="4" applyFont="1" applyFill="1" applyBorder="1" applyAlignment="1">
      <alignment horizontal="center" vertical="top" wrapText="1"/>
    </xf>
    <xf numFmtId="164" fontId="5" fillId="15" borderId="45" xfId="4" applyFont="1" applyFill="1" applyBorder="1" applyAlignment="1">
      <alignment horizontal="center" vertical="top" wrapText="1"/>
    </xf>
    <xf numFmtId="164" fontId="5" fillId="15" borderId="46" xfId="4" applyFont="1" applyFill="1" applyBorder="1" applyAlignment="1">
      <alignment horizontal="center" vertical="top" wrapText="1"/>
    </xf>
    <xf numFmtId="164" fontId="61" fillId="0" borderId="0" xfId="4" applyFont="1" applyAlignment="1">
      <alignment horizontal="center" vertical="top"/>
    </xf>
    <xf numFmtId="43" fontId="61" fillId="0" borderId="0" xfId="1" applyFont="1" applyAlignment="1">
      <alignment horizontal="center" vertical="top"/>
    </xf>
    <xf numFmtId="164" fontId="59" fillId="0" borderId="0" xfId="4" applyFont="1" applyAlignment="1">
      <alignment horizontal="center" vertical="top"/>
    </xf>
    <xf numFmtId="1" fontId="60" fillId="0" borderId="0" xfId="4" applyNumberFormat="1" applyFont="1" applyAlignment="1">
      <alignment horizontal="center" vertical="top"/>
    </xf>
    <xf numFmtId="4" fontId="62" fillId="0" borderId="0" xfId="4" applyNumberFormat="1" applyFont="1" applyAlignment="1">
      <alignment horizontal="center" vertical="top"/>
    </xf>
    <xf numFmtId="164" fontId="62" fillId="0" borderId="0" xfId="4" applyFont="1" applyAlignment="1">
      <alignment horizontal="center" vertical="top"/>
    </xf>
    <xf numFmtId="165" fontId="63" fillId="6" borderId="0" xfId="4" applyNumberFormat="1" applyFont="1" applyFill="1" applyAlignment="1">
      <alignment horizontal="center"/>
    </xf>
    <xf numFmtId="4" fontId="63" fillId="6" borderId="0" xfId="4" applyNumberFormat="1" applyFont="1" applyFill="1" applyAlignment="1">
      <alignment horizontal="center"/>
    </xf>
    <xf numFmtId="0" fontId="3" fillId="6" borderId="0" xfId="1" applyNumberFormat="1" applyFont="1" applyFill="1" applyAlignment="1">
      <alignment horizontal="center"/>
    </xf>
    <xf numFmtId="177" fontId="53" fillId="6" borderId="47" xfId="4" quotePrefix="1" applyNumberFormat="1" applyFont="1" applyFill="1" applyBorder="1" applyAlignment="1">
      <alignment horizontal="left" vertical="center" indent="1"/>
    </xf>
    <xf numFmtId="43" fontId="53" fillId="0" borderId="47" xfId="1" applyFont="1" applyFill="1" applyBorder="1" applyAlignment="1">
      <alignment horizontal="center"/>
    </xf>
    <xf numFmtId="43" fontId="53" fillId="6" borderId="47" xfId="1" applyFont="1" applyFill="1" applyBorder="1" applyAlignment="1">
      <alignment horizontal="center"/>
    </xf>
    <xf numFmtId="43" fontId="53" fillId="6" borderId="48" xfId="1" applyFont="1" applyFill="1" applyBorder="1" applyAlignment="1">
      <alignment horizontal="center"/>
    </xf>
    <xf numFmtId="43" fontId="1" fillId="6" borderId="48" xfId="1" applyFont="1" applyFill="1" applyBorder="1" applyAlignment="1">
      <alignment horizontal="center"/>
    </xf>
    <xf numFmtId="178" fontId="53" fillId="6" borderId="49" xfId="1" applyNumberFormat="1" applyFont="1" applyFill="1" applyBorder="1" applyAlignment="1">
      <alignment horizontal="center"/>
    </xf>
    <xf numFmtId="43" fontId="53" fillId="6" borderId="50" xfId="1" applyFont="1" applyFill="1" applyBorder="1" applyAlignment="1">
      <alignment horizontal="center"/>
    </xf>
    <xf numFmtId="43" fontId="53" fillId="6" borderId="51" xfId="1" applyFont="1" applyFill="1" applyBorder="1" applyAlignment="1">
      <alignment horizontal="center"/>
    </xf>
    <xf numFmtId="43" fontId="53" fillId="6" borderId="52" xfId="1" applyFont="1" applyFill="1" applyBorder="1" applyAlignment="1">
      <alignment horizontal="center"/>
    </xf>
    <xf numFmtId="43" fontId="53" fillId="6" borderId="53" xfId="1" applyFont="1" applyFill="1" applyBorder="1" applyAlignment="1"/>
    <xf numFmtId="43" fontId="53" fillId="6" borderId="51" xfId="1" applyFont="1" applyFill="1" applyBorder="1" applyAlignment="1"/>
    <xf numFmtId="43" fontId="53" fillId="6" borderId="52" xfId="1" applyFont="1" applyFill="1" applyBorder="1" applyAlignment="1"/>
    <xf numFmtId="4" fontId="52" fillId="6" borderId="0" xfId="4" applyNumberFormat="1" applyFont="1" applyFill="1" applyAlignment="1">
      <alignment horizontal="center"/>
    </xf>
    <xf numFmtId="43" fontId="52" fillId="6" borderId="0" xfId="1" applyFont="1" applyFill="1" applyAlignment="1">
      <alignment horizontal="center"/>
    </xf>
    <xf numFmtId="4" fontId="3" fillId="6" borderId="0" xfId="4" applyNumberFormat="1" applyFont="1" applyFill="1" applyAlignment="1">
      <alignment horizontal="center"/>
    </xf>
    <xf numFmtId="1" fontId="5" fillId="6" borderId="0" xfId="4" applyNumberFormat="1" applyFont="1" applyFill="1" applyAlignment="1">
      <alignment horizontal="center"/>
    </xf>
    <xf numFmtId="4" fontId="53" fillId="6" borderId="0" xfId="4" applyNumberFormat="1" applyFont="1" applyFill="1" applyAlignment="1">
      <alignment horizontal="center"/>
    </xf>
    <xf numFmtId="0" fontId="5" fillId="6" borderId="0" xfId="1" applyNumberFormat="1" applyFont="1" applyFill="1" applyAlignment="1">
      <alignment horizontal="center"/>
    </xf>
    <xf numFmtId="177" fontId="53" fillId="6" borderId="48" xfId="4" quotePrefix="1" applyNumberFormat="1" applyFont="1" applyFill="1" applyBorder="1" applyAlignment="1">
      <alignment horizontal="left" vertical="center" indent="1"/>
    </xf>
    <xf numFmtId="43" fontId="53" fillId="0" borderId="48" xfId="1" applyFont="1" applyFill="1" applyBorder="1" applyAlignment="1">
      <alignment horizontal="center"/>
    </xf>
    <xf numFmtId="43" fontId="1" fillId="0" borderId="48" xfId="1" applyFont="1" applyFill="1" applyBorder="1" applyAlignment="1">
      <alignment horizontal="center"/>
    </xf>
    <xf numFmtId="178" fontId="53" fillId="6" borderId="53" xfId="1" applyNumberFormat="1" applyFont="1" applyFill="1" applyBorder="1" applyAlignment="1">
      <alignment horizontal="center"/>
    </xf>
    <xf numFmtId="43" fontId="53" fillId="6" borderId="54" xfId="1" applyFont="1" applyFill="1" applyBorder="1" applyAlignment="1">
      <alignment horizontal="center"/>
    </xf>
    <xf numFmtId="43" fontId="53" fillId="6" borderId="0" xfId="1" applyFont="1" applyFill="1" applyBorder="1" applyAlignment="1">
      <alignment horizontal="center"/>
    </xf>
    <xf numFmtId="43" fontId="53" fillId="6" borderId="46" xfId="1" applyFont="1" applyFill="1" applyBorder="1" applyAlignment="1">
      <alignment horizontal="center"/>
    </xf>
    <xf numFmtId="43" fontId="53" fillId="6" borderId="0" xfId="1" applyFont="1" applyFill="1" applyBorder="1" applyAlignment="1"/>
    <xf numFmtId="43" fontId="53" fillId="6" borderId="46" xfId="1" applyFont="1" applyFill="1" applyBorder="1" applyAlignment="1"/>
    <xf numFmtId="178" fontId="53" fillId="0" borderId="53" xfId="1" applyNumberFormat="1" applyFont="1" applyFill="1" applyBorder="1" applyAlignment="1">
      <alignment horizontal="center"/>
    </xf>
    <xf numFmtId="165" fontId="53" fillId="6" borderId="0" xfId="4" applyNumberFormat="1" applyFont="1" applyFill="1" applyAlignment="1">
      <alignment horizontal="center"/>
    </xf>
    <xf numFmtId="0" fontId="53" fillId="6" borderId="0" xfId="1" applyNumberFormat="1" applyFont="1" applyFill="1" applyAlignment="1">
      <alignment horizontal="center"/>
    </xf>
    <xf numFmtId="43" fontId="3" fillId="6" borderId="48" xfId="1" applyFont="1" applyFill="1" applyBorder="1" applyAlignment="1">
      <alignment horizontal="center"/>
    </xf>
    <xf numFmtId="1" fontId="53" fillId="6" borderId="0" xfId="4" applyNumberFormat="1" applyFont="1" applyFill="1" applyAlignment="1">
      <alignment horizontal="center"/>
    </xf>
    <xf numFmtId="43" fontId="3" fillId="6" borderId="0" xfId="1" applyFont="1" applyFill="1" applyAlignment="1">
      <alignment horizontal="center"/>
    </xf>
    <xf numFmtId="0" fontId="53" fillId="0" borderId="0" xfId="1" applyNumberFormat="1" applyFont="1" applyAlignment="1">
      <alignment horizontal="center"/>
    </xf>
    <xf numFmtId="0" fontId="53" fillId="0" borderId="0" xfId="4" applyNumberFormat="1" applyFont="1" applyAlignment="1">
      <alignment horizontal="center"/>
    </xf>
    <xf numFmtId="43" fontId="1" fillId="0" borderId="53" xfId="1" applyFont="1" applyFill="1" applyBorder="1" applyAlignment="1"/>
    <xf numFmtId="43" fontId="3" fillId="6" borderId="54" xfId="1" applyFont="1" applyFill="1" applyBorder="1" applyAlignment="1"/>
    <xf numFmtId="43" fontId="3" fillId="6" borderId="0" xfId="1" applyFont="1" applyFill="1" applyBorder="1" applyAlignment="1"/>
    <xf numFmtId="43" fontId="3" fillId="6" borderId="46" xfId="1" applyFont="1" applyFill="1" applyBorder="1" applyAlignment="1"/>
    <xf numFmtId="0" fontId="62" fillId="0" borderId="0" xfId="1" applyNumberFormat="1" applyFont="1" applyAlignment="1">
      <alignment horizontal="center" vertical="center"/>
    </xf>
    <xf numFmtId="43" fontId="53" fillId="6" borderId="54" xfId="1" applyFont="1" applyFill="1" applyBorder="1" applyAlignment="1"/>
    <xf numFmtId="43" fontId="3" fillId="0" borderId="48" xfId="1" applyFont="1" applyFill="1" applyBorder="1" applyAlignment="1">
      <alignment horizontal="center"/>
    </xf>
    <xf numFmtId="43" fontId="53" fillId="6" borderId="53" xfId="1" applyFont="1" applyFill="1" applyBorder="1" applyAlignment="1">
      <alignment horizontal="center"/>
    </xf>
    <xf numFmtId="43" fontId="53" fillId="6" borderId="42" xfId="1" applyFont="1" applyFill="1" applyBorder="1" applyAlignment="1">
      <alignment horizontal="center"/>
    </xf>
    <xf numFmtId="43" fontId="53" fillId="6" borderId="43" xfId="1" applyFont="1" applyFill="1" applyBorder="1" applyAlignment="1">
      <alignment horizontal="center"/>
    </xf>
    <xf numFmtId="43" fontId="53" fillId="6" borderId="55" xfId="1" applyFont="1" applyFill="1" applyBorder="1" applyAlignment="1">
      <alignment horizontal="center"/>
    </xf>
    <xf numFmtId="43" fontId="53" fillId="6" borderId="56" xfId="1" applyFont="1" applyFill="1" applyBorder="1" applyAlignment="1"/>
    <xf numFmtId="43" fontId="53" fillId="6" borderId="57" xfId="1" applyFont="1" applyFill="1" applyBorder="1" applyAlignment="1"/>
    <xf numFmtId="43" fontId="53" fillId="6" borderId="58" xfId="1" applyFont="1" applyFill="1" applyBorder="1" applyAlignment="1"/>
    <xf numFmtId="165" fontId="1" fillId="0" borderId="0" xfId="4" applyNumberFormat="1" applyAlignment="1">
      <alignment horizontal="center" vertical="center"/>
    </xf>
    <xf numFmtId="164" fontId="1" fillId="0" borderId="0" xfId="4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179" fontId="64" fillId="0" borderId="59" xfId="4" applyNumberFormat="1" applyFont="1" applyBorder="1" applyAlignment="1">
      <alignment horizontal="center" vertical="center"/>
    </xf>
    <xf numFmtId="15" fontId="46" fillId="0" borderId="60" xfId="4" applyNumberFormat="1" applyFont="1" applyBorder="1" applyAlignment="1">
      <alignment vertical="center"/>
    </xf>
    <xf numFmtId="169" fontId="46" fillId="0" borderId="60" xfId="2" applyFont="1" applyBorder="1" applyAlignment="1">
      <alignment vertical="center"/>
    </xf>
    <xf numFmtId="4" fontId="1" fillId="0" borderId="60" xfId="4" applyNumberFormat="1" applyBorder="1" applyAlignment="1">
      <alignment horizontal="center" vertical="center"/>
    </xf>
    <xf numFmtId="43" fontId="4" fillId="16" borderId="59" xfId="1" applyFont="1" applyFill="1" applyBorder="1" applyAlignment="1">
      <alignment horizontal="center" vertical="center"/>
    </xf>
    <xf numFmtId="43" fontId="4" fillId="0" borderId="59" xfId="1" applyFont="1" applyFill="1" applyBorder="1" applyAlignment="1">
      <alignment horizontal="center" vertical="center"/>
    </xf>
    <xf numFmtId="4" fontId="4" fillId="0" borderId="60" xfId="4" applyNumberFormat="1" applyFont="1" applyBorder="1" applyAlignment="1">
      <alignment horizontal="center" vertical="center"/>
    </xf>
    <xf numFmtId="43" fontId="4" fillId="10" borderId="60" xfId="1" applyFont="1" applyFill="1" applyBorder="1" applyAlignment="1">
      <alignment horizontal="center" vertical="center"/>
    </xf>
    <xf numFmtId="43" fontId="65" fillId="10" borderId="60" xfId="1" applyFont="1" applyFill="1" applyBorder="1" applyAlignment="1">
      <alignment horizontal="center" vertical="center"/>
    </xf>
    <xf numFmtId="43" fontId="65" fillId="0" borderId="60" xfId="1" applyFont="1" applyFill="1" applyBorder="1" applyAlignment="1">
      <alignment horizontal="center" vertical="center"/>
    </xf>
    <xf numFmtId="164" fontId="52" fillId="0" borderId="0" xfId="4" applyFont="1" applyAlignment="1">
      <alignment horizontal="center" vertical="center"/>
    </xf>
    <xf numFmtId="169" fontId="52" fillId="0" borderId="0" xfId="2" applyFont="1" applyAlignment="1">
      <alignment horizontal="center" vertical="center"/>
    </xf>
    <xf numFmtId="164" fontId="3" fillId="0" borderId="0" xfId="4" applyFont="1" applyAlignment="1">
      <alignment horizontal="center" vertical="center"/>
    </xf>
    <xf numFmtId="1" fontId="3" fillId="0" borderId="0" xfId="4" applyNumberFormat="1" applyFont="1" applyAlignment="1">
      <alignment horizontal="center" vertical="center"/>
    </xf>
    <xf numFmtId="164" fontId="53" fillId="0" borderId="0" xfId="4" applyFont="1" applyAlignment="1">
      <alignment horizontal="center" vertical="center"/>
    </xf>
    <xf numFmtId="0" fontId="53" fillId="0" borderId="0" xfId="4" applyNumberFormat="1" applyFont="1" applyAlignment="1">
      <alignment horizontal="center" vertical="center"/>
    </xf>
    <xf numFmtId="180" fontId="53" fillId="0" borderId="61" xfId="4" applyNumberFormat="1" applyFont="1" applyBorder="1" applyAlignment="1">
      <alignment horizontal="left" vertical="center" indent="1"/>
    </xf>
    <xf numFmtId="43" fontId="53" fillId="0" borderId="61" xfId="1" applyFont="1" applyBorder="1" applyAlignment="1">
      <alignment horizontal="center" vertical="center"/>
    </xf>
    <xf numFmtId="43" fontId="53" fillId="0" borderId="61" xfId="1" applyFont="1" applyFill="1" applyBorder="1" applyAlignment="1">
      <alignment horizontal="center" vertical="center"/>
    </xf>
    <xf numFmtId="43" fontId="53" fillId="0" borderId="62" xfId="1" applyFont="1" applyBorder="1" applyAlignment="1">
      <alignment horizontal="center" vertical="center"/>
    </xf>
    <xf numFmtId="43" fontId="53" fillId="0" borderId="63" xfId="1" applyFont="1" applyFill="1" applyBorder="1" applyAlignment="1">
      <alignment horizontal="center" vertical="center"/>
    </xf>
    <xf numFmtId="1" fontId="66" fillId="0" borderId="0" xfId="4" applyNumberFormat="1" applyFont="1" applyAlignment="1">
      <alignment horizontal="center" vertical="center"/>
    </xf>
    <xf numFmtId="1" fontId="52" fillId="0" borderId="0" xfId="4" applyNumberFormat="1" applyFont="1" applyAlignment="1">
      <alignment horizontal="center"/>
    </xf>
    <xf numFmtId="1" fontId="61" fillId="0" borderId="0" xfId="4" applyNumberFormat="1" applyFont="1" applyAlignment="1">
      <alignment horizontal="center"/>
    </xf>
    <xf numFmtId="43" fontId="52" fillId="0" borderId="0" xfId="1" applyFont="1" applyFill="1" applyBorder="1" applyAlignment="1">
      <alignment horizontal="center" vertical="center"/>
    </xf>
    <xf numFmtId="1" fontId="1" fillId="0" borderId="0" xfId="4" applyNumberFormat="1" applyFont="1" applyAlignment="1">
      <alignment horizontal="center" vertical="center"/>
    </xf>
    <xf numFmtId="180" fontId="53" fillId="0" borderId="63" xfId="4" applyNumberFormat="1" applyFont="1" applyBorder="1" applyAlignment="1">
      <alignment horizontal="left" vertical="center" indent="1"/>
    </xf>
    <xf numFmtId="43" fontId="53" fillId="0" borderId="63" xfId="1" applyFont="1" applyBorder="1" applyAlignment="1">
      <alignment horizontal="center" vertical="center"/>
    </xf>
    <xf numFmtId="1" fontId="5" fillId="0" borderId="0" xfId="4" applyNumberFormat="1" applyFont="1" applyAlignment="1">
      <alignment horizontal="center" vertical="center"/>
    </xf>
    <xf numFmtId="0" fontId="53" fillId="0" borderId="0" xfId="1" applyNumberFormat="1" applyFont="1" applyBorder="1" applyAlignment="1">
      <alignment horizontal="center" vertical="center"/>
    </xf>
    <xf numFmtId="43" fontId="53" fillId="6" borderId="63" xfId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center" vertical="center"/>
    </xf>
    <xf numFmtId="0" fontId="53" fillId="0" borderId="0" xfId="1" applyNumberFormat="1" applyFont="1" applyFill="1" applyBorder="1" applyAlignment="1">
      <alignment horizontal="center" vertical="center"/>
    </xf>
    <xf numFmtId="164" fontId="65" fillId="0" borderId="0" xfId="4" applyFont="1" applyAlignment="1">
      <alignment horizontal="center" vertical="center"/>
    </xf>
    <xf numFmtId="165" fontId="1" fillId="0" borderId="0" xfId="4" applyNumberFormat="1" applyFont="1" applyAlignment="1">
      <alignment horizontal="center" vertical="center"/>
    </xf>
    <xf numFmtId="0" fontId="5" fillId="0" borderId="0" xfId="4" applyNumberFormat="1" applyFont="1" applyAlignment="1">
      <alignment horizontal="center" vertical="center"/>
    </xf>
    <xf numFmtId="0" fontId="5" fillId="6" borderId="0" xfId="1" applyNumberFormat="1" applyFont="1" applyFill="1" applyBorder="1" applyAlignment="1">
      <alignment horizontal="center" vertical="center"/>
    </xf>
    <xf numFmtId="164" fontId="5" fillId="0" borderId="0" xfId="4" applyFont="1" applyAlignment="1">
      <alignment horizontal="center" vertical="center"/>
    </xf>
    <xf numFmtId="165" fontId="53" fillId="0" borderId="0" xfId="4" applyNumberFormat="1" applyFont="1" applyAlignment="1">
      <alignment horizontal="center" vertical="center"/>
    </xf>
    <xf numFmtId="180" fontId="53" fillId="0" borderId="64" xfId="4" applyNumberFormat="1" applyFont="1" applyBorder="1" applyAlignment="1">
      <alignment horizontal="left" vertical="center" indent="1"/>
    </xf>
    <xf numFmtId="43" fontId="53" fillId="0" borderId="64" xfId="1" applyFont="1" applyFill="1" applyBorder="1" applyAlignment="1">
      <alignment horizontal="center" vertical="center"/>
    </xf>
    <xf numFmtId="1" fontId="53" fillId="0" borderId="0" xfId="4" applyNumberFormat="1" applyFont="1" applyAlignment="1">
      <alignment horizontal="center" vertical="center"/>
    </xf>
    <xf numFmtId="165" fontId="4" fillId="0" borderId="0" xfId="4" applyNumberFormat="1" applyFont="1" applyAlignment="1">
      <alignment horizontal="center" vertical="center"/>
    </xf>
    <xf numFmtId="164" fontId="4" fillId="0" borderId="0" xfId="4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15" fontId="67" fillId="15" borderId="38" xfId="4" applyNumberFormat="1" applyFont="1" applyFill="1" applyBorder="1" applyAlignment="1">
      <alignment horizontal="center" vertical="center"/>
    </xf>
    <xf numFmtId="43" fontId="2" fillId="15" borderId="38" xfId="1" applyFont="1" applyFill="1" applyBorder="1" applyAlignment="1">
      <alignment horizontal="center" vertical="center"/>
    </xf>
    <xf numFmtId="178" fontId="2" fillId="15" borderId="38" xfId="1" applyNumberFormat="1" applyFont="1" applyFill="1" applyBorder="1" applyAlignment="1">
      <alignment horizontal="center" vertical="center"/>
    </xf>
    <xf numFmtId="164" fontId="68" fillId="0" borderId="0" xfId="4" applyFont="1" applyAlignment="1">
      <alignment horizontal="center" vertical="center"/>
    </xf>
    <xf numFmtId="1" fontId="65" fillId="0" borderId="0" xfId="4" applyNumberFormat="1" applyFont="1" applyAlignment="1">
      <alignment horizontal="center" vertical="center"/>
    </xf>
    <xf numFmtId="164" fontId="46" fillId="0" borderId="0" xfId="4" applyFont="1" applyAlignment="1">
      <alignment horizontal="center"/>
    </xf>
    <xf numFmtId="43" fontId="53" fillId="0" borderId="0" xfId="1" applyFont="1" applyAlignment="1">
      <alignment horizontal="center"/>
    </xf>
    <xf numFmtId="181" fontId="53" fillId="0" borderId="0" xfId="1" applyNumberFormat="1" applyFont="1" applyAlignment="1">
      <alignment horizontal="center"/>
    </xf>
    <xf numFmtId="9" fontId="1" fillId="0" borderId="0" xfId="3" applyFont="1" applyAlignment="1">
      <alignment horizontal="center"/>
    </xf>
    <xf numFmtId="182" fontId="1" fillId="0" borderId="0" xfId="1" applyNumberFormat="1" applyFont="1" applyAlignment="1">
      <alignment horizontal="center"/>
    </xf>
    <xf numFmtId="9" fontId="53" fillId="0" borderId="0" xfId="3" applyFont="1" applyAlignment="1">
      <alignment horizontal="center"/>
    </xf>
    <xf numFmtId="9" fontId="3" fillId="0" borderId="0" xfId="3" applyFont="1" applyAlignment="1">
      <alignment horizontal="center"/>
    </xf>
    <xf numFmtId="164" fontId="5" fillId="0" borderId="0" xfId="4" applyFont="1" applyAlignment="1">
      <alignment horizontal="center"/>
    </xf>
    <xf numFmtId="1" fontId="1" fillId="0" borderId="0" xfId="4" applyNumberFormat="1" applyFont="1" applyAlignment="1">
      <alignment horizontal="center"/>
    </xf>
    <xf numFmtId="0" fontId="52" fillId="0" borderId="0" xfId="4" applyNumberFormat="1" applyFont="1" applyAlignment="1">
      <alignment horizontal="center" vertical="center"/>
    </xf>
    <xf numFmtId="169" fontId="63" fillId="0" borderId="0" xfId="2" applyFont="1" applyAlignment="1">
      <alignment horizontal="left" vertical="center"/>
    </xf>
    <xf numFmtId="183" fontId="69" fillId="15" borderId="50" xfId="1" applyNumberFormat="1" applyFont="1" applyFill="1" applyBorder="1" applyAlignment="1" applyProtection="1">
      <alignment vertical="center"/>
    </xf>
    <xf numFmtId="183" fontId="69" fillId="15" borderId="51" xfId="1" applyNumberFormat="1" applyFont="1" applyFill="1" applyBorder="1" applyAlignment="1" applyProtection="1">
      <alignment vertical="center"/>
    </xf>
    <xf numFmtId="183" fontId="2" fillId="15" borderId="50" xfId="1" applyNumberFormat="1" applyFont="1" applyFill="1" applyBorder="1" applyAlignment="1" applyProtection="1">
      <alignment horizontal="left" vertical="center"/>
    </xf>
    <xf numFmtId="183" fontId="2" fillId="15" borderId="51" xfId="1" applyNumberFormat="1" applyFont="1" applyFill="1" applyBorder="1" applyAlignment="1" applyProtection="1">
      <alignment horizontal="left" vertical="center"/>
    </xf>
    <xf numFmtId="183" fontId="2" fillId="15" borderId="0" xfId="1" applyNumberFormat="1" applyFont="1" applyFill="1" applyBorder="1" applyAlignment="1" applyProtection="1">
      <alignment horizontal="left" vertical="center"/>
    </xf>
    <xf numFmtId="183" fontId="70" fillId="15" borderId="0" xfId="1" applyNumberFormat="1" applyFont="1" applyFill="1" applyBorder="1" applyAlignment="1" applyProtection="1">
      <alignment horizontal="center" vertical="center"/>
    </xf>
    <xf numFmtId="164" fontId="1" fillId="0" borderId="0" xfId="4" applyFont="1" applyAlignment="1">
      <alignment horizontal="center"/>
    </xf>
    <xf numFmtId="1" fontId="53" fillId="0" borderId="0" xfId="1" applyNumberFormat="1" applyFont="1" applyAlignment="1">
      <alignment horizontal="left" vertical="center"/>
    </xf>
    <xf numFmtId="183" fontId="69" fillId="15" borderId="42" xfId="1" applyNumberFormat="1" applyFont="1" applyFill="1" applyBorder="1" applyAlignment="1" applyProtection="1">
      <alignment vertical="center"/>
    </xf>
    <xf numFmtId="183" fontId="69" fillId="15" borderId="43" xfId="1" applyNumberFormat="1" applyFont="1" applyFill="1" applyBorder="1" applyAlignment="1" applyProtection="1">
      <alignment vertical="center"/>
    </xf>
    <xf numFmtId="183" fontId="2" fillId="15" borderId="42" xfId="1" applyNumberFormat="1" applyFont="1" applyFill="1" applyBorder="1" applyAlignment="1" applyProtection="1">
      <alignment horizontal="left" vertical="center"/>
    </xf>
    <xf numFmtId="183" fontId="2" fillId="15" borderId="43" xfId="1" applyNumberFormat="1" applyFont="1" applyFill="1" applyBorder="1" applyAlignment="1" applyProtection="1">
      <alignment horizontal="left" vertical="center"/>
    </xf>
    <xf numFmtId="183" fontId="70" fillId="15" borderId="0" xfId="1" applyNumberFormat="1" applyFont="1" applyFill="1" applyBorder="1" applyAlignment="1" applyProtection="1">
      <alignment vertical="center"/>
    </xf>
    <xf numFmtId="0" fontId="65" fillId="6" borderId="54" xfId="4" applyNumberFormat="1" applyFont="1" applyFill="1" applyBorder="1" applyAlignment="1">
      <alignment vertical="center"/>
    </xf>
    <xf numFmtId="0" fontId="65" fillId="0" borderId="65" xfId="4" applyNumberFormat="1" applyFont="1" applyBorder="1" applyAlignment="1">
      <alignment horizontal="right" vertical="center"/>
    </xf>
    <xf numFmtId="184" fontId="2" fillId="15" borderId="42" xfId="1" applyNumberFormat="1" applyFont="1" applyFill="1" applyBorder="1" applyAlignment="1" applyProtection="1">
      <alignment horizontal="left" vertical="center"/>
    </xf>
    <xf numFmtId="0" fontId="65" fillId="6" borderId="66" xfId="4" applyNumberFormat="1" applyFont="1" applyFill="1" applyBorder="1" applyAlignment="1">
      <alignment horizontal="right" vertical="center"/>
    </xf>
    <xf numFmtId="185" fontId="2" fillId="15" borderId="43" xfId="1" applyNumberFormat="1" applyFont="1" applyFill="1" applyBorder="1" applyAlignment="1" applyProtection="1">
      <alignment horizontal="left" vertical="center"/>
    </xf>
    <xf numFmtId="0" fontId="65" fillId="6" borderId="67" xfId="4" applyNumberFormat="1" applyFont="1" applyFill="1" applyBorder="1" applyAlignment="1">
      <alignment horizontal="right" vertical="center"/>
    </xf>
    <xf numFmtId="43" fontId="53" fillId="0" borderId="54" xfId="1" applyFont="1" applyBorder="1" applyAlignment="1">
      <alignment horizontal="center"/>
    </xf>
    <xf numFmtId="43" fontId="1" fillId="0" borderId="0" xfId="1" applyFont="1" applyAlignment="1">
      <alignment horizontal="center"/>
    </xf>
    <xf numFmtId="4" fontId="71" fillId="0" borderId="0" xfId="4" applyNumberFormat="1" applyFont="1" applyAlignment="1">
      <alignment horizontal="center"/>
    </xf>
    <xf numFmtId="164" fontId="71" fillId="0" borderId="0" xfId="4" applyFont="1" applyAlignment="1">
      <alignment horizontal="center"/>
    </xf>
    <xf numFmtId="0" fontId="65" fillId="17" borderId="50" xfId="5" applyNumberFormat="1" applyFont="1" applyFill="1" applyBorder="1" applyAlignment="1" applyProtection="1">
      <alignment horizontal="left" vertical="center"/>
    </xf>
    <xf numFmtId="164" fontId="1" fillId="0" borderId="51" xfId="4" applyFont="1" applyBorder="1" applyAlignment="1">
      <alignment horizontal="center"/>
    </xf>
    <xf numFmtId="164" fontId="1" fillId="0" borderId="68" xfId="4" applyFont="1" applyBorder="1" applyAlignment="1">
      <alignment horizontal="center"/>
    </xf>
    <xf numFmtId="43" fontId="65" fillId="17" borderId="69" xfId="1" applyFont="1" applyFill="1" applyBorder="1" applyAlignment="1" applyProtection="1">
      <alignment horizontal="right" vertical="center"/>
    </xf>
    <xf numFmtId="43" fontId="1" fillId="0" borderId="68" xfId="1" applyFont="1" applyBorder="1" applyAlignment="1" applyProtection="1">
      <alignment horizontal="center"/>
    </xf>
    <xf numFmtId="167" fontId="65" fillId="6" borderId="69" xfId="1" applyNumberFormat="1" applyFont="1" applyFill="1" applyBorder="1" applyAlignment="1" applyProtection="1">
      <alignment horizontal="right" vertical="center"/>
    </xf>
    <xf numFmtId="43" fontId="1" fillId="0" borderId="70" xfId="1" applyFont="1" applyBorder="1" applyAlignment="1" applyProtection="1">
      <alignment horizontal="center"/>
    </xf>
    <xf numFmtId="168" fontId="65" fillId="6" borderId="51" xfId="1" applyNumberFormat="1" applyFont="1" applyFill="1" applyBorder="1" applyAlignment="1" applyProtection="1">
      <alignment horizontal="right" vertical="center"/>
    </xf>
    <xf numFmtId="0" fontId="65" fillId="17" borderId="42" xfId="5" applyNumberFormat="1" applyFont="1" applyFill="1" applyBorder="1" applyAlignment="1" applyProtection="1">
      <alignment horizontal="left" vertical="center"/>
    </xf>
    <xf numFmtId="164" fontId="1" fillId="0" borderId="43" xfId="4" applyFont="1" applyBorder="1" applyAlignment="1">
      <alignment horizontal="center"/>
    </xf>
    <xf numFmtId="164" fontId="1" fillId="0" borderId="71" xfId="4" applyFont="1" applyBorder="1" applyAlignment="1">
      <alignment horizontal="center"/>
    </xf>
    <xf numFmtId="9" fontId="65" fillId="17" borderId="72" xfId="3" applyFont="1" applyFill="1" applyBorder="1" applyAlignment="1" applyProtection="1">
      <alignment horizontal="right" vertical="center"/>
    </xf>
    <xf numFmtId="9" fontId="65" fillId="6" borderId="72" xfId="3" applyFont="1" applyFill="1" applyBorder="1" applyAlignment="1" applyProtection="1">
      <alignment horizontal="right" vertical="center"/>
    </xf>
    <xf numFmtId="0" fontId="65" fillId="17" borderId="54" xfId="4" applyNumberFormat="1" applyFont="1" applyFill="1" applyBorder="1" applyAlignment="1">
      <alignment vertical="center"/>
    </xf>
    <xf numFmtId="164" fontId="1" fillId="0" borderId="73" xfId="4" applyFont="1" applyBorder="1" applyAlignment="1">
      <alignment horizontal="center"/>
    </xf>
    <xf numFmtId="167" fontId="65" fillId="17" borderId="57" xfId="1" applyNumberFormat="1" applyFont="1" applyFill="1" applyBorder="1" applyAlignment="1" applyProtection="1">
      <alignment horizontal="right" vertical="center"/>
    </xf>
    <xf numFmtId="167" fontId="65" fillId="17" borderId="57" xfId="1" applyNumberFormat="1" applyFont="1" applyFill="1" applyBorder="1" applyAlignment="1" applyProtection="1">
      <alignment vertical="center"/>
    </xf>
    <xf numFmtId="167" fontId="65" fillId="6" borderId="74" xfId="1" applyNumberFormat="1" applyFont="1" applyFill="1" applyBorder="1" applyAlignment="1" applyProtection="1">
      <alignment vertical="center"/>
    </xf>
    <xf numFmtId="43" fontId="5" fillId="0" borderId="0" xfId="1" applyFont="1" applyAlignment="1">
      <alignment horizontal="center"/>
    </xf>
    <xf numFmtId="0" fontId="53" fillId="6" borderId="54" xfId="4" applyNumberFormat="1" applyFont="1" applyFill="1" applyBorder="1" applyAlignment="1">
      <alignment horizontal="left" vertical="center" indent="2"/>
    </xf>
    <xf numFmtId="164" fontId="1" fillId="0" borderId="75" xfId="4" applyFont="1" applyBorder="1" applyAlignment="1">
      <alignment horizontal="center"/>
    </xf>
    <xf numFmtId="164" fontId="1" fillId="0" borderId="76" xfId="4" applyFont="1" applyBorder="1" applyAlignment="1">
      <alignment horizontal="center"/>
    </xf>
    <xf numFmtId="167" fontId="53" fillId="6" borderId="77" xfId="1" applyNumberFormat="1" applyFont="1" applyFill="1" applyBorder="1" applyAlignment="1" applyProtection="1">
      <alignment horizontal="right" vertical="center"/>
    </xf>
    <xf numFmtId="167" fontId="53" fillId="17" borderId="78" xfId="1" applyNumberFormat="1" applyFont="1" applyFill="1" applyBorder="1" applyAlignment="1" applyProtection="1">
      <alignment vertical="center"/>
    </xf>
    <xf numFmtId="167" fontId="1" fillId="0" borderId="79" xfId="1" applyNumberFormat="1" applyFont="1" applyBorder="1" applyAlignment="1" applyProtection="1">
      <alignment horizontal="center"/>
    </xf>
    <xf numFmtId="164" fontId="1" fillId="0" borderId="80" xfId="4" applyFont="1" applyBorder="1" applyAlignment="1">
      <alignment horizontal="center"/>
    </xf>
    <xf numFmtId="167" fontId="1" fillId="0" borderId="81" xfId="1" applyNumberFormat="1" applyFont="1" applyBorder="1" applyAlignment="1" applyProtection="1">
      <alignment horizontal="center"/>
    </xf>
    <xf numFmtId="0" fontId="65" fillId="6" borderId="50" xfId="4" applyNumberFormat="1" applyFont="1" applyFill="1" applyBorder="1" applyAlignment="1">
      <alignment vertical="center"/>
    </xf>
    <xf numFmtId="167" fontId="65" fillId="6" borderId="69" xfId="1" applyNumberFormat="1" applyFont="1" applyFill="1" applyBorder="1" applyAlignment="1" applyProtection="1">
      <alignment vertical="center"/>
    </xf>
    <xf numFmtId="43" fontId="71" fillId="0" borderId="0" xfId="1" applyFont="1" applyAlignment="1">
      <alignment horizontal="center"/>
    </xf>
    <xf numFmtId="186" fontId="66" fillId="0" borderId="0" xfId="4" applyNumberFormat="1" applyFont="1" applyAlignment="1">
      <alignment vertical="top"/>
    </xf>
    <xf numFmtId="167" fontId="53" fillId="6" borderId="77" xfId="1" applyNumberFormat="1" applyFont="1" applyFill="1" applyBorder="1" applyAlignment="1" applyProtection="1">
      <alignment vertical="center"/>
    </xf>
    <xf numFmtId="167" fontId="53" fillId="6" borderId="82" xfId="1" applyNumberFormat="1" applyFont="1" applyFill="1" applyBorder="1" applyAlignment="1" applyProtection="1">
      <alignment vertical="center"/>
    </xf>
    <xf numFmtId="164" fontId="66" fillId="0" borderId="0" xfId="4" applyFont="1" applyAlignment="1">
      <alignment horizontal="center"/>
    </xf>
    <xf numFmtId="167" fontId="65" fillId="6" borderId="58" xfId="1" applyNumberFormat="1" applyFont="1" applyFill="1" applyBorder="1" applyAlignment="1" applyProtection="1">
      <alignment vertical="center"/>
    </xf>
    <xf numFmtId="0" fontId="53" fillId="6" borderId="42" xfId="4" applyNumberFormat="1" applyFont="1" applyFill="1" applyBorder="1" applyAlignment="1">
      <alignment horizontal="left" vertical="center" indent="2"/>
    </xf>
    <xf numFmtId="167" fontId="53" fillId="6" borderId="72" xfId="1" applyNumberFormat="1" applyFont="1" applyFill="1" applyBorder="1" applyAlignment="1" applyProtection="1">
      <alignment horizontal="right" vertical="center"/>
    </xf>
    <xf numFmtId="167" fontId="53" fillId="6" borderId="72" xfId="1" applyNumberFormat="1" applyFont="1" applyFill="1" applyBorder="1" applyAlignment="1" applyProtection="1">
      <alignment vertical="center"/>
    </xf>
    <xf numFmtId="43" fontId="52" fillId="0" borderId="0" xfId="1" applyFont="1" applyAlignment="1">
      <alignment horizontal="center" vertical="center"/>
    </xf>
    <xf numFmtId="167" fontId="53" fillId="6" borderId="79" xfId="1" applyNumberFormat="1" applyFont="1" applyFill="1" applyBorder="1" applyAlignment="1" applyProtection="1">
      <alignment vertical="center"/>
    </xf>
    <xf numFmtId="164" fontId="1" fillId="0" borderId="67" xfId="4" applyFont="1" applyBorder="1" applyAlignment="1">
      <alignment horizontal="center"/>
    </xf>
    <xf numFmtId="167" fontId="65" fillId="6" borderId="57" xfId="1" applyNumberFormat="1" applyFont="1" applyFill="1" applyBorder="1" applyAlignment="1" applyProtection="1">
      <alignment horizontal="right" vertical="center"/>
    </xf>
    <xf numFmtId="167" fontId="65" fillId="6" borderId="0" xfId="1" applyNumberFormat="1" applyFont="1" applyFill="1" applyBorder="1" applyAlignment="1" applyProtection="1">
      <alignment vertical="center"/>
    </xf>
    <xf numFmtId="167" fontId="65" fillId="6" borderId="68" xfId="1" applyNumberFormat="1" applyFont="1" applyFill="1" applyBorder="1" applyAlignment="1" applyProtection="1">
      <alignment vertical="center"/>
    </xf>
    <xf numFmtId="167" fontId="53" fillId="6" borderId="83" xfId="1" applyNumberFormat="1" applyFont="1" applyFill="1" applyBorder="1" applyAlignment="1" applyProtection="1">
      <alignment horizontal="right" vertical="center"/>
    </xf>
    <xf numFmtId="167" fontId="53" fillId="17" borderId="84" xfId="1" applyNumberFormat="1" applyFont="1" applyFill="1" applyBorder="1" applyAlignment="1" applyProtection="1">
      <alignment vertical="center"/>
    </xf>
    <xf numFmtId="164" fontId="1" fillId="0" borderId="85" xfId="4" applyFont="1" applyBorder="1" applyAlignment="1">
      <alignment horizontal="center"/>
    </xf>
    <xf numFmtId="167" fontId="53" fillId="17" borderId="86" xfId="1" applyNumberFormat="1" applyFont="1" applyFill="1" applyBorder="1" applyAlignment="1" applyProtection="1">
      <alignment vertical="center"/>
    </xf>
    <xf numFmtId="167" fontId="1" fillId="0" borderId="82" xfId="1" applyNumberFormat="1" applyFont="1" applyBorder="1" applyAlignment="1" applyProtection="1">
      <alignment horizontal="center"/>
    </xf>
    <xf numFmtId="167" fontId="65" fillId="6" borderId="57" xfId="1" applyNumberFormat="1" applyFont="1" applyFill="1" applyBorder="1" applyAlignment="1" applyProtection="1">
      <alignment vertical="center"/>
    </xf>
    <xf numFmtId="167" fontId="65" fillId="6" borderId="68" xfId="1" applyNumberFormat="1" applyFont="1" applyFill="1" applyBorder="1" applyAlignment="1" applyProtection="1">
      <alignment horizontal="center" vertical="center"/>
    </xf>
    <xf numFmtId="167" fontId="65" fillId="6" borderId="74" xfId="1" applyNumberFormat="1" applyFont="1" applyFill="1" applyBorder="1" applyAlignment="1" applyProtection="1">
      <alignment horizontal="center" vertical="center"/>
    </xf>
    <xf numFmtId="0" fontId="4" fillId="0" borderId="54" xfId="4" applyNumberFormat="1" applyFont="1" applyBorder="1" applyAlignment="1">
      <alignment horizontal="left"/>
    </xf>
    <xf numFmtId="43" fontId="1" fillId="0" borderId="75" xfId="1" applyFont="1" applyBorder="1" applyAlignment="1" applyProtection="1">
      <alignment horizontal="center"/>
    </xf>
    <xf numFmtId="43" fontId="1" fillId="0" borderId="73" xfId="1" applyFont="1" applyBorder="1" applyAlignment="1" applyProtection="1">
      <alignment horizontal="center"/>
    </xf>
    <xf numFmtId="43" fontId="4" fillId="6" borderId="69" xfId="1" applyFont="1" applyFill="1" applyBorder="1" applyAlignment="1" applyProtection="1">
      <alignment horizontal="right" vertical="center"/>
    </xf>
    <xf numFmtId="43" fontId="4" fillId="0" borderId="87" xfId="1" applyFont="1" applyBorder="1" applyAlignment="1" applyProtection="1">
      <alignment horizontal="right" vertical="center"/>
    </xf>
    <xf numFmtId="164" fontId="1" fillId="0" borderId="69" xfId="4" applyFont="1" applyBorder="1" applyAlignment="1">
      <alignment horizontal="center"/>
    </xf>
    <xf numFmtId="43" fontId="4" fillId="6" borderId="88" xfId="1" applyFont="1" applyFill="1" applyBorder="1" applyAlignment="1" applyProtection="1">
      <alignment horizontal="right" vertical="center"/>
    </xf>
    <xf numFmtId="43" fontId="53" fillId="0" borderId="0" xfId="1" applyFont="1" applyBorder="1" applyAlignment="1">
      <alignment horizontal="center"/>
    </xf>
    <xf numFmtId="0" fontId="1" fillId="0" borderId="54" xfId="4" applyNumberFormat="1" applyFont="1" applyBorder="1" applyAlignment="1">
      <alignment horizontal="left" indent="2"/>
    </xf>
    <xf numFmtId="43" fontId="1" fillId="0" borderId="76" xfId="1" applyFont="1" applyBorder="1" applyAlignment="1" applyProtection="1">
      <alignment horizontal="center"/>
    </xf>
    <xf numFmtId="43" fontId="1" fillId="6" borderId="78" xfId="1" applyFont="1" applyFill="1" applyBorder="1" applyAlignment="1" applyProtection="1">
      <alignment horizontal="right" vertical="center"/>
    </xf>
    <xf numFmtId="43" fontId="1" fillId="0" borderId="78" xfId="1" applyFont="1" applyBorder="1" applyAlignment="1" applyProtection="1">
      <alignment horizontal="right" vertical="center"/>
    </xf>
    <xf numFmtId="43" fontId="1" fillId="6" borderId="89" xfId="1" applyFont="1" applyFill="1" applyBorder="1" applyAlignment="1" applyProtection="1">
      <alignment horizontal="right" vertical="center"/>
    </xf>
    <xf numFmtId="43" fontId="1" fillId="0" borderId="80" xfId="1" applyFont="1" applyBorder="1" applyAlignment="1" applyProtection="1">
      <alignment horizontal="center"/>
    </xf>
    <xf numFmtId="43" fontId="1" fillId="6" borderId="84" xfId="1" applyFont="1" applyFill="1" applyBorder="1" applyAlignment="1" applyProtection="1">
      <alignment horizontal="right" vertical="center"/>
    </xf>
    <xf numFmtId="43" fontId="1" fillId="0" borderId="84" xfId="1" applyFont="1" applyBorder="1" applyAlignment="1" applyProtection="1">
      <alignment horizontal="right" vertical="center"/>
    </xf>
    <xf numFmtId="43" fontId="1" fillId="6" borderId="90" xfId="1" applyFont="1" applyFill="1" applyBorder="1" applyAlignment="1" applyProtection="1">
      <alignment horizontal="right" vertical="center"/>
    </xf>
    <xf numFmtId="164" fontId="46" fillId="0" borderId="51" xfId="4" applyFont="1" applyBorder="1" applyAlignment="1">
      <alignment horizontal="center"/>
    </xf>
    <xf numFmtId="164" fontId="1" fillId="0" borderId="51" xfId="4" applyBorder="1" applyAlignment="1">
      <alignment horizontal="center"/>
    </xf>
    <xf numFmtId="181" fontId="1" fillId="0" borderId="0" xfId="1" applyNumberFormat="1" applyFont="1" applyBorder="1" applyAlignment="1">
      <alignment horizontal="center"/>
    </xf>
    <xf numFmtId="182" fontId="1" fillId="0" borderId="0" xfId="1" applyNumberFormat="1" applyFont="1" applyBorder="1" applyAlignment="1">
      <alignment horizontal="center"/>
    </xf>
    <xf numFmtId="165" fontId="52" fillId="0" borderId="0" xfId="4" applyNumberFormat="1" applyFont="1" applyAlignment="1">
      <alignment horizontal="center"/>
    </xf>
    <xf numFmtId="0" fontId="52" fillId="0" borderId="0" xfId="1" applyNumberFormat="1" applyFont="1" applyAlignment="1">
      <alignment horizontal="center"/>
    </xf>
    <xf numFmtId="2" fontId="56" fillId="0" borderId="0" xfId="4" applyNumberFormat="1" applyFont="1" applyAlignment="1">
      <alignment horizontal="left" wrapText="1"/>
    </xf>
    <xf numFmtId="169" fontId="1" fillId="0" borderId="0" xfId="2" applyFont="1" applyAlignment="1">
      <alignment horizontal="center"/>
    </xf>
    <xf numFmtId="169" fontId="53" fillId="0" borderId="0" xfId="2" applyFont="1" applyAlignment="1">
      <alignment horizontal="center"/>
    </xf>
    <xf numFmtId="164" fontId="56" fillId="0" borderId="0" xfId="4" applyFont="1" applyAlignment="1">
      <alignment horizontal="center"/>
    </xf>
    <xf numFmtId="169" fontId="56" fillId="0" borderId="0" xfId="2" applyFont="1" applyAlignment="1">
      <alignment horizontal="center"/>
    </xf>
    <xf numFmtId="4" fontId="52" fillId="0" borderId="0" xfId="4" applyNumberFormat="1" applyFont="1" applyAlignment="1">
      <alignment horizontal="center"/>
    </xf>
    <xf numFmtId="0" fontId="56" fillId="0" borderId="0" xfId="1" applyNumberFormat="1" applyFont="1" applyAlignment="1">
      <alignment horizontal="left"/>
    </xf>
    <xf numFmtId="164" fontId="73" fillId="0" borderId="0" xfId="4" applyFont="1" applyAlignment="1">
      <alignment horizontal="left"/>
    </xf>
    <xf numFmtId="10" fontId="52" fillId="0" borderId="0" xfId="3" applyNumberFormat="1" applyFont="1" applyBorder="1" applyAlignment="1">
      <alignment horizontal="center"/>
    </xf>
    <xf numFmtId="10" fontId="3" fillId="0" borderId="0" xfId="3" applyNumberFormat="1" applyFont="1" applyBorder="1" applyAlignment="1">
      <alignment horizontal="center"/>
    </xf>
    <xf numFmtId="169" fontId="3" fillId="0" borderId="0" xfId="2" applyFont="1" applyBorder="1" applyAlignment="1">
      <alignment horizontal="center"/>
    </xf>
    <xf numFmtId="187" fontId="3" fillId="0" borderId="0" xfId="2" applyNumberFormat="1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169" fontId="3" fillId="0" borderId="0" xfId="2" applyFont="1" applyAlignment="1">
      <alignment horizontal="center"/>
    </xf>
    <xf numFmtId="167" fontId="53" fillId="0" borderId="0" xfId="1" applyNumberFormat="1" applyFont="1" applyAlignment="1">
      <alignment horizontal="center"/>
    </xf>
    <xf numFmtId="169" fontId="52" fillId="0" borderId="0" xfId="2" applyFont="1" applyAlignment="1">
      <alignment horizontal="center"/>
    </xf>
    <xf numFmtId="165" fontId="3" fillId="0" borderId="0" xfId="4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164" fontId="74" fillId="0" borderId="0" xfId="4" applyFont="1" applyAlignment="1">
      <alignment horizontal="left"/>
    </xf>
    <xf numFmtId="164" fontId="61" fillId="0" borderId="0" xfId="4" applyFont="1" applyAlignment="1">
      <alignment horizontal="center"/>
    </xf>
    <xf numFmtId="164" fontId="52" fillId="0" borderId="91" xfId="4" applyFont="1" applyBorder="1" applyAlignment="1">
      <alignment horizontal="center"/>
    </xf>
    <xf numFmtId="169" fontId="52" fillId="0" borderId="92" xfId="2" applyFont="1" applyBorder="1" applyAlignment="1">
      <alignment horizontal="center"/>
    </xf>
    <xf numFmtId="169" fontId="52" fillId="0" borderId="93" xfId="2" applyFont="1" applyBorder="1" applyAlignment="1">
      <alignment horizontal="center"/>
    </xf>
    <xf numFmtId="43" fontId="3" fillId="0" borderId="0" xfId="1" applyFont="1" applyAlignment="1">
      <alignment horizontal="center"/>
    </xf>
    <xf numFmtId="164" fontId="52" fillId="0" borderId="94" xfId="4" applyFont="1" applyBorder="1" applyAlignment="1">
      <alignment horizontal="center"/>
    </xf>
    <xf numFmtId="9" fontId="52" fillId="0" borderId="0" xfId="3" applyFont="1" applyBorder="1" applyAlignment="1">
      <alignment horizontal="center"/>
    </xf>
    <xf numFmtId="9" fontId="52" fillId="0" borderId="95" xfId="3" applyFont="1" applyBorder="1" applyAlignment="1">
      <alignment horizontal="center"/>
    </xf>
    <xf numFmtId="188" fontId="56" fillId="0" borderId="0" xfId="1" applyNumberFormat="1" applyFont="1" applyAlignment="1">
      <alignment horizontal="left"/>
    </xf>
    <xf numFmtId="164" fontId="52" fillId="0" borderId="95" xfId="4" applyFont="1" applyBorder="1" applyAlignment="1">
      <alignment horizontal="center"/>
    </xf>
    <xf numFmtId="178" fontId="56" fillId="0" borderId="0" xfId="1" applyNumberFormat="1" applyFont="1" applyAlignment="1">
      <alignment horizontal="center"/>
    </xf>
    <xf numFmtId="169" fontId="52" fillId="0" borderId="0" xfId="2" applyFont="1" applyBorder="1" applyAlignment="1">
      <alignment horizontal="center"/>
    </xf>
    <xf numFmtId="169" fontId="52" fillId="0" borderId="95" xfId="2" applyFont="1" applyBorder="1" applyAlignment="1">
      <alignment horizontal="center"/>
    </xf>
    <xf numFmtId="43" fontId="52" fillId="0" borderId="94" xfId="1" applyFont="1" applyBorder="1" applyAlignment="1">
      <alignment horizontal="center"/>
    </xf>
    <xf numFmtId="43" fontId="52" fillId="0" borderId="0" xfId="1" applyFont="1" applyBorder="1" applyAlignment="1">
      <alignment horizontal="right"/>
    </xf>
    <xf numFmtId="9" fontId="52" fillId="0" borderId="0" xfId="3" applyFont="1" applyBorder="1" applyAlignment="1">
      <alignment horizontal="right"/>
    </xf>
    <xf numFmtId="9" fontId="52" fillId="0" borderId="95" xfId="3" applyFont="1" applyBorder="1" applyAlignment="1">
      <alignment horizontal="right"/>
    </xf>
    <xf numFmtId="164" fontId="63" fillId="0" borderId="0" xfId="4" applyFont="1" applyAlignment="1">
      <alignment horizontal="center"/>
    </xf>
    <xf numFmtId="164" fontId="56" fillId="0" borderId="0" xfId="4" applyFont="1" applyAlignment="1">
      <alignment horizontal="left"/>
    </xf>
    <xf numFmtId="9" fontId="52" fillId="0" borderId="0" xfId="3" applyFont="1" applyBorder="1" applyAlignment="1"/>
    <xf numFmtId="9" fontId="52" fillId="0" borderId="95" xfId="3" applyFont="1" applyBorder="1" applyAlignment="1"/>
    <xf numFmtId="0" fontId="56" fillId="0" borderId="0" xfId="4" applyNumberFormat="1" applyFont="1" applyAlignment="1">
      <alignment horizontal="left"/>
    </xf>
    <xf numFmtId="168" fontId="3" fillId="0" borderId="0" xfId="1" applyNumberFormat="1" applyFont="1" applyAlignment="1">
      <alignment horizontal="center"/>
    </xf>
    <xf numFmtId="164" fontId="52" fillId="0" borderId="96" xfId="4" applyFont="1" applyBorder="1" applyAlignment="1">
      <alignment horizontal="center"/>
    </xf>
    <xf numFmtId="164" fontId="52" fillId="0" borderId="97" xfId="4" applyFont="1" applyBorder="1" applyAlignment="1">
      <alignment horizontal="center"/>
    </xf>
    <xf numFmtId="9" fontId="52" fillId="0" borderId="97" xfId="3" applyFont="1" applyBorder="1" applyAlignment="1">
      <alignment horizontal="center"/>
    </xf>
    <xf numFmtId="9" fontId="52" fillId="0" borderId="98" xfId="3" applyFont="1" applyBorder="1" applyAlignment="1">
      <alignment horizontal="center"/>
    </xf>
    <xf numFmtId="9" fontId="56" fillId="0" borderId="0" xfId="3" applyFont="1" applyAlignment="1">
      <alignment horizontal="center"/>
    </xf>
    <xf numFmtId="43" fontId="56" fillId="0" borderId="0" xfId="1" applyFont="1" applyAlignment="1">
      <alignment horizontal="center"/>
    </xf>
    <xf numFmtId="164" fontId="62" fillId="0" borderId="0" xfId="4" applyFont="1" applyAlignment="1">
      <alignment horizontal="center"/>
    </xf>
    <xf numFmtId="165" fontId="53" fillId="0" borderId="0" xfId="4" applyNumberFormat="1" applyFont="1" applyAlignment="1">
      <alignment horizontal="center"/>
    </xf>
    <xf numFmtId="164" fontId="59" fillId="0" borderId="0" xfId="4" applyFont="1" applyAlignment="1">
      <alignment horizontal="center"/>
    </xf>
    <xf numFmtId="0" fontId="75" fillId="0" borderId="0" xfId="0" applyNumberFormat="1" applyFont="1" applyAlignment="1">
      <alignment vertical="center"/>
    </xf>
    <xf numFmtId="164" fontId="76" fillId="6" borderId="99" xfId="0" applyFont="1" applyFill="1" applyBorder="1" applyAlignment="1">
      <alignment horizontal="left" vertical="center"/>
    </xf>
    <xf numFmtId="164" fontId="4" fillId="18" borderId="100" xfId="0" applyFont="1" applyFill="1" applyBorder="1" applyAlignment="1">
      <alignment horizontal="center" vertical="center"/>
    </xf>
    <xf numFmtId="164" fontId="4" fillId="18" borderId="101" xfId="0" applyFont="1" applyFill="1" applyBorder="1" applyAlignment="1">
      <alignment horizontal="center" vertical="center"/>
    </xf>
    <xf numFmtId="164" fontId="4" fillId="18" borderId="102" xfId="0" applyFont="1" applyFill="1" applyBorder="1" applyAlignment="1">
      <alignment horizontal="center" vertical="center"/>
    </xf>
    <xf numFmtId="164" fontId="4" fillId="18" borderId="103" xfId="0" applyFont="1" applyFill="1" applyBorder="1" applyAlignment="1">
      <alignment horizontal="center" vertical="center"/>
    </xf>
    <xf numFmtId="164" fontId="4" fillId="19" borderId="104" xfId="0" applyFont="1" applyFill="1" applyBorder="1" applyAlignment="1">
      <alignment horizontal="center" vertical="center"/>
    </xf>
    <xf numFmtId="164" fontId="4" fillId="19" borderId="101" xfId="0" applyFont="1" applyFill="1" applyBorder="1" applyAlignment="1">
      <alignment horizontal="center" vertical="center"/>
    </xf>
    <xf numFmtId="164" fontId="4" fillId="19" borderId="102" xfId="0" applyFont="1" applyFill="1" applyBorder="1" applyAlignment="1">
      <alignment horizontal="center" vertical="center"/>
    </xf>
    <xf numFmtId="164" fontId="4" fillId="19" borderId="100" xfId="0" applyFont="1" applyFill="1" applyBorder="1" applyAlignment="1">
      <alignment horizontal="center" vertical="center"/>
    </xf>
    <xf numFmtId="164" fontId="4" fillId="19" borderId="103" xfId="0" applyFont="1" applyFill="1" applyBorder="1" applyAlignment="1">
      <alignment horizontal="center" vertical="center"/>
    </xf>
    <xf numFmtId="164" fontId="4" fillId="20" borderId="104" xfId="0" applyFont="1" applyFill="1" applyBorder="1" applyAlignment="1">
      <alignment horizontal="center" vertical="center"/>
    </xf>
    <xf numFmtId="164" fontId="4" fillId="20" borderId="101" xfId="0" applyFont="1" applyFill="1" applyBorder="1" applyAlignment="1">
      <alignment horizontal="center" vertical="center"/>
    </xf>
    <xf numFmtId="164" fontId="4" fillId="20" borderId="100" xfId="0" applyFont="1" applyFill="1" applyBorder="1" applyAlignment="1">
      <alignment horizontal="center" vertical="center"/>
    </xf>
    <xf numFmtId="164" fontId="4" fillId="20" borderId="102" xfId="0" applyFont="1" applyFill="1" applyBorder="1" applyAlignment="1">
      <alignment horizontal="center" vertical="center"/>
    </xf>
    <xf numFmtId="164" fontId="4" fillId="6" borderId="105" xfId="0" applyFont="1" applyFill="1" applyBorder="1" applyAlignment="1">
      <alignment horizontal="center" vertical="center"/>
    </xf>
    <xf numFmtId="164" fontId="0" fillId="0" borderId="0" xfId="0" applyAlignment="1">
      <alignment vertical="center"/>
    </xf>
    <xf numFmtId="164" fontId="75" fillId="0" borderId="0" xfId="0" applyFont="1" applyAlignment="1">
      <alignment horizontal="right" vertical="center"/>
    </xf>
    <xf numFmtId="164" fontId="4" fillId="6" borderId="106" xfId="0" applyFont="1" applyFill="1" applyBorder="1" applyAlignment="1">
      <alignment vertical="center"/>
    </xf>
    <xf numFmtId="164" fontId="4" fillId="18" borderId="9" xfId="0" applyFont="1" applyFill="1" applyBorder="1" applyAlignment="1">
      <alignment horizontal="center" vertical="center"/>
    </xf>
    <xf numFmtId="164" fontId="4" fillId="18" borderId="107" xfId="0" applyFont="1" applyFill="1" applyBorder="1" applyAlignment="1">
      <alignment horizontal="center" vertical="center"/>
    </xf>
    <xf numFmtId="164" fontId="4" fillId="19" borderId="108" xfId="0" applyFont="1" applyFill="1" applyBorder="1" applyAlignment="1">
      <alignment horizontal="center" vertical="center"/>
    </xf>
    <xf numFmtId="164" fontId="4" fillId="19" borderId="9" xfId="0" applyFont="1" applyFill="1" applyBorder="1" applyAlignment="1">
      <alignment horizontal="center" vertical="center"/>
    </xf>
    <xf numFmtId="164" fontId="4" fillId="19" borderId="107" xfId="0" applyFont="1" applyFill="1" applyBorder="1" applyAlignment="1">
      <alignment horizontal="center" vertical="center"/>
    </xf>
    <xf numFmtId="164" fontId="4" fillId="20" borderId="108" xfId="0" applyFont="1" applyFill="1" applyBorder="1" applyAlignment="1">
      <alignment horizontal="center" vertical="center"/>
    </xf>
    <xf numFmtId="164" fontId="4" fillId="20" borderId="9" xfId="0" applyFont="1" applyFill="1" applyBorder="1" applyAlignment="1">
      <alignment horizontal="center" vertical="center"/>
    </xf>
    <xf numFmtId="164" fontId="4" fillId="20" borderId="100" xfId="0" applyFont="1" applyFill="1" applyBorder="1" applyAlignment="1">
      <alignment horizontal="center" vertical="center"/>
    </xf>
    <xf numFmtId="164" fontId="4" fillId="6" borderId="10" xfId="0" applyFont="1" applyFill="1" applyBorder="1" applyAlignment="1">
      <alignment horizontal="center" vertical="center"/>
    </xf>
    <xf numFmtId="164" fontId="0" fillId="6" borderId="0" xfId="0" applyFill="1"/>
    <xf numFmtId="164" fontId="4" fillId="6" borderId="9" xfId="0" applyFont="1" applyFill="1" applyBorder="1"/>
    <xf numFmtId="167" fontId="77" fillId="6" borderId="108" xfId="1" applyNumberFormat="1" applyFont="1" applyFill="1" applyBorder="1" applyAlignment="1"/>
    <xf numFmtId="167" fontId="77" fillId="6" borderId="9" xfId="1" applyNumberFormat="1" applyFont="1" applyFill="1" applyBorder="1" applyAlignment="1"/>
    <xf numFmtId="167" fontId="65" fillId="6" borderId="100" xfId="1" applyNumberFormat="1" applyFont="1" applyFill="1" applyBorder="1" applyAlignment="1"/>
    <xf numFmtId="9" fontId="65" fillId="6" borderId="9" xfId="3" applyFont="1" applyFill="1" applyBorder="1" applyAlignment="1">
      <alignment horizontal="right"/>
    </xf>
    <xf numFmtId="9" fontId="65" fillId="6" borderId="107" xfId="3" applyFont="1" applyFill="1" applyBorder="1" applyAlignment="1">
      <alignment horizontal="right"/>
    </xf>
    <xf numFmtId="9" fontId="78" fillId="6" borderId="109" xfId="3" applyFont="1" applyFill="1" applyBorder="1" applyAlignment="1">
      <alignment horizontal="center" vertical="center"/>
    </xf>
    <xf numFmtId="164" fontId="78" fillId="6" borderId="109" xfId="0" applyFont="1" applyFill="1" applyBorder="1" applyAlignment="1">
      <alignment horizontal="left" vertical="center" indent="3"/>
    </xf>
    <xf numFmtId="167" fontId="79" fillId="6" borderId="110" xfId="1" applyNumberFormat="1" applyFont="1" applyFill="1" applyBorder="1" applyAlignment="1">
      <alignment vertical="center"/>
    </xf>
    <xf numFmtId="167" fontId="79" fillId="6" borderId="109" xfId="1" applyNumberFormat="1" applyFont="1" applyFill="1" applyBorder="1" applyAlignment="1">
      <alignment vertical="center"/>
    </xf>
    <xf numFmtId="167" fontId="80" fillId="6" borderId="111" xfId="1" applyNumberFormat="1" applyFont="1" applyFill="1" applyBorder="1" applyAlignment="1">
      <alignment vertical="center"/>
    </xf>
    <xf numFmtId="9" fontId="80" fillId="6" borderId="112" xfId="3" applyFont="1" applyFill="1" applyBorder="1" applyAlignment="1">
      <alignment horizontal="right" vertical="center"/>
    </xf>
    <xf numFmtId="9" fontId="80" fillId="6" borderId="109" xfId="3" applyFont="1" applyFill="1" applyBorder="1" applyAlignment="1">
      <alignment horizontal="right" vertical="center"/>
    </xf>
    <xf numFmtId="164" fontId="78" fillId="6" borderId="113" xfId="0" applyFont="1" applyFill="1" applyBorder="1" applyAlignment="1">
      <alignment horizontal="left" vertical="center" indent="3"/>
    </xf>
    <xf numFmtId="167" fontId="79" fillId="6" borderId="114" xfId="1" applyNumberFormat="1" applyFont="1" applyFill="1" applyBorder="1" applyAlignment="1">
      <alignment vertical="center"/>
    </xf>
    <xf numFmtId="167" fontId="79" fillId="6" borderId="113" xfId="1" applyNumberFormat="1" applyFont="1" applyFill="1" applyBorder="1" applyAlignment="1">
      <alignment vertical="center"/>
    </xf>
    <xf numFmtId="167" fontId="80" fillId="6" borderId="115" xfId="1" applyNumberFormat="1" applyFont="1" applyFill="1" applyBorder="1" applyAlignment="1">
      <alignment vertical="center"/>
    </xf>
    <xf numFmtId="9" fontId="80" fillId="6" borderId="113" xfId="3" applyFont="1" applyFill="1" applyBorder="1" applyAlignment="1">
      <alignment horizontal="right" vertical="center"/>
    </xf>
    <xf numFmtId="9" fontId="80" fillId="6" borderId="116" xfId="3" applyFont="1" applyFill="1" applyBorder="1" applyAlignment="1">
      <alignment horizontal="right" vertical="center"/>
    </xf>
    <xf numFmtId="9" fontId="78" fillId="6" borderId="113" xfId="3" applyFont="1" applyFill="1" applyBorder="1" applyAlignment="1">
      <alignment horizontal="center" vertical="center"/>
    </xf>
    <xf numFmtId="164" fontId="78" fillId="6" borderId="10" xfId="0" applyFont="1" applyFill="1" applyBorder="1" applyAlignment="1">
      <alignment horizontal="left" vertical="center" indent="3"/>
    </xf>
    <xf numFmtId="167" fontId="79" fillId="6" borderId="117" xfId="1" applyNumberFormat="1" applyFont="1" applyFill="1" applyBorder="1" applyAlignment="1">
      <alignment vertical="center"/>
    </xf>
    <xf numFmtId="167" fontId="79" fillId="6" borderId="10" xfId="1" applyNumberFormat="1" applyFont="1" applyFill="1" applyBorder="1" applyAlignment="1">
      <alignment vertical="center"/>
    </xf>
    <xf numFmtId="167" fontId="80" fillId="6" borderId="106" xfId="1" applyNumberFormat="1" applyFont="1" applyFill="1" applyBorder="1" applyAlignment="1">
      <alignment vertical="center"/>
    </xf>
    <xf numFmtId="9" fontId="80" fillId="6" borderId="10" xfId="3" applyFont="1" applyFill="1" applyBorder="1" applyAlignment="1">
      <alignment horizontal="right" vertical="center"/>
    </xf>
    <xf numFmtId="9" fontId="80" fillId="6" borderId="118" xfId="3" applyFont="1" applyFill="1" applyBorder="1" applyAlignment="1">
      <alignment horizontal="right" vertical="center"/>
    </xf>
    <xf numFmtId="9" fontId="78" fillId="6" borderId="10" xfId="3" applyFont="1" applyFill="1" applyBorder="1" applyAlignment="1">
      <alignment horizontal="center" vertical="center"/>
    </xf>
    <xf numFmtId="167" fontId="81" fillId="6" borderId="0" xfId="1" applyNumberFormat="1" applyFont="1" applyFill="1"/>
    <xf numFmtId="167" fontId="53" fillId="6" borderId="0" xfId="1" applyNumberFormat="1" applyFont="1" applyFill="1"/>
    <xf numFmtId="167" fontId="53" fillId="6" borderId="0" xfId="1" applyNumberFormat="1" applyFont="1" applyFill="1" applyAlignment="1">
      <alignment horizontal="right"/>
    </xf>
    <xf numFmtId="167" fontId="81" fillId="6" borderId="0" xfId="1" applyNumberFormat="1" applyFont="1" applyFill="1" applyBorder="1"/>
    <xf numFmtId="167" fontId="53" fillId="6" borderId="0" xfId="1" applyNumberFormat="1" applyFont="1" applyFill="1" applyBorder="1"/>
    <xf numFmtId="167" fontId="53" fillId="6" borderId="26" xfId="1" applyNumberFormat="1" applyFont="1" applyFill="1" applyBorder="1" applyAlignment="1">
      <alignment horizontal="right"/>
    </xf>
    <xf numFmtId="167" fontId="53" fillId="6" borderId="0" xfId="1" applyNumberFormat="1" applyFont="1" applyFill="1" applyBorder="1" applyAlignment="1">
      <alignment horizontal="right"/>
    </xf>
    <xf numFmtId="164" fontId="0" fillId="6" borderId="0" xfId="0" applyFill="1" applyAlignment="1">
      <alignment horizontal="center"/>
    </xf>
    <xf numFmtId="9" fontId="4" fillId="6" borderId="9" xfId="3" applyFont="1" applyFill="1" applyBorder="1" applyAlignment="1">
      <alignment horizontal="center"/>
    </xf>
    <xf numFmtId="167" fontId="79" fillId="0" borderId="110" xfId="1" applyNumberFormat="1" applyFont="1" applyFill="1" applyBorder="1" applyAlignment="1">
      <alignment vertical="center"/>
    </xf>
    <xf numFmtId="167" fontId="79" fillId="0" borderId="109" xfId="1" applyNumberFormat="1" applyFont="1" applyFill="1" applyBorder="1" applyAlignment="1">
      <alignment vertical="center"/>
    </xf>
    <xf numFmtId="167" fontId="80" fillId="0" borderId="111" xfId="1" applyNumberFormat="1" applyFont="1" applyFill="1" applyBorder="1" applyAlignment="1">
      <alignment vertical="center"/>
    </xf>
    <xf numFmtId="9" fontId="80" fillId="0" borderId="109" xfId="3" applyFont="1" applyFill="1" applyBorder="1" applyAlignment="1">
      <alignment horizontal="right" vertical="center"/>
    </xf>
    <xf numFmtId="164" fontId="78" fillId="6" borderId="119" xfId="0" applyFont="1" applyFill="1" applyBorder="1" applyAlignment="1">
      <alignment horizontal="left" vertical="center" indent="3"/>
    </xf>
    <xf numFmtId="167" fontId="79" fillId="6" borderId="120" xfId="1" applyNumberFormat="1" applyFont="1" applyFill="1" applyBorder="1" applyAlignment="1">
      <alignment vertical="center"/>
    </xf>
    <xf numFmtId="167" fontId="79" fillId="6" borderId="119" xfId="1" applyNumberFormat="1" applyFont="1" applyFill="1" applyBorder="1" applyAlignment="1">
      <alignment vertical="center"/>
    </xf>
    <xf numFmtId="167" fontId="80" fillId="6" borderId="121" xfId="1" applyNumberFormat="1" applyFont="1" applyFill="1" applyBorder="1" applyAlignment="1">
      <alignment vertical="center"/>
    </xf>
    <xf numFmtId="9" fontId="80" fillId="6" borderId="119" xfId="3" applyFont="1" applyFill="1" applyBorder="1" applyAlignment="1">
      <alignment horizontal="right" vertical="center"/>
    </xf>
    <xf numFmtId="9" fontId="80" fillId="6" borderId="122" xfId="3" applyFont="1" applyFill="1" applyBorder="1" applyAlignment="1">
      <alignment horizontal="right" vertical="center"/>
    </xf>
    <xf numFmtId="9" fontId="78" fillId="6" borderId="119" xfId="3" applyFont="1" applyFill="1" applyBorder="1" applyAlignment="1">
      <alignment horizontal="center" vertical="center"/>
    </xf>
    <xf numFmtId="164" fontId="78" fillId="6" borderId="123" xfId="0" applyFont="1" applyFill="1" applyBorder="1" applyAlignment="1">
      <alignment horizontal="left" vertical="center" indent="3"/>
    </xf>
    <xf numFmtId="167" fontId="79" fillId="6" borderId="124" xfId="1" applyNumberFormat="1" applyFont="1" applyFill="1" applyBorder="1" applyAlignment="1">
      <alignment vertical="center"/>
    </xf>
    <xf numFmtId="167" fontId="79" fillId="6" borderId="123" xfId="1" applyNumberFormat="1" applyFont="1" applyFill="1" applyBorder="1" applyAlignment="1">
      <alignment vertical="center"/>
    </xf>
    <xf numFmtId="167" fontId="80" fillId="6" borderId="125" xfId="1" applyNumberFormat="1" applyFont="1" applyFill="1" applyBorder="1" applyAlignment="1">
      <alignment vertical="center"/>
    </xf>
    <xf numFmtId="9" fontId="80" fillId="6" borderId="123" xfId="3" applyFont="1" applyFill="1" applyBorder="1" applyAlignment="1">
      <alignment horizontal="right" vertical="center"/>
    </xf>
    <xf numFmtId="9" fontId="80" fillId="6" borderId="126" xfId="3" applyFont="1" applyFill="1" applyBorder="1" applyAlignment="1">
      <alignment horizontal="right" vertical="center"/>
    </xf>
    <xf numFmtId="9" fontId="78" fillId="6" borderId="123" xfId="3" applyFont="1" applyFill="1" applyBorder="1" applyAlignment="1">
      <alignment horizontal="center" vertical="center"/>
    </xf>
    <xf numFmtId="164" fontId="78" fillId="6" borderId="0" xfId="0" applyFont="1" applyFill="1" applyAlignment="1">
      <alignment horizontal="left" vertical="center" indent="3"/>
    </xf>
    <xf numFmtId="167" fontId="79" fillId="6" borderId="0" xfId="1" applyNumberFormat="1" applyFont="1" applyFill="1" applyBorder="1" applyAlignment="1">
      <alignment vertical="center"/>
    </xf>
    <xf numFmtId="167" fontId="80" fillId="6" borderId="0" xfId="1" applyNumberFormat="1" applyFont="1" applyFill="1" applyBorder="1" applyAlignment="1">
      <alignment vertical="center"/>
    </xf>
    <xf numFmtId="9" fontId="80" fillId="6" borderId="0" xfId="3" applyFont="1" applyFill="1" applyBorder="1" applyAlignment="1">
      <alignment horizontal="right" vertical="center"/>
    </xf>
    <xf numFmtId="9" fontId="78" fillId="6" borderId="0" xfId="3" applyFont="1" applyFill="1" applyBorder="1" applyAlignment="1">
      <alignment horizontal="center" vertical="center"/>
    </xf>
    <xf numFmtId="164" fontId="4" fillId="6" borderId="9" xfId="0" applyFont="1" applyFill="1" applyBorder="1" applyAlignment="1">
      <alignment horizontal="center"/>
    </xf>
    <xf numFmtId="167" fontId="65" fillId="6" borderId="9" xfId="3" applyNumberFormat="1" applyFont="1" applyFill="1" applyBorder="1" applyAlignment="1">
      <alignment horizontal="right"/>
    </xf>
    <xf numFmtId="167" fontId="65" fillId="6" borderId="107" xfId="3" applyNumberFormat="1" applyFont="1" applyFill="1" applyBorder="1" applyAlignment="1">
      <alignment horizontal="right"/>
    </xf>
    <xf numFmtId="167" fontId="80" fillId="6" borderId="112" xfId="3" applyNumberFormat="1" applyFont="1" applyFill="1" applyBorder="1" applyAlignment="1">
      <alignment horizontal="right" vertical="center"/>
    </xf>
    <xf numFmtId="167" fontId="80" fillId="6" borderId="109" xfId="3" applyNumberFormat="1" applyFont="1" applyFill="1" applyBorder="1" applyAlignment="1">
      <alignment horizontal="right" vertical="center"/>
    </xf>
    <xf numFmtId="167" fontId="80" fillId="6" borderId="113" xfId="3" applyNumberFormat="1" applyFont="1" applyFill="1" applyBorder="1" applyAlignment="1">
      <alignment horizontal="right" vertical="center"/>
    </xf>
    <xf numFmtId="167" fontId="80" fillId="6" borderId="116" xfId="3" applyNumberFormat="1" applyFont="1" applyFill="1" applyBorder="1" applyAlignment="1">
      <alignment horizontal="right" vertical="center"/>
    </xf>
    <xf numFmtId="167" fontId="80" fillId="6" borderId="10" xfId="3" applyNumberFormat="1" applyFont="1" applyFill="1" applyBorder="1" applyAlignment="1">
      <alignment horizontal="right" vertical="center"/>
    </xf>
    <xf numFmtId="167" fontId="80" fillId="6" borderId="118" xfId="3" applyNumberFormat="1" applyFont="1" applyFill="1" applyBorder="1" applyAlignment="1">
      <alignment horizontal="right" vertical="center"/>
    </xf>
    <xf numFmtId="167" fontId="80" fillId="0" borderId="109" xfId="3" applyNumberFormat="1" applyFont="1" applyFill="1" applyBorder="1" applyAlignment="1">
      <alignment horizontal="right" vertical="center"/>
    </xf>
    <xf numFmtId="167" fontId="80" fillId="6" borderId="119" xfId="3" applyNumberFormat="1" applyFont="1" applyFill="1" applyBorder="1" applyAlignment="1">
      <alignment horizontal="right" vertical="center"/>
    </xf>
    <xf numFmtId="167" fontId="80" fillId="6" borderId="122" xfId="3" applyNumberFormat="1" applyFont="1" applyFill="1" applyBorder="1" applyAlignment="1">
      <alignment horizontal="right" vertical="center"/>
    </xf>
    <xf numFmtId="167" fontId="80" fillId="6" borderId="123" xfId="3" applyNumberFormat="1" applyFont="1" applyFill="1" applyBorder="1" applyAlignment="1">
      <alignment horizontal="right" vertical="center"/>
    </xf>
    <xf numFmtId="167" fontId="80" fillId="6" borderId="126" xfId="3" applyNumberFormat="1" applyFont="1" applyFill="1" applyBorder="1" applyAlignment="1">
      <alignment horizontal="right" vertical="center"/>
    </xf>
    <xf numFmtId="164" fontId="0" fillId="0" borderId="0" xfId="0" applyAlignment="1">
      <alignment horizontal="center"/>
    </xf>
    <xf numFmtId="43" fontId="0" fillId="0" borderId="0" xfId="1" applyFont="1"/>
    <xf numFmtId="167" fontId="0" fillId="0" borderId="0" xfId="1" applyNumberFormat="1" applyFont="1" applyFill="1"/>
    <xf numFmtId="43" fontId="0" fillId="9" borderId="0" xfId="1" applyFont="1" applyFill="1"/>
    <xf numFmtId="169" fontId="0" fillId="0" borderId="0" xfId="2" applyFont="1"/>
    <xf numFmtId="167" fontId="0" fillId="0" borderId="0" xfId="1" applyNumberFormat="1" applyFont="1"/>
    <xf numFmtId="170" fontId="0" fillId="9" borderId="0" xfId="2" applyNumberFormat="1" applyFont="1" applyFill="1"/>
    <xf numFmtId="164" fontId="0" fillId="9" borderId="0" xfId="0" applyFill="1"/>
    <xf numFmtId="9" fontId="0" fillId="0" borderId="0" xfId="3" applyFont="1"/>
    <xf numFmtId="167" fontId="0" fillId="0" borderId="0" xfId="1" applyNumberFormat="1" applyFont="1" applyAlignment="1">
      <alignment horizontal="center"/>
    </xf>
    <xf numFmtId="170" fontId="0" fillId="0" borderId="0" xfId="2" applyNumberFormat="1" applyFont="1"/>
    <xf numFmtId="169" fontId="0" fillId="0" borderId="0" xfId="2" applyFont="1" applyFill="1"/>
    <xf numFmtId="164" fontId="4" fillId="0" borderId="105" xfId="0" applyFont="1" applyBorder="1" applyAlignment="1">
      <alignment horizontal="center"/>
    </xf>
    <xf numFmtId="164" fontId="4" fillId="0" borderId="100" xfId="0" applyFont="1" applyBorder="1" applyAlignment="1">
      <alignment horizontal="center"/>
    </xf>
    <xf numFmtId="164" fontId="4" fillId="0" borderId="102" xfId="0" applyFont="1" applyBorder="1" applyAlignment="1">
      <alignment horizontal="center"/>
    </xf>
    <xf numFmtId="164" fontId="4" fillId="0" borderId="105" xfId="0" applyFont="1" applyBorder="1" applyAlignment="1">
      <alignment horizontal="center" vertical="center"/>
    </xf>
    <xf numFmtId="164" fontId="4" fillId="0" borderId="10" xfId="0" applyFont="1" applyBorder="1" applyAlignment="1">
      <alignment horizontal="center"/>
    </xf>
    <xf numFmtId="164" fontId="1" fillId="0" borderId="9" xfId="0" applyFont="1" applyBorder="1" applyAlignment="1">
      <alignment horizontal="center"/>
    </xf>
    <xf numFmtId="164" fontId="4" fillId="0" borderId="10" xfId="0" applyFont="1" applyBorder="1" applyAlignment="1">
      <alignment horizontal="center" vertical="center"/>
    </xf>
    <xf numFmtId="164" fontId="0" fillId="0" borderId="127" xfId="0" applyBorder="1" applyAlignment="1">
      <alignment horizontal="center"/>
    </xf>
    <xf numFmtId="43" fontId="0" fillId="0" borderId="128" xfId="1" applyFont="1" applyBorder="1"/>
    <xf numFmtId="43" fontId="0" fillId="0" borderId="127" xfId="1" applyFont="1" applyBorder="1"/>
    <xf numFmtId="164" fontId="0" fillId="0" borderId="8" xfId="0" applyBorder="1" applyAlignment="1">
      <alignment horizontal="center"/>
    </xf>
    <xf numFmtId="43" fontId="0" fillId="0" borderId="129" xfId="1" applyFont="1" applyBorder="1"/>
    <xf numFmtId="43" fontId="0" fillId="0" borderId="8" xfId="1" applyFont="1" applyBorder="1"/>
    <xf numFmtId="164" fontId="0" fillId="0" borderId="130" xfId="0" applyBorder="1" applyAlignment="1">
      <alignment horizontal="center"/>
    </xf>
    <xf numFmtId="43" fontId="0" fillId="0" borderId="130" xfId="1" applyFont="1" applyBorder="1"/>
    <xf numFmtId="164" fontId="4" fillId="10" borderId="9" xfId="0" applyFont="1" applyFill="1" applyBorder="1" applyAlignment="1">
      <alignment horizontal="center"/>
    </xf>
    <xf numFmtId="43" fontId="0" fillId="10" borderId="101" xfId="1" applyFont="1" applyFill="1" applyBorder="1"/>
    <xf numFmtId="43" fontId="0" fillId="10" borderId="9" xfId="1" applyFont="1" applyFill="1" applyBorder="1"/>
    <xf numFmtId="43" fontId="4" fillId="10" borderId="9" xfId="1" applyFont="1" applyFill="1" applyBorder="1"/>
    <xf numFmtId="43" fontId="82" fillId="0" borderId="131" xfId="1" applyFont="1" applyFill="1" applyBorder="1"/>
    <xf numFmtId="164" fontId="13" fillId="0" borderId="132" xfId="0" applyFont="1" applyBorder="1"/>
    <xf numFmtId="164" fontId="13" fillId="0" borderId="132" xfId="0" applyFont="1" applyBorder="1" applyAlignment="1">
      <alignment horizontal="center"/>
    </xf>
    <xf numFmtId="0" fontId="13" fillId="0" borderId="132" xfId="0" applyNumberFormat="1" applyFont="1" applyBorder="1" applyAlignment="1">
      <alignment horizontal="center"/>
    </xf>
    <xf numFmtId="167" fontId="13" fillId="0" borderId="132" xfId="1" applyNumberFormat="1" applyFont="1" applyBorder="1"/>
    <xf numFmtId="9" fontId="0" fillId="0" borderId="0" xfId="3" applyFont="1" applyBorder="1"/>
    <xf numFmtId="164" fontId="0" fillId="21" borderId="0" xfId="0" applyFill="1" applyAlignment="1">
      <alignment horizontal="center" vertical="center"/>
    </xf>
    <xf numFmtId="0" fontId="83" fillId="0" borderId="0" xfId="1" applyNumberFormat="1" applyFont="1"/>
    <xf numFmtId="9" fontId="84" fillId="21" borderId="0" xfId="3" applyFont="1" applyFill="1" applyAlignment="1">
      <alignment horizontal="center" vertical="center"/>
    </xf>
    <xf numFmtId="169" fontId="0" fillId="22" borderId="0" xfId="2" applyFont="1" applyFill="1"/>
    <xf numFmtId="189" fontId="85" fillId="6" borderId="100" xfId="0" applyNumberFormat="1" applyFont="1" applyFill="1" applyBorder="1" applyAlignment="1">
      <alignment horizontal="center"/>
    </xf>
    <xf numFmtId="189" fontId="85" fillId="6" borderId="101" xfId="0" applyNumberFormat="1" applyFont="1" applyFill="1" applyBorder="1" applyAlignment="1">
      <alignment horizontal="center"/>
    </xf>
    <xf numFmtId="189" fontId="85" fillId="6" borderId="102" xfId="0" applyNumberFormat="1" applyFont="1" applyFill="1" applyBorder="1" applyAlignment="1">
      <alignment horizontal="center"/>
    </xf>
    <xf numFmtId="164" fontId="7" fillId="6" borderId="0" xfId="0" applyFont="1" applyFill="1"/>
    <xf numFmtId="164" fontId="7" fillId="0" borderId="0" xfId="0" applyFont="1" applyAlignment="1">
      <alignment horizontal="center"/>
    </xf>
    <xf numFmtId="164" fontId="11" fillId="18" borderId="105" xfId="0" applyFont="1" applyFill="1" applyBorder="1"/>
    <xf numFmtId="0" fontId="11" fillId="18" borderId="9" xfId="0" applyNumberFormat="1" applyFont="1" applyFill="1" applyBorder="1" applyAlignment="1">
      <alignment horizontal="center"/>
    </xf>
    <xf numFmtId="164" fontId="11" fillId="18" borderId="105" xfId="0" applyFont="1" applyFill="1" applyBorder="1" applyAlignment="1">
      <alignment horizontal="center"/>
    </xf>
    <xf numFmtId="164" fontId="11" fillId="18" borderId="10" xfId="0" applyFont="1" applyFill="1" applyBorder="1"/>
    <xf numFmtId="164" fontId="11" fillId="18" borderId="9" xfId="0" applyFont="1" applyFill="1" applyBorder="1" applyAlignment="1">
      <alignment horizontal="center"/>
    </xf>
    <xf numFmtId="164" fontId="11" fillId="18" borderId="10" xfId="0" applyFont="1" applyFill="1" applyBorder="1" applyAlignment="1">
      <alignment horizontal="center"/>
    </xf>
    <xf numFmtId="9" fontId="11" fillId="8" borderId="100" xfId="0" applyNumberFormat="1" applyFont="1" applyFill="1" applyBorder="1"/>
    <xf numFmtId="9" fontId="7" fillId="8" borderId="101" xfId="0" applyNumberFormat="1" applyFont="1" applyFill="1" applyBorder="1" applyAlignment="1">
      <alignment horizontal="center"/>
    </xf>
    <xf numFmtId="164" fontId="7" fillId="8" borderId="101" xfId="0" applyFont="1" applyFill="1" applyBorder="1"/>
    <xf numFmtId="164" fontId="7" fillId="8" borderId="102" xfId="0" applyFont="1" applyFill="1" applyBorder="1"/>
    <xf numFmtId="9" fontId="7" fillId="6" borderId="109" xfId="0" applyNumberFormat="1" applyFont="1" applyFill="1" applyBorder="1"/>
    <xf numFmtId="9" fontId="7" fillId="6" borderId="109" xfId="0" applyNumberFormat="1" applyFont="1" applyFill="1" applyBorder="1" applyAlignment="1">
      <alignment horizontal="center"/>
    </xf>
    <xf numFmtId="9" fontId="7" fillId="6" borderId="109" xfId="3" applyFont="1" applyFill="1" applyBorder="1" applyAlignment="1">
      <alignment horizontal="center"/>
    </xf>
    <xf numFmtId="43" fontId="7" fillId="6" borderId="109" xfId="1" applyFont="1" applyFill="1" applyBorder="1" applyAlignment="1">
      <alignment horizontal="center"/>
    </xf>
    <xf numFmtId="169" fontId="7" fillId="6" borderId="109" xfId="2" applyFont="1" applyFill="1" applyBorder="1" applyAlignment="1">
      <alignment horizontal="center"/>
    </xf>
    <xf numFmtId="9" fontId="7" fillId="6" borderId="105" xfId="3" applyFont="1" applyFill="1" applyBorder="1"/>
    <xf numFmtId="9" fontId="7" fillId="6" borderId="113" xfId="0" applyNumberFormat="1" applyFont="1" applyFill="1" applyBorder="1"/>
    <xf numFmtId="9" fontId="7" fillId="6" borderId="113" xfId="0" applyNumberFormat="1" applyFont="1" applyFill="1" applyBorder="1" applyAlignment="1">
      <alignment horizontal="center"/>
    </xf>
    <xf numFmtId="9" fontId="7" fillId="6" borderId="113" xfId="3" applyFont="1" applyFill="1" applyBorder="1" applyAlignment="1">
      <alignment horizontal="center"/>
    </xf>
    <xf numFmtId="43" fontId="7" fillId="6" borderId="113" xfId="1" applyFont="1" applyFill="1" applyBorder="1" applyAlignment="1">
      <alignment horizontal="center"/>
    </xf>
    <xf numFmtId="170" fontId="7" fillId="6" borderId="113" xfId="2" applyNumberFormat="1" applyFont="1" applyFill="1" applyBorder="1" applyAlignment="1">
      <alignment horizontal="center"/>
    </xf>
    <xf numFmtId="9" fontId="7" fillId="6" borderId="130" xfId="3" applyFont="1" applyFill="1" applyBorder="1"/>
    <xf numFmtId="164" fontId="7" fillId="6" borderId="130" xfId="0" applyFont="1" applyFill="1" applyBorder="1"/>
    <xf numFmtId="169" fontId="7" fillId="6" borderId="113" xfId="2" applyFont="1" applyFill="1" applyBorder="1" applyAlignment="1">
      <alignment horizontal="center"/>
    </xf>
    <xf numFmtId="9" fontId="7" fillId="6" borderId="123" xfId="0" applyNumberFormat="1" applyFont="1" applyFill="1" applyBorder="1"/>
    <xf numFmtId="9" fontId="7" fillId="6" borderId="123" xfId="0" applyNumberFormat="1" applyFont="1" applyFill="1" applyBorder="1" applyAlignment="1">
      <alignment horizontal="center"/>
    </xf>
    <xf numFmtId="43" fontId="7" fillId="6" borderId="123" xfId="1" applyFont="1" applyFill="1" applyBorder="1" applyAlignment="1">
      <alignment horizontal="center"/>
    </xf>
    <xf numFmtId="9" fontId="7" fillId="6" borderId="10" xfId="3" applyFont="1" applyFill="1" applyBorder="1"/>
    <xf numFmtId="9" fontId="7" fillId="6" borderId="133" xfId="0" applyNumberFormat="1" applyFont="1" applyFill="1" applyBorder="1"/>
    <xf numFmtId="9" fontId="7" fillId="6" borderId="134" xfId="0" applyNumberFormat="1" applyFont="1" applyFill="1" applyBorder="1" applyAlignment="1">
      <alignment horizontal="center"/>
    </xf>
    <xf numFmtId="9" fontId="11" fillId="6" borderId="134" xfId="0" applyNumberFormat="1" applyFont="1" applyFill="1" applyBorder="1" applyAlignment="1">
      <alignment horizontal="center"/>
    </xf>
    <xf numFmtId="43" fontId="11" fillId="6" borderId="135" xfId="1" applyFont="1" applyFill="1" applyBorder="1" applyAlignment="1">
      <alignment horizontal="center"/>
    </xf>
    <xf numFmtId="9" fontId="7" fillId="6" borderId="9" xfId="3" applyFont="1" applyFill="1" applyBorder="1" applyAlignment="1">
      <alignment horizontal="center"/>
    </xf>
    <xf numFmtId="9" fontId="7" fillId="6" borderId="136" xfId="0" applyNumberFormat="1" applyFont="1" applyFill="1" applyBorder="1"/>
    <xf numFmtId="164" fontId="7" fillId="6" borderId="137" xfId="0" applyFont="1" applyFill="1" applyBorder="1" applyAlignment="1">
      <alignment horizontal="right"/>
    </xf>
    <xf numFmtId="164" fontId="7" fillId="6" borderId="138" xfId="0" applyFont="1" applyFill="1" applyBorder="1" applyAlignment="1">
      <alignment horizontal="center"/>
    </xf>
    <xf numFmtId="190" fontId="12" fillId="0" borderId="119" xfId="6" applyNumberFormat="1" applyFont="1" applyBorder="1"/>
    <xf numFmtId="2" fontId="7" fillId="6" borderId="109" xfId="0" applyNumberFormat="1" applyFont="1" applyFill="1" applyBorder="1" applyAlignment="1">
      <alignment horizontal="center"/>
    </xf>
    <xf numFmtId="9" fontId="7" fillId="6" borderId="131" xfId="0" applyNumberFormat="1" applyFont="1" applyFill="1" applyBorder="1"/>
    <xf numFmtId="164" fontId="7" fillId="6" borderId="0" xfId="0" applyFont="1" applyFill="1" applyAlignment="1">
      <alignment horizontal="right"/>
    </xf>
    <xf numFmtId="2" fontId="7" fillId="6" borderId="119" xfId="0" applyNumberFormat="1" applyFont="1" applyFill="1" applyBorder="1" applyAlignment="1">
      <alignment horizontal="center"/>
    </xf>
    <xf numFmtId="164" fontId="7" fillId="6" borderId="131" xfId="0" applyFont="1" applyFill="1" applyBorder="1"/>
    <xf numFmtId="164" fontId="7" fillId="6" borderId="139" xfId="0" applyFont="1" applyFill="1" applyBorder="1" applyAlignment="1">
      <alignment horizontal="center"/>
    </xf>
    <xf numFmtId="191" fontId="12" fillId="0" borderId="113" xfId="6" applyNumberFormat="1" applyFont="1" applyBorder="1"/>
    <xf numFmtId="2" fontId="7" fillId="6" borderId="113" xfId="0" applyNumberFormat="1" applyFont="1" applyFill="1" applyBorder="1" applyAlignment="1">
      <alignment horizontal="center"/>
    </xf>
    <xf numFmtId="164" fontId="7" fillId="6" borderId="106" xfId="0" applyFont="1" applyFill="1" applyBorder="1"/>
    <xf numFmtId="164" fontId="7" fillId="6" borderId="140" xfId="0" applyFont="1" applyFill="1" applyBorder="1"/>
    <xf numFmtId="164" fontId="7" fillId="6" borderId="141" xfId="0" applyFont="1" applyFill="1" applyBorder="1" applyAlignment="1">
      <alignment horizontal="center"/>
    </xf>
    <xf numFmtId="191" fontId="12" fillId="0" borderId="123" xfId="6" applyNumberFormat="1" applyFont="1" applyBorder="1"/>
    <xf numFmtId="2" fontId="7" fillId="6" borderId="123" xfId="0" applyNumberFormat="1" applyFont="1" applyFill="1" applyBorder="1" applyAlignment="1">
      <alignment horizontal="center"/>
    </xf>
    <xf numFmtId="9" fontId="10" fillId="6" borderId="109" xfId="3" applyFont="1" applyFill="1" applyBorder="1" applyAlignment="1">
      <alignment horizontal="center"/>
    </xf>
    <xf numFmtId="9" fontId="10" fillId="6" borderId="113" xfId="3" applyFont="1" applyFill="1" applyBorder="1" applyAlignment="1">
      <alignment horizontal="center"/>
    </xf>
    <xf numFmtId="9" fontId="10" fillId="6" borderId="123" xfId="3" applyFont="1" applyFill="1" applyBorder="1" applyAlignment="1">
      <alignment horizontal="center"/>
    </xf>
    <xf numFmtId="9" fontId="7" fillId="0" borderId="0" xfId="0" applyNumberFormat="1" applyFont="1"/>
    <xf numFmtId="9" fontId="7" fillId="0" borderId="0" xfId="0" applyNumberFormat="1" applyFont="1" applyAlignment="1">
      <alignment horizontal="center"/>
    </xf>
    <xf numFmtId="43" fontId="7" fillId="0" borderId="0" xfId="1" applyFont="1" applyBorder="1" applyAlignment="1">
      <alignment horizontal="center"/>
    </xf>
    <xf numFmtId="164" fontId="86" fillId="0" borderId="0" xfId="0" applyFont="1" applyAlignment="1">
      <alignment horizontal="center"/>
    </xf>
    <xf numFmtId="164" fontId="87" fillId="0" borderId="0" xfId="0" applyFont="1"/>
    <xf numFmtId="192" fontId="88" fillId="0" borderId="0" xfId="0" applyNumberFormat="1" applyFont="1" applyAlignment="1">
      <alignment horizontal="center"/>
    </xf>
    <xf numFmtId="1" fontId="86" fillId="0" borderId="0" xfId="0" applyNumberFormat="1" applyFont="1" applyAlignment="1">
      <alignment horizontal="center"/>
    </xf>
    <xf numFmtId="193" fontId="4" fillId="0" borderId="140" xfId="0" applyNumberFormat="1" applyFont="1" applyBorder="1" applyAlignment="1">
      <alignment horizontal="center" vertical="top"/>
    </xf>
    <xf numFmtId="43" fontId="2" fillId="2" borderId="9" xfId="1" applyFont="1" applyFill="1" applyBorder="1" applyAlignment="1">
      <alignment horizontal="center" vertical="center" wrapText="1"/>
    </xf>
    <xf numFmtId="164" fontId="2" fillId="2" borderId="100" xfId="7" applyFont="1" applyFill="1" applyBorder="1" applyAlignment="1">
      <alignment horizontal="center" vertical="center" wrapText="1"/>
    </xf>
    <xf numFmtId="164" fontId="2" fillId="2" borderId="102" xfId="7" applyFont="1" applyFill="1" applyBorder="1" applyAlignment="1">
      <alignment horizontal="center" vertical="center" wrapText="1"/>
    </xf>
    <xf numFmtId="164" fontId="2" fillId="2" borderId="105" xfId="7" applyFont="1" applyFill="1" applyBorder="1" applyAlignment="1">
      <alignment horizontal="center" vertical="center" wrapText="1"/>
    </xf>
    <xf numFmtId="164" fontId="87" fillId="0" borderId="0" xfId="0" applyFont="1" applyAlignment="1">
      <alignment horizontal="right"/>
    </xf>
    <xf numFmtId="0" fontId="87" fillId="0" borderId="0" xfId="0" applyNumberFormat="1" applyFont="1" applyAlignment="1">
      <alignment horizontal="left"/>
    </xf>
    <xf numFmtId="43" fontId="2" fillId="2" borderId="135" xfId="1" applyFont="1" applyFill="1" applyBorder="1" applyAlignment="1">
      <alignment horizontal="center" vertical="center" wrapText="1"/>
    </xf>
    <xf numFmtId="43" fontId="89" fillId="2" borderId="133" xfId="1" applyFont="1" applyFill="1" applyBorder="1" applyAlignment="1">
      <alignment horizontal="center" vertical="top" wrapText="1"/>
    </xf>
    <xf numFmtId="164" fontId="89" fillId="2" borderId="142" xfId="7" applyFont="1" applyFill="1" applyBorder="1" applyAlignment="1">
      <alignment horizontal="center" vertical="center" wrapText="1"/>
    </xf>
    <xf numFmtId="164" fontId="89" fillId="2" borderId="133" xfId="7" applyFont="1" applyFill="1" applyBorder="1" applyAlignment="1">
      <alignment horizontal="center" vertical="center" wrapText="1"/>
    </xf>
    <xf numFmtId="164" fontId="2" fillId="2" borderId="143" xfId="7" applyFont="1" applyFill="1" applyBorder="1" applyAlignment="1">
      <alignment horizontal="center" vertical="center" wrapText="1"/>
    </xf>
    <xf numFmtId="43" fontId="4" fillId="23" borderId="106" xfId="1" applyFont="1" applyFill="1" applyBorder="1"/>
    <xf numFmtId="43" fontId="4" fillId="23" borderId="144" xfId="1" applyFont="1" applyFill="1" applyBorder="1"/>
    <xf numFmtId="1" fontId="4" fillId="23" borderId="106" xfId="1" applyNumberFormat="1" applyFont="1" applyFill="1" applyBorder="1" applyAlignment="1">
      <alignment horizontal="center"/>
    </xf>
    <xf numFmtId="1" fontId="4" fillId="23" borderId="144" xfId="0" applyNumberFormat="1" applyFont="1" applyFill="1" applyBorder="1" applyAlignment="1">
      <alignment horizontal="center"/>
    </xf>
    <xf numFmtId="2" fontId="4" fillId="23" borderId="106" xfId="0" applyNumberFormat="1" applyFont="1" applyFill="1" applyBorder="1" applyAlignment="1">
      <alignment horizontal="center"/>
    </xf>
    <xf numFmtId="2" fontId="4" fillId="23" borderId="144" xfId="0" applyNumberFormat="1" applyFont="1" applyFill="1" applyBorder="1" applyAlignment="1">
      <alignment horizontal="center"/>
    </xf>
    <xf numFmtId="43" fontId="1" fillId="23" borderId="10" xfId="1" applyFont="1" applyFill="1" applyBorder="1" applyAlignment="1">
      <alignment horizontal="center"/>
    </xf>
    <xf numFmtId="43" fontId="87" fillId="0" borderId="0" xfId="1" applyFont="1"/>
    <xf numFmtId="43" fontId="53" fillId="6" borderId="105" xfId="1" applyFont="1" applyFill="1" applyBorder="1" applyAlignment="1"/>
    <xf numFmtId="43" fontId="53" fillId="6" borderId="99" xfId="1" applyFont="1" applyFill="1" applyBorder="1" applyAlignment="1"/>
    <xf numFmtId="43" fontId="53" fillId="6" borderId="145" xfId="1" applyFont="1" applyFill="1" applyBorder="1"/>
    <xf numFmtId="1" fontId="53" fillId="6" borderId="146" xfId="1" applyNumberFormat="1" applyFont="1" applyFill="1" applyBorder="1" applyAlignment="1">
      <alignment horizontal="center"/>
    </xf>
    <xf numFmtId="1" fontId="53" fillId="6" borderId="145" xfId="1" applyNumberFormat="1" applyFont="1" applyFill="1" applyBorder="1" applyAlignment="1">
      <alignment horizontal="center"/>
    </xf>
    <xf numFmtId="2" fontId="53" fillId="6" borderId="146" xfId="1" applyNumberFormat="1" applyFont="1" applyFill="1" applyBorder="1" applyAlignment="1">
      <alignment horizontal="center"/>
    </xf>
    <xf numFmtId="2" fontId="53" fillId="6" borderId="145" xfId="1" applyNumberFormat="1" applyFont="1" applyFill="1" applyBorder="1" applyAlignment="1">
      <alignment horizontal="center"/>
    </xf>
    <xf numFmtId="2" fontId="53" fillId="6" borderId="147" xfId="1" applyNumberFormat="1" applyFont="1" applyFill="1" applyBorder="1" applyAlignment="1">
      <alignment horizontal="center"/>
    </xf>
    <xf numFmtId="164" fontId="83" fillId="0" borderId="0" xfId="0" applyFont="1" applyAlignment="1">
      <alignment horizontal="center"/>
    </xf>
    <xf numFmtId="43" fontId="79" fillId="6" borderId="148" xfId="1" applyFont="1" applyFill="1" applyBorder="1" applyAlignment="1">
      <alignment horizontal="left" indent="3"/>
    </xf>
    <xf numFmtId="43" fontId="79" fillId="6" borderId="149" xfId="1" applyFont="1" applyFill="1" applyBorder="1" applyAlignment="1">
      <alignment horizontal="left" indent="3"/>
    </xf>
    <xf numFmtId="43" fontId="79" fillId="6" borderId="150" xfId="1" applyFont="1" applyFill="1" applyBorder="1"/>
    <xf numFmtId="1" fontId="79" fillId="6" borderId="151" xfId="1" applyNumberFormat="1" applyFont="1" applyFill="1" applyBorder="1" applyAlignment="1">
      <alignment horizontal="center"/>
    </xf>
    <xf numFmtId="1" fontId="79" fillId="6" borderId="150" xfId="1" applyNumberFormat="1" applyFont="1" applyFill="1" applyBorder="1" applyAlignment="1">
      <alignment horizontal="center"/>
    </xf>
    <xf numFmtId="2" fontId="79" fillId="6" borderId="151" xfId="1" applyNumberFormat="1" applyFont="1" applyFill="1" applyBorder="1" applyAlignment="1">
      <alignment horizontal="center"/>
    </xf>
    <xf numFmtId="2" fontId="79" fillId="6" borderId="150" xfId="1" applyNumberFormat="1" applyFont="1" applyFill="1" applyBorder="1" applyAlignment="1">
      <alignment horizontal="center"/>
    </xf>
    <xf numFmtId="2" fontId="79" fillId="6" borderId="149" xfId="1" applyNumberFormat="1" applyFont="1" applyFill="1" applyBorder="1" applyAlignment="1">
      <alignment horizontal="center"/>
    </xf>
    <xf numFmtId="2" fontId="79" fillId="6" borderId="148" xfId="1" applyNumberFormat="1" applyFont="1" applyFill="1" applyBorder="1" applyAlignment="1">
      <alignment horizontal="center"/>
    </xf>
    <xf numFmtId="0" fontId="87" fillId="0" borderId="0" xfId="0" applyNumberFormat="1" applyFont="1" applyAlignment="1">
      <alignment horizontal="center" vertical="center"/>
    </xf>
    <xf numFmtId="43" fontId="83" fillId="0" borderId="0" xfId="1" applyFont="1"/>
    <xf numFmtId="164" fontId="75" fillId="0" borderId="0" xfId="0" applyFont="1"/>
    <xf numFmtId="43" fontId="79" fillId="6" borderId="152" xfId="1" applyFont="1" applyFill="1" applyBorder="1"/>
    <xf numFmtId="1" fontId="79" fillId="6" borderId="149" xfId="1" applyNumberFormat="1" applyFont="1" applyFill="1" applyBorder="1" applyAlignment="1">
      <alignment horizontal="center"/>
    </xf>
    <xf numFmtId="1" fontId="79" fillId="6" borderId="152" xfId="1" applyNumberFormat="1" applyFont="1" applyFill="1" applyBorder="1" applyAlignment="1">
      <alignment horizontal="center"/>
    </xf>
    <xf numFmtId="2" fontId="79" fillId="6" borderId="152" xfId="1" applyNumberFormat="1" applyFont="1" applyFill="1" applyBorder="1" applyAlignment="1">
      <alignment horizontal="center"/>
    </xf>
    <xf numFmtId="43" fontId="82" fillId="0" borderId="0" xfId="1" applyFont="1"/>
    <xf numFmtId="43" fontId="82" fillId="0" borderId="0" xfId="1" applyFont="1" applyFill="1"/>
    <xf numFmtId="43" fontId="75" fillId="0" borderId="0" xfId="1" applyFont="1" applyFill="1"/>
    <xf numFmtId="169" fontId="83" fillId="0" borderId="0" xfId="2" applyFont="1"/>
    <xf numFmtId="43" fontId="75" fillId="0" borderId="0" xfId="1" applyFont="1"/>
    <xf numFmtId="43" fontId="53" fillId="6" borderId="146" xfId="1" applyFont="1" applyFill="1" applyBorder="1" applyAlignment="1">
      <alignment horizontal="center"/>
    </xf>
    <xf numFmtId="1" fontId="80" fillId="6" borderId="145" xfId="1" applyNumberFormat="1" applyFont="1" applyFill="1" applyBorder="1" applyAlignment="1">
      <alignment horizontal="center"/>
    </xf>
    <xf numFmtId="1" fontId="80" fillId="6" borderId="146" xfId="1" applyNumberFormat="1" applyFont="1" applyFill="1" applyBorder="1" applyAlignment="1">
      <alignment horizontal="center"/>
    </xf>
    <xf numFmtId="2" fontId="80" fillId="6" borderId="145" xfId="1" applyNumberFormat="1" applyFont="1" applyFill="1" applyBorder="1" applyAlignment="1">
      <alignment horizontal="center"/>
    </xf>
    <xf numFmtId="2" fontId="80" fillId="6" borderId="146" xfId="1" applyNumberFormat="1" applyFont="1" applyFill="1" applyBorder="1" applyAlignment="1">
      <alignment horizontal="center"/>
    </xf>
    <xf numFmtId="43" fontId="79" fillId="6" borderId="151" xfId="1" applyFont="1" applyFill="1" applyBorder="1" applyAlignment="1">
      <alignment horizontal="center"/>
    </xf>
    <xf numFmtId="43" fontId="79" fillId="6" borderId="153" xfId="1" applyFont="1" applyFill="1" applyBorder="1" applyAlignment="1">
      <alignment horizontal="left" indent="3"/>
    </xf>
    <xf numFmtId="43" fontId="79" fillId="6" borderId="154" xfId="1" applyFont="1" applyFill="1" applyBorder="1" applyAlignment="1">
      <alignment horizontal="left" indent="3"/>
    </xf>
    <xf numFmtId="43" fontId="79" fillId="6" borderId="154" xfId="1" applyFont="1" applyFill="1" applyBorder="1" applyAlignment="1">
      <alignment horizontal="center"/>
    </xf>
    <xf numFmtId="1" fontId="79" fillId="6" borderId="155" xfId="1" applyNumberFormat="1" applyFont="1" applyFill="1" applyBorder="1" applyAlignment="1">
      <alignment horizontal="center"/>
    </xf>
    <xf numFmtId="1" fontId="79" fillId="6" borderId="154" xfId="1" applyNumberFormat="1" applyFont="1" applyFill="1" applyBorder="1" applyAlignment="1">
      <alignment horizontal="center"/>
    </xf>
    <xf numFmtId="2" fontId="79" fillId="6" borderId="155" xfId="1" applyNumberFormat="1" applyFont="1" applyFill="1" applyBorder="1" applyAlignment="1">
      <alignment horizontal="center"/>
    </xf>
    <xf numFmtId="2" fontId="79" fillId="6" borderId="154" xfId="1" applyNumberFormat="1" applyFont="1" applyFill="1" applyBorder="1" applyAlignment="1">
      <alignment horizontal="center"/>
    </xf>
    <xf numFmtId="2" fontId="79" fillId="6" borderId="153" xfId="1" applyNumberFormat="1" applyFont="1" applyFill="1" applyBorder="1" applyAlignment="1">
      <alignment horizontal="center"/>
    </xf>
    <xf numFmtId="43" fontId="53" fillId="10" borderId="105" xfId="1" applyFont="1" applyFill="1" applyBorder="1" applyAlignment="1"/>
    <xf numFmtId="43" fontId="53" fillId="10" borderId="99" xfId="1" applyFont="1" applyFill="1" applyBorder="1" applyAlignment="1"/>
    <xf numFmtId="43" fontId="53" fillId="10" borderId="145" xfId="1" applyFont="1" applyFill="1" applyBorder="1"/>
    <xf numFmtId="43" fontId="53" fillId="10" borderId="146" xfId="1" applyFont="1" applyFill="1" applyBorder="1" applyAlignment="1">
      <alignment horizontal="center"/>
    </xf>
    <xf numFmtId="1" fontId="53" fillId="10" borderId="145" xfId="1" applyNumberFormat="1" applyFont="1" applyFill="1" applyBorder="1" applyAlignment="1">
      <alignment horizontal="center"/>
    </xf>
    <xf numFmtId="1" fontId="53" fillId="10" borderId="146" xfId="1" applyNumberFormat="1" applyFont="1" applyFill="1" applyBorder="1" applyAlignment="1">
      <alignment horizontal="center"/>
    </xf>
    <xf numFmtId="2" fontId="53" fillId="10" borderId="145" xfId="1" applyNumberFormat="1" applyFont="1" applyFill="1" applyBorder="1" applyAlignment="1">
      <alignment horizontal="center"/>
    </xf>
    <xf numFmtId="2" fontId="53" fillId="10" borderId="146" xfId="1" applyNumberFormat="1" applyFont="1" applyFill="1" applyBorder="1" applyAlignment="1">
      <alignment horizontal="center"/>
    </xf>
    <xf numFmtId="2" fontId="53" fillId="10" borderId="147" xfId="1" applyNumberFormat="1" applyFont="1" applyFill="1" applyBorder="1" applyAlignment="1">
      <alignment horizontal="center"/>
    </xf>
    <xf numFmtId="43" fontId="4" fillId="23" borderId="100" xfId="1" applyFont="1" applyFill="1" applyBorder="1"/>
    <xf numFmtId="43" fontId="4" fillId="23" borderId="156" xfId="1" applyFont="1" applyFill="1" applyBorder="1"/>
    <xf numFmtId="43" fontId="4" fillId="23" borderId="100" xfId="1" applyFont="1" applyFill="1" applyBorder="1" applyAlignment="1">
      <alignment horizontal="center"/>
    </xf>
    <xf numFmtId="1" fontId="4" fillId="23" borderId="156" xfId="0" applyNumberFormat="1" applyFont="1" applyFill="1" applyBorder="1" applyAlignment="1">
      <alignment horizontal="center"/>
    </xf>
    <xf numFmtId="1" fontId="4" fillId="23" borderId="100" xfId="0" applyNumberFormat="1" applyFont="1" applyFill="1" applyBorder="1" applyAlignment="1">
      <alignment horizontal="center"/>
    </xf>
    <xf numFmtId="2" fontId="4" fillId="23" borderId="156" xfId="0" applyNumberFormat="1" applyFont="1" applyFill="1" applyBorder="1" applyAlignment="1">
      <alignment horizontal="center"/>
    </xf>
    <xf numFmtId="2" fontId="4" fillId="23" borderId="100" xfId="0" applyNumberFormat="1" applyFont="1" applyFill="1" applyBorder="1" applyAlignment="1">
      <alignment horizontal="center"/>
    </xf>
    <xf numFmtId="43" fontId="1" fillId="23" borderId="9" xfId="1" applyFont="1" applyFill="1" applyBorder="1" applyAlignment="1">
      <alignment horizontal="center"/>
    </xf>
    <xf numFmtId="43" fontId="53" fillId="6" borderId="109" xfId="1" applyFont="1" applyFill="1" applyBorder="1" applyAlignment="1"/>
    <xf numFmtId="43" fontId="53" fillId="6" borderId="111" xfId="1" applyFont="1" applyFill="1" applyBorder="1" applyAlignment="1"/>
    <xf numFmtId="43" fontId="53" fillId="6" borderId="157" xfId="1" applyFont="1" applyFill="1" applyBorder="1"/>
    <xf numFmtId="43" fontId="53" fillId="6" borderId="158" xfId="1" applyFont="1" applyFill="1" applyBorder="1" applyAlignment="1">
      <alignment horizontal="center"/>
    </xf>
    <xf numFmtId="1" fontId="80" fillId="6" borderId="157" xfId="1" applyNumberFormat="1" applyFont="1" applyFill="1" applyBorder="1" applyAlignment="1">
      <alignment horizontal="center"/>
    </xf>
    <xf numFmtId="1" fontId="80" fillId="6" borderId="158" xfId="1" applyNumberFormat="1" applyFont="1" applyFill="1" applyBorder="1" applyAlignment="1">
      <alignment horizontal="center"/>
    </xf>
    <xf numFmtId="2" fontId="80" fillId="6" borderId="157" xfId="1" applyNumberFormat="1" applyFont="1" applyFill="1" applyBorder="1" applyAlignment="1">
      <alignment horizontal="center"/>
    </xf>
    <xf numFmtId="2" fontId="80" fillId="6" borderId="158" xfId="1" applyNumberFormat="1" applyFont="1" applyFill="1" applyBorder="1" applyAlignment="1">
      <alignment horizontal="center"/>
    </xf>
    <xf numFmtId="2" fontId="53" fillId="6" borderId="159" xfId="1" applyNumberFormat="1" applyFont="1" applyFill="1" applyBorder="1" applyAlignment="1">
      <alignment horizontal="center"/>
    </xf>
    <xf numFmtId="43" fontId="53" fillId="6" borderId="113" xfId="1" applyFont="1" applyFill="1" applyBorder="1" applyAlignment="1"/>
    <xf numFmtId="43" fontId="53" fillId="6" borderId="115" xfId="1" applyFont="1" applyFill="1" applyBorder="1" applyAlignment="1"/>
    <xf numFmtId="43" fontId="53" fillId="6" borderId="160" xfId="1" applyFont="1" applyFill="1" applyBorder="1"/>
    <xf numFmtId="43" fontId="53" fillId="6" borderId="20" xfId="1" applyFont="1" applyFill="1" applyBorder="1" applyAlignment="1">
      <alignment horizontal="center"/>
    </xf>
    <xf numFmtId="1" fontId="80" fillId="6" borderId="160" xfId="1" applyNumberFormat="1" applyFont="1" applyFill="1" applyBorder="1" applyAlignment="1">
      <alignment horizontal="center"/>
    </xf>
    <xf numFmtId="1" fontId="80" fillId="6" borderId="20" xfId="1" applyNumberFormat="1" applyFont="1" applyFill="1" applyBorder="1" applyAlignment="1">
      <alignment horizontal="center"/>
    </xf>
    <xf numFmtId="2" fontId="80" fillId="6" borderId="160" xfId="1" applyNumberFormat="1" applyFont="1" applyFill="1" applyBorder="1" applyAlignment="1">
      <alignment horizontal="center"/>
    </xf>
    <xf numFmtId="2" fontId="80" fillId="6" borderId="20" xfId="1" applyNumberFormat="1" applyFont="1" applyFill="1" applyBorder="1" applyAlignment="1">
      <alignment horizontal="center"/>
    </xf>
    <xf numFmtId="43" fontId="53" fillId="6" borderId="161" xfId="1" applyFont="1" applyFill="1" applyBorder="1" applyAlignment="1"/>
    <xf numFmtId="43" fontId="53" fillId="6" borderId="162" xfId="1" applyFont="1" applyFill="1" applyBorder="1" applyAlignment="1"/>
    <xf numFmtId="43" fontId="53" fillId="6" borderId="163" xfId="1" applyFont="1" applyFill="1" applyBorder="1"/>
    <xf numFmtId="43" fontId="53" fillId="6" borderId="164" xfId="1" applyFont="1" applyFill="1" applyBorder="1" applyAlignment="1">
      <alignment horizontal="center"/>
    </xf>
    <xf numFmtId="1" fontId="80" fillId="6" borderId="163" xfId="1" applyNumberFormat="1" applyFont="1" applyFill="1" applyBorder="1" applyAlignment="1">
      <alignment horizontal="center"/>
    </xf>
    <xf numFmtId="1" fontId="80" fillId="6" borderId="164" xfId="1" applyNumberFormat="1" applyFont="1" applyFill="1" applyBorder="1" applyAlignment="1">
      <alignment horizontal="center"/>
    </xf>
    <xf numFmtId="2" fontId="80" fillId="6" borderId="163" xfId="1" applyNumberFormat="1" applyFont="1" applyFill="1" applyBorder="1" applyAlignment="1">
      <alignment horizontal="center"/>
    </xf>
    <xf numFmtId="2" fontId="80" fillId="6" borderId="164" xfId="1" applyNumberFormat="1" applyFont="1" applyFill="1" applyBorder="1" applyAlignment="1">
      <alignment horizontal="center"/>
    </xf>
    <xf numFmtId="2" fontId="53" fillId="6" borderId="165" xfId="1" applyNumberFormat="1" applyFont="1" applyFill="1" applyBorder="1" applyAlignment="1">
      <alignment horizontal="center"/>
    </xf>
    <xf numFmtId="43" fontId="4" fillId="23" borderId="166" xfId="1" applyFont="1" applyFill="1" applyBorder="1"/>
    <xf numFmtId="43" fontId="4" fillId="23" borderId="167" xfId="1" applyFont="1" applyFill="1" applyBorder="1"/>
    <xf numFmtId="1" fontId="4" fillId="23" borderId="166" xfId="1" applyNumberFormat="1" applyFont="1" applyFill="1" applyBorder="1" applyAlignment="1">
      <alignment horizontal="center"/>
    </xf>
    <xf numFmtId="1" fontId="4" fillId="23" borderId="167" xfId="0" applyNumberFormat="1" applyFont="1" applyFill="1" applyBorder="1" applyAlignment="1">
      <alignment horizontal="center"/>
    </xf>
    <xf numFmtId="2" fontId="4" fillId="23" borderId="166" xfId="0" applyNumberFormat="1" applyFont="1" applyFill="1" applyBorder="1" applyAlignment="1">
      <alignment horizontal="center"/>
    </xf>
    <xf numFmtId="2" fontId="4" fillId="23" borderId="167" xfId="0" applyNumberFormat="1" applyFont="1" applyFill="1" applyBorder="1" applyAlignment="1">
      <alignment horizontal="center"/>
    </xf>
    <xf numFmtId="43" fontId="90" fillId="23" borderId="168" xfId="1" applyFont="1" applyFill="1" applyBorder="1" applyAlignment="1">
      <alignment horizontal="center"/>
    </xf>
    <xf numFmtId="43" fontId="83" fillId="24" borderId="0" xfId="1" applyFont="1" applyFill="1"/>
    <xf numFmtId="43" fontId="53" fillId="6" borderId="148" xfId="1" applyFont="1" applyFill="1" applyBorder="1" applyAlignment="1">
      <alignment horizontal="left"/>
    </xf>
    <xf numFmtId="43" fontId="1" fillId="6" borderId="149" xfId="1" applyFont="1" applyFill="1" applyBorder="1" applyAlignment="1">
      <alignment horizontal="left"/>
    </xf>
    <xf numFmtId="43" fontId="1" fillId="6" borderId="150" xfId="1" applyFont="1" applyFill="1" applyBorder="1"/>
    <xf numFmtId="1" fontId="1" fillId="6" borderId="151" xfId="1" applyNumberFormat="1" applyFont="1" applyFill="1" applyBorder="1" applyAlignment="1">
      <alignment horizontal="center"/>
    </xf>
    <xf numFmtId="1" fontId="1" fillId="6" borderId="150" xfId="1" applyNumberFormat="1" applyFont="1" applyFill="1" applyBorder="1" applyAlignment="1">
      <alignment horizontal="center"/>
    </xf>
    <xf numFmtId="2" fontId="1" fillId="6" borderId="151" xfId="1" applyNumberFormat="1" applyFont="1" applyFill="1" applyBorder="1" applyAlignment="1">
      <alignment horizontal="center"/>
    </xf>
    <xf numFmtId="2" fontId="1" fillId="6" borderId="150" xfId="1" applyNumberFormat="1" applyFont="1" applyFill="1" applyBorder="1" applyAlignment="1">
      <alignment horizontal="center"/>
    </xf>
    <xf numFmtId="2" fontId="1" fillId="6" borderId="149" xfId="1" applyNumberFormat="1" applyFont="1" applyFill="1" applyBorder="1" applyAlignment="1">
      <alignment horizontal="center"/>
    </xf>
    <xf numFmtId="2" fontId="53" fillId="6" borderId="148" xfId="1" applyNumberFormat="1" applyFont="1" applyFill="1" applyBorder="1" applyAlignment="1">
      <alignment horizontal="center"/>
    </xf>
    <xf numFmtId="0" fontId="0" fillId="0" borderId="0" xfId="1" applyNumberFormat="1" applyFont="1"/>
    <xf numFmtId="9" fontId="75" fillId="0" borderId="0" xfId="3" applyFont="1" applyAlignment="1">
      <alignment horizontal="center"/>
    </xf>
    <xf numFmtId="0" fontId="75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43" fontId="53" fillId="6" borderId="169" xfId="1" applyFont="1" applyFill="1" applyBorder="1" applyAlignment="1">
      <alignment horizontal="left"/>
    </xf>
    <xf numFmtId="43" fontId="1" fillId="6" borderId="154" xfId="1" applyFont="1" applyFill="1" applyBorder="1" applyAlignment="1">
      <alignment horizontal="left"/>
    </xf>
    <xf numFmtId="43" fontId="1" fillId="6" borderId="152" xfId="1" applyFont="1" applyFill="1" applyBorder="1"/>
    <xf numFmtId="1" fontId="1" fillId="6" borderId="152" xfId="1" applyNumberFormat="1" applyFont="1" applyFill="1" applyBorder="1" applyAlignment="1">
      <alignment horizontal="center"/>
    </xf>
    <xf numFmtId="2" fontId="1" fillId="6" borderId="152" xfId="1" applyNumberFormat="1" applyFont="1" applyFill="1" applyBorder="1" applyAlignment="1">
      <alignment horizontal="center"/>
    </xf>
    <xf numFmtId="0" fontId="0" fillId="0" borderId="0" xfId="0" applyNumberFormat="1"/>
    <xf numFmtId="43" fontId="91" fillId="9" borderId="146" xfId="1" applyFont="1" applyFill="1" applyBorder="1"/>
    <xf numFmtId="164" fontId="0" fillId="9" borderId="146" xfId="0" applyFill="1" applyBorder="1"/>
    <xf numFmtId="43" fontId="0" fillId="9" borderId="146" xfId="1" applyFont="1" applyFill="1" applyBorder="1"/>
    <xf numFmtId="43" fontId="91" fillId="25" borderId="0" xfId="1" applyFont="1" applyFill="1"/>
    <xf numFmtId="43" fontId="0" fillId="25" borderId="0" xfId="1" applyFont="1" applyFill="1"/>
    <xf numFmtId="43" fontId="83" fillId="25" borderId="0" xfId="1" applyFont="1" applyFill="1"/>
    <xf numFmtId="164" fontId="0" fillId="25" borderId="0" xfId="0" applyFill="1"/>
    <xf numFmtId="164" fontId="75" fillId="25" borderId="0" xfId="0" applyFont="1" applyFill="1"/>
    <xf numFmtId="9" fontId="82" fillId="0" borderId="0" xfId="3" applyFont="1" applyBorder="1"/>
    <xf numFmtId="43" fontId="75" fillId="0" borderId="0" xfId="1" applyFont="1" applyBorder="1"/>
    <xf numFmtId="172" fontId="82" fillId="0" borderId="0" xfId="1" applyNumberFormat="1" applyFont="1" applyBorder="1"/>
    <xf numFmtId="169" fontId="82" fillId="0" borderId="0" xfId="2" applyFont="1" applyBorder="1"/>
    <xf numFmtId="43" fontId="82" fillId="0" borderId="0" xfId="1" applyFont="1" applyBorder="1"/>
    <xf numFmtId="164" fontId="82" fillId="0" borderId="0" xfId="0" applyFont="1"/>
    <xf numFmtId="9" fontId="75" fillId="0" borderId="0" xfId="3" applyFont="1"/>
    <xf numFmtId="43" fontId="82" fillId="0" borderId="0" xfId="0" applyNumberFormat="1" applyFont="1"/>
    <xf numFmtId="10" fontId="82" fillId="0" borderId="0" xfId="3" applyNumberFormat="1" applyFont="1" applyBorder="1"/>
    <xf numFmtId="10" fontId="82" fillId="0" borderId="0" xfId="1" applyNumberFormat="1" applyFont="1" applyBorder="1"/>
    <xf numFmtId="10" fontId="82" fillId="0" borderId="0" xfId="3" applyNumberFormat="1" applyFont="1"/>
    <xf numFmtId="193" fontId="2" fillId="26" borderId="170" xfId="1" applyNumberFormat="1" applyFont="1" applyFill="1" applyBorder="1" applyAlignment="1">
      <alignment horizontal="center" vertical="center"/>
    </xf>
    <xf numFmtId="43" fontId="2" fillId="26" borderId="171" xfId="1" applyFont="1" applyFill="1" applyBorder="1" applyAlignment="1">
      <alignment horizontal="center" vertical="center"/>
    </xf>
    <xf numFmtId="43" fontId="2" fillId="26" borderId="172" xfId="1" applyFont="1" applyFill="1" applyBorder="1" applyAlignment="1">
      <alignment horizontal="center" vertical="center"/>
    </xf>
    <xf numFmtId="43" fontId="0" fillId="0" borderId="173" xfId="1" applyFont="1" applyBorder="1"/>
    <xf numFmtId="43" fontId="0" fillId="0" borderId="0" xfId="1" applyFont="1" applyBorder="1"/>
    <xf numFmtId="164" fontId="82" fillId="0" borderId="174" xfId="0" applyFont="1" applyBorder="1"/>
    <xf numFmtId="9" fontId="87" fillId="0" borderId="0" xfId="3" applyFont="1"/>
    <xf numFmtId="164" fontId="0" fillId="0" borderId="174" xfId="0" applyBorder="1"/>
    <xf numFmtId="164" fontId="92" fillId="0" borderId="0" xfId="0" applyFont="1" applyAlignment="1">
      <alignment horizontal="center" vertical="center"/>
    </xf>
    <xf numFmtId="164" fontId="93" fillId="0" borderId="0" xfId="0" applyFont="1"/>
    <xf numFmtId="164" fontId="53" fillId="0" borderId="0" xfId="0" applyFont="1"/>
    <xf numFmtId="164" fontId="94" fillId="0" borderId="0" xfId="0" applyFont="1"/>
    <xf numFmtId="164" fontId="94" fillId="0" borderId="0" xfId="0" applyFont="1" applyAlignment="1">
      <alignment horizontal="right" vertical="center"/>
    </xf>
    <xf numFmtId="43" fontId="95" fillId="0" borderId="0" xfId="1" applyFont="1" applyFill="1" applyBorder="1" applyAlignment="1">
      <alignment horizontal="center" vertical="center"/>
    </xf>
    <xf numFmtId="9" fontId="95" fillId="0" borderId="0" xfId="3" applyFont="1" applyFill="1" applyBorder="1" applyAlignment="1">
      <alignment horizontal="center" vertical="center"/>
    </xf>
    <xf numFmtId="43" fontId="0" fillId="0" borderId="175" xfId="1" applyFont="1" applyBorder="1"/>
    <xf numFmtId="43" fontId="0" fillId="0" borderId="176" xfId="1" applyFont="1" applyBorder="1"/>
    <xf numFmtId="164" fontId="53" fillId="0" borderId="176" xfId="0" applyFont="1" applyBorder="1"/>
    <xf numFmtId="164" fontId="0" fillId="0" borderId="176" xfId="0" applyBorder="1"/>
    <xf numFmtId="164" fontId="0" fillId="0" borderId="177" xfId="0" applyBorder="1"/>
    <xf numFmtId="164" fontId="92" fillId="26" borderId="178" xfId="0" applyFont="1" applyFill="1" applyBorder="1" applyAlignment="1">
      <alignment horizontal="center" vertical="center"/>
    </xf>
    <xf numFmtId="164" fontId="92" fillId="26" borderId="179" xfId="0" applyFont="1" applyFill="1" applyBorder="1" applyAlignment="1">
      <alignment horizontal="center" vertical="center"/>
    </xf>
    <xf numFmtId="164" fontId="92" fillId="26" borderId="180" xfId="0" applyFont="1" applyFill="1" applyBorder="1" applyAlignment="1">
      <alignment horizontal="center" vertical="center"/>
    </xf>
    <xf numFmtId="164" fontId="93" fillId="6" borderId="181" xfId="0" applyFont="1" applyFill="1" applyBorder="1"/>
    <xf numFmtId="164" fontId="93" fillId="6" borderId="0" xfId="0" applyFont="1" applyFill="1"/>
    <xf numFmtId="164" fontId="53" fillId="6" borderId="0" xfId="0" applyFont="1" applyFill="1"/>
    <xf numFmtId="164" fontId="53" fillId="6" borderId="182" xfId="0" applyFont="1" applyFill="1" applyBorder="1"/>
    <xf numFmtId="164" fontId="96" fillId="0" borderId="181" xfId="0" applyFont="1" applyBorder="1"/>
    <xf numFmtId="164" fontId="96" fillId="6" borderId="0" xfId="0" applyFont="1" applyFill="1" applyAlignment="1">
      <alignment horizontal="right" vertical="center"/>
    </xf>
    <xf numFmtId="43" fontId="97" fillId="8" borderId="0" xfId="1" applyFont="1" applyFill="1" applyBorder="1" applyAlignment="1">
      <alignment horizontal="center" vertical="center"/>
    </xf>
    <xf numFmtId="43" fontId="98" fillId="8" borderId="0" xfId="1" applyFont="1" applyFill="1" applyBorder="1" applyAlignment="1">
      <alignment vertical="center"/>
    </xf>
    <xf numFmtId="9" fontId="98" fillId="8" borderId="182" xfId="3" applyFont="1" applyFill="1" applyBorder="1" applyAlignment="1">
      <alignment horizontal="center" vertical="center"/>
    </xf>
    <xf numFmtId="164" fontId="96" fillId="0" borderId="183" xfId="0" applyFont="1" applyBorder="1"/>
    <xf numFmtId="164" fontId="99" fillId="6" borderId="184" xfId="0" applyFont="1" applyFill="1" applyBorder="1" applyAlignment="1">
      <alignment horizontal="right" vertical="center"/>
    </xf>
    <xf numFmtId="43" fontId="97" fillId="8" borderId="184" xfId="1" applyFont="1" applyFill="1" applyBorder="1" applyAlignment="1">
      <alignment horizontal="center" vertical="center"/>
    </xf>
    <xf numFmtId="43" fontId="98" fillId="8" borderId="184" xfId="1" applyFont="1" applyFill="1" applyBorder="1" applyAlignment="1">
      <alignment vertical="center"/>
    </xf>
    <xf numFmtId="9" fontId="98" fillId="8" borderId="185" xfId="3" applyFont="1" applyFill="1" applyBorder="1" applyAlignment="1">
      <alignment horizontal="center" vertical="center"/>
    </xf>
    <xf numFmtId="43" fontId="0" fillId="0" borderId="186" xfId="1" applyFont="1" applyBorder="1"/>
    <xf numFmtId="43" fontId="0" fillId="0" borderId="187" xfId="1" applyFont="1" applyBorder="1"/>
    <xf numFmtId="164" fontId="53" fillId="0" borderId="187" xfId="0" applyFont="1" applyBorder="1"/>
    <xf numFmtId="164" fontId="0" fillId="0" borderId="187" xfId="0" applyBorder="1"/>
    <xf numFmtId="164" fontId="0" fillId="0" borderId="188" xfId="0" applyBorder="1"/>
    <xf numFmtId="43" fontId="0" fillId="26" borderId="189" xfId="1" applyFont="1" applyFill="1" applyBorder="1"/>
    <xf numFmtId="43" fontId="0" fillId="26" borderId="190" xfId="1" applyFont="1" applyFill="1" applyBorder="1"/>
    <xf numFmtId="164" fontId="53" fillId="26" borderId="190" xfId="0" applyFont="1" applyFill="1" applyBorder="1"/>
    <xf numFmtId="164" fontId="0" fillId="26" borderId="190" xfId="0" applyFill="1" applyBorder="1"/>
    <xf numFmtId="164" fontId="0" fillId="26" borderId="191" xfId="0" applyFill="1" applyBorder="1"/>
    <xf numFmtId="43" fontId="0" fillId="0" borderId="0" xfId="1" applyFont="1" applyAlignment="1">
      <alignment horizontal="left"/>
    </xf>
    <xf numFmtId="164" fontId="100" fillId="0" borderId="0" xfId="0" applyFont="1"/>
    <xf numFmtId="11" fontId="0" fillId="0" borderId="0" xfId="2" applyNumberFormat="1" applyFont="1"/>
    <xf numFmtId="176" fontId="76" fillId="0" borderId="0" xfId="0" applyNumberFormat="1" applyFont="1" applyAlignment="1">
      <alignment horizontal="center"/>
    </xf>
    <xf numFmtId="169" fontId="75" fillId="0" borderId="0" xfId="2" applyFont="1"/>
    <xf numFmtId="164" fontId="75" fillId="0" borderId="140" xfId="0" applyFont="1" applyBorder="1"/>
    <xf numFmtId="164" fontId="0" fillId="27" borderId="105" xfId="0" applyFill="1" applyBorder="1" applyAlignment="1">
      <alignment horizontal="center" vertical="center"/>
    </xf>
    <xf numFmtId="164" fontId="0" fillId="28" borderId="100" xfId="0" applyFill="1" applyBorder="1" applyAlignment="1">
      <alignment horizontal="center"/>
    </xf>
    <xf numFmtId="164" fontId="0" fillId="28" borderId="101" xfId="0" applyFill="1" applyBorder="1" applyAlignment="1">
      <alignment horizontal="center"/>
    </xf>
    <xf numFmtId="164" fontId="0" fillId="28" borderId="102" xfId="0" applyFill="1" applyBorder="1" applyAlignment="1">
      <alignment horizontal="center"/>
    </xf>
    <xf numFmtId="164" fontId="0" fillId="16" borderId="100" xfId="0" applyFill="1" applyBorder="1" applyAlignment="1">
      <alignment horizontal="center"/>
    </xf>
    <xf numFmtId="164" fontId="0" fillId="16" borderId="101" xfId="0" applyFill="1" applyBorder="1" applyAlignment="1">
      <alignment horizontal="center"/>
    </xf>
    <xf numFmtId="164" fontId="0" fillId="16" borderId="102" xfId="0" applyFill="1" applyBorder="1" applyAlignment="1">
      <alignment horizontal="center"/>
    </xf>
    <xf numFmtId="164" fontId="0" fillId="29" borderId="100" xfId="0" applyFill="1" applyBorder="1" applyAlignment="1">
      <alignment horizontal="center"/>
    </xf>
    <xf numFmtId="164" fontId="0" fillId="29" borderId="101" xfId="0" applyFill="1" applyBorder="1" applyAlignment="1">
      <alignment horizontal="center"/>
    </xf>
    <xf numFmtId="164" fontId="0" fillId="29" borderId="101" xfId="0" applyFill="1" applyBorder="1"/>
    <xf numFmtId="164" fontId="0" fillId="29" borderId="102" xfId="0" applyFill="1" applyBorder="1"/>
    <xf numFmtId="164" fontId="0" fillId="23" borderId="100" xfId="0" applyFill="1" applyBorder="1" applyAlignment="1">
      <alignment horizontal="center"/>
    </xf>
    <xf numFmtId="164" fontId="0" fillId="23" borderId="101" xfId="0" applyFill="1" applyBorder="1" applyAlignment="1">
      <alignment horizontal="center"/>
    </xf>
    <xf numFmtId="164" fontId="0" fillId="23" borderId="102" xfId="0" applyFill="1" applyBorder="1" applyAlignment="1">
      <alignment horizontal="center"/>
    </xf>
    <xf numFmtId="164" fontId="4" fillId="9" borderId="99" xfId="0" applyFont="1" applyFill="1" applyBorder="1" applyAlignment="1">
      <alignment horizontal="center" vertical="center"/>
    </xf>
    <xf numFmtId="164" fontId="4" fillId="9" borderId="147" xfId="0" applyFont="1" applyFill="1" applyBorder="1" applyAlignment="1">
      <alignment horizontal="center" vertical="center"/>
    </xf>
    <xf numFmtId="164" fontId="4" fillId="9" borderId="105" xfId="0" applyFont="1" applyFill="1" applyBorder="1" applyAlignment="1">
      <alignment horizontal="center" vertical="center"/>
    </xf>
    <xf numFmtId="164" fontId="0" fillId="27" borderId="130" xfId="0" applyFill="1" applyBorder="1" applyAlignment="1">
      <alignment horizontal="center" vertical="center"/>
    </xf>
    <xf numFmtId="164" fontId="4" fillId="10" borderId="105" xfId="0" applyFont="1" applyFill="1" applyBorder="1" applyAlignment="1">
      <alignment horizontal="center" vertical="center"/>
    </xf>
    <xf numFmtId="164" fontId="0" fillId="29" borderId="102" xfId="0" applyFill="1" applyBorder="1" applyAlignment="1">
      <alignment horizontal="center"/>
    </xf>
    <xf numFmtId="164" fontId="4" fillId="30" borderId="105" xfId="0" applyFont="1" applyFill="1" applyBorder="1" applyAlignment="1">
      <alignment horizontal="center" vertical="center"/>
    </xf>
    <xf numFmtId="164" fontId="0" fillId="31" borderId="100" xfId="0" applyFill="1" applyBorder="1" applyAlignment="1">
      <alignment horizontal="center"/>
    </xf>
    <xf numFmtId="164" fontId="0" fillId="31" borderId="101" xfId="0" applyFill="1" applyBorder="1" applyAlignment="1">
      <alignment horizontal="center"/>
    </xf>
    <xf numFmtId="164" fontId="0" fillId="31" borderId="102" xfId="0" applyFill="1" applyBorder="1" applyAlignment="1">
      <alignment horizontal="center"/>
    </xf>
    <xf numFmtId="164" fontId="4" fillId="18" borderId="105" xfId="0" applyFont="1" applyFill="1" applyBorder="1" applyAlignment="1">
      <alignment horizontal="center" vertical="center"/>
    </xf>
    <xf numFmtId="164" fontId="4" fillId="9" borderId="106" xfId="0" applyFont="1" applyFill="1" applyBorder="1" applyAlignment="1">
      <alignment horizontal="center" vertical="center"/>
    </xf>
    <xf numFmtId="164" fontId="4" fillId="9" borderId="192" xfId="0" applyFont="1" applyFill="1" applyBorder="1" applyAlignment="1">
      <alignment horizontal="center" vertical="center"/>
    </xf>
    <xf numFmtId="164" fontId="4" fillId="9" borderId="10" xfId="0" applyFont="1" applyFill="1" applyBorder="1" applyAlignment="1">
      <alignment horizontal="center" vertical="center"/>
    </xf>
    <xf numFmtId="164" fontId="0" fillId="27" borderId="10" xfId="0" applyFill="1" applyBorder="1" applyAlignment="1">
      <alignment horizontal="center" vertical="center"/>
    </xf>
    <xf numFmtId="164" fontId="0" fillId="28" borderId="9" xfId="0" applyFill="1" applyBorder="1" applyAlignment="1">
      <alignment horizontal="center"/>
    </xf>
    <xf numFmtId="164" fontId="0" fillId="16" borderId="9" xfId="0" applyFill="1" applyBorder="1" applyAlignment="1">
      <alignment horizontal="center"/>
    </xf>
    <xf numFmtId="164" fontId="4" fillId="10" borderId="10" xfId="0" applyFont="1" applyFill="1" applyBorder="1" applyAlignment="1">
      <alignment horizontal="center" vertical="center"/>
    </xf>
    <xf numFmtId="164" fontId="0" fillId="29" borderId="9" xfId="0" applyFill="1" applyBorder="1" applyAlignment="1">
      <alignment horizontal="center"/>
    </xf>
    <xf numFmtId="164" fontId="4" fillId="30" borderId="10" xfId="0" applyFont="1" applyFill="1" applyBorder="1" applyAlignment="1">
      <alignment horizontal="center" vertical="center"/>
    </xf>
    <xf numFmtId="164" fontId="0" fillId="31" borderId="100" xfId="0" applyFill="1" applyBorder="1" applyAlignment="1">
      <alignment horizontal="center"/>
    </xf>
    <xf numFmtId="164" fontId="0" fillId="31" borderId="9" xfId="0" applyFill="1" applyBorder="1" applyAlignment="1">
      <alignment horizontal="center"/>
    </xf>
    <xf numFmtId="164" fontId="4" fillId="18" borderId="10" xfId="0" applyFont="1" applyFill="1" applyBorder="1" applyAlignment="1">
      <alignment horizontal="center" vertical="center"/>
    </xf>
    <xf numFmtId="164" fontId="4" fillId="22" borderId="99" xfId="0" applyFont="1" applyFill="1" applyBorder="1" applyAlignment="1">
      <alignment horizontal="center" vertical="center"/>
    </xf>
    <xf numFmtId="164" fontId="0" fillId="10" borderId="128" xfId="0" applyFill="1" applyBorder="1"/>
    <xf numFmtId="164" fontId="0" fillId="10" borderId="193" xfId="0" applyFill="1" applyBorder="1"/>
    <xf numFmtId="164" fontId="0" fillId="10" borderId="127" xfId="0" applyFill="1" applyBorder="1"/>
    <xf numFmtId="164" fontId="0" fillId="10" borderId="194" xfId="0" applyFill="1" applyBorder="1"/>
    <xf numFmtId="164" fontId="0" fillId="22" borderId="130" xfId="0" applyFill="1" applyBorder="1" applyAlignment="1">
      <alignment horizontal="center" vertical="center"/>
    </xf>
    <xf numFmtId="164" fontId="0" fillId="22" borderId="100" xfId="0" applyFill="1" applyBorder="1" applyAlignment="1">
      <alignment horizontal="center"/>
    </xf>
    <xf numFmtId="164" fontId="0" fillId="22" borderId="101" xfId="0" applyFill="1" applyBorder="1" applyAlignment="1">
      <alignment horizontal="center"/>
    </xf>
    <xf numFmtId="164" fontId="0" fillId="22" borderId="102" xfId="0" applyFill="1" applyBorder="1" applyAlignment="1">
      <alignment horizontal="center"/>
    </xf>
    <xf numFmtId="178" fontId="0" fillId="22" borderId="105" xfId="0" applyNumberFormat="1" applyFill="1" applyBorder="1" applyAlignment="1">
      <alignment horizontal="center"/>
    </xf>
    <xf numFmtId="194" fontId="0" fillId="22" borderId="105" xfId="0" applyNumberFormat="1" applyFill="1" applyBorder="1" applyAlignment="1">
      <alignment horizontal="center"/>
    </xf>
    <xf numFmtId="170" fontId="0" fillId="22" borderId="105" xfId="0" applyNumberFormat="1" applyFill="1" applyBorder="1" applyAlignment="1">
      <alignment horizontal="center"/>
    </xf>
    <xf numFmtId="170" fontId="0" fillId="22" borderId="9" xfId="2" applyNumberFormat="1" applyFont="1" applyFill="1" applyBorder="1" applyAlignment="1"/>
    <xf numFmtId="170" fontId="0" fillId="22" borderId="195" xfId="2" applyNumberFormat="1" applyFont="1" applyFill="1" applyBorder="1"/>
    <xf numFmtId="164" fontId="4" fillId="22" borderId="131" xfId="0" applyFont="1" applyFill="1" applyBorder="1" applyAlignment="1">
      <alignment horizontal="center" vertical="center"/>
    </xf>
    <xf numFmtId="164" fontId="0" fillId="10" borderId="129" xfId="0" applyFill="1" applyBorder="1"/>
    <xf numFmtId="164" fontId="0" fillId="10" borderId="196" xfId="0" applyFill="1" applyBorder="1"/>
    <xf numFmtId="164" fontId="0" fillId="10" borderId="8" xfId="0" applyFill="1" applyBorder="1"/>
    <xf numFmtId="164" fontId="0" fillId="10" borderId="197" xfId="0" applyFill="1" applyBorder="1"/>
    <xf numFmtId="0" fontId="0" fillId="9" borderId="127" xfId="0" applyNumberFormat="1" applyFill="1" applyBorder="1" applyAlignment="1">
      <alignment horizontal="center"/>
    </xf>
    <xf numFmtId="194" fontId="0" fillId="0" borderId="127" xfId="2" applyNumberFormat="1" applyFont="1" applyBorder="1"/>
    <xf numFmtId="194" fontId="0" fillId="0" borderId="127" xfId="0" applyNumberFormat="1" applyBorder="1"/>
    <xf numFmtId="194" fontId="0" fillId="9" borderId="127" xfId="0" applyNumberFormat="1" applyFill="1" applyBorder="1"/>
    <xf numFmtId="191" fontId="0" fillId="0" borderId="127" xfId="0" applyNumberFormat="1" applyBorder="1"/>
    <xf numFmtId="194" fontId="0" fillId="10" borderId="127" xfId="0" applyNumberFormat="1" applyFill="1" applyBorder="1"/>
    <xf numFmtId="194" fontId="0" fillId="30" borderId="127" xfId="0" applyNumberFormat="1" applyFill="1" applyBorder="1"/>
    <xf numFmtId="170" fontId="0" fillId="0" borderId="105" xfId="2" applyNumberFormat="1" applyFont="1" applyBorder="1"/>
    <xf numFmtId="170" fontId="0" fillId="18" borderId="105" xfId="2" applyNumberFormat="1" applyFont="1" applyFill="1" applyBorder="1"/>
    <xf numFmtId="0" fontId="0" fillId="9" borderId="8" xfId="0" applyNumberFormat="1" applyFill="1" applyBorder="1" applyAlignment="1">
      <alignment horizontal="center"/>
    </xf>
    <xf numFmtId="194" fontId="0" fillId="0" borderId="8" xfId="0" applyNumberFormat="1" applyBorder="1"/>
    <xf numFmtId="194" fontId="0" fillId="9" borderId="8" xfId="0" applyNumberFormat="1" applyFill="1" applyBorder="1"/>
    <xf numFmtId="194" fontId="0" fillId="10" borderId="8" xfId="0" applyNumberFormat="1" applyFill="1" applyBorder="1"/>
    <xf numFmtId="194" fontId="0" fillId="30" borderId="8" xfId="0" applyNumberFormat="1" applyFill="1" applyBorder="1"/>
    <xf numFmtId="170" fontId="0" fillId="0" borderId="8" xfId="2" applyNumberFormat="1" applyFont="1" applyBorder="1"/>
    <xf numFmtId="170" fontId="0" fillId="18" borderId="8" xfId="2" applyNumberFormat="1" applyFont="1" applyFill="1" applyBorder="1"/>
    <xf numFmtId="164" fontId="4" fillId="22" borderId="106" xfId="0" applyFont="1" applyFill="1" applyBorder="1" applyAlignment="1">
      <alignment horizontal="center" vertical="center"/>
    </xf>
    <xf numFmtId="164" fontId="0" fillId="10" borderId="198" xfId="0" applyFill="1" applyBorder="1"/>
    <xf numFmtId="164" fontId="0" fillId="10" borderId="199" xfId="0" applyFill="1" applyBorder="1"/>
    <xf numFmtId="164" fontId="0" fillId="10" borderId="200" xfId="0" applyFill="1" applyBorder="1"/>
    <xf numFmtId="164" fontId="0" fillId="10" borderId="201" xfId="0" applyFill="1" applyBorder="1"/>
    <xf numFmtId="164" fontId="0" fillId="10" borderId="202" xfId="0" applyFill="1" applyBorder="1"/>
    <xf numFmtId="164" fontId="0" fillId="10" borderId="203" xfId="0" applyFill="1" applyBorder="1"/>
    <xf numFmtId="164" fontId="0" fillId="10" borderId="204" xfId="0" applyFill="1" applyBorder="1"/>
    <xf numFmtId="164" fontId="0" fillId="10" borderId="205" xfId="0" applyFill="1" applyBorder="1"/>
    <xf numFmtId="164" fontId="0" fillId="10" borderId="206" xfId="0" applyFill="1" applyBorder="1"/>
    <xf numFmtId="164" fontId="0" fillId="10" borderId="207" xfId="0" applyFill="1" applyBorder="1"/>
    <xf numFmtId="164" fontId="0" fillId="10" borderId="6" xfId="0" applyFill="1" applyBorder="1"/>
    <xf numFmtId="164" fontId="0" fillId="10" borderId="208" xfId="0" applyFill="1" applyBorder="1"/>
    <xf numFmtId="0" fontId="0" fillId="9" borderId="204" xfId="0" applyNumberFormat="1" applyFill="1" applyBorder="1" applyAlignment="1">
      <alignment horizontal="center"/>
    </xf>
    <xf numFmtId="194" fontId="0" fillId="0" borderId="204" xfId="0" applyNumberFormat="1" applyBorder="1"/>
    <xf numFmtId="194" fontId="0" fillId="9" borderId="204" xfId="0" applyNumberFormat="1" applyFill="1" applyBorder="1"/>
    <xf numFmtId="194" fontId="0" fillId="10" borderId="204" xfId="0" applyNumberFormat="1" applyFill="1" applyBorder="1"/>
    <xf numFmtId="194" fontId="0" fillId="30" borderId="204" xfId="0" applyNumberFormat="1" applyFill="1" applyBorder="1"/>
    <xf numFmtId="169" fontId="0" fillId="0" borderId="130" xfId="2" applyFont="1" applyBorder="1"/>
    <xf numFmtId="170" fontId="0" fillId="0" borderId="130" xfId="2" applyNumberFormat="1" applyFont="1" applyBorder="1"/>
    <xf numFmtId="170" fontId="0" fillId="18" borderId="130" xfId="2" applyNumberFormat="1" applyFont="1" applyFill="1" applyBorder="1"/>
    <xf numFmtId="0" fontId="4" fillId="27" borderId="9" xfId="0" applyNumberFormat="1" applyFont="1" applyFill="1" applyBorder="1" applyAlignment="1">
      <alignment horizontal="center"/>
    </xf>
    <xf numFmtId="194" fontId="0" fillId="28" borderId="9" xfId="0" applyNumberFormat="1" applyFill="1" applyBorder="1"/>
    <xf numFmtId="194" fontId="4" fillId="9" borderId="9" xfId="0" applyNumberFormat="1" applyFont="1" applyFill="1" applyBorder="1"/>
    <xf numFmtId="195" fontId="4" fillId="9" borderId="9" xfId="0" applyNumberFormat="1" applyFont="1" applyFill="1" applyBorder="1"/>
    <xf numFmtId="194" fontId="0" fillId="16" borderId="9" xfId="0" applyNumberFormat="1" applyFill="1" applyBorder="1"/>
    <xf numFmtId="194" fontId="4" fillId="10" borderId="9" xfId="0" applyNumberFormat="1" applyFont="1" applyFill="1" applyBorder="1"/>
    <xf numFmtId="195" fontId="4" fillId="10" borderId="9" xfId="0" applyNumberFormat="1" applyFont="1" applyFill="1" applyBorder="1"/>
    <xf numFmtId="194" fontId="0" fillId="29" borderId="9" xfId="0" applyNumberFormat="1" applyFill="1" applyBorder="1"/>
    <xf numFmtId="194" fontId="4" fillId="30" borderId="9" xfId="0" applyNumberFormat="1" applyFont="1" applyFill="1" applyBorder="1"/>
    <xf numFmtId="170" fontId="0" fillId="31" borderId="9" xfId="2" applyNumberFormat="1" applyFont="1" applyFill="1" applyBorder="1"/>
    <xf numFmtId="170" fontId="0" fillId="18" borderId="9" xfId="2" applyNumberFormat="1" applyFont="1" applyFill="1" applyBorder="1"/>
    <xf numFmtId="194" fontId="75" fillId="0" borderId="0" xfId="0" applyNumberFormat="1" applyFont="1"/>
  </cellXfs>
  <cellStyles count="8">
    <cellStyle name="Comma" xfId="1" builtinId="3"/>
    <cellStyle name="Comma [0]" xfId="2" builtinId="6"/>
    <cellStyle name="Comma 2" xfId="5"/>
    <cellStyle name="Normal" xfId="0" builtinId="0"/>
    <cellStyle name="Normal 1004 2" xfId="4"/>
    <cellStyle name="Normal 1004 3" xfId="7"/>
    <cellStyle name="Normal 14" xfId="6"/>
    <cellStyle name="Percent" xfId="3" builtinId="5"/>
  </cellStyles>
  <dxfs count="6">
    <dxf>
      <font>
        <color theme="0" tint="-0.14996795556505021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</a:defRPr>
            </a:pPr>
            <a:r>
              <a:rPr lang="en-US" sz="1100">
                <a:solidFill>
                  <a:schemeClr val="bg1"/>
                </a:solidFill>
              </a:rPr>
              <a:t>Stock</a:t>
            </a:r>
            <a:r>
              <a:rPr lang="en-US" sz="1100" baseline="0">
                <a:solidFill>
                  <a:schemeClr val="bg1"/>
                </a:solidFill>
              </a:rPr>
              <a:t> Portion</a:t>
            </a:r>
            <a:endParaRPr lang="en-US" sz="11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1.3118404082953956E-2"/>
          <c:y val="0.19206610964526533"/>
        </c:manualLayout>
      </c:layout>
      <c:overlay val="1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0"/>
          <c:y val="2.5239614503035229E-2"/>
          <c:w val="1"/>
          <c:h val="0.92925165520487774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Dashboard!$C$51</c:f>
              <c:strCache>
                <c:ptCount val="1"/>
                <c:pt idx="0">
                  <c:v>MCV LS</c:v>
                </c:pt>
              </c:strCache>
            </c:strRef>
          </c:tx>
          <c:invertIfNegative val="0"/>
          <c:val>
            <c:numRef>
              <c:f>Dashboard!$D$51</c:f>
              <c:numCache>
                <c:formatCode>#,##0</c:formatCode>
                <c:ptCount val="1"/>
                <c:pt idx="0">
                  <c:v>64174.591239274378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C-4FC6-846C-FB3D4C1A0BAD}"/>
            </c:ext>
          </c:extLst>
        </c:ser>
        <c:ser>
          <c:idx val="0"/>
          <c:order val="1"/>
          <c:tx>
            <c:strRef>
              <c:f>Dashboard!$C$49</c:f>
              <c:strCache>
                <c:ptCount val="1"/>
                <c:pt idx="0">
                  <c:v>HCV LS</c:v>
                </c:pt>
              </c:strCache>
            </c:strRef>
          </c:tx>
          <c:invertIfNegative val="0"/>
          <c:val>
            <c:numRef>
              <c:f>Dashboard!$D$49</c:f>
              <c:numCache>
                <c:formatCode>#,##0</c:formatCode>
                <c:ptCount val="1"/>
                <c:pt idx="0">
                  <c:v>182881.41048553528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8C-4FC6-846C-FB3D4C1A0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26910320"/>
        <c:axId val="226905616"/>
      </c:barChart>
      <c:catAx>
        <c:axId val="226910320"/>
        <c:scaling>
          <c:orientation val="minMax"/>
        </c:scaling>
        <c:delete val="1"/>
        <c:axPos val="l"/>
        <c:majorTickMark val="out"/>
        <c:minorTickMark val="none"/>
        <c:tickLblPos val="nextTo"/>
        <c:crossAx val="226905616"/>
        <c:crosses val="autoZero"/>
        <c:auto val="1"/>
        <c:lblAlgn val="ctr"/>
        <c:lblOffset val="100"/>
        <c:noMultiLvlLbl val="0"/>
      </c:catAx>
      <c:valAx>
        <c:axId val="226905616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226910320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</a:defRPr>
            </a:pPr>
            <a:r>
              <a:rPr lang="en-US" sz="1100">
                <a:solidFill>
                  <a:schemeClr val="bg1"/>
                </a:solidFill>
              </a:rPr>
              <a:t>Stock</a:t>
            </a:r>
            <a:r>
              <a:rPr lang="en-US" sz="1100" baseline="0">
                <a:solidFill>
                  <a:schemeClr val="bg1"/>
                </a:solidFill>
              </a:rPr>
              <a:t> Portion</a:t>
            </a:r>
            <a:endParaRPr lang="en-US" sz="11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2.1081532422784341E-3"/>
          <c:y val="0.24933083734276756"/>
        </c:manualLayout>
      </c:layout>
      <c:overlay val="1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2925165520487774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Dashboard!$H$21</c:f>
              <c:strCache>
                <c:ptCount val="1"/>
                <c:pt idx="0">
                  <c:v>HS     0%</c:v>
                </c:pt>
              </c:strCache>
            </c:strRef>
          </c:tx>
          <c:invertIfNegative val="0"/>
          <c:val>
            <c:numRef>
              <c:f>Dashboard!$J$21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6-49BD-B8EC-D7CDBA2D7594}"/>
            </c:ext>
          </c:extLst>
        </c:ser>
        <c:ser>
          <c:idx val="0"/>
          <c:order val="1"/>
          <c:tx>
            <c:strRef>
              <c:f>Dashboard!$H$19</c:f>
              <c:strCache>
                <c:ptCount val="1"/>
                <c:pt idx="0">
                  <c:v>LS      0%</c:v>
                </c:pt>
              </c:strCache>
            </c:strRef>
          </c:tx>
          <c:invertIfNegative val="0"/>
          <c:val>
            <c:numRef>
              <c:f>Dashboard!$J$19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6-49BD-B8EC-D7CDBA2D7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26906008"/>
        <c:axId val="112679064"/>
      </c:barChart>
      <c:catAx>
        <c:axId val="226906008"/>
        <c:scaling>
          <c:orientation val="minMax"/>
        </c:scaling>
        <c:delete val="1"/>
        <c:axPos val="l"/>
        <c:majorTickMark val="out"/>
        <c:minorTickMark val="none"/>
        <c:tickLblPos val="nextTo"/>
        <c:crossAx val="112679064"/>
        <c:crosses val="autoZero"/>
        <c:auto val="1"/>
        <c:lblAlgn val="ctr"/>
        <c:lblOffset val="100"/>
        <c:noMultiLvlLbl val="0"/>
      </c:catAx>
      <c:valAx>
        <c:axId val="112679064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22690600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</a:defRPr>
            </a:pPr>
            <a:r>
              <a:rPr lang="en-US" sz="1100">
                <a:solidFill>
                  <a:schemeClr val="bg1"/>
                </a:solidFill>
              </a:rPr>
              <a:t>Stock</a:t>
            </a:r>
            <a:r>
              <a:rPr lang="en-US" sz="1100" baseline="0">
                <a:solidFill>
                  <a:schemeClr val="bg1"/>
                </a:solidFill>
              </a:rPr>
              <a:t> Portion</a:t>
            </a:r>
            <a:endParaRPr lang="en-US" sz="11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9.1538106481563672E-3"/>
          <c:y val="0.24933173042924828"/>
        </c:manualLayout>
      </c:layout>
      <c:overlay val="1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2925165520487774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Dashboard!$H$21</c:f>
              <c:strCache>
                <c:ptCount val="1"/>
                <c:pt idx="0">
                  <c:v>HS     0%</c:v>
                </c:pt>
              </c:strCache>
            </c:strRef>
          </c:tx>
          <c:invertIfNegative val="0"/>
          <c:val>
            <c:numRef>
              <c:f>Dashboard!$J$21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F-467D-8B9C-A9909D4EACB8}"/>
            </c:ext>
          </c:extLst>
        </c:ser>
        <c:ser>
          <c:idx val="0"/>
          <c:order val="1"/>
          <c:tx>
            <c:strRef>
              <c:f>Dashboard!$H$19</c:f>
              <c:strCache>
                <c:ptCount val="1"/>
                <c:pt idx="0">
                  <c:v>LS      0%</c:v>
                </c:pt>
              </c:strCache>
            </c:strRef>
          </c:tx>
          <c:invertIfNegative val="0"/>
          <c:val>
            <c:numRef>
              <c:f>Dashboard!$J$19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F-467D-8B9C-A9909D4EA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26906008"/>
        <c:axId val="112679064"/>
      </c:barChart>
      <c:catAx>
        <c:axId val="226906008"/>
        <c:scaling>
          <c:orientation val="minMax"/>
        </c:scaling>
        <c:delete val="1"/>
        <c:axPos val="l"/>
        <c:majorTickMark val="out"/>
        <c:minorTickMark val="none"/>
        <c:tickLblPos val="nextTo"/>
        <c:crossAx val="112679064"/>
        <c:crosses val="autoZero"/>
        <c:auto val="1"/>
        <c:lblAlgn val="ctr"/>
        <c:lblOffset val="100"/>
        <c:noMultiLvlLbl val="0"/>
      </c:catAx>
      <c:valAx>
        <c:axId val="112679064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22690600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bg1"/>
                </a:solidFill>
              </a:rPr>
              <a:t>Stock</a:t>
            </a:r>
            <a:r>
              <a:rPr lang="en-US" sz="1100" baseline="0">
                <a:solidFill>
                  <a:schemeClr val="bg1"/>
                </a:solidFill>
              </a:rPr>
              <a:t> Portion</a:t>
            </a:r>
            <a:endParaRPr lang="en-US" sz="11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2.1081532422784341E-3"/>
          <c:y val="0.2493308373427675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2925165520487774"/>
        </c:manualLayout>
      </c:layout>
      <c:barChart>
        <c:barDir val="bar"/>
        <c:grouping val="stacked"/>
        <c:varyColors val="0"/>
        <c:ser>
          <c:idx val="2"/>
          <c:order val="1"/>
          <c:tx>
            <c:strRef>
              <c:f>Dashboard!$H$33</c:f>
              <c:strCache>
                <c:ptCount val="1"/>
                <c:pt idx="0">
                  <c:v>HS     0%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Dashboard!$J$33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3-4349-B173-C224B05DABBC}"/>
            </c:ext>
          </c:extLst>
        </c:ser>
        <c:ser>
          <c:idx val="0"/>
          <c:order val="2"/>
          <c:tx>
            <c:strRef>
              <c:f>Dashboard!$H$31</c:f>
              <c:strCache>
                <c:ptCount val="1"/>
                <c:pt idx="0">
                  <c:v>LS      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Dashboard!$J$31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3-4349-B173-C224B05DA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2655248"/>
        <c:axId val="312648584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Dashboard!$H$21</c15:sqref>
                        </c15:formulaRef>
                      </c:ext>
                    </c:extLst>
                    <c:strCache>
                      <c:ptCount val="1"/>
                      <c:pt idx="0">
                        <c:v>HS     0%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Dashboard!$J$21</c15:sqref>
                        </c15:formulaRef>
                      </c:ext>
                    </c:extLst>
                    <c:numCache>
                      <c:formatCode>#,##0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073-4349-B173-C224B05DABBC}"/>
                  </c:ext>
                </c:extLst>
              </c15:ser>
            </c15:filteredBarSeries>
          </c:ext>
        </c:extLst>
      </c:barChart>
      <c:catAx>
        <c:axId val="312655248"/>
        <c:scaling>
          <c:orientation val="minMax"/>
        </c:scaling>
        <c:delete val="1"/>
        <c:axPos val="l"/>
        <c:majorTickMark val="out"/>
        <c:minorTickMark val="none"/>
        <c:tickLblPos val="nextTo"/>
        <c:crossAx val="312648584"/>
        <c:crosses val="autoZero"/>
        <c:auto val="1"/>
        <c:lblAlgn val="ctr"/>
        <c:lblOffset val="100"/>
        <c:noMultiLvlLbl val="0"/>
      </c:catAx>
      <c:valAx>
        <c:axId val="312648584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31265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bg1"/>
                </a:solidFill>
              </a:rPr>
              <a:t>Stock</a:t>
            </a:r>
            <a:r>
              <a:rPr lang="en-US" sz="1100" baseline="0">
                <a:solidFill>
                  <a:schemeClr val="bg1"/>
                </a:solidFill>
              </a:rPr>
              <a:t> Portion</a:t>
            </a:r>
            <a:endParaRPr lang="en-US" sz="11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2.1081532422784341E-3"/>
          <c:y val="0.2493308373427675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2925165520487774"/>
        </c:manualLayout>
      </c:layout>
      <c:barChart>
        <c:barDir val="bar"/>
        <c:grouping val="stacked"/>
        <c:varyColors val="0"/>
        <c:ser>
          <c:idx val="2"/>
          <c:order val="1"/>
          <c:tx>
            <c:v>0</c:v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67F-448D-AB6C-009325A091B2}"/>
            </c:ext>
          </c:extLst>
        </c:ser>
        <c:ser>
          <c:idx val="3"/>
          <c:order val="2"/>
          <c:tx>
            <c:strRef>
              <c:f>Dashboard!$H$33</c:f>
              <c:strCache>
                <c:ptCount val="1"/>
                <c:pt idx="0">
                  <c:v>HS     0%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Dashboard!$J$33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7F-448D-AB6C-009325A091B2}"/>
            </c:ext>
          </c:extLst>
        </c:ser>
        <c:ser>
          <c:idx val="0"/>
          <c:order val="3"/>
          <c:tx>
            <c:strRef>
              <c:f>Dashboard!$H$31</c:f>
              <c:strCache>
                <c:ptCount val="1"/>
                <c:pt idx="0">
                  <c:v>LS      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Dashboard!$J$31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7F-448D-AB6C-009325A09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2655248"/>
        <c:axId val="312648584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v>0.295808278</c:v>
                </c:tx>
                <c:spPr>
                  <a:solidFill>
                    <a:schemeClr val="accent2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formatCode>General</c:formatCode>
                    <c:ptCount val="1"/>
                    <c:pt idx="0">
                      <c:v>22930.345160000026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567F-448D-AB6C-009325A091B2}"/>
                  </c:ext>
                </c:extLst>
              </c15:ser>
            </c15:filteredBarSeries>
          </c:ext>
        </c:extLst>
      </c:barChart>
      <c:catAx>
        <c:axId val="312655248"/>
        <c:scaling>
          <c:orientation val="minMax"/>
        </c:scaling>
        <c:delete val="1"/>
        <c:axPos val="l"/>
        <c:majorTickMark val="out"/>
        <c:minorTickMark val="none"/>
        <c:tickLblPos val="nextTo"/>
        <c:crossAx val="312648584"/>
        <c:crosses val="autoZero"/>
        <c:auto val="1"/>
        <c:lblAlgn val="ctr"/>
        <c:lblOffset val="100"/>
        <c:noMultiLvlLbl val="0"/>
      </c:catAx>
      <c:valAx>
        <c:axId val="312648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265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bg1"/>
                </a:solidFill>
              </a:rPr>
              <a:t>Stock</a:t>
            </a:r>
            <a:r>
              <a:rPr lang="en-US" sz="1100" baseline="0">
                <a:solidFill>
                  <a:schemeClr val="bg1"/>
                </a:solidFill>
              </a:rPr>
              <a:t> Portion</a:t>
            </a:r>
            <a:endParaRPr lang="en-US" sz="11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2.1081532422784341E-3"/>
          <c:y val="0.2493308373427675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2925165520487774"/>
        </c:manualLayout>
      </c:layout>
      <c:barChart>
        <c:barDir val="bar"/>
        <c:grouping val="stacked"/>
        <c:varyColors val="0"/>
        <c:ser>
          <c:idx val="2"/>
          <c:order val="1"/>
          <c:tx>
            <c:strRef>
              <c:f>Dashboard!$H$27</c:f>
              <c:strCache>
                <c:ptCount val="1"/>
                <c:pt idx="0">
                  <c:v>HS     33%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Dashboard!$J$27</c:f>
              <c:numCache>
                <c:formatCode>#,##0</c:formatCode>
                <c:ptCount val="1"/>
                <c:pt idx="0">
                  <c:v>168653.37306000001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C-4CA0-BF6D-B1A9313F7050}"/>
            </c:ext>
          </c:extLst>
        </c:ser>
        <c:ser>
          <c:idx val="0"/>
          <c:order val="2"/>
          <c:tx>
            <c:strRef>
              <c:f>Dashboard!$H$25</c:f>
              <c:strCache>
                <c:ptCount val="1"/>
                <c:pt idx="0">
                  <c:v>LS      67%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Dashboard!$J$25</c:f>
              <c:numCache>
                <c:formatCode>#,##0</c:formatCode>
                <c:ptCount val="1"/>
                <c:pt idx="0">
                  <c:v>342654.36692000006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C-4CA0-BF6D-B1A9313F7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2655248"/>
        <c:axId val="312648584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Dashboard!$H$21</c15:sqref>
                        </c15:formulaRef>
                      </c:ext>
                    </c:extLst>
                    <c:strCache>
                      <c:ptCount val="1"/>
                      <c:pt idx="0">
                        <c:v>HS     0%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Dashboard!$J$21</c15:sqref>
                        </c15:formulaRef>
                      </c:ext>
                    </c:extLst>
                    <c:numCache>
                      <c:formatCode>#,##0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C4C-4CA0-BF6D-B1A9313F7050}"/>
                  </c:ext>
                </c:extLst>
              </c15:ser>
            </c15:filteredBarSeries>
          </c:ext>
        </c:extLst>
      </c:barChart>
      <c:catAx>
        <c:axId val="312655248"/>
        <c:scaling>
          <c:orientation val="minMax"/>
        </c:scaling>
        <c:delete val="1"/>
        <c:axPos val="l"/>
        <c:majorTickMark val="out"/>
        <c:minorTickMark val="none"/>
        <c:tickLblPos val="nextTo"/>
        <c:crossAx val="312648584"/>
        <c:crosses val="autoZero"/>
        <c:auto val="1"/>
        <c:lblAlgn val="ctr"/>
        <c:lblOffset val="100"/>
        <c:noMultiLvlLbl val="0"/>
      </c:catAx>
      <c:valAx>
        <c:axId val="312648584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31265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bg1"/>
                </a:solidFill>
              </a:rPr>
              <a:t>Stock</a:t>
            </a:r>
            <a:r>
              <a:rPr lang="en-US" sz="1100" baseline="0">
                <a:solidFill>
                  <a:schemeClr val="bg1"/>
                </a:solidFill>
              </a:rPr>
              <a:t> Portion</a:t>
            </a:r>
            <a:endParaRPr lang="en-US" sz="11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2.1081532422784341E-3"/>
          <c:y val="0.2493308373427675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2925165520487774"/>
        </c:manualLayout>
      </c:layout>
      <c:barChart>
        <c:barDir val="bar"/>
        <c:grouping val="stacked"/>
        <c:varyColors val="0"/>
        <c:ser>
          <c:idx val="2"/>
          <c:order val="1"/>
          <c:tx>
            <c:v>0</c:v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80D-4110-93E3-1F92BA1C0955}"/>
            </c:ext>
          </c:extLst>
        </c:ser>
        <c:ser>
          <c:idx val="3"/>
          <c:order val="2"/>
          <c:tx>
            <c:strRef>
              <c:f>Dashboard!$H$27</c:f>
              <c:strCache>
                <c:ptCount val="1"/>
                <c:pt idx="0">
                  <c:v>HS     33%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Dashboard!$J$27</c:f>
              <c:numCache>
                <c:formatCode>#,##0</c:formatCode>
                <c:ptCount val="1"/>
                <c:pt idx="0">
                  <c:v>168653.37306000001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0D-4110-93E3-1F92BA1C0955}"/>
            </c:ext>
          </c:extLst>
        </c:ser>
        <c:ser>
          <c:idx val="0"/>
          <c:order val="3"/>
          <c:tx>
            <c:strRef>
              <c:f>Dashboard!$H$25</c:f>
              <c:strCache>
                <c:ptCount val="1"/>
                <c:pt idx="0">
                  <c:v>LS      67%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Dashboard!$J$25</c:f>
              <c:numCache>
                <c:formatCode>#,##0</c:formatCode>
                <c:ptCount val="1"/>
                <c:pt idx="0">
                  <c:v>342654.36692000006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0D-4110-93E3-1F92BA1C0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2655248"/>
        <c:axId val="312648584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v>0.295808278</c:v>
                </c:tx>
                <c:spPr>
                  <a:solidFill>
                    <a:schemeClr val="accent2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formatCode>General</c:formatCode>
                    <c:ptCount val="1"/>
                    <c:pt idx="0">
                      <c:v>22930.345160000026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680D-4110-93E3-1F92BA1C0955}"/>
                  </c:ext>
                </c:extLst>
              </c15:ser>
            </c15:filteredBarSeries>
          </c:ext>
        </c:extLst>
      </c:barChart>
      <c:catAx>
        <c:axId val="312655248"/>
        <c:scaling>
          <c:orientation val="minMax"/>
        </c:scaling>
        <c:delete val="1"/>
        <c:axPos val="l"/>
        <c:majorTickMark val="out"/>
        <c:minorTickMark val="none"/>
        <c:tickLblPos val="nextTo"/>
        <c:crossAx val="312648584"/>
        <c:crosses val="autoZero"/>
        <c:auto val="1"/>
        <c:lblAlgn val="ctr"/>
        <c:lblOffset val="100"/>
        <c:noMultiLvlLbl val="0"/>
      </c:catAx>
      <c:valAx>
        <c:axId val="312648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265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77238527312142E-2"/>
          <c:y val="7.1031679396042352E-2"/>
          <c:w val="0.90492492272952074"/>
          <c:h val="0.9286649923915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'Summary Sep26'!$AH$52</c:f>
              <c:strCache>
                <c:ptCount val="1"/>
                <c:pt idx="0">
                  <c:v>Coal Winning</c:v>
                </c:pt>
              </c:strCache>
            </c:strRef>
          </c:tx>
          <c:spPr>
            <a:solidFill>
              <a:srgbClr val="0066FF">
                <a:alpha val="50000"/>
              </a:srgbClr>
            </a:solidFill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'Summary Sep26'!$AK$19:$AK$49</c:f>
              <c:numCache>
                <c:formatCode>0</c:formatCode>
                <c:ptCount val="31"/>
                <c:pt idx="0">
                  <c:v>1</c:v>
                </c:pt>
                <c:pt idx="2">
                  <c:v>3</c:v>
                </c:pt>
                <c:pt idx="4">
                  <c:v>5</c:v>
                </c:pt>
                <c:pt idx="6">
                  <c:v>7</c:v>
                </c:pt>
                <c:pt idx="8">
                  <c:v>9</c:v>
                </c:pt>
                <c:pt idx="10">
                  <c:v>11</c:v>
                </c:pt>
                <c:pt idx="12">
                  <c:v>13</c:v>
                </c:pt>
                <c:pt idx="14">
                  <c:v>15</c:v>
                </c:pt>
                <c:pt idx="16">
                  <c:v>17</c:v>
                </c:pt>
                <c:pt idx="18">
                  <c:v>19</c:v>
                </c:pt>
                <c:pt idx="20">
                  <c:v>21</c:v>
                </c:pt>
                <c:pt idx="22">
                  <c:v>23</c:v>
                </c:pt>
                <c:pt idx="24">
                  <c:v>25</c:v>
                </c:pt>
                <c:pt idx="26">
                  <c:v>27</c:v>
                </c:pt>
                <c:pt idx="28">
                  <c:v>29</c:v>
                </c:pt>
                <c:pt idx="30">
                  <c:v>31</c:v>
                </c:pt>
              </c:numCache>
            </c:numRef>
          </c:cat>
          <c:val>
            <c:numRef>
              <c:f>'Summary Sep26'!$AM$19:$AM$49</c:f>
              <c:numCache>
                <c:formatCode>_(* #,##0.00_);_(* \(#,##0.00\);_(* "-"??_);_(@_)</c:formatCode>
                <c:ptCount val="31"/>
                <c:pt idx="0">
                  <c:v>27928.300000000003</c:v>
                </c:pt>
                <c:pt idx="1">
                  <c:v>25556.699999999997</c:v>
                </c:pt>
                <c:pt idx="2">
                  <c:v>25148</c:v>
                </c:pt>
                <c:pt idx="3">
                  <c:v>25643.100000000002</c:v>
                </c:pt>
                <c:pt idx="4">
                  <c:v>20851.96</c:v>
                </c:pt>
                <c:pt idx="5">
                  <c:v>26806.32</c:v>
                </c:pt>
                <c:pt idx="6">
                  <c:v>22160.839999999997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0-4986-BD99-F2BE11884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12651720"/>
        <c:axId val="312653288"/>
      </c:barChart>
      <c:catAx>
        <c:axId val="312651720"/>
        <c:scaling>
          <c:orientation val="maxMin"/>
        </c:scaling>
        <c:delete val="0"/>
        <c:axPos val="l"/>
        <c:numFmt formatCode="d" sourceLinked="0"/>
        <c:majorTickMark val="out"/>
        <c:minorTickMark val="none"/>
        <c:tickLblPos val="nextTo"/>
        <c:txPr>
          <a:bodyPr rot="0"/>
          <a:lstStyle/>
          <a:p>
            <a:pPr>
              <a:defRPr b="1"/>
            </a:pPr>
            <a:endParaRPr lang="en-US"/>
          </a:p>
        </c:txPr>
        <c:crossAx val="312653288"/>
        <c:crosses val="autoZero"/>
        <c:auto val="1"/>
        <c:lblAlgn val="ctr"/>
        <c:lblOffset val="100"/>
        <c:noMultiLvlLbl val="0"/>
      </c:catAx>
      <c:valAx>
        <c:axId val="312653288"/>
        <c:scaling>
          <c:orientation val="minMax"/>
          <c:max val="35000"/>
          <c:min val="0"/>
        </c:scaling>
        <c:delete val="0"/>
        <c:axPos val="t"/>
        <c:majorGridlines>
          <c:spPr>
            <a:ln w="6350">
              <a:solidFill>
                <a:schemeClr val="tx1">
                  <a:tint val="75000"/>
                  <a:shade val="95000"/>
                  <a:satMod val="105000"/>
                  <a:alpha val="70000"/>
                </a:schemeClr>
              </a:solidFill>
              <a:prstDash val="sysDash"/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crossAx val="312651720"/>
        <c:crosses val="autoZero"/>
        <c:crossBetween val="between"/>
        <c:majorUnit val="5000"/>
      </c:valAx>
      <c:spPr>
        <a:noFill/>
      </c:spPr>
    </c:plotArea>
    <c:plotVisOnly val="1"/>
    <c:dispBlanksAs val="gap"/>
    <c:showDLblsOverMax val="0"/>
  </c:chart>
  <c:spPr>
    <a:blipFill dpi="0" rotWithShape="1">
      <a:blip xmlns:r="http://schemas.openxmlformats.org/officeDocument/2006/relationships" r:embed="rId1">
        <a:alphaModFix amt="25000"/>
      </a:blip>
      <a:srcRect/>
      <a:stretch>
        <a:fillRect/>
      </a:stretch>
    </a:blipFill>
    <a:ln w="3175">
      <a:solidFill>
        <a:schemeClr val="bg1">
          <a:lumMod val="75000"/>
        </a:schemeClr>
      </a:solidFill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 algn="ctr"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000" b="1" i="0" u="none">
                <a:latin typeface="+mj-lt"/>
              </a:rPr>
              <a:t>ROM</a:t>
            </a:r>
            <a:r>
              <a:rPr lang="en-US" sz="1000" b="1" i="0" u="none" baseline="0">
                <a:latin typeface="+mj-lt"/>
              </a:rPr>
              <a:t> STOCK</a:t>
            </a:r>
          </a:p>
          <a:p>
            <a:pPr algn="ctr">
              <a:defRPr sz="1000" b="1">
                <a:latin typeface="+mj-lt"/>
              </a:defRPr>
            </a:pPr>
            <a:r>
              <a:rPr lang="en-US" sz="1000" b="1" i="0" u="none" baseline="0">
                <a:latin typeface="+mj-lt"/>
              </a:rPr>
              <a:t> BIANGAN</a:t>
            </a:r>
            <a:endParaRPr lang="en-US" sz="1000" b="1" i="0" u="none">
              <a:latin typeface="+mj-lt"/>
            </a:endParaRPr>
          </a:p>
        </c:rich>
      </c:tx>
      <c:layout>
        <c:manualLayout>
          <c:xMode val="edge"/>
          <c:yMode val="edge"/>
          <c:x val="0.37929685176071004"/>
          <c:y val="0.44969730219468274"/>
        </c:manualLayout>
      </c:layout>
      <c:overlay val="1"/>
      <c:spPr>
        <a:noFill/>
        <a:ln>
          <a:noFill/>
        </a:ln>
        <a:effectLst>
          <a:outerShdw blurRad="50800" dist="50800" dir="5400000" sx="1000" sy="1000" algn="ctr" rotWithShape="0">
            <a:srgbClr val="000000">
              <a:alpha val="43137"/>
            </a:srgbClr>
          </a:outerShdw>
          <a:softEdge rad="0"/>
        </a:effectLst>
      </c:spPr>
      <c:txPr>
        <a:bodyPr rot="0" spcFirstLastPara="1" vertOverflow="ellipsis" vert="horz" wrap="square" anchor="ctr" anchorCtr="0"/>
        <a:lstStyle/>
        <a:p>
          <a:pPr algn="ctr"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958505970823656E-2"/>
          <c:y val="2.5482858933315714E-2"/>
          <c:w val="0.79484199310967729"/>
          <c:h val="0.96908070996334394"/>
        </c:manualLayout>
      </c:layout>
      <c:doughnutChart>
        <c:varyColors val="1"/>
        <c:ser>
          <c:idx val="1"/>
          <c:order val="0"/>
          <c:tx>
            <c:strRef>
              <c:f>'Stock Information'!$D$8</c:f>
              <c:strCache>
                <c:ptCount val="1"/>
                <c:pt idx="0">
                  <c:v>ROM STOCK BIANGAN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9-40C5-819B-7B239DE337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89-40C5-819B-7B239DE337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89-40C5-819B-7B239DE337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89-40C5-819B-7B239DE337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F-D789-40C5-819B-7B239DE337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789-40C5-819B-7B239DE337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89-40C5-819B-7B239DE337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789-40C5-819B-7B239DE337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789-40C5-819B-7B239DE337A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789-40C5-819B-7B239DE337A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789-40C5-819B-7B239DE337A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789-40C5-819B-7B239DE337A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789-40C5-819B-7B239DE337A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789-40C5-819B-7B239DE337A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789-40C5-819B-7B239DE337A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789-40C5-819B-7B239DE337A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789-40C5-819B-7B239DE337A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789-40C5-819B-7B239DE337A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789-40C5-819B-7B239DE337A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789-40C5-819B-7B239DE337A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789-40C5-819B-7B239DE337A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789-40C5-819B-7B239DE337A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789-40C5-819B-7B239DE337A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789-40C5-819B-7B239DE337A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789-40C5-819B-7B239DE337A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789-40C5-819B-7B239DE337A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789-40C5-819B-7B239DE337A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789-40C5-819B-7B239DE337A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789-40C5-819B-7B239DE337A3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789-40C5-819B-7B239DE337A3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789-40C5-819B-7B239DE337A3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789-40C5-819B-7B239DE337A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789-40C5-819B-7B239DE337A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789-40C5-819B-7B239DE337A3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789-40C5-819B-7B239DE337A3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789-40C5-819B-7B239DE337A3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789-40C5-819B-7B239DE337A3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789-40C5-819B-7B239DE337A3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789-40C5-819B-7B239DE337A3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789-40C5-819B-7B239DE337A3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789-40C5-819B-7B239DE337A3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789-40C5-819B-7B239DE337A3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789-40C5-819B-7B239DE337A3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789-40C5-819B-7B239DE337A3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789-40C5-819B-7B239DE337A3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789-40C5-819B-7B239DE337A3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789-40C5-819B-7B239DE337A3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789-40C5-819B-7B239DE337A3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789-40C5-819B-7B239DE337A3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D789-40C5-819B-7B239DE337A3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789-40C5-819B-7B239DE337A3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D789-40C5-819B-7B239DE337A3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D789-40C5-819B-7B239DE337A3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D789-40C5-819B-7B239DE337A3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D789-40C5-819B-7B239DE337A3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D789-40C5-819B-7B239DE337A3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D789-40C5-819B-7B239DE337A3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D789-40C5-819B-7B239DE337A3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D789-40C5-819B-7B239DE337A3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D789-40C5-819B-7B239DE337A3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D789-40C5-819B-7B239DE337A3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D789-40C5-819B-7B239DE337A3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D789-40C5-819B-7B239DE337A3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D789-40C5-819B-7B239DE337A3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D789-40C5-819B-7B239DE337A3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D789-40C5-819B-7B239DE337A3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D789-40C5-819B-7B239DE337A3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D789-40C5-819B-7B239DE337A3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D789-40C5-819B-7B239DE337A3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D789-40C5-819B-7B239DE337A3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D789-40C5-819B-7B239DE337A3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D789-40C5-819B-7B239DE337A3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D789-40C5-819B-7B239DE337A3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D789-40C5-819B-7B239DE337A3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D789-40C5-819B-7B239DE337A3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D789-40C5-819B-7B239DE337A3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D789-40C5-819B-7B239DE337A3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D789-40C5-819B-7B239DE337A3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D789-40C5-819B-7B239DE337A3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D789-40C5-819B-7B239DE337A3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D789-40C5-819B-7B239DE337A3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D789-40C5-819B-7B239DE337A3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D789-40C5-819B-7B239DE337A3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D789-40C5-819B-7B239DE337A3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D789-40C5-819B-7B239DE337A3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D789-40C5-819B-7B239DE337A3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D789-40C5-819B-7B239DE337A3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D789-40C5-819B-7B239DE337A3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D789-40C5-819B-7B239DE337A3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D789-40C5-819B-7B239DE337A3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D789-40C5-819B-7B239DE337A3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D789-40C5-819B-7B239DE337A3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D789-40C5-819B-7B239DE337A3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D789-40C5-819B-7B239DE337A3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D789-40C5-819B-7B239DE337A3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D789-40C5-819B-7B239DE337A3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D789-40C5-819B-7B239DE337A3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D789-40C5-819B-7B239DE337A3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D789-40C5-819B-7B239DE337A3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D789-40C5-819B-7B239DE337A3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D789-40C5-819B-7B239DE337A3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D789-40C5-819B-7B239DE337A3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D789-40C5-819B-7B239DE337A3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D789-40C5-819B-7B239DE337A3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D789-40C5-819B-7B239DE337A3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D789-40C5-819B-7B239DE337A3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D789-40C5-819B-7B239DE337A3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D789-40C5-819B-7B239DE337A3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D789-40C5-819B-7B239DE337A3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D789-40C5-819B-7B239DE337A3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D789-40C5-819B-7B239DE337A3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D789-40C5-819B-7B239DE337A3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D789-40C5-819B-7B239DE337A3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D789-40C5-819B-7B239DE337A3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D789-40C5-819B-7B239DE337A3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D789-40C5-819B-7B239DE337A3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D789-40C5-819B-7B239DE337A3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D789-40C5-819B-7B239DE337A3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D789-40C5-819B-7B239DE337A3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D789-40C5-819B-7B239DE337A3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D789-40C5-819B-7B239DE337A3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D789-40C5-819B-7B239DE337A3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D789-40C5-819B-7B239DE337A3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D789-40C5-819B-7B239DE337A3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D789-40C5-819B-7B239DE337A3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D789-40C5-819B-7B239DE337A3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D789-40C5-819B-7B239DE337A3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D789-40C5-819B-7B239DE337A3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D789-40C5-819B-7B239DE337A3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D789-40C5-819B-7B239DE337A3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D789-40C5-819B-7B239DE337A3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D789-40C5-819B-7B239DE337A3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D789-40C5-819B-7B239DE337A3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D789-40C5-819B-7B239DE337A3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D789-40C5-819B-7B239DE337A3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D789-40C5-819B-7B239DE337A3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D789-40C5-819B-7B239DE337A3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D789-40C5-819B-7B239DE337A3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D789-40C5-819B-7B239DE337A3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D789-40C5-819B-7B239DE337A3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D789-40C5-819B-7B239DE337A3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D789-40C5-819B-7B239DE337A3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D789-40C5-819B-7B239DE337A3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D789-40C5-819B-7B239DE337A3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D789-40C5-819B-7B239DE337A3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D789-40C5-819B-7B239DE337A3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D789-40C5-819B-7B239DE337A3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D789-40C5-819B-7B239DE337A3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D789-40C5-819B-7B239DE337A3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D789-40C5-819B-7B239DE337A3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D789-40C5-819B-7B239DE337A3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D789-40C5-819B-7B239DE337A3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D789-40C5-819B-7B239DE337A3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D789-40C5-819B-7B239DE337A3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D789-40C5-819B-7B239DE337A3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D789-40C5-819B-7B239DE337A3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D789-40C5-819B-7B239DE337A3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D789-40C5-819B-7B239DE337A3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D789-40C5-819B-7B239DE337A3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D789-40C5-819B-7B239DE337A3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D789-40C5-819B-7B239DE337A3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D789-40C5-819B-7B239DE337A3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D789-40C5-819B-7B239DE337A3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D789-40C5-819B-7B239DE337A3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D789-40C5-819B-7B239DE337A3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D789-40C5-819B-7B239DE337A3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D789-40C5-819B-7B239DE337A3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D789-40C5-819B-7B239DE337A3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D789-40C5-819B-7B239DE337A3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D789-40C5-819B-7B239DE337A3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D789-40C5-819B-7B239DE337A3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D789-40C5-819B-7B239DE337A3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D789-40C5-819B-7B239DE337A3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D789-40C5-819B-7B239DE337A3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D789-40C5-819B-7B239DE337A3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D789-40C5-819B-7B239DE337A3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D789-40C5-819B-7B239DE337A3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D789-40C5-819B-7B239DE337A3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D789-40C5-819B-7B239DE337A3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D789-40C5-819B-7B239DE337A3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D789-40C5-819B-7B239DE337A3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D789-40C5-819B-7B239DE337A3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D789-40C5-819B-7B239DE337A3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D789-40C5-819B-7B239DE337A3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D789-40C5-819B-7B239DE337A3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D789-40C5-819B-7B239DE337A3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D789-40C5-819B-7B239DE337A3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D789-40C5-819B-7B239DE337A3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D789-40C5-819B-7B239DE337A3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D789-40C5-819B-7B239DE337A3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D789-40C5-819B-7B239DE337A3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D789-40C5-819B-7B239DE337A3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D789-40C5-819B-7B239DE337A3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D789-40C5-819B-7B239DE337A3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D789-40C5-819B-7B239DE337A3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D789-40C5-819B-7B239DE337A3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D789-40C5-819B-7B239DE337A3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D789-40C5-819B-7B239DE337A3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D789-40C5-819B-7B239DE337A3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D789-40C5-819B-7B239DE337A3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D789-40C5-819B-7B239DE337A3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D789-40C5-819B-7B239DE337A3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D789-40C5-819B-7B239DE337A3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D789-40C5-819B-7B239DE337A3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D789-40C5-819B-7B239DE337A3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D789-40C5-819B-7B239DE337A3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D789-40C5-819B-7B239DE337A3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D789-40C5-819B-7B239DE337A3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D789-40C5-819B-7B239DE337A3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D789-40C5-819B-7B239DE337A3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D789-40C5-819B-7B239DE337A3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D789-40C5-819B-7B239DE337A3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D789-40C5-819B-7B239DE337A3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D789-40C5-819B-7B239DE337A3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D789-40C5-819B-7B239DE337A3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D789-40C5-819B-7B239DE337A3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D789-40C5-819B-7B239DE337A3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D789-40C5-819B-7B239DE337A3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D789-40C5-819B-7B239DE337A3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D789-40C5-819B-7B239DE337A3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D789-40C5-819B-7B239DE337A3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D789-40C5-819B-7B239DE337A3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D789-40C5-819B-7B239DE337A3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D789-40C5-819B-7B239DE337A3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D789-40C5-819B-7B239DE337A3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D789-40C5-819B-7B239DE337A3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D789-40C5-819B-7B239DE337A3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D789-40C5-819B-7B239DE337A3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D789-40C5-819B-7B239DE337A3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D789-40C5-819B-7B239DE337A3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D789-40C5-819B-7B239DE337A3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D789-40C5-819B-7B239DE337A3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D789-40C5-819B-7B239DE337A3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D789-40C5-819B-7B239DE337A3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D789-40C5-819B-7B239DE337A3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D789-40C5-819B-7B239DE337A3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D789-40C5-819B-7B239DE337A3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D789-40C5-819B-7B239DE337A3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D789-40C5-819B-7B239DE337A3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D789-40C5-819B-7B239DE337A3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D789-40C5-819B-7B239DE337A3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D789-40C5-819B-7B239DE337A3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D789-40C5-819B-7B239DE337A3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D789-40C5-819B-7B239DE337A3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D789-40C5-819B-7B239DE337A3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D789-40C5-819B-7B239DE337A3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D789-40C5-819B-7B239DE337A3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D789-40C5-819B-7B239DE337A3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D789-40C5-819B-7B239DE337A3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D789-40C5-819B-7B239DE337A3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D789-40C5-819B-7B239DE337A3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D789-40C5-819B-7B239DE337A3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D789-40C5-819B-7B239DE337A3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D789-40C5-819B-7B239DE337A3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D789-40C5-819B-7B239DE337A3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D789-40C5-819B-7B239DE337A3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D789-40C5-819B-7B239DE337A3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D789-40C5-819B-7B239DE337A3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D789-40C5-819B-7B239DE337A3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D789-40C5-819B-7B239DE337A3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D789-40C5-819B-7B239DE337A3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D789-40C5-819B-7B239DE337A3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D789-40C5-819B-7B239DE337A3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D789-40C5-819B-7B239DE337A3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D789-40C5-819B-7B239DE337A3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D789-40C5-819B-7B239DE337A3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D789-40C5-819B-7B239DE337A3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D789-40C5-819B-7B239DE337A3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D789-40C5-819B-7B239DE337A3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D789-40C5-819B-7B239DE337A3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D789-40C5-819B-7B239DE337A3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D789-40C5-819B-7B239DE337A3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D789-40C5-819B-7B239DE337A3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D789-40C5-819B-7B239DE337A3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D789-40C5-819B-7B239DE337A3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D789-40C5-819B-7B239DE337A3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D789-40C5-819B-7B239DE337A3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D789-40C5-819B-7B239DE337A3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D789-40C5-819B-7B239DE337A3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D789-40C5-819B-7B239DE337A3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D789-40C5-819B-7B239DE337A3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D789-40C5-819B-7B239DE337A3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D789-40C5-819B-7B239DE337A3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D789-40C5-819B-7B239DE337A3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D789-40C5-819B-7B239DE337A3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D789-40C5-819B-7B239DE337A3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D789-40C5-819B-7B239DE337A3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D789-40C5-819B-7B239DE337A3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D789-40C5-819B-7B239DE337A3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D789-40C5-819B-7B239DE337A3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D789-40C5-819B-7B239DE337A3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D789-40C5-819B-7B239DE337A3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D789-40C5-819B-7B239DE337A3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D789-40C5-819B-7B239DE337A3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D789-40C5-819B-7B239DE337A3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D789-40C5-819B-7B239DE337A3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D789-40C5-819B-7B239DE337A3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D789-40C5-819B-7B239DE337A3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D789-40C5-819B-7B239DE337A3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D789-40C5-819B-7B239DE337A3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D789-40C5-819B-7B239DE337A3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D789-40C5-819B-7B239DE337A3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D789-40C5-819B-7B239DE337A3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D789-40C5-819B-7B239DE337A3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D789-40C5-819B-7B239DE337A3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D789-40C5-819B-7B239DE337A3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D789-40C5-819B-7B239DE337A3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D789-40C5-819B-7B239DE337A3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D789-40C5-819B-7B239DE337A3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D789-40C5-819B-7B239DE337A3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D789-40C5-819B-7B239DE337A3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D789-40C5-819B-7B239DE337A3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D789-40C5-819B-7B239DE337A3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D789-40C5-819B-7B239DE337A3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D789-40C5-819B-7B239DE337A3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D789-40C5-819B-7B239DE337A3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D789-40C5-819B-7B239DE337A3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D789-40C5-819B-7B239DE337A3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D789-40C5-819B-7B239DE337A3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D789-40C5-819B-7B239DE337A3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D789-40C5-819B-7B239DE337A3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D789-40C5-819B-7B239DE337A3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D789-40C5-819B-7B239DE337A3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D789-40C5-819B-7B239DE337A3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D789-40C5-819B-7B239DE337A3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D789-40C5-819B-7B239DE337A3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D789-40C5-819B-7B239DE337A3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D789-40C5-819B-7B239DE337A3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D789-40C5-819B-7B239DE337A3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D789-40C5-819B-7B239DE337A3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D789-40C5-819B-7B239DE337A3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D789-40C5-819B-7B239DE337A3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D789-40C5-819B-7B239DE337A3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D789-40C5-819B-7B239DE337A3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D789-40C5-819B-7B239DE337A3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D789-40C5-819B-7B239DE337A3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D789-40C5-819B-7B239DE337A3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D789-40C5-819B-7B239DE337A3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D789-40C5-819B-7B239DE337A3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D789-40C5-819B-7B239DE337A3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D789-40C5-819B-7B239DE337A3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D789-40C5-819B-7B239DE337A3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D789-40C5-819B-7B239DE337A3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D789-40C5-819B-7B239DE337A3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D789-40C5-819B-7B239DE337A3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D789-40C5-819B-7B239DE337A3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D789-40C5-819B-7B239DE337A3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D789-40C5-819B-7B239DE337A3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D789-40C5-819B-7B239DE337A3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D789-40C5-819B-7B239DE337A3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D789-40C5-819B-7B239DE337A3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D789-40C5-819B-7B239DE337A3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D789-40C5-819B-7B239DE337A3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D789-40C5-819B-7B239DE337A3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D789-40C5-819B-7B239DE337A3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D789-40C5-819B-7B239DE337A3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D789-40C5-819B-7B239DE337A3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D789-40C5-819B-7B239DE337A3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D789-40C5-819B-7B239DE337A3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D789-40C5-819B-7B239DE337A3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D789-40C5-819B-7B239DE337A3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D789-40C5-819B-7B239DE337A3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D789-40C5-819B-7B239DE337A3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D789-40C5-819B-7B239DE337A3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D789-40C5-819B-7B239DE337A3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D789-40C5-819B-7B239DE337A3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D789-40C5-819B-7B239DE337A3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D789-40C5-819B-7B239DE337A3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D789-40C5-819B-7B239DE337A3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D789-40C5-819B-7B239DE337A3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D789-40C5-819B-7B239DE337A3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D789-40C5-819B-7B239DE337A3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D789-40C5-819B-7B239DE337A3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D789-40C5-819B-7B239DE337A3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D789-40C5-819B-7B239DE337A3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D789-40C5-819B-7B239DE337A3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D789-40C5-819B-7B239DE337A3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D789-40C5-819B-7B239DE337A3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D789-40C5-819B-7B239DE337A3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D789-40C5-819B-7B239DE337A3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D789-40C5-819B-7B239DE337A3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D789-40C5-819B-7B239DE337A3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D789-40C5-819B-7B239DE337A3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D789-40C5-819B-7B239DE337A3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D789-40C5-819B-7B239DE337A3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D789-40C5-819B-7B239DE337A3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D789-40C5-819B-7B239DE337A3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D789-40C5-819B-7B239DE337A3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D789-40C5-819B-7B239DE337A3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D789-40C5-819B-7B239DE337A3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D789-40C5-819B-7B239DE337A3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D789-40C5-819B-7B239DE337A3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D789-40C5-819B-7B239DE337A3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1-D789-40C5-819B-7B239DE337A3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3-D789-40C5-819B-7B239DE337A3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5-D789-40C5-819B-7B239DE337A3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7-D789-40C5-819B-7B239DE337A3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9-D789-40C5-819B-7B239DE337A3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B-D789-40C5-819B-7B239DE337A3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D-D789-40C5-819B-7B239DE337A3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F-D789-40C5-819B-7B239DE337A3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1-D789-40C5-819B-7B239DE337A3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3-D789-40C5-819B-7B239DE337A3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5-D789-40C5-819B-7B239DE337A3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7-D789-40C5-819B-7B239DE337A3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9-D789-40C5-819B-7B239DE337A3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B-D789-40C5-819B-7B239DE337A3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D-D789-40C5-819B-7B239DE337A3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F-D789-40C5-819B-7B239DE337A3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1-D789-40C5-819B-7B239DE337A3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3-D789-40C5-819B-7B239DE337A3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5-D789-40C5-819B-7B239DE337A3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7-D789-40C5-819B-7B239DE337A3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9-D789-40C5-819B-7B239DE337A3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B-D789-40C5-819B-7B239DE337A3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D-D789-40C5-819B-7B239DE337A3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F-D789-40C5-819B-7B239DE337A3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1-D789-40C5-819B-7B239DE337A3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3-D789-40C5-819B-7B239DE337A3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D789-40C5-819B-7B239DE337A3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D789-40C5-819B-7B239DE337A3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D789-40C5-819B-7B239DE337A3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D789-40C5-819B-7B239DE337A3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D789-40C5-819B-7B239DE337A3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D789-40C5-819B-7B239DE337A3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D789-40C5-819B-7B239DE337A3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D789-40C5-819B-7B239DE337A3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D789-40C5-819B-7B239DE337A3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D789-40C5-819B-7B239DE337A3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D789-40C5-819B-7B239DE337A3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D789-40C5-819B-7B239DE337A3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D789-40C5-819B-7B239DE337A3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D789-40C5-819B-7B239DE337A3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D789-40C5-819B-7B239DE337A3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D789-40C5-819B-7B239DE337A3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D789-40C5-819B-7B239DE337A3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D789-40C5-819B-7B239DE337A3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D789-40C5-819B-7B239DE337A3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D789-40C5-819B-7B239DE337A3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D789-40C5-819B-7B239DE337A3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D789-40C5-819B-7B239DE337A3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D789-40C5-819B-7B239DE337A3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D789-40C5-819B-7B239DE337A3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D789-40C5-819B-7B239DE337A3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D789-40C5-819B-7B239DE337A3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D789-40C5-819B-7B239DE337A3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D789-40C5-819B-7B239DE337A3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D789-40C5-819B-7B239DE337A3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D789-40C5-819B-7B239DE337A3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D789-40C5-819B-7B239DE337A3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D789-40C5-819B-7B239DE337A3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D789-40C5-819B-7B239DE337A3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D789-40C5-819B-7B239DE337A3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D789-40C5-819B-7B239DE337A3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D789-40C5-819B-7B239DE337A3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D789-40C5-819B-7B239DE337A3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D789-40C5-819B-7B239DE337A3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D789-40C5-819B-7B239DE337A3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D789-40C5-819B-7B239DE337A3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D789-40C5-819B-7B239DE337A3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D789-40C5-819B-7B239DE337A3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D789-40C5-819B-7B239DE337A3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D789-40C5-819B-7B239DE337A3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D789-40C5-819B-7B239DE337A3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D789-40C5-819B-7B239DE337A3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D789-40C5-819B-7B239DE337A3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D789-40C5-819B-7B239DE337A3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D789-40C5-819B-7B239DE337A3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D789-40C5-819B-7B239DE337A3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D789-40C5-819B-7B239DE337A3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D789-40C5-819B-7B239DE337A3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D789-40C5-819B-7B239DE337A3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D789-40C5-819B-7B239DE337A3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D789-40C5-819B-7B239DE337A3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D789-40C5-819B-7B239DE337A3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D789-40C5-819B-7B239DE337A3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D789-40C5-819B-7B239DE337A3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D789-40C5-819B-7B239DE337A3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D789-40C5-819B-7B239DE337A3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D789-40C5-819B-7B239DE337A3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D789-40C5-819B-7B239DE337A3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D789-40C5-819B-7B239DE337A3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D789-40C5-819B-7B239DE337A3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D789-40C5-819B-7B239DE337A3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D789-40C5-819B-7B239DE337A3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D789-40C5-819B-7B239DE337A3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D789-40C5-819B-7B239DE337A3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D789-40C5-819B-7B239DE337A3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D789-40C5-819B-7B239DE337A3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D789-40C5-819B-7B239DE337A3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D789-40C5-819B-7B239DE337A3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D789-40C5-819B-7B239DE337A3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D789-40C5-819B-7B239DE337A3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D789-40C5-819B-7B239DE337A3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D789-40C5-819B-7B239DE337A3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D789-40C5-819B-7B239DE337A3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D789-40C5-819B-7B239DE337A3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D789-40C5-819B-7B239DE337A3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D789-40C5-819B-7B239DE337A3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D789-40C5-819B-7B239DE337A3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D789-40C5-819B-7B239DE337A3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D789-40C5-819B-7B239DE337A3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D789-40C5-819B-7B239DE337A3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D789-40C5-819B-7B239DE337A3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D789-40C5-819B-7B239DE337A3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D789-40C5-819B-7B239DE337A3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D789-40C5-819B-7B239DE337A3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D789-40C5-819B-7B239DE337A3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D789-40C5-819B-7B239DE337A3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9-D789-40C5-819B-7B239DE337A3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B-D789-40C5-819B-7B239DE337A3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D-D789-40C5-819B-7B239DE337A3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F-D789-40C5-819B-7B239DE337A3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1-D789-40C5-819B-7B239DE337A3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3-D789-40C5-819B-7B239DE337A3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5-D789-40C5-819B-7B239DE337A3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7-D789-40C5-819B-7B239DE337A3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D789-40C5-819B-7B239DE337A3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D789-40C5-819B-7B239DE337A3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D789-40C5-819B-7B239DE337A3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D789-40C5-819B-7B239DE337A3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D789-40C5-819B-7B239DE337A3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D789-40C5-819B-7B239DE337A3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D789-40C5-819B-7B239DE337A3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D789-40C5-819B-7B239DE337A3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9-D789-40C5-819B-7B239DE337A3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B-D789-40C5-819B-7B239DE337A3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D-D789-40C5-819B-7B239DE337A3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F-D789-40C5-819B-7B239DE337A3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1-D789-40C5-819B-7B239DE337A3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3-D789-40C5-819B-7B239DE337A3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5-D789-40C5-819B-7B239DE337A3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7-D789-40C5-819B-7B239DE337A3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9-D789-40C5-819B-7B239DE337A3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B-D789-40C5-819B-7B239DE337A3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D-D789-40C5-819B-7B239DE337A3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F-D789-40C5-819B-7B239DE337A3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1-D789-40C5-819B-7B239DE337A3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3-D789-40C5-819B-7B239DE337A3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5-D789-40C5-819B-7B239DE337A3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7-D789-40C5-819B-7B239DE337A3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9-D789-40C5-819B-7B239DE337A3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B-D789-40C5-819B-7B239DE337A3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D-D789-40C5-819B-7B239DE337A3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F-D789-40C5-819B-7B239DE337A3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1-D789-40C5-819B-7B239DE337A3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3-D789-40C5-819B-7B239DE337A3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5-D789-40C5-819B-7B239DE337A3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7-D789-40C5-819B-7B239DE337A3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9-D789-40C5-819B-7B239DE337A3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B-D789-40C5-819B-7B239DE337A3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D-D789-40C5-819B-7B239DE337A3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F-D789-40C5-819B-7B239DE337A3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1-D789-40C5-819B-7B239DE337A3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3-D789-40C5-819B-7B239DE337A3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5-D789-40C5-819B-7B239DE337A3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7-D789-40C5-819B-7B239DE337A3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9-D789-40C5-819B-7B239DE337A3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B-D789-40C5-819B-7B239DE337A3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D-D789-40C5-819B-7B239DE337A3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F-D789-40C5-819B-7B239DE337A3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1-D789-40C5-819B-7B239DE337A3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3-D789-40C5-819B-7B239DE337A3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5-D789-40C5-819B-7B239DE337A3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7-D789-40C5-819B-7B239DE337A3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9-D789-40C5-819B-7B239DE337A3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B-D789-40C5-819B-7B239DE337A3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D-D789-40C5-819B-7B239DE337A3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F-D789-40C5-819B-7B239DE337A3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1-D789-40C5-819B-7B239DE337A3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3-D789-40C5-819B-7B239DE337A3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5-D789-40C5-819B-7B239DE337A3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7-D789-40C5-819B-7B239DE337A3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9-D789-40C5-819B-7B239DE337A3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B-D789-40C5-819B-7B239DE337A3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D-D789-40C5-819B-7B239DE337A3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F-D789-40C5-819B-7B239DE337A3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1-D789-40C5-819B-7B239DE337A3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3-D789-40C5-819B-7B239DE337A3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5-D789-40C5-819B-7B239DE337A3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7-D789-40C5-819B-7B239DE337A3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9-D789-40C5-819B-7B239DE337A3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B-D789-40C5-819B-7B239DE337A3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D-D789-40C5-819B-7B239DE337A3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F-D789-40C5-819B-7B239DE337A3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1-D789-40C5-819B-7B239DE337A3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3-D789-40C5-819B-7B239DE337A3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5-D789-40C5-819B-7B239DE337A3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7-D789-40C5-819B-7B239DE337A3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9-D789-40C5-819B-7B239DE337A3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B-D789-40C5-819B-7B239DE337A3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D-D789-40C5-819B-7B239DE337A3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F-D789-40C5-819B-7B239DE337A3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1-D789-40C5-819B-7B239DE337A3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3-D789-40C5-819B-7B239DE337A3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5-D789-40C5-819B-7B239DE337A3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7-D789-40C5-819B-7B239DE337A3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9-D789-40C5-819B-7B239DE337A3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B-D789-40C5-819B-7B239DE337A3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D-D789-40C5-819B-7B239DE337A3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F-D789-40C5-819B-7B239DE337A3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1-D789-40C5-819B-7B239DE337A3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3-D789-40C5-819B-7B239DE337A3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5-D789-40C5-819B-7B239DE337A3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7-D789-40C5-819B-7B239DE337A3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9-D789-40C5-819B-7B239DE337A3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B-D789-40C5-819B-7B239DE337A3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D-D789-40C5-819B-7B239DE337A3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F-D789-40C5-819B-7B239DE337A3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1-D789-40C5-819B-7B239DE337A3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3-D789-40C5-819B-7B239DE337A3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5-D789-40C5-819B-7B239DE337A3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7-D789-40C5-819B-7B239DE337A3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9-D789-40C5-819B-7B239DE337A3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B-D789-40C5-819B-7B239DE337A3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D-D789-40C5-819B-7B239DE337A3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F-D789-40C5-819B-7B239DE337A3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1-D789-40C5-819B-7B239DE337A3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3-D789-40C5-819B-7B239DE337A3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5-D789-40C5-819B-7B239DE337A3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7-D789-40C5-819B-7B239DE337A3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9-D789-40C5-819B-7B239DE337A3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B-D789-40C5-819B-7B239DE337A3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D-D789-40C5-819B-7B239DE337A3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F-D789-40C5-819B-7B239DE337A3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1-D789-40C5-819B-7B239DE337A3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3-D789-40C5-819B-7B239DE337A3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5-D789-40C5-819B-7B239DE337A3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7-D789-40C5-819B-7B239DE337A3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9-D789-40C5-819B-7B239DE337A3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B-D789-40C5-819B-7B239DE337A3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D-D789-40C5-819B-7B239DE337A3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F-D789-40C5-819B-7B239DE337A3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1-D789-40C5-819B-7B239DE337A3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3-D789-40C5-819B-7B239DE337A3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5-D789-40C5-819B-7B239DE337A3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7-D789-40C5-819B-7B239DE337A3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9-D789-40C5-819B-7B239DE337A3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B-D789-40C5-819B-7B239DE337A3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D-D789-40C5-819B-7B239DE337A3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F-D789-40C5-819B-7B239DE337A3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1-D789-40C5-819B-7B239DE337A3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3-D789-40C5-819B-7B239DE337A3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5-D789-40C5-819B-7B239DE337A3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7-D789-40C5-819B-7B239DE337A3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9-D789-40C5-819B-7B239DE337A3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B-D789-40C5-819B-7B239DE337A3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D-D789-40C5-819B-7B239DE337A3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F-D789-40C5-819B-7B239DE337A3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1-D789-40C5-819B-7B239DE337A3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3-D789-40C5-819B-7B239DE337A3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5-D789-40C5-819B-7B239DE337A3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7-D789-40C5-819B-7B239DE337A3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9-D789-40C5-819B-7B239DE337A3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B-D789-40C5-819B-7B239DE337A3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D789-40C5-819B-7B239DE337A3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D789-40C5-819B-7B239DE337A3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D789-40C5-819B-7B239DE337A3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D789-40C5-819B-7B239DE337A3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D789-40C5-819B-7B239DE337A3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D789-40C5-819B-7B239DE337A3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D789-40C5-819B-7B239DE337A3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D789-40C5-819B-7B239DE337A3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D789-40C5-819B-7B239DE337A3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D789-40C5-819B-7B239DE337A3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D789-40C5-819B-7B239DE337A3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D789-40C5-819B-7B239DE337A3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D789-40C5-819B-7B239DE337A3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D789-40C5-819B-7B239DE337A3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D789-40C5-819B-7B239DE337A3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D789-40C5-819B-7B239DE337A3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D789-40C5-819B-7B239DE337A3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D789-40C5-819B-7B239DE337A3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D789-40C5-819B-7B239DE337A3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D789-40C5-819B-7B239DE337A3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D789-40C5-819B-7B239DE337A3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D789-40C5-819B-7B239DE337A3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D789-40C5-819B-7B239DE337A3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D789-40C5-819B-7B239DE337A3}"/>
              </c:ext>
            </c:extLst>
          </c:dPt>
          <c:dPt>
            <c:idx val="682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D789-40C5-819B-7B239DE337A3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D789-40C5-819B-7B239DE337A3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D789-40C5-819B-7B239DE337A3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D789-40C5-819B-7B239DE337A3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D789-40C5-819B-7B239DE337A3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D789-40C5-819B-7B239DE337A3}"/>
              </c:ext>
            </c:extLst>
          </c:dPt>
          <c:dPt>
            <c:idx val="688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D789-40C5-819B-7B239DE337A3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D789-40C5-819B-7B239DE337A3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D789-40C5-819B-7B239DE337A3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D789-40C5-819B-7B239DE337A3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D789-40C5-819B-7B239DE337A3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D789-40C5-819B-7B239DE337A3}"/>
              </c:ext>
            </c:extLst>
          </c:dPt>
          <c:dPt>
            <c:idx val="694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D789-40C5-819B-7B239DE337A3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D789-40C5-819B-7B239DE337A3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D789-40C5-819B-7B239DE337A3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D789-40C5-819B-7B239DE337A3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D789-40C5-819B-7B239DE337A3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D789-40C5-819B-7B239DE337A3}"/>
              </c:ext>
            </c:extLst>
          </c:dPt>
          <c:dPt>
            <c:idx val="70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D789-40C5-819B-7B239DE337A3}"/>
              </c:ext>
            </c:extLst>
          </c:dPt>
          <c:dPt>
            <c:idx val="70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D789-40C5-819B-7B239DE337A3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D789-40C5-819B-7B239DE337A3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D789-40C5-819B-7B239DE337A3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D789-40C5-819B-7B239DE337A3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D789-40C5-819B-7B239DE337A3}"/>
              </c:ext>
            </c:extLst>
          </c:dPt>
          <c:dPt>
            <c:idx val="706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D789-40C5-819B-7B239DE337A3}"/>
              </c:ext>
            </c:extLst>
          </c:dPt>
          <c:dPt>
            <c:idx val="70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D789-40C5-819B-7B239DE337A3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D789-40C5-819B-7B239DE337A3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D789-40C5-819B-7B239DE337A3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D789-40C5-819B-7B239DE337A3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D789-40C5-819B-7B239DE337A3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D789-40C5-819B-7B239DE337A3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D789-40C5-819B-7B239DE337A3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D789-40C5-819B-7B239DE337A3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D789-40C5-819B-7B239DE337A3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D789-40C5-819B-7B239DE337A3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D789-40C5-819B-7B239DE337A3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D789-40C5-819B-7B239DE337A3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D789-40C5-819B-7B239DE337A3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D789-40C5-819B-7B239DE337A3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D789-40C5-819B-7B239DE337A3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D789-40C5-819B-7B239DE337A3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D789-40C5-819B-7B239DE337A3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D789-40C5-819B-7B239DE337A3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D789-40C5-819B-7B239DE337A3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D789-40C5-819B-7B239DE337A3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D789-40C5-819B-7B239DE337A3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D789-40C5-819B-7B239DE337A3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D789-40C5-819B-7B239DE337A3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D789-40C5-819B-7B239DE337A3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D789-40C5-819B-7B239DE337A3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D789-40C5-819B-7B239DE337A3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D789-40C5-819B-7B239DE337A3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D789-40C5-819B-7B239DE337A3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D789-40C5-819B-7B239DE337A3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D789-40C5-819B-7B239DE337A3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D789-40C5-819B-7B239DE337A3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D789-40C5-819B-7B239DE337A3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D789-40C5-819B-7B239DE337A3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D789-40C5-819B-7B239DE337A3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D789-40C5-819B-7B239DE337A3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D789-40C5-819B-7B239DE337A3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D789-40C5-819B-7B239DE337A3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D789-40C5-819B-7B239DE337A3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D789-40C5-819B-7B239DE337A3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D789-40C5-819B-7B239DE337A3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D789-40C5-819B-7B239DE337A3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D789-40C5-819B-7B239DE337A3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D789-40C5-819B-7B239DE337A3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D789-40C5-819B-7B239DE337A3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D789-40C5-819B-7B239DE337A3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D789-40C5-819B-7B239DE337A3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D789-40C5-819B-7B239DE337A3}"/>
              </c:ext>
            </c:extLst>
          </c:dPt>
          <c:dPt>
            <c:idx val="754"/>
            <c:bubble3D val="0"/>
            <c:spPr>
              <a:solidFill>
                <a:srgbClr val="FFCB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D789-40C5-819B-7B239DE337A3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D789-40C5-819B-7B239DE337A3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D789-40C5-819B-7B239DE337A3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D789-40C5-819B-7B239DE337A3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D789-40C5-819B-7B239DE337A3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D789-40C5-819B-7B239DE337A3}"/>
              </c:ext>
            </c:extLst>
          </c:dPt>
          <c:dPt>
            <c:idx val="760"/>
            <c:bubble3D val="0"/>
            <c:spPr>
              <a:solidFill>
                <a:srgbClr val="BCB88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D789-40C5-819B-7B239DE337A3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D789-40C5-819B-7B239DE337A3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D789-40C5-819B-7B239DE337A3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D789-40C5-819B-7B239DE337A3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D789-40C5-819B-7B239DE337A3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D789-40C5-819B-7B239DE337A3}"/>
              </c:ext>
            </c:extLst>
          </c:dPt>
          <c:dPt>
            <c:idx val="766"/>
            <c:bubble3D val="0"/>
            <c:spPr>
              <a:solidFill>
                <a:srgbClr val="FFE4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5-D789-40C5-819B-7B239DE337A3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7-D789-40C5-819B-7B239DE337A3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9-D789-40C5-819B-7B239DE337A3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B-D789-40C5-819B-7B239DE337A3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D-D789-40C5-819B-7B239DE337A3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F-D789-40C5-819B-7B239DE337A3}"/>
              </c:ext>
            </c:extLst>
          </c:dPt>
          <c:dPt>
            <c:idx val="77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1-D789-40C5-819B-7B239DE337A3}"/>
              </c:ext>
            </c:extLst>
          </c:dPt>
          <c:dPt>
            <c:idx val="773"/>
            <c:bubble3D val="0"/>
            <c:spPr>
              <a:solidFill>
                <a:srgbClr val="B2BEB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3-D789-40C5-819B-7B239DE337A3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5-D789-40C5-819B-7B239DE337A3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7-D789-40C5-819B-7B239DE337A3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9-D789-40C5-819B-7B239DE337A3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B-D789-40C5-819B-7B239DE337A3}"/>
              </c:ext>
            </c:extLst>
          </c:dPt>
          <c:dPt>
            <c:idx val="778"/>
            <c:bubble3D val="0"/>
            <c:spPr>
              <a:solidFill>
                <a:srgbClr val="FFE4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D-D789-40C5-819B-7B239DE337A3}"/>
              </c:ext>
            </c:extLst>
          </c:dPt>
          <c:dPt>
            <c:idx val="779"/>
            <c:bubble3D val="0"/>
            <c:spPr>
              <a:solidFill>
                <a:srgbClr val="FFA07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F-D789-40C5-819B-7B239DE337A3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1-D789-40C5-819B-7B239DE337A3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3-D789-40C5-819B-7B239DE337A3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D789-40C5-819B-7B239DE337A3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D789-40C5-819B-7B239DE337A3}"/>
              </c:ext>
            </c:extLst>
          </c:dPt>
          <c:dPt>
            <c:idx val="784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D789-40C5-819B-7B239DE337A3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D789-40C5-819B-7B239DE337A3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D789-40C5-819B-7B239DE337A3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D789-40C5-819B-7B239DE337A3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1-D789-40C5-819B-7B239DE337A3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3-D789-40C5-819B-7B239DE337A3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5-D789-40C5-819B-7B239DE337A3}"/>
              </c:ext>
            </c:extLst>
          </c:dPt>
          <c:dPt>
            <c:idx val="791"/>
            <c:bubble3D val="0"/>
            <c:spPr>
              <a:solidFill>
                <a:srgbClr val="98D99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7-D789-40C5-819B-7B239DE337A3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9-D789-40C5-819B-7B239DE337A3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B-D789-40C5-819B-7B239DE337A3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D-D789-40C5-819B-7B239DE337A3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F-D789-40C5-819B-7B239DE337A3}"/>
              </c:ext>
            </c:extLst>
          </c:dPt>
          <c:dPt>
            <c:idx val="79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1-D789-40C5-819B-7B239DE337A3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3-D789-40C5-819B-7B239DE337A3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5-D789-40C5-819B-7B239DE337A3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7-D789-40C5-819B-7B239DE337A3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9-D789-40C5-819B-7B239DE337A3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B-D789-40C5-819B-7B239DE337A3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D-D789-40C5-819B-7B239DE337A3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F-D789-40C5-819B-7B239DE337A3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1-D789-40C5-819B-7B239DE337A3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3-D789-40C5-819B-7B239DE337A3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5-D789-40C5-819B-7B239DE337A3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7-D789-40C5-819B-7B239DE337A3}"/>
              </c:ext>
            </c:extLst>
          </c:dPt>
          <c:dPt>
            <c:idx val="80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9-D789-40C5-819B-7B239DE337A3}"/>
              </c:ext>
            </c:extLst>
          </c:dPt>
          <c:dPt>
            <c:idx val="80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B-D789-40C5-819B-7B239DE337A3}"/>
              </c:ext>
            </c:extLst>
          </c:dPt>
          <c:dLbls>
            <c:dLbl>
              <c:idx val="0"/>
              <c:layout>
                <c:manualLayout>
                  <c:x val="-3.142073145985249E-2"/>
                  <c:y val="0.1718426090252416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789-40C5-819B-7B239DE337A3}"/>
                </c:ext>
              </c:extLst>
            </c:dLbl>
            <c:dLbl>
              <c:idx val="1"/>
              <c:layout>
                <c:manualLayout>
                  <c:x val="-0.14306759699279334"/>
                  <c:y val="-8.36426903041391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789-40C5-819B-7B239DE337A3}"/>
                </c:ext>
              </c:extLst>
            </c:dLbl>
            <c:dLbl>
              <c:idx val="2"/>
              <c:layout>
                <c:manualLayout>
                  <c:x val="0.11649350280044803"/>
                  <c:y val="-0.1800655978172374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789-40C5-819B-7B239DE337A3}"/>
                </c:ext>
              </c:extLst>
            </c:dLbl>
            <c:dLbl>
              <c:idx val="3"/>
              <c:layout>
                <c:manualLayout>
                  <c:x val="0.1562027984326215"/>
                  <c:y val="5.821224738888120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789-40C5-819B-7B239DE337A3}"/>
                </c:ext>
              </c:extLst>
            </c:dLbl>
            <c:dLbl>
              <c:idx val="4"/>
              <c:layout>
                <c:manualLayout>
                  <c:x val="7.7036313219613323E-2"/>
                  <c:y val="0.1728394977719695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64F-D789-40C5-819B-7B239DE337A3}"/>
                </c:ext>
              </c:extLst>
            </c:dLbl>
            <c:dLbl>
              <c:idx val="6"/>
              <c:layout>
                <c:manualLayout>
                  <c:x val="5.9449783122990291E-2"/>
                  <c:y val="0.1340208971603013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89-40C5-819B-7B239DE337A3}"/>
                </c:ext>
              </c:extLst>
            </c:dLbl>
            <c:dLbl>
              <c:idx val="59"/>
              <c:layout>
                <c:manualLayout>
                  <c:x val="8.7656356162545523E-2"/>
                  <c:y val="0.1346780384145415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D789-40C5-819B-7B239DE337A3}"/>
                </c:ext>
              </c:extLst>
            </c:dLbl>
            <c:dLbl>
              <c:idx val="191"/>
              <c:layout>
                <c:manualLayout>
                  <c:x val="0.14375642410657469"/>
                  <c:y val="-7.38556984853938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7-D789-40C5-819B-7B239DE337A3}"/>
                </c:ext>
              </c:extLst>
            </c:dLbl>
            <c:dLbl>
              <c:idx val="195"/>
              <c:layout>
                <c:manualLayout>
                  <c:x val="0.16830020383208741"/>
                  <c:y val="1.303335855624587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7F-D789-40C5-819B-7B239DE337A3}"/>
                </c:ext>
              </c:extLst>
            </c:dLbl>
            <c:dLbl>
              <c:idx val="199"/>
              <c:layout>
                <c:manualLayout>
                  <c:x val="2.8050033972014537E-2"/>
                  <c:y val="0.2041892840478532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7-D789-40C5-819B-7B239DE337A3}"/>
                </c:ext>
              </c:extLst>
            </c:dLbl>
            <c:dLbl>
              <c:idx val="211"/>
              <c:layout>
                <c:manualLayout>
                  <c:x val="0.1507689325995783"/>
                  <c:y val="4.77889813729017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9F-D789-40C5-819B-7B239DE337A3}"/>
                </c:ext>
              </c:extLst>
            </c:dLbl>
            <c:dLbl>
              <c:idx val="215"/>
              <c:layout>
                <c:manualLayout>
                  <c:x val="-3.506254246501821E-3"/>
                  <c:y val="0.2172226426040992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7-D789-40C5-819B-7B239DE337A3}"/>
                </c:ext>
              </c:extLst>
            </c:dLbl>
            <c:dLbl>
              <c:idx val="219"/>
              <c:layout>
                <c:manualLayout>
                  <c:x val="6.6531361416938786E-2"/>
                  <c:y val="-0.1555555479947726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AF-D789-40C5-819B-7B239DE337A3}"/>
                </c:ext>
              </c:extLst>
            </c:dLbl>
            <c:dLbl>
              <c:idx val="223"/>
              <c:layout>
                <c:manualLayout>
                  <c:x val="0.1507689325995783"/>
                  <c:y val="-5.213343422498382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7-D789-40C5-819B-7B239DE337A3}"/>
                </c:ext>
              </c:extLst>
            </c:dLbl>
            <c:dLbl>
              <c:idx val="227"/>
              <c:layout>
                <c:manualLayout>
                  <c:x val="3.8568796711520033E-2"/>
                  <c:y val="0.1607447555270334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BF-D789-40C5-819B-7B239DE337A3}"/>
                </c:ext>
              </c:extLst>
            </c:dLbl>
            <c:dLbl>
              <c:idx val="243"/>
              <c:layout>
                <c:manualLayout>
                  <c:x val="8.3418836728700763E-2"/>
                  <c:y val="-0.1695119989802585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DF-D789-40C5-819B-7B239DE337A3}"/>
                </c:ext>
              </c:extLst>
            </c:dLbl>
            <c:dLbl>
              <c:idx val="247"/>
              <c:layout>
                <c:manualLayout>
                  <c:x val="0.14250717941153046"/>
                  <c:y val="-0.1144205993116745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7-D789-40C5-819B-7B239DE337A3}"/>
                </c:ext>
              </c:extLst>
            </c:dLbl>
            <c:dLbl>
              <c:idx val="251"/>
              <c:layout>
                <c:manualLayout>
                  <c:x val="4.5185203228046214E-2"/>
                  <c:y val="0.172015304130553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EF-D789-40C5-819B-7B239DE337A3}"/>
                </c:ext>
              </c:extLst>
            </c:dLbl>
            <c:dLbl>
              <c:idx val="255"/>
              <c:layout>
                <c:manualLayout>
                  <c:x val="0.10774933077457181"/>
                  <c:y val="-0.1186583992861810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7-D789-40C5-819B-7B239DE337A3}"/>
                </c:ext>
              </c:extLst>
            </c:dLbl>
            <c:dLbl>
              <c:idx val="259"/>
              <c:layout>
                <c:manualLayout>
                  <c:x val="8.6894621592396595E-2"/>
                  <c:y val="0.1907009988527907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FF-D789-40C5-819B-7B239DE337A3}"/>
                </c:ext>
              </c:extLst>
            </c:dLbl>
            <c:dLbl>
              <c:idx val="275"/>
              <c:layout>
                <c:manualLayout>
                  <c:x val="6.2578600175342072E-2"/>
                  <c:y val="-0.156816663347498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1F-D789-40C5-819B-7B239DE337A3}"/>
                </c:ext>
              </c:extLst>
            </c:dLbl>
            <c:dLbl>
              <c:idx val="279"/>
              <c:layout>
                <c:manualLayout>
                  <c:x val="0.11120317235506648"/>
                  <c:y val="-0.1216367825931588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7-D789-40C5-819B-7B239DE337A3}"/>
                </c:ext>
              </c:extLst>
            </c:dLbl>
            <c:dLbl>
              <c:idx val="283"/>
              <c:layout>
                <c:manualLayout>
                  <c:x val="8.6812354497325536E-2"/>
                  <c:y val="0.1811275065912736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2F-D789-40C5-819B-7B239DE337A3}"/>
                </c:ext>
              </c:extLst>
            </c:dLbl>
            <c:dLbl>
              <c:idx val="304"/>
              <c:layout>
                <c:manualLayout>
                  <c:x val="-6.9408009793634137E-2"/>
                  <c:y val="0.1151613299739854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59-D789-40C5-819B-7B239DE337A3}"/>
                </c:ext>
              </c:extLst>
            </c:dLbl>
            <c:dLbl>
              <c:idx val="310"/>
              <c:layout>
                <c:manualLayout>
                  <c:x val="-0.12493441762854157"/>
                  <c:y val="-2.985664110436659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65-D789-40C5-819B-7B239DE337A3}"/>
                </c:ext>
              </c:extLst>
            </c:dLbl>
            <c:dLbl>
              <c:idx val="316"/>
              <c:layout>
                <c:manualLayout>
                  <c:x val="-4.8585606855543896E-2"/>
                  <c:y val="-0.1236917988609473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1-D789-40C5-819B-7B239DE337A3}"/>
                </c:ext>
              </c:extLst>
            </c:dLbl>
            <c:dLbl>
              <c:idx val="322"/>
              <c:layout>
                <c:manualLayout>
                  <c:x val="8.6760012242042703E-2"/>
                  <c:y val="-0.1108960955305044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D-D789-40C5-819B-7B239DE337A3}"/>
                </c:ext>
              </c:extLst>
            </c:dLbl>
            <c:dLbl>
              <c:idx val="323"/>
              <c:layout>
                <c:manualLayout>
                  <c:x val="9.717121371108782E-2"/>
                  <c:y val="9.810039220006162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7F-D789-40C5-819B-7B239DE337A3}"/>
                </c:ext>
              </c:extLst>
            </c:dLbl>
            <c:dLbl>
              <c:idx val="334"/>
              <c:layout>
                <c:manualLayout>
                  <c:x val="-8.6760012242042731E-2"/>
                  <c:y val="0.1066308610870235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95-D789-40C5-819B-7B239DE337A3}"/>
                </c:ext>
              </c:extLst>
            </c:dLbl>
            <c:dLbl>
              <c:idx val="340"/>
              <c:layout>
                <c:manualLayout>
                  <c:x val="-0.12840481811822316"/>
                  <c:y val="-4.69175788782903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1-D789-40C5-819B-7B239DE337A3}"/>
                </c:ext>
              </c:extLst>
            </c:dLbl>
            <c:dLbl>
              <c:idx val="346"/>
              <c:layout>
                <c:manualLayout>
                  <c:x val="-6.5937609303952496E-2"/>
                  <c:y val="-0.1407527366348711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AD-D789-40C5-819B-7B239DE337A3}"/>
                </c:ext>
              </c:extLst>
            </c:dLbl>
            <c:dLbl>
              <c:idx val="352"/>
              <c:layout>
                <c:manualLayout>
                  <c:x val="0.1006416142007695"/>
                  <c:y val="-9.81003922000617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9-D789-40C5-819B-7B239DE337A3}"/>
                </c:ext>
              </c:extLst>
            </c:dLbl>
            <c:dLbl>
              <c:idx val="353"/>
              <c:layout>
                <c:manualLayout>
                  <c:x val="7.6348810772997516E-2"/>
                  <c:y val="0.1236917988609473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BB-D789-40C5-819B-7B239DE337A3}"/>
                </c:ext>
              </c:extLst>
            </c:dLbl>
            <c:dLbl>
              <c:idx val="358"/>
              <c:layout>
                <c:manualLayout>
                  <c:x val="-0.12493441762854145"/>
                  <c:y val="-7.677421998265694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C5-D789-40C5-819B-7B239DE337A3}"/>
                </c:ext>
              </c:extLst>
            </c:dLbl>
            <c:dLbl>
              <c:idx val="364"/>
              <c:layout>
                <c:manualLayout>
                  <c:x val="-7.6348810772997613E-2"/>
                  <c:y val="-0.1194265644174665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1-D789-40C5-819B-7B239DE337A3}"/>
                </c:ext>
              </c:extLst>
            </c:dLbl>
            <c:dLbl>
              <c:idx val="370"/>
              <c:layout>
                <c:manualLayout>
                  <c:x val="7.2878410283315806E-2"/>
                  <c:y val="-0.1364875021913902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D-D789-40C5-819B-7B239DE337A3}"/>
                </c:ext>
              </c:extLst>
            </c:dLbl>
            <c:dLbl>
              <c:idx val="371"/>
              <c:layout>
                <c:manualLayout>
                  <c:x val="8.3289611752360937E-2"/>
                  <c:y val="8.530468886961879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DF-D789-40C5-819B-7B239DE337A3}"/>
                </c:ext>
              </c:extLst>
            </c:dLbl>
            <c:dLbl>
              <c:idx val="376"/>
              <c:layout>
                <c:manualLayout>
                  <c:x val="-7.2878410283315903E-2"/>
                  <c:y val="0.1194265644174663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E9-D789-40C5-819B-7B239DE337A3}"/>
                </c:ext>
              </c:extLst>
            </c:dLbl>
            <c:dLbl>
              <c:idx val="382"/>
              <c:layout>
                <c:manualLayout>
                  <c:x val="-0.10758241518013291"/>
                  <c:y val="6.397851665221404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2F5-D789-40C5-819B-7B239DE337A3}"/>
                </c:ext>
              </c:extLst>
            </c:dLbl>
            <c:dLbl>
              <c:idx val="388"/>
              <c:layout>
                <c:manualLayout>
                  <c:x val="-9.7171213711087792E-2"/>
                  <c:y val="-9.383515775658071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1-D789-40C5-819B-7B239DE337A3}"/>
                </c:ext>
              </c:extLst>
            </c:dLbl>
            <c:dLbl>
              <c:idx val="394"/>
              <c:layout>
                <c:manualLayout>
                  <c:x val="9.0230412731724344E-2"/>
                  <c:y val="-9.81003922000617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D-D789-40C5-819B-7B239DE337A3}"/>
                </c:ext>
              </c:extLst>
            </c:dLbl>
            <c:dLbl>
              <c:idx val="395"/>
              <c:layout>
                <c:manualLayout>
                  <c:x val="8.3289611752360937E-2"/>
                  <c:y val="0.1108960955305044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0F-D789-40C5-819B-7B239DE337A3}"/>
                </c:ext>
              </c:extLst>
            </c:dLbl>
            <c:dLbl>
              <c:idx val="562"/>
              <c:layout>
                <c:manualLayout>
                  <c:x val="-2.0623919578622533E-2"/>
                  <c:y val="0.1502796994270776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5D-D789-40C5-819B-7B239DE337A3}"/>
                </c:ext>
              </c:extLst>
            </c:dLbl>
            <c:dLbl>
              <c:idx val="568"/>
              <c:layout>
                <c:manualLayout>
                  <c:x val="-0.12370779099687421"/>
                  <c:y val="-1.35934665351282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69-D789-40C5-819B-7B239DE337A3}"/>
                </c:ext>
              </c:extLst>
            </c:dLbl>
            <c:dLbl>
              <c:idx val="574"/>
              <c:layout>
                <c:manualLayout>
                  <c:x val="-6.7495971975287655E-3"/>
                  <c:y val="-0.1411598009072904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75-D789-40C5-819B-7B239DE337A3}"/>
                </c:ext>
              </c:extLst>
            </c:dLbl>
            <c:dLbl>
              <c:idx val="580"/>
              <c:layout>
                <c:manualLayout>
                  <c:x val="0.14091820829563331"/>
                  <c:y val="-3.062155954152689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1-D789-40C5-819B-7B239DE337A3}"/>
                </c:ext>
              </c:extLst>
            </c:dLbl>
            <c:dLbl>
              <c:idx val="581"/>
              <c:layout>
                <c:manualLayout>
                  <c:x val="2.0623919578622467E-2"/>
                  <c:y val="0.1416922880312446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3-D789-40C5-819B-7B239DE337A3}"/>
                </c:ext>
              </c:extLst>
            </c:dLbl>
            <c:dLbl>
              <c:idx val="586"/>
              <c:layout>
                <c:manualLayout>
                  <c:x val="0.16141419276678368"/>
                  <c:y val="3.349754604099228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D-D789-40C5-819B-7B239DE337A3}"/>
                </c:ext>
              </c:extLst>
            </c:dLbl>
            <c:dLbl>
              <c:idx val="587"/>
              <c:layout>
                <c:manualLayout>
                  <c:x val="0"/>
                  <c:y val="0.171674923460085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8F-D789-40C5-819B-7B239DE337A3}"/>
                </c:ext>
              </c:extLst>
            </c:dLbl>
            <c:dLbl>
              <c:idx val="592"/>
              <c:layout>
                <c:manualLayout>
                  <c:x val="-2.0331319599560835E-2"/>
                  <c:y val="0.2015833525108982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99-D789-40C5-819B-7B239DE337A3}"/>
                </c:ext>
              </c:extLst>
            </c:dLbl>
            <c:dLbl>
              <c:idx val="598"/>
              <c:layout>
                <c:manualLayout>
                  <c:x val="-0.16361217326403349"/>
                  <c:y val="3.245074772721128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A5-D789-40C5-819B-7B239DE337A3}"/>
                </c:ext>
              </c:extLst>
            </c:dLbl>
            <c:dLbl>
              <c:idx val="604"/>
              <c:layout>
                <c:manualLayout>
                  <c:x val="-1.6428065355305992E-2"/>
                  <c:y val="-0.1879749744317451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1-D789-40C5-819B-7B239DE337A3}"/>
                </c:ext>
              </c:extLst>
            </c:dLbl>
            <c:dLbl>
              <c:idx val="610"/>
              <c:layout>
                <c:manualLayout>
                  <c:x val="0.16017782873708061"/>
                  <c:y val="8.688426004382375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D-D789-40C5-819B-7B239DE337A3}"/>
                </c:ext>
              </c:extLst>
            </c:dLbl>
            <c:dLbl>
              <c:idx val="611"/>
              <c:layout>
                <c:manualLayout>
                  <c:x val="-1.3600004326733263E-2"/>
                  <c:y val="0.1935080041331224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BF-D789-40C5-819B-7B239DE337A3}"/>
                </c:ext>
              </c:extLst>
            </c:dLbl>
            <c:dLbl>
              <c:idx val="616"/>
              <c:layout>
                <c:manualLayout>
                  <c:x val="0.14938212343717081"/>
                  <c:y val="6.07142771774074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C9-D789-40C5-819B-7B239DE337A3}"/>
                </c:ext>
              </c:extLst>
            </c:dLbl>
            <c:dLbl>
              <c:idx val="622"/>
              <c:layout>
                <c:manualLayout>
                  <c:x val="-0.14620004374489498"/>
                  <c:y val="7.546566109071926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5-D789-40C5-819B-7B239DE337A3}"/>
                </c:ext>
              </c:extLst>
            </c:dLbl>
            <c:dLbl>
              <c:idx val="623"/>
              <c:layout>
                <c:manualLayout>
                  <c:x val="-0.25840007731655856"/>
                  <c:y val="-3.469387267280434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D7-D789-40C5-819B-7B239DE337A3}"/>
                </c:ext>
              </c:extLst>
            </c:dLbl>
            <c:dLbl>
              <c:idx val="628"/>
              <c:layout>
                <c:manualLayout>
                  <c:x val="0.16660004984883381"/>
                  <c:y val="4.77040749251058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1-D789-40C5-819B-7B239DE337A3}"/>
                </c:ext>
              </c:extLst>
            </c:dLbl>
            <c:dLbl>
              <c:idx val="634"/>
              <c:layout>
                <c:manualLayout>
                  <c:x val="-0.15238804559642313"/>
                  <c:y val="0.1793673217183984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D-D789-40C5-819B-7B239DE337A3}"/>
                </c:ext>
              </c:extLst>
            </c:dLbl>
            <c:dLbl>
              <c:idx val="635"/>
              <c:layout>
                <c:manualLayout>
                  <c:x val="-0.27880008342049745"/>
                  <c:y val="-3.035713858870380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EF-D789-40C5-819B-7B239DE337A3}"/>
                </c:ext>
              </c:extLst>
            </c:dLbl>
            <c:dLbl>
              <c:idx val="640"/>
              <c:layout>
                <c:manualLayout>
                  <c:x val="-0.12782932958672855"/>
                  <c:y val="0.1084183891246964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9-D789-40C5-819B-7B239DE337A3}"/>
                </c:ext>
              </c:extLst>
            </c:dLbl>
            <c:dLbl>
              <c:idx val="641"/>
              <c:layout>
                <c:manualLayout>
                  <c:x val="-0.21420006409135783"/>
                  <c:y val="-5.204082677985432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4FB-D789-40C5-819B-7B239DE337A3}"/>
                </c:ext>
              </c:extLst>
            </c:dLbl>
            <c:dLbl>
              <c:idx val="646"/>
              <c:layout>
                <c:manualLayout>
                  <c:x val="-3.359683480780291E-3"/>
                  <c:y val="-0.1625722091835637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05-D789-40C5-819B-7B239DE337A3}"/>
                </c:ext>
              </c:extLst>
            </c:dLbl>
            <c:dLbl>
              <c:idx val="652"/>
              <c:layout>
                <c:manualLayout>
                  <c:x val="0.12184778358770813"/>
                  <c:y val="-4.336734084100542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1-D789-40C5-819B-7B239DE337A3}"/>
                </c:ext>
              </c:extLst>
            </c:dLbl>
            <c:dLbl>
              <c:idx val="653"/>
              <c:layout>
                <c:manualLayout>
                  <c:x val="4.0316201769362695E-2"/>
                  <c:y val="0.1344387566071168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3-D789-40C5-819B-7B239DE337A3}"/>
                </c:ext>
              </c:extLst>
            </c:dLbl>
            <c:dLbl>
              <c:idx val="658"/>
              <c:layout>
                <c:manualLayout>
                  <c:x val="3.0237151327022066E-2"/>
                  <c:y val="-0.1517856929435189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1D-D789-40C5-819B-7B239DE337A3}"/>
                </c:ext>
              </c:extLst>
            </c:dLbl>
            <c:dLbl>
              <c:idx val="664"/>
              <c:layout>
                <c:manualLayout>
                  <c:x val="0.11758892182730807"/>
                  <c:y val="4.77040749251059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9-D789-40C5-819B-7B239DE337A3}"/>
                </c:ext>
              </c:extLst>
            </c:dLbl>
            <c:dLbl>
              <c:idx val="665"/>
              <c:layout>
                <c:manualLayout>
                  <c:x val="2.6877467846241836E-2"/>
                  <c:y val="0.1474489588594184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2B-D789-40C5-819B-7B239DE337A3}"/>
                </c:ext>
              </c:extLst>
            </c:dLbl>
            <c:dLbl>
              <c:idx val="682"/>
              <c:layout>
                <c:manualLayout>
                  <c:x val="-6.7280080884431215E-2"/>
                  <c:y val="0.140387093921522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4D-D789-40C5-819B-7B239DE337A3}"/>
                </c:ext>
              </c:extLst>
            </c:dLbl>
            <c:dLbl>
              <c:idx val="688"/>
              <c:layout>
                <c:manualLayout>
                  <c:x val="-7.7272720057945277E-2"/>
                  <c:y val="-0.1040816180184130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59-D789-40C5-819B-7B239DE337A3}"/>
                </c:ext>
              </c:extLst>
            </c:dLbl>
            <c:dLbl>
              <c:idx val="694"/>
              <c:layout>
                <c:manualLayout>
                  <c:x val="6.7193669615604593E-2"/>
                  <c:y val="-0.1387754906912174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65-D789-40C5-819B-7B239DE337A3}"/>
                </c:ext>
              </c:extLst>
            </c:dLbl>
            <c:dLbl>
              <c:idx val="700"/>
              <c:layout>
                <c:manualLayout>
                  <c:x val="0.13102765575042896"/>
                  <c:y val="4.77040749251059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1-D789-40C5-819B-7B239DE337A3}"/>
                </c:ext>
              </c:extLst>
            </c:dLbl>
            <c:dLbl>
              <c:idx val="701"/>
              <c:layout>
                <c:manualLayout>
                  <c:x val="3.0237151327022066E-2"/>
                  <c:y val="0.1387754906912173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3-D789-40C5-819B-7B239DE337A3}"/>
                </c:ext>
              </c:extLst>
            </c:dLbl>
            <c:dLbl>
              <c:idx val="706"/>
              <c:layout>
                <c:manualLayout>
                  <c:x val="0.11758892182730804"/>
                  <c:y val="7.806121351380976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D-D789-40C5-819B-7B239DE337A3}"/>
                </c:ext>
              </c:extLst>
            </c:dLbl>
            <c:dLbl>
              <c:idx val="707"/>
              <c:layout>
                <c:manualLayout>
                  <c:x val="1.3438733923120918E-2"/>
                  <c:y val="0.1344387566071167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7F-D789-40C5-819B-7B239DE337A3}"/>
                </c:ext>
              </c:extLst>
            </c:dLbl>
            <c:dLbl>
              <c:idx val="712"/>
              <c:layout>
                <c:manualLayout>
                  <c:x val="-0.11758892182730804"/>
                  <c:y val="-7.372447942970922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89-D789-40C5-819B-7B239DE337A3}"/>
                </c:ext>
              </c:extLst>
            </c:dLbl>
            <c:dLbl>
              <c:idx val="718"/>
              <c:layout>
                <c:manualLayout>
                  <c:x val="3.363387068869217E-3"/>
                  <c:y val="-0.171394560506148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95-D789-40C5-819B-7B239DE337A3}"/>
                </c:ext>
              </c:extLst>
            </c:dLbl>
            <c:dLbl>
              <c:idx val="724"/>
              <c:layout>
                <c:manualLayout>
                  <c:x val="0.12094860530808826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1-D789-40C5-819B-7B239DE337A3}"/>
                </c:ext>
              </c:extLst>
            </c:dLbl>
            <c:dLbl>
              <c:idx val="725"/>
              <c:layout>
                <c:manualLayout>
                  <c:x val="4.3675885250142987E-2"/>
                  <c:y val="0.1474489588594184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3-D789-40C5-819B-7B239DE337A3}"/>
                </c:ext>
              </c:extLst>
            </c:dLbl>
            <c:dLbl>
              <c:idx val="730"/>
              <c:layout>
                <c:manualLayout>
                  <c:x val="2.6881171434330886E-2"/>
                  <c:y val="-0.1560722301842840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AD-D789-40C5-819B-7B239DE337A3}"/>
                </c:ext>
              </c:extLst>
            </c:dLbl>
            <c:dLbl>
              <c:idx val="736"/>
              <c:layout>
                <c:manualLayout>
                  <c:x val="0.14110670619276963"/>
                  <c:y val="8.673468168201084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9-D789-40C5-819B-7B239DE337A3}"/>
                </c:ext>
              </c:extLst>
            </c:dLbl>
            <c:dLbl>
              <c:idx val="737"/>
              <c:layout>
                <c:manualLayout>
                  <c:x val="1.6798417403901086E-2"/>
                  <c:y val="0.1604591611117200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BB-D789-40C5-819B-7B239DE337A3}"/>
                </c:ext>
              </c:extLst>
            </c:dLbl>
            <c:dLbl>
              <c:idx val="742"/>
              <c:layout>
                <c:manualLayout>
                  <c:x val="-0.11086955486574758"/>
                  <c:y val="-3.469387267280434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C5-D789-40C5-819B-7B239DE337A3}"/>
                </c:ext>
              </c:extLst>
            </c:dLbl>
            <c:dLbl>
              <c:idx val="748"/>
              <c:layout>
                <c:manualLayout>
                  <c:x val="-6.1593485614435742E-17"/>
                  <c:y val="-0.1387754906912173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1-D789-40C5-819B-7B239DE337A3}"/>
                </c:ext>
              </c:extLst>
            </c:dLbl>
            <c:dLbl>
              <c:idx val="754"/>
              <c:layout>
                <c:manualLayout>
                  <c:x val="0.1142292383465278"/>
                  <c:y val="1.73469363364021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D-D789-40C5-819B-7B239DE337A3}"/>
                </c:ext>
              </c:extLst>
            </c:dLbl>
            <c:dLbl>
              <c:idx val="755"/>
              <c:layout>
                <c:manualLayout>
                  <c:x val="2.3517784365461609E-2"/>
                  <c:y val="0.1517856929435189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DF-D789-40C5-819B-7B239DE337A3}"/>
                </c:ext>
              </c:extLst>
            </c:dLbl>
            <c:dLbl>
              <c:idx val="760"/>
              <c:layout>
                <c:manualLayout>
                  <c:x val="-7.0553353096384941E-2"/>
                  <c:y val="-0.1170918202707146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E9-D789-40C5-819B-7B239DE337A3}"/>
                </c:ext>
              </c:extLst>
            </c:dLbl>
            <c:dLbl>
              <c:idx val="766"/>
              <c:layout>
                <c:manualLayout>
                  <c:x val="5.0395252211703441E-2"/>
                  <c:y val="-0.1257652884389158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5F5-D789-40C5-819B-7B239DE337A3}"/>
                </c:ext>
              </c:extLst>
            </c:dLbl>
            <c:dLbl>
              <c:idx val="772"/>
              <c:layout>
                <c:manualLayout>
                  <c:x val="0.1084352393232169"/>
                  <c:y val="5.739513896500938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1-D789-40C5-819B-7B239DE337A3}"/>
                </c:ext>
              </c:extLst>
            </c:dLbl>
            <c:dLbl>
              <c:idx val="773"/>
              <c:layout>
                <c:manualLayout>
                  <c:x val="4.3675885250142987E-2"/>
                  <c:y val="0.1517856929435189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3-D789-40C5-819B-7B239DE337A3}"/>
                </c:ext>
              </c:extLst>
            </c:dLbl>
            <c:dLbl>
              <c:idx val="778"/>
              <c:layout>
                <c:manualLayout>
                  <c:x val="8.6549679137000485E-2"/>
                  <c:y val="0.1216706602182503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D-D789-40C5-819B-7B239DE337A3}"/>
                </c:ext>
              </c:extLst>
            </c:dLbl>
            <c:dLbl>
              <c:idx val="779"/>
              <c:layout>
                <c:manualLayout>
                  <c:x val="3.0237151327022066E-2"/>
                  <c:y val="0.156122427027619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0F-D789-40C5-819B-7B239DE337A3}"/>
                </c:ext>
              </c:extLst>
            </c:dLbl>
            <c:dLbl>
              <c:idx val="784"/>
              <c:layout>
                <c:manualLayout>
                  <c:x val="9.3002811165271176E-2"/>
                  <c:y val="-7.259945806064679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19-D789-40C5-819B-7B239DE337A3}"/>
                </c:ext>
              </c:extLst>
            </c:dLbl>
            <c:dLbl>
              <c:idx val="790"/>
              <c:layout>
                <c:manualLayout>
                  <c:x val="8.8495920053913338E-2"/>
                  <c:y val="8.36237024994494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5-D789-40C5-819B-7B239DE337A3}"/>
                </c:ext>
              </c:extLst>
            </c:dLbl>
            <c:dLbl>
              <c:idx val="791"/>
              <c:layout>
                <c:manualLayout>
                  <c:x val="2.0849377253086616E-2"/>
                  <c:y val="0.1590819919336746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27-D789-40C5-819B-7B239DE337A3}"/>
                </c:ext>
              </c:extLst>
            </c:dLbl>
            <c:dLbl>
              <c:idx val="796"/>
              <c:layout>
                <c:manualLayout>
                  <c:x val="8.3353386489551234E-2"/>
                  <c:y val="-4.63402829755606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071954615561468"/>
                      <c:h val="0.195416292421348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631-D789-40C5-819B-7B239DE337A3}"/>
                </c:ext>
              </c:extLst>
            </c:dLbl>
            <c:dLbl>
              <c:idx val="802"/>
              <c:layout>
                <c:manualLayout>
                  <c:x val="5.3381584008091461E-2"/>
                  <c:y val="0.1131275030669639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D-D789-40C5-819B-7B239DE337A3}"/>
                </c:ext>
              </c:extLst>
            </c:dLbl>
            <c:dLbl>
              <c:idx val="803"/>
              <c:layout>
                <c:manualLayout>
                  <c:x val="1.4196272486799185E-2"/>
                  <c:y val="0.123948342642969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3F-D789-40C5-819B-7B239DE337A3}"/>
                </c:ext>
              </c:extLst>
            </c:dLbl>
            <c:dLbl>
              <c:idx val="808"/>
              <c:layout>
                <c:manualLayout>
                  <c:x val="6.5077836445137954E-2"/>
                  <c:y val="0.1324713142112262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688132487568795"/>
                      <c:h val="0.212964344323437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649-D789-40C5-819B-7B239DE337A3}"/>
                </c:ext>
              </c:extLst>
            </c:dLbl>
            <c:dLbl>
              <c:idx val="809"/>
              <c:layout>
                <c:manualLayout>
                  <c:x val="2.235754453780393E-2"/>
                  <c:y val="0.144042519268405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00582493687651"/>
                      <c:h val="0.21344849191497131"/>
                    </c:manualLayout>
                  </c15:layout>
                </c:ext>
                <c:ext xmlns:c16="http://schemas.microsoft.com/office/drawing/2014/chart" uri="{C3380CC4-5D6E-409C-BE32-E72D297353CC}">
                  <c16:uniqueId val="{0000064B-D789-40C5-819B-7B239DE337A3}"/>
                </c:ext>
              </c:extLst>
            </c:dLbl>
            <c:dLbl>
              <c:idx val="813"/>
              <c:layout>
                <c:manualLayout>
                  <c:x val="2.5219490098536888E-2"/>
                  <c:y val="0.182328929044854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C-D789-40C5-819B-7B239DE337A3}"/>
                </c:ext>
              </c:extLst>
            </c:dLbl>
            <c:dLbl>
              <c:idx val="815"/>
              <c:layout>
                <c:manualLayout>
                  <c:x val="4.2032483497561515E-2"/>
                  <c:y val="9.11644645224273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64D-D789-40C5-819B-7B239DE337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50000"/>
                      <a:lumOff val="50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('Stock Information'!$D$10,'Stock Information'!$D$11,'Stock Information'!$D$12,'Stock Information'!$D$13,'Stock Information'!$D$14,'Stock Information'!$D$17,'Stock Information'!$D$18,'Stock Information'!$D$19)</c:f>
              <c:strCache>
                <c:ptCount val="5"/>
                <c:pt idx="0">
                  <c:v> ROM 1.B1 </c:v>
                </c:pt>
                <c:pt idx="1">
                  <c:v> ROM 1.B2 </c:v>
                </c:pt>
                <c:pt idx="2">
                  <c:v> ROM 1.B3 </c:v>
                </c:pt>
                <c:pt idx="3">
                  <c:v> ROM 4.B1 </c:v>
                </c:pt>
                <c:pt idx="4">
                  <c:v> ROM 4.B2 </c:v>
                </c:pt>
              </c:strCache>
            </c:strRef>
          </c:cat>
          <c:val>
            <c:numRef>
              <c:f>('Stock Information'!$F$10:$F$14,'Stock Information'!$F$17:$F$22)</c:f>
              <c:numCache>
                <c:formatCode>_(* #,##0.00_);_(* \(#,##0.00\);_(* "-"??_);_(@_)</c:formatCode>
                <c:ptCount val="5"/>
                <c:pt idx="0">
                  <c:v>65338.776409999991</c:v>
                </c:pt>
                <c:pt idx="1">
                  <c:v>202567.31015000003</c:v>
                </c:pt>
                <c:pt idx="2">
                  <c:v>74748.28035999999</c:v>
                </c:pt>
                <c:pt idx="3">
                  <c:v>97100.432849999997</c:v>
                </c:pt>
                <c:pt idx="4">
                  <c:v>71552.940210000001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64E-D789-40C5-819B-7B239DE3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4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1701742777893"/>
          <c:y val="6.9482117390453291E-2"/>
          <c:w val="0.87744650156287574"/>
          <c:h val="0.92770894229504164"/>
        </c:manualLayout>
      </c:layout>
      <c:barChart>
        <c:barDir val="bar"/>
        <c:grouping val="clustered"/>
        <c:varyColors val="0"/>
        <c:ser>
          <c:idx val="0"/>
          <c:order val="0"/>
          <c:tx>
            <c:v>READY TO HAUL</c:v>
          </c:tx>
          <c:spPr>
            <a:solidFill>
              <a:srgbClr val="39471D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3513140976090716E-3"/>
                  <c:y val="2.0989260524724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5CA-4FAD-9A86-7FF7E185B4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('Stock Information'!$D$11:$D$13,'Stock Information'!$D$18:$D$19)</c:f>
              <c:strCache>
                <c:ptCount val="5"/>
                <c:pt idx="0">
                  <c:v> ROM 1.B1 </c:v>
                </c:pt>
                <c:pt idx="1">
                  <c:v> ROM 1.B2 </c:v>
                </c:pt>
                <c:pt idx="2">
                  <c:v> ROM 1.B3 </c:v>
                </c:pt>
                <c:pt idx="3">
                  <c:v> ROM 4.B1 </c:v>
                </c:pt>
                <c:pt idx="4">
                  <c:v> ROM 4.B2 </c:v>
                </c:pt>
              </c:strCache>
            </c:strRef>
          </c:cat>
          <c:val>
            <c:numRef>
              <c:f>('Stock Information'!$AA$11:$AA$13,'Stock Information'!$AA$18:$AA$19)</c:f>
              <c:numCache>
                <c:formatCode>_(* #,##0.00_);_(* \(#,##0.00\);_(* "-"??_);_(@_)</c:formatCode>
                <c:ptCount val="5"/>
                <c:pt idx="0">
                  <c:v>60271.684607499992</c:v>
                </c:pt>
                <c:pt idx="1">
                  <c:v>185360.85278190003</c:v>
                </c:pt>
                <c:pt idx="2">
                  <c:v>69962.517778399982</c:v>
                </c:pt>
                <c:pt idx="3">
                  <c:v>86425.306201450003</c:v>
                </c:pt>
                <c:pt idx="4">
                  <c:v>66428.422447999998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CA-4FAD-9A86-7FF7E185B408}"/>
            </c:ext>
          </c:extLst>
        </c:ser>
        <c:ser>
          <c:idx val="1"/>
          <c:order val="1"/>
          <c:tx>
            <c:strRef>
              <c:f>'Stock Information'!$H$66</c:f>
              <c:strCache>
                <c:ptCount val="1"/>
                <c:pt idx="0">
                  <c:v>TOTAL ROM STOCK</c:v>
                </c:pt>
              </c:strCache>
            </c:strRef>
          </c:tx>
          <c:spPr>
            <a:solidFill>
              <a:srgbClr val="90A955"/>
            </a:solidFill>
            <a:ln>
              <a:solidFill>
                <a:schemeClr val="tx1">
                  <a:lumMod val="50000"/>
                  <a:lumOff val="50000"/>
                  <a:alpha val="99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5CA-4FAD-9A86-7FF7E185B408}"/>
                </c:ext>
              </c:extLst>
            </c:dLbl>
            <c:dLbl>
              <c:idx val="2"/>
              <c:layout>
                <c:manualLayout>
                  <c:x val="2.9642548213487966E-3"/>
                  <c:y val="-2.16836778249393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5CA-4FAD-9A86-7FF7E185B4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('Stock Information'!$D$11:$D$13,'Stock Information'!$D$18:$D$19)</c:f>
              <c:strCache>
                <c:ptCount val="5"/>
                <c:pt idx="0">
                  <c:v> ROM 1.B1 </c:v>
                </c:pt>
                <c:pt idx="1">
                  <c:v> ROM 1.B2 </c:v>
                </c:pt>
                <c:pt idx="2">
                  <c:v> ROM 1.B3 </c:v>
                </c:pt>
                <c:pt idx="3">
                  <c:v> ROM 4.B1 </c:v>
                </c:pt>
                <c:pt idx="4">
                  <c:v> ROM 4.B2 </c:v>
                </c:pt>
              </c:strCache>
            </c:strRef>
          </c:cat>
          <c:val>
            <c:numRef>
              <c:f>('Stock Information'!$F$11:$F$15,'Stock Information'!$F$18:$F$19)</c:f>
              <c:numCache>
                <c:formatCode>_(* #,##0.00_);_(* \(#,##0.00\);_(* "-"??_);_(@_)</c:formatCode>
                <c:ptCount val="5"/>
                <c:pt idx="0">
                  <c:v>65338.776409999991</c:v>
                </c:pt>
                <c:pt idx="1">
                  <c:v>202567.31015000003</c:v>
                </c:pt>
                <c:pt idx="2">
                  <c:v>74748.28035999999</c:v>
                </c:pt>
                <c:pt idx="3">
                  <c:v>97100.432849999997</c:v>
                </c:pt>
                <c:pt idx="4">
                  <c:v>71552.940210000001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CA-4FAD-9A86-7FF7E185B4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810639728"/>
        <c:axId val="810642352"/>
      </c:barChart>
      <c:catAx>
        <c:axId val="81063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42352"/>
        <c:crosses val="autoZero"/>
        <c:auto val="1"/>
        <c:lblAlgn val="ctr"/>
        <c:lblOffset val="100"/>
        <c:noMultiLvlLbl val="0"/>
      </c:catAx>
      <c:valAx>
        <c:axId val="810642352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none"/>
        <c:minorTickMark val="none"/>
        <c:tickLblPos val="nextTo"/>
        <c:crossAx val="81063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027716279637855"/>
          <c:y val="8.2878927695907087E-3"/>
          <c:w val="0.38254468642690181"/>
          <c:h val="5.923769685039370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626358807255896"/>
          <c:y val="0.48393646655355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81748149818114"/>
          <c:y val="0.25919874160053774"/>
          <c:w val="0.39243167798952538"/>
          <c:h val="0.57430322300551684"/>
        </c:manualLayout>
      </c:layout>
      <c:doughnutChart>
        <c:varyColors val="1"/>
        <c:ser>
          <c:idx val="0"/>
          <c:order val="0"/>
          <c:tx>
            <c:v>FC STOCK</c:v>
          </c:tx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48-4F9E-9D00-7EFEF9C8B561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48-4F9E-9D00-7EFEF9C8B561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48-4F9E-9D00-7EFEF9C8B561}"/>
              </c:ext>
            </c:extLst>
          </c:dPt>
          <c:dLbls>
            <c:dLbl>
              <c:idx val="0"/>
              <c:layout>
                <c:manualLayout>
                  <c:x val="0.17622133086495925"/>
                  <c:y val="2.3992625410137015E-2"/>
                </c:manualLayout>
              </c:layout>
              <c:tx>
                <c:rich>
                  <a:bodyPr/>
                  <a:lstStyle/>
                  <a:p>
                    <a:fld id="{DA2CB15D-56E5-434C-BCD2-2E526FF4CB1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6C3C1EB1-3D98-4F77-B539-4AC7A70D22D7}" type="VALUE">
                      <a:rPr lang="en-US"/>
                      <a:pPr/>
                      <a:t>[VALUE]</a:t>
                    </a:fld>
                    <a:endParaRPr lang="en-US" baseline="0"/>
                  </a:p>
                  <a:p>
                    <a:fld id="{AF35BE40-EC28-4811-8ADD-F6E40EC282D2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448-4F9E-9D00-7EFEF9C8B561}"/>
                </c:ext>
              </c:extLst>
            </c:dLbl>
            <c:dLbl>
              <c:idx val="1"/>
              <c:layout>
                <c:manualLayout>
                  <c:x val="-0.15949106026405105"/>
                  <c:y val="0.13853882058124725"/>
                </c:manualLayout>
              </c:layout>
              <c:tx>
                <c:rich>
                  <a:bodyPr/>
                  <a:lstStyle/>
                  <a:p>
                    <a:fld id="{BA74B13E-0A1F-4085-874A-A22DB228F0C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A11D3A1-E520-47A1-973C-C17D317679FA}" type="VALUE">
                      <a:rPr lang="en-US"/>
                      <a:pPr/>
                      <a:t>[VALUE]</a:t>
                    </a:fld>
                    <a:endParaRPr lang="en-US" baseline="0"/>
                  </a:p>
                  <a:p>
                    <a:fld id="{A4812AEE-0BD4-4207-BA64-26201CE7A574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448-4F9E-9D00-7EFEF9C8B561}"/>
                </c:ext>
              </c:extLst>
            </c:dLbl>
            <c:dLbl>
              <c:idx val="2"/>
              <c:layout>
                <c:manualLayout>
                  <c:x val="-0.15522905535978174"/>
                  <c:y val="-0.10030691173007809"/>
                </c:manualLayout>
              </c:layout>
              <c:tx>
                <c:rich>
                  <a:bodyPr/>
                  <a:lstStyle/>
                  <a:p>
                    <a:fld id="{7D1DCA66-4341-48E2-844E-4FFC4CDFD39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B521C95-32C2-4E8B-9921-BFA0C8412248}" type="VALUE">
                      <a:rPr lang="en-US"/>
                      <a:pPr/>
                      <a:t>[VALUE]</a:t>
                    </a:fld>
                    <a:endParaRPr lang="en-US" baseline="0"/>
                  </a:p>
                  <a:p>
                    <a:fld id="{21764F68-0932-48DA-BB66-3D2F1E49EC93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448-4F9E-9D00-7EFEF9C8B5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'Stock Information'!$D$35:$D$37</c:f>
              <c:strCache>
                <c:ptCount val="3"/>
                <c:pt idx="0">
                  <c:v> BEK.HCV.LS </c:v>
                </c:pt>
                <c:pt idx="1">
                  <c:v> BEK.HCV.HS </c:v>
                </c:pt>
                <c:pt idx="2">
                  <c:v> BEK.MCV.LS </c:v>
                </c:pt>
              </c:strCache>
            </c:strRef>
          </c:cat>
          <c:val>
            <c:numRef>
              <c:f>'Stock Information'!$F$35:$F$37</c:f>
              <c:numCache>
                <c:formatCode>_(* #,##0.00_);_(* \(#,##0.00\);_(* "-"??_);_(@_)</c:formatCode>
                <c:ptCount val="3"/>
                <c:pt idx="0">
                  <c:v>182881.41048553528</c:v>
                </c:pt>
                <c:pt idx="1">
                  <c:v>139914.98345648521</c:v>
                </c:pt>
                <c:pt idx="2">
                  <c:v>64174.591239274378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'Stock Information'!$D$35:$D$37</c15:f>
                <c15:dlblRangeCache>
                  <c:ptCount val="3"/>
                  <c:pt idx="0">
                    <c:v> BEK.HCV.LS </c:v>
                  </c:pt>
                  <c:pt idx="1">
                    <c:v> BEK.HCV.HS </c:v>
                  </c:pt>
                  <c:pt idx="2">
                    <c:v> BEK.MCV.LS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A448-4F9E-9D00-7EFEF9C8B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1.xml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image" Target="../media/image3.png"/><Relationship Id="rId10" Type="http://schemas.openxmlformats.org/officeDocument/2006/relationships/chart" Target="../charts/chart7.xml"/><Relationship Id="rId4" Type="http://schemas.openxmlformats.org/officeDocument/2006/relationships/chart" Target="../charts/chart2.xml"/><Relationship Id="rId9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3.png"/><Relationship Id="rId5" Type="http://schemas.openxmlformats.org/officeDocument/2006/relationships/image" Target="../media/image8.emf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183942</xdr:colOff>
      <xdr:row>22</xdr:row>
      <xdr:rowOff>144224</xdr:rowOff>
    </xdr:from>
    <xdr:ext cx="731288" cy="65722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9542" y="3484324"/>
          <a:ext cx="731288" cy="657221"/>
        </a:xfrm>
        <a:prstGeom prst="rect">
          <a:avLst/>
        </a:prstGeom>
      </xdr:spPr>
    </xdr:pic>
    <xdr:clientData/>
  </xdr:oneCellAnchor>
  <xdr:twoCellAnchor>
    <xdr:from>
      <xdr:col>2</xdr:col>
      <xdr:colOff>3091</xdr:colOff>
      <xdr:row>11</xdr:row>
      <xdr:rowOff>99388</xdr:rowOff>
    </xdr:from>
    <xdr:to>
      <xdr:col>6</xdr:col>
      <xdr:colOff>0</xdr:colOff>
      <xdr:row>19</xdr:row>
      <xdr:rowOff>32655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pSpPr/>
      </xdr:nvGrpSpPr>
      <xdr:grpSpPr>
        <a:xfrm>
          <a:off x="1157636" y="1738843"/>
          <a:ext cx="3125728" cy="1133994"/>
          <a:chOff x="4308148" y="6233575"/>
          <a:chExt cx="1420184" cy="1100667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GrpSpPr/>
        </xdr:nvGrpSpPr>
        <xdr:grpSpPr>
          <a:xfrm>
            <a:off x="4308148" y="6233575"/>
            <a:ext cx="1420184" cy="1100667"/>
            <a:chOff x="3862751" y="7030749"/>
            <a:chExt cx="856886" cy="711791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00000000-0008-0000-0F00-000007000000}"/>
                </a:ext>
              </a:extLst>
            </xdr:cNvPr>
            <xdr:cNvSpPr/>
          </xdr:nvSpPr>
          <xdr:spPr>
            <a:xfrm>
              <a:off x="3862751" y="7030749"/>
              <a:ext cx="856886" cy="71179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6350">
              <a:solidFill>
                <a:schemeClr val="accent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r"/>
              <a:endParaRPr lang="en-US" sz="1000" b="1">
                <a:solidFill>
                  <a:schemeClr val="accent1"/>
                </a:solidFill>
                <a:latin typeface="+mn-lt"/>
                <a:ea typeface="+mn-ea"/>
                <a:cs typeface="+mn-cs"/>
              </a:endParaRPr>
            </a:p>
            <a:p>
              <a:pPr marL="0" indent="0" algn="r"/>
              <a:r>
                <a:rPr lang="en-US" sz="1000" b="1">
                  <a:solidFill>
                    <a:schemeClr val="accent1"/>
                  </a:solidFill>
                  <a:latin typeface="+mn-lt"/>
                  <a:ea typeface="+mn-ea"/>
                  <a:cs typeface="+mn-cs"/>
                </a:rPr>
                <a:t>BEK Crusher</a:t>
              </a:r>
            </a:p>
            <a:p>
              <a:pPr marL="0" indent="0" algn="r"/>
              <a:r>
                <a:rPr lang="en-US" sz="1000" b="1">
                  <a:solidFill>
                    <a:schemeClr val="accent1"/>
                  </a:solidFill>
                  <a:latin typeface="+mn-lt"/>
                  <a:ea typeface="+mn-ea"/>
                  <a:cs typeface="+mn-cs"/>
                </a:rPr>
                <a:t>at</a:t>
              </a:r>
              <a:r>
                <a:rPr lang="en-US" sz="1000" b="1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rPr>
                <a:t> </a:t>
              </a:r>
              <a:r>
                <a:rPr lang="id-ID" sz="1000" b="1">
                  <a:solidFill>
                    <a:schemeClr val="accent1"/>
                  </a:solidFill>
                  <a:latin typeface="+mn-lt"/>
                  <a:ea typeface="+mn-ea"/>
                  <a:cs typeface="+mn-cs"/>
                </a:rPr>
                <a:t>Bunyut</a:t>
              </a:r>
              <a:endParaRPr lang="en-US" sz="1000" b="1">
                <a:solidFill>
                  <a:schemeClr val="accent1"/>
                </a:solidFill>
                <a:latin typeface="+mn-lt"/>
                <a:ea typeface="+mn-ea"/>
                <a:cs typeface="+mn-cs"/>
              </a:endParaRPr>
            </a:p>
            <a:p>
              <a:pPr marL="0" indent="0" algn="r"/>
              <a:endParaRPr lang="en-US" sz="1000" b="1">
                <a:solidFill>
                  <a:schemeClr val="accen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00000000-0008-0000-0F00-000008000000}"/>
                </a:ext>
              </a:extLst>
            </xdr:cNvPr>
            <xdr:cNvGrpSpPr/>
          </xdr:nvGrpSpPr>
          <xdr:grpSpPr>
            <a:xfrm>
              <a:off x="3963725" y="7068122"/>
              <a:ext cx="442278" cy="570920"/>
              <a:chOff x="10131360" y="4018699"/>
              <a:chExt cx="1351547" cy="1739065"/>
            </a:xfrm>
          </xdr:grpSpPr>
          <xdr:sp macro="" textlink="">
            <xdr:nvSpPr>
              <xdr:cNvPr id="10" name="10-Point Star 9">
                <a:extLst>
                  <a:ext uri="{FF2B5EF4-FFF2-40B4-BE49-F238E27FC236}">
                    <a16:creationId xmlns:a16="http://schemas.microsoft.com/office/drawing/2014/main" id="{00000000-0008-0000-0F00-00000A000000}"/>
                  </a:ext>
                </a:extLst>
              </xdr:cNvPr>
              <xdr:cNvSpPr/>
            </xdr:nvSpPr>
            <xdr:spPr>
              <a:xfrm>
                <a:off x="10817955" y="4173990"/>
                <a:ext cx="194842" cy="185711"/>
              </a:xfrm>
              <a:prstGeom prst="star10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200"/>
              </a:p>
            </xdr:txBody>
          </xdr:sp>
          <xdr:sp macro="" textlink="">
            <xdr:nvSpPr>
              <xdr:cNvPr id="11" name="10-Point Star 10">
                <a:extLst>
                  <a:ext uri="{FF2B5EF4-FFF2-40B4-BE49-F238E27FC236}">
                    <a16:creationId xmlns:a16="http://schemas.microsoft.com/office/drawing/2014/main" id="{00000000-0008-0000-0F00-00000B000000}"/>
                  </a:ext>
                </a:extLst>
              </xdr:cNvPr>
              <xdr:cNvSpPr/>
            </xdr:nvSpPr>
            <xdr:spPr>
              <a:xfrm>
                <a:off x="11008991" y="5312380"/>
                <a:ext cx="194843" cy="185711"/>
              </a:xfrm>
              <a:prstGeom prst="star10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200"/>
              </a:p>
            </xdr:txBody>
          </xdr:sp>
          <xdr:sp macro="" textlink="">
            <xdr:nvSpPr>
              <xdr:cNvPr id="12" name="10-Point Star 11">
                <a:extLst>
                  <a:ext uri="{FF2B5EF4-FFF2-40B4-BE49-F238E27FC236}">
                    <a16:creationId xmlns:a16="http://schemas.microsoft.com/office/drawing/2014/main" id="{00000000-0008-0000-0F00-00000C000000}"/>
                  </a:ext>
                </a:extLst>
              </xdr:cNvPr>
              <xdr:cNvSpPr/>
            </xdr:nvSpPr>
            <xdr:spPr>
              <a:xfrm>
                <a:off x="10131360" y="4018699"/>
                <a:ext cx="604263" cy="579782"/>
              </a:xfrm>
              <a:prstGeom prst="star10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200"/>
              </a:p>
            </xdr:txBody>
          </xdr:sp>
          <xdr:sp macro="" textlink="">
            <xdr:nvSpPr>
              <xdr:cNvPr id="13" name="10-Point Star 12">
                <a:extLst>
                  <a:ext uri="{FF2B5EF4-FFF2-40B4-BE49-F238E27FC236}">
                    <a16:creationId xmlns:a16="http://schemas.microsoft.com/office/drawing/2014/main" id="{00000000-0008-0000-0F00-00000D000000}"/>
                  </a:ext>
                </a:extLst>
              </xdr:cNvPr>
              <xdr:cNvSpPr/>
            </xdr:nvSpPr>
            <xdr:spPr>
              <a:xfrm>
                <a:off x="11310121" y="5593073"/>
                <a:ext cx="172786" cy="164691"/>
              </a:xfrm>
              <a:prstGeom prst="star10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200"/>
              </a:p>
            </xdr:txBody>
          </xdr:sp>
        </xdr:grpSp>
        <xdr:sp macro="" textlink="">
          <xdr:nvSpPr>
            <xdr:cNvPr id="9" name="10-Point Star 8">
              <a:extLst>
                <a:ext uri="{FF2B5EF4-FFF2-40B4-BE49-F238E27FC236}">
                  <a16:creationId xmlns:a16="http://schemas.microsoft.com/office/drawing/2014/main" id="{00000000-0008-0000-0F00-000009000000}"/>
                </a:ext>
              </a:extLst>
            </xdr:cNvPr>
            <xdr:cNvSpPr/>
          </xdr:nvSpPr>
          <xdr:spPr>
            <a:xfrm>
              <a:off x="4431307" y="7519317"/>
              <a:ext cx="56542" cy="56665"/>
            </a:xfrm>
            <a:prstGeom prst="star10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200"/>
            </a:p>
          </xdr:txBody>
        </xdr:sp>
      </xdr:grpSp>
      <xdr:sp macro="" textlink="">
        <xdr:nvSpPr>
          <xdr:cNvPr id="5" name="Right Triangle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>
          <a:xfrm rot="16200000" flipH="1">
            <a:off x="4454823" y="6815172"/>
            <a:ext cx="438834" cy="413162"/>
          </a:xfrm>
          <a:prstGeom prst="rtTriangle">
            <a:avLst/>
          </a:prstGeom>
          <a:ln w="12700"/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6" name="Snip Single Corner Rectangle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/>
        </xdr:nvSpPr>
        <xdr:spPr>
          <a:xfrm rot="10800000" flipH="1">
            <a:off x="4464466" y="6625158"/>
            <a:ext cx="510546" cy="178448"/>
          </a:xfrm>
          <a:prstGeom prst="snip1Rect">
            <a:avLst>
              <a:gd name="adj" fmla="val 50000"/>
            </a:avLst>
          </a:prstGeom>
          <a:ln w="12700"/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1</xdr:col>
      <xdr:colOff>723633</xdr:colOff>
      <xdr:row>38</xdr:row>
      <xdr:rowOff>79085</xdr:rowOff>
    </xdr:from>
    <xdr:to>
      <xdr:col>6</xdr:col>
      <xdr:colOff>33722</xdr:colOff>
      <xdr:row>44</xdr:row>
      <xdr:rowOff>67376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pSpPr/>
      </xdr:nvGrpSpPr>
      <xdr:grpSpPr>
        <a:xfrm>
          <a:off x="1127724" y="5770994"/>
          <a:ext cx="3189362" cy="888837"/>
          <a:chOff x="5312022" y="5184440"/>
          <a:chExt cx="1550752" cy="517304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F00-00000F000000}"/>
              </a:ext>
            </a:extLst>
          </xdr:cNvPr>
          <xdr:cNvSpPr/>
        </xdr:nvSpPr>
        <xdr:spPr>
          <a:xfrm>
            <a:off x="5312022" y="5184440"/>
            <a:ext cx="1550752" cy="517304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accen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r"/>
            <a:r>
              <a:rPr lang="en-US" sz="1000" b="1">
                <a:solidFill>
                  <a:schemeClr val="accent1"/>
                </a:solidFill>
                <a:latin typeface="+mn-lt"/>
                <a:ea typeface="+mn-ea"/>
                <a:cs typeface="+mn-cs"/>
              </a:rPr>
              <a:t>Port Stock Yard</a:t>
            </a:r>
          </a:p>
        </xdr:txBody>
      </xdr: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0000000-0008-0000-0F00-000010000000}"/>
              </a:ext>
            </a:extLst>
          </xdr:cNvPr>
          <xdr:cNvGrpSpPr/>
        </xdr:nvGrpSpPr>
        <xdr:grpSpPr>
          <a:xfrm>
            <a:off x="5361498" y="5242376"/>
            <a:ext cx="901027" cy="430222"/>
            <a:chOff x="10426668" y="3497346"/>
            <a:chExt cx="901027" cy="424542"/>
          </a:xfrm>
        </xdr:grpSpPr>
        <xdr:sp macro="" textlink="">
          <xdr:nvSpPr>
            <xdr:cNvPr id="17" name="Isosceles Triangle 16">
              <a:extLst>
                <a:ext uri="{FF2B5EF4-FFF2-40B4-BE49-F238E27FC236}">
                  <a16:creationId xmlns:a16="http://schemas.microsoft.com/office/drawing/2014/main" id="{00000000-0008-0000-0F00-000011000000}"/>
                </a:ext>
              </a:extLst>
            </xdr:cNvPr>
            <xdr:cNvSpPr/>
          </xdr:nvSpPr>
          <xdr:spPr>
            <a:xfrm>
              <a:off x="10426668" y="3497346"/>
              <a:ext cx="642257" cy="381000"/>
            </a:xfrm>
            <a:prstGeom prst="triangle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200"/>
            </a:p>
          </xdr:txBody>
        </xdr:sp>
        <xdr:sp macro="" textlink="">
          <xdr:nvSpPr>
            <xdr:cNvPr id="18" name="Isosceles Triangle 17">
              <a:extLst>
                <a:ext uri="{FF2B5EF4-FFF2-40B4-BE49-F238E27FC236}">
                  <a16:creationId xmlns:a16="http://schemas.microsoft.com/office/drawing/2014/main" id="{00000000-0008-0000-0F00-000012000000}"/>
                </a:ext>
              </a:extLst>
            </xdr:cNvPr>
            <xdr:cNvSpPr/>
          </xdr:nvSpPr>
          <xdr:spPr>
            <a:xfrm>
              <a:off x="10666155" y="3562660"/>
              <a:ext cx="568856" cy="337457"/>
            </a:xfrm>
            <a:prstGeom prst="triangle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200"/>
            </a:p>
          </xdr:txBody>
        </xdr:sp>
        <xdr:sp macro="" textlink="">
          <xdr:nvSpPr>
            <xdr:cNvPr id="19" name="Isosceles Triangle 18">
              <a:extLst>
                <a:ext uri="{FF2B5EF4-FFF2-40B4-BE49-F238E27FC236}">
                  <a16:creationId xmlns:a16="http://schemas.microsoft.com/office/drawing/2014/main" id="{00000000-0008-0000-0F00-000013000000}"/>
                </a:ext>
              </a:extLst>
            </xdr:cNvPr>
            <xdr:cNvSpPr/>
          </xdr:nvSpPr>
          <xdr:spPr>
            <a:xfrm>
              <a:off x="10905641" y="3671517"/>
              <a:ext cx="422054" cy="250371"/>
            </a:xfrm>
            <a:prstGeom prst="triangle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200"/>
            </a:p>
          </xdr:txBody>
        </xdr:sp>
      </xdr:grpSp>
    </xdr:grpSp>
    <xdr:clientData/>
  </xdr:twoCellAnchor>
  <xdr:twoCellAnchor>
    <xdr:from>
      <xdr:col>15</xdr:col>
      <xdr:colOff>720436</xdr:colOff>
      <xdr:row>2</xdr:row>
      <xdr:rowOff>61666</xdr:rowOff>
    </xdr:from>
    <xdr:to>
      <xdr:col>20</xdr:col>
      <xdr:colOff>13854</xdr:colOff>
      <xdr:row>8</xdr:row>
      <xdr:rowOff>144140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pSpPr/>
      </xdr:nvGrpSpPr>
      <xdr:grpSpPr>
        <a:xfrm>
          <a:off x="12485254" y="350302"/>
          <a:ext cx="3045691" cy="983020"/>
          <a:chOff x="8700235" y="2095904"/>
          <a:chExt cx="1408731" cy="794657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F00-000015000000}"/>
              </a:ext>
            </a:extLst>
          </xdr:cNvPr>
          <xdr:cNvSpPr/>
        </xdr:nvSpPr>
        <xdr:spPr>
          <a:xfrm>
            <a:off x="8700235" y="2095904"/>
            <a:ext cx="1408731" cy="794657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accen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r"/>
            <a:r>
              <a:rPr lang="en-US" sz="1000" b="1">
                <a:solidFill>
                  <a:schemeClr val="accent1"/>
                </a:solidFill>
                <a:latin typeface="+mn-lt"/>
                <a:ea typeface="+mn-ea"/>
                <a:cs typeface="+mn-cs"/>
              </a:rPr>
              <a:t>Mine</a:t>
            </a:r>
          </a:p>
          <a:p>
            <a:pPr marL="0" indent="0" algn="r"/>
            <a:r>
              <a:rPr lang="en-US" sz="1000" b="1">
                <a:solidFill>
                  <a:schemeClr val="accent1"/>
                </a:solidFill>
                <a:latin typeface="+mn-lt"/>
                <a:ea typeface="+mn-ea"/>
                <a:cs typeface="+mn-cs"/>
              </a:rPr>
              <a:t>Area</a:t>
            </a:r>
          </a:p>
        </xdr:txBody>
      </xdr:sp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F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12293" y="2145464"/>
            <a:ext cx="1099237" cy="7132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</xdr:col>
      <xdr:colOff>359230</xdr:colOff>
      <xdr:row>1</xdr:row>
      <xdr:rowOff>77863</xdr:rowOff>
    </xdr:from>
    <xdr:to>
      <xdr:col>9</xdr:col>
      <xdr:colOff>295836</xdr:colOff>
      <xdr:row>4</xdr:row>
      <xdr:rowOff>69795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 txBox="1"/>
      </xdr:nvSpPr>
      <xdr:spPr>
        <a:xfrm>
          <a:off x="1521280" y="217563"/>
          <a:ext cx="5581756" cy="449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0" baseline="0">
              <a:solidFill>
                <a:srgbClr val="800000"/>
              </a:solidFill>
            </a:rPr>
            <a:t>PRODUCTION DASHBOARD</a:t>
          </a:r>
          <a:endParaRPr lang="en-US" sz="2800" b="0">
            <a:solidFill>
              <a:srgbClr val="800000"/>
            </a:solidFill>
          </a:endParaRPr>
        </a:p>
      </xdr:txBody>
    </xdr:sp>
    <xdr:clientData/>
  </xdr:twoCellAnchor>
  <xdr:twoCellAnchor>
    <xdr:from>
      <xdr:col>4</xdr:col>
      <xdr:colOff>20299</xdr:colOff>
      <xdr:row>45</xdr:row>
      <xdr:rowOff>21036</xdr:rowOff>
    </xdr:from>
    <xdr:to>
      <xdr:col>8</xdr:col>
      <xdr:colOff>726141</xdr:colOff>
      <xdr:row>46</xdr:row>
      <xdr:rowOff>141516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723634</xdr:colOff>
      <xdr:row>15</xdr:row>
      <xdr:rowOff>66021</xdr:rowOff>
    </xdr:from>
    <xdr:to>
      <xdr:col>2</xdr:col>
      <xdr:colOff>3092</xdr:colOff>
      <xdr:row>41</xdr:row>
      <xdr:rowOff>73230</xdr:rowOff>
    </xdr:to>
    <xdr:cxnSp macro="">
      <xdr:nvCxnSpPr>
        <xdr:cNvPr id="25" name="Elbow Connector 24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CxnSpPr>
          <a:stCxn id="7" idx="1"/>
          <a:endCxn id="15" idx="1"/>
        </xdr:cNvCxnSpPr>
      </xdr:nvCxnSpPr>
      <xdr:spPr>
        <a:xfrm rot="10800000" flipV="1">
          <a:off x="1130034" y="2339321"/>
          <a:ext cx="35108" cy="3969609"/>
        </a:xfrm>
        <a:prstGeom prst="bentConnector3">
          <a:avLst>
            <a:gd name="adj1" fmla="val 1762666"/>
          </a:avLst>
        </a:prstGeom>
        <a:ln w="28575">
          <a:solidFill>
            <a:schemeClr val="accent5"/>
          </a:solidFill>
          <a:headEnd type="diamond"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33722</xdr:colOff>
      <xdr:row>41</xdr:row>
      <xdr:rowOff>73231</xdr:rowOff>
    </xdr:from>
    <xdr:to>
      <xdr:col>10</xdr:col>
      <xdr:colOff>785091</xdr:colOff>
      <xdr:row>43</xdr:row>
      <xdr:rowOff>23091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CxnSpPr>
          <a:stCxn id="15" idx="3"/>
        </xdr:cNvCxnSpPr>
      </xdr:nvCxnSpPr>
      <xdr:spPr>
        <a:xfrm>
          <a:off x="4345372" y="6308931"/>
          <a:ext cx="4396269" cy="254660"/>
        </a:xfrm>
        <a:prstGeom prst="bentConnector3">
          <a:avLst>
            <a:gd name="adj1" fmla="val 50000"/>
          </a:avLst>
        </a:prstGeom>
        <a:ln w="28575">
          <a:solidFill>
            <a:schemeClr val="accent5"/>
          </a:solidFill>
          <a:headEnd type="diamond"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13854</xdr:colOff>
      <xdr:row>5</xdr:row>
      <xdr:rowOff>102903</xdr:rowOff>
    </xdr:from>
    <xdr:to>
      <xdr:col>20</xdr:col>
      <xdr:colOff>1075508</xdr:colOff>
      <xdr:row>40</xdr:row>
      <xdr:rowOff>142241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CxnSpPr>
          <a:stCxn id="21" idx="3"/>
          <a:endCxn id="34" idx="3"/>
        </xdr:cNvCxnSpPr>
      </xdr:nvCxnSpPr>
      <xdr:spPr>
        <a:xfrm>
          <a:off x="15609454" y="852203"/>
          <a:ext cx="1061654" cy="5373338"/>
        </a:xfrm>
        <a:prstGeom prst="bentConnector3">
          <a:avLst>
            <a:gd name="adj1" fmla="val 121532"/>
          </a:avLst>
        </a:prstGeom>
        <a:ln w="28575">
          <a:solidFill>
            <a:schemeClr val="accent5"/>
          </a:solidFill>
          <a:headEnd type="diamond"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279070</xdr:colOff>
      <xdr:row>4</xdr:row>
      <xdr:rowOff>148040</xdr:rowOff>
    </xdr:from>
    <xdr:to>
      <xdr:col>13</xdr:col>
      <xdr:colOff>542307</xdr:colOff>
      <xdr:row>11</xdr:row>
      <xdr:rowOff>78113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GrpSpPr/>
      </xdr:nvGrpSpPr>
      <xdr:grpSpPr>
        <a:xfrm>
          <a:off x="7044706" y="736858"/>
          <a:ext cx="3761510" cy="980710"/>
          <a:chOff x="3298370" y="2004699"/>
          <a:chExt cx="1482538" cy="487797"/>
        </a:xfrm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F00-00001F000000}"/>
              </a:ext>
            </a:extLst>
          </xdr:cNvPr>
          <xdr:cNvSpPr/>
        </xdr:nvSpPr>
        <xdr:spPr>
          <a:xfrm>
            <a:off x="3298370" y="2004699"/>
            <a:ext cx="1482538" cy="487797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accen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r"/>
            <a:r>
              <a:rPr lang="en-US" sz="1000" b="1">
                <a:solidFill>
                  <a:schemeClr val="accent1"/>
                </a:solidFill>
                <a:latin typeface="+mn-lt"/>
                <a:ea typeface="+mn-ea"/>
                <a:cs typeface="+mn-cs"/>
              </a:rPr>
              <a:t>Mine Stock Yard</a:t>
            </a:r>
          </a:p>
        </xdr:txBody>
      </xdr:sp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00000000-0008-0000-0F00-000020000000}"/>
              </a:ext>
            </a:extLst>
          </xdr:cNvPr>
          <xdr:cNvGrpSpPr/>
        </xdr:nvGrpSpPr>
        <xdr:grpSpPr>
          <a:xfrm>
            <a:off x="3341915" y="2054644"/>
            <a:ext cx="901027" cy="394641"/>
            <a:chOff x="10591800" y="3491559"/>
            <a:chExt cx="901027" cy="394641"/>
          </a:xfrm>
        </xdr:grpSpPr>
        <xdr:sp macro="" textlink="">
          <xdr:nvSpPr>
            <xdr:cNvPr id="31" name="Isosceles Triangle 30">
              <a:extLst>
                <a:ext uri="{FF2B5EF4-FFF2-40B4-BE49-F238E27FC236}">
                  <a16:creationId xmlns:a16="http://schemas.microsoft.com/office/drawing/2014/main" id="{00000000-0008-0000-0F00-000021000000}"/>
                </a:ext>
              </a:extLst>
            </xdr:cNvPr>
            <xdr:cNvSpPr/>
          </xdr:nvSpPr>
          <xdr:spPr>
            <a:xfrm>
              <a:off x="10591800" y="3491559"/>
              <a:ext cx="639644" cy="351099"/>
            </a:xfrm>
            <a:prstGeom prst="triangle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" name="Isosceles Triangle 31">
              <a:extLst>
                <a:ext uri="{FF2B5EF4-FFF2-40B4-BE49-F238E27FC236}">
                  <a16:creationId xmlns:a16="http://schemas.microsoft.com/office/drawing/2014/main" id="{00000000-0008-0000-0F00-000022000000}"/>
                </a:ext>
              </a:extLst>
            </xdr:cNvPr>
            <xdr:cNvSpPr/>
          </xdr:nvSpPr>
          <xdr:spPr>
            <a:xfrm>
              <a:off x="10831287" y="3552533"/>
              <a:ext cx="566943" cy="311896"/>
            </a:xfrm>
            <a:prstGeom prst="triangle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3" name="Isosceles Triangle 32">
              <a:extLst>
                <a:ext uri="{FF2B5EF4-FFF2-40B4-BE49-F238E27FC236}">
                  <a16:creationId xmlns:a16="http://schemas.microsoft.com/office/drawing/2014/main" id="{00000000-0008-0000-0F00-000023000000}"/>
                </a:ext>
              </a:extLst>
            </xdr:cNvPr>
            <xdr:cNvSpPr/>
          </xdr:nvSpPr>
          <xdr:spPr>
            <a:xfrm>
              <a:off x="11070773" y="3635829"/>
              <a:ext cx="422054" cy="250371"/>
            </a:xfrm>
            <a:prstGeom prst="triangle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20</xdr:col>
      <xdr:colOff>71120</xdr:colOff>
      <xdr:row>38</xdr:row>
      <xdr:rowOff>132081</xdr:rowOff>
    </xdr:from>
    <xdr:to>
      <xdr:col>20</xdr:col>
      <xdr:colOff>1075508</xdr:colOff>
      <xdr:row>43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SpPr/>
      </xdr:nvSpPr>
      <xdr:spPr>
        <a:xfrm>
          <a:off x="15666720" y="5910581"/>
          <a:ext cx="1004388" cy="629919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accent6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r"/>
          <a:r>
            <a:rPr lang="en-US" sz="1000" b="1">
              <a:solidFill>
                <a:schemeClr val="accent1"/>
              </a:solidFill>
              <a:latin typeface="+mn-lt"/>
              <a:ea typeface="+mn-ea"/>
              <a:cs typeface="+mn-cs"/>
            </a:rPr>
            <a:t>Dump</a:t>
          </a:r>
        </a:p>
        <a:p>
          <a:pPr marL="0" indent="0" algn="r"/>
          <a:r>
            <a:rPr lang="en-US" sz="10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 Area</a:t>
          </a:r>
          <a:endParaRPr lang="en-US" sz="1000" b="1">
            <a:solidFill>
              <a:schemeClr val="accent1"/>
            </a:solidFill>
            <a:latin typeface="+mn-lt"/>
            <a:ea typeface="+mn-ea"/>
            <a:cs typeface="+mn-cs"/>
          </a:endParaRPr>
        </a:p>
        <a:p>
          <a:pPr marL="0" indent="0" algn="r"/>
          <a:endParaRPr lang="en-US" sz="1200" b="1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37531</xdr:colOff>
      <xdr:row>37</xdr:row>
      <xdr:rowOff>92682</xdr:rowOff>
    </xdr:from>
    <xdr:to>
      <xdr:col>14</xdr:col>
      <xdr:colOff>116700</xdr:colOff>
      <xdr:row>43</xdr:row>
      <xdr:rowOff>79981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GrpSpPr/>
      </xdr:nvGrpSpPr>
      <xdr:grpSpPr>
        <a:xfrm>
          <a:off x="8800531" y="5634500"/>
          <a:ext cx="2330533" cy="887845"/>
          <a:chOff x="8901848" y="6792484"/>
          <a:chExt cx="1460009" cy="526448"/>
        </a:xfrm>
      </xdr:grpSpPr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F00-000031000000}"/>
              </a:ext>
            </a:extLst>
          </xdr:cNvPr>
          <xdr:cNvSpPr/>
        </xdr:nvSpPr>
        <xdr:spPr>
          <a:xfrm>
            <a:off x="8901848" y="6792484"/>
            <a:ext cx="1460009" cy="526448"/>
          </a:xfrm>
          <a:prstGeom prst="rect">
            <a:avLst/>
          </a:prstGeom>
          <a:gradFill flip="none" rotWithShape="1">
            <a:gsLst>
              <a:gs pos="0">
                <a:schemeClr val="tx2">
                  <a:tint val="66000"/>
                  <a:satMod val="160000"/>
                </a:schemeClr>
              </a:gs>
              <a:gs pos="50000">
                <a:schemeClr val="tx2">
                  <a:tint val="44500"/>
                  <a:satMod val="160000"/>
                </a:schemeClr>
              </a:gs>
              <a:gs pos="100000">
                <a:schemeClr val="tx2">
                  <a:tint val="23500"/>
                  <a:satMod val="160000"/>
                </a:schemeClr>
              </a:gs>
            </a:gsLst>
            <a:lin ang="16200000" scaled="1"/>
            <a:tileRect/>
          </a:gradFill>
          <a:ln w="6350">
            <a:solidFill>
              <a:schemeClr val="accen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r"/>
            <a:r>
              <a:rPr lang="en-US" sz="1000" b="1">
                <a:solidFill>
                  <a:srgbClr val="0000CC"/>
                </a:solidFill>
                <a:latin typeface="+mn-lt"/>
                <a:ea typeface="+mn-ea"/>
                <a:cs typeface="+mn-cs"/>
              </a:rPr>
              <a:t>Barge</a:t>
            </a:r>
          </a:p>
        </xdr:txBody>
      </xdr:sp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00000000-0008-0000-0F00-000032000000}"/>
              </a:ext>
            </a:extLst>
          </xdr:cNvPr>
          <xdr:cNvGrpSpPr/>
        </xdr:nvGrpSpPr>
        <xdr:grpSpPr>
          <a:xfrm flipH="1">
            <a:off x="8964357" y="6923823"/>
            <a:ext cx="1298886" cy="360192"/>
            <a:chOff x="11669585" y="8285204"/>
            <a:chExt cx="1836421" cy="510132"/>
          </a:xfrm>
        </xdr:grpSpPr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00000000-0008-0000-0F00-000033000000}"/>
                </a:ext>
              </a:extLst>
            </xdr:cNvPr>
            <xdr:cNvSpPr/>
          </xdr:nvSpPr>
          <xdr:spPr>
            <a:xfrm rot="5400000">
              <a:off x="13004503" y="8396332"/>
              <a:ext cx="274992" cy="52735"/>
            </a:xfrm>
            <a:prstGeom prst="rect">
              <a:avLst/>
            </a:prstGeom>
            <a:gradFill flip="none" rotWithShape="1">
              <a:gsLst>
                <a:gs pos="0">
                  <a:schemeClr val="tx1">
                    <a:tint val="66000"/>
                    <a:satMod val="160000"/>
                  </a:schemeClr>
                </a:gs>
                <a:gs pos="50000">
                  <a:schemeClr val="tx1">
                    <a:tint val="44500"/>
                    <a:satMod val="160000"/>
                  </a:schemeClr>
                </a:gs>
                <a:gs pos="100000">
                  <a:schemeClr val="tx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00000000-0008-0000-0F00-000034000000}"/>
                </a:ext>
              </a:extLst>
            </xdr:cNvPr>
            <xdr:cNvSpPr/>
          </xdr:nvSpPr>
          <xdr:spPr>
            <a:xfrm>
              <a:off x="12815846" y="8517005"/>
              <a:ext cx="446564" cy="73784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40" name="Group 39">
              <a:extLst>
                <a:ext uri="{FF2B5EF4-FFF2-40B4-BE49-F238E27FC236}">
                  <a16:creationId xmlns:a16="http://schemas.microsoft.com/office/drawing/2014/main" id="{00000000-0008-0000-0F00-000035000000}"/>
                </a:ext>
              </a:extLst>
            </xdr:cNvPr>
            <xdr:cNvGrpSpPr/>
          </xdr:nvGrpSpPr>
          <xdr:grpSpPr>
            <a:xfrm>
              <a:off x="11669585" y="8428964"/>
              <a:ext cx="1836421" cy="366372"/>
              <a:chOff x="11698060" y="7831631"/>
              <a:chExt cx="1836421" cy="363096"/>
            </a:xfrm>
            <a:solidFill>
              <a:schemeClr val="bg2">
                <a:lumMod val="25000"/>
              </a:schemeClr>
            </a:solidFill>
          </xdr:grpSpPr>
          <xdr:sp macro="" textlink="">
            <xdr:nvSpPr>
              <xdr:cNvPr id="47" name="Right Triangle 46">
                <a:extLst>
                  <a:ext uri="{FF2B5EF4-FFF2-40B4-BE49-F238E27FC236}">
                    <a16:creationId xmlns:a16="http://schemas.microsoft.com/office/drawing/2014/main" id="{00000000-0008-0000-0F00-00003C000000}"/>
                  </a:ext>
                </a:extLst>
              </xdr:cNvPr>
              <xdr:cNvSpPr/>
            </xdr:nvSpPr>
            <xdr:spPr>
              <a:xfrm rot="20719354">
                <a:off x="11698060" y="7831631"/>
                <a:ext cx="284922" cy="172279"/>
              </a:xfrm>
              <a:prstGeom prst="rtTriangle">
                <a:avLst/>
              </a:prstGeom>
              <a:gradFill flip="none" rotWithShape="1">
                <a:gsLst>
                  <a:gs pos="0">
                    <a:schemeClr val="bg2">
                      <a:lumMod val="60000"/>
                    </a:schemeClr>
                  </a:gs>
                  <a:gs pos="100000">
                    <a:schemeClr val="bg2">
                      <a:lumMod val="52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n-US" sz="12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48" name="Trapezoid 47">
                <a:extLst>
                  <a:ext uri="{FF2B5EF4-FFF2-40B4-BE49-F238E27FC236}">
                    <a16:creationId xmlns:a16="http://schemas.microsoft.com/office/drawing/2014/main" id="{00000000-0008-0000-0F00-00003D000000}"/>
                  </a:ext>
                </a:extLst>
              </xdr:cNvPr>
              <xdr:cNvSpPr/>
            </xdr:nvSpPr>
            <xdr:spPr>
              <a:xfrm rot="10800000">
                <a:off x="11705681" y="7958454"/>
                <a:ext cx="1828800" cy="236273"/>
              </a:xfrm>
              <a:prstGeom prst="trapezoid">
                <a:avLst/>
              </a:prstGeom>
              <a:gradFill flip="none" rotWithShape="1">
                <a:gsLst>
                  <a:gs pos="0">
                    <a:schemeClr val="bg2">
                      <a:lumMod val="0"/>
                    </a:schemeClr>
                  </a:gs>
                  <a:gs pos="100000">
                    <a:schemeClr val="bg2">
                      <a:lumMod val="52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200"/>
              </a:p>
            </xdr:txBody>
          </xdr:sp>
        </xdr:grpSp>
        <xdr:sp macro="" textlink="">
          <xdr:nvSpPr>
            <xdr:cNvPr id="41" name="Trapezoid 40">
              <a:extLst>
                <a:ext uri="{FF2B5EF4-FFF2-40B4-BE49-F238E27FC236}">
                  <a16:creationId xmlns:a16="http://schemas.microsoft.com/office/drawing/2014/main" id="{00000000-0008-0000-0F00-000036000000}"/>
                </a:ext>
              </a:extLst>
            </xdr:cNvPr>
            <xdr:cNvSpPr/>
          </xdr:nvSpPr>
          <xdr:spPr>
            <a:xfrm>
              <a:off x="12829272" y="8449527"/>
              <a:ext cx="406668" cy="66367"/>
            </a:xfrm>
            <a:prstGeom prst="trapezoid">
              <a:avLst/>
            </a:prstGeom>
            <a:solidFill>
              <a:sysClr val="window" lastClr="FFFFFF"/>
            </a:solid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00000000-0008-0000-0F00-000037000000}"/>
                </a:ext>
              </a:extLst>
            </xdr:cNvPr>
            <xdr:cNvSpPr/>
          </xdr:nvSpPr>
          <xdr:spPr>
            <a:xfrm>
              <a:off x="12889430" y="8433324"/>
              <a:ext cx="60158" cy="65773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00000000-0008-0000-0F00-000038000000}"/>
                </a:ext>
              </a:extLst>
            </xdr:cNvPr>
            <xdr:cNvSpPr/>
          </xdr:nvSpPr>
          <xdr:spPr>
            <a:xfrm>
              <a:off x="12997709" y="8433324"/>
              <a:ext cx="60158" cy="65773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4" name="Rectangle 43">
              <a:extLst>
                <a:ext uri="{FF2B5EF4-FFF2-40B4-BE49-F238E27FC236}">
                  <a16:creationId xmlns:a16="http://schemas.microsoft.com/office/drawing/2014/main" id="{00000000-0008-0000-0F00-000039000000}"/>
                </a:ext>
              </a:extLst>
            </xdr:cNvPr>
            <xdr:cNvSpPr/>
          </xdr:nvSpPr>
          <xdr:spPr>
            <a:xfrm>
              <a:off x="13105988" y="8433324"/>
              <a:ext cx="60158" cy="65773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00000000-0008-0000-0F00-00003A000000}"/>
                </a:ext>
              </a:extLst>
            </xdr:cNvPr>
            <xdr:cNvSpPr/>
          </xdr:nvSpPr>
          <xdr:spPr>
            <a:xfrm>
              <a:off x="12846452" y="8411275"/>
              <a:ext cx="379080" cy="50085"/>
            </a:xfrm>
            <a:prstGeom prst="rect">
              <a:avLst/>
            </a:prstGeom>
            <a:gradFill flip="none" rotWithShape="1">
              <a:gsLst>
                <a:gs pos="0">
                  <a:srgbClr val="C00000">
                    <a:shade val="30000"/>
                    <a:satMod val="115000"/>
                  </a:srgbClr>
                </a:gs>
                <a:gs pos="50000">
                  <a:srgbClr val="C00000">
                    <a:shade val="67500"/>
                    <a:satMod val="115000"/>
                  </a:srgbClr>
                </a:gs>
                <a:gs pos="100000">
                  <a:srgbClr val="C0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00000000-0008-0000-0F00-00003B000000}"/>
                </a:ext>
              </a:extLst>
            </xdr:cNvPr>
            <xdr:cNvSpPr/>
          </xdr:nvSpPr>
          <xdr:spPr>
            <a:xfrm>
              <a:off x="13002568" y="8340650"/>
              <a:ext cx="152339" cy="79821"/>
            </a:xfrm>
            <a:prstGeom prst="rect">
              <a:avLst/>
            </a:prstGeom>
            <a:solidFill>
              <a:schemeClr val="tx1">
                <a:lumMod val="65000"/>
                <a:lumOff val="3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10</xdr:col>
      <xdr:colOff>28013</xdr:colOff>
      <xdr:row>16</xdr:row>
      <xdr:rowOff>30945</xdr:rowOff>
    </xdr:from>
    <xdr:to>
      <xdr:col>14</xdr:col>
      <xdr:colOff>596793</xdr:colOff>
      <xdr:row>17</xdr:row>
      <xdr:rowOff>138545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235641</xdr:colOff>
      <xdr:row>1</xdr:row>
      <xdr:rowOff>35860</xdr:rowOff>
    </xdr:from>
    <xdr:to>
      <xdr:col>2</xdr:col>
      <xdr:colOff>591097</xdr:colOff>
      <xdr:row>4</xdr:row>
      <xdr:rowOff>104383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8" t="9322" r="1"/>
        <a:stretch/>
      </xdr:blipFill>
      <xdr:spPr>
        <a:xfrm>
          <a:off x="642041" y="175560"/>
          <a:ext cx="1111106" cy="525723"/>
        </a:xfrm>
        <a:prstGeom prst="rect">
          <a:avLst/>
        </a:prstGeom>
      </xdr:spPr>
    </xdr:pic>
    <xdr:clientData/>
  </xdr:twoCellAnchor>
  <xdr:twoCellAnchor>
    <xdr:from>
      <xdr:col>6</xdr:col>
      <xdr:colOff>1</xdr:colOff>
      <xdr:row>8</xdr:row>
      <xdr:rowOff>36876</xdr:rowOff>
    </xdr:from>
    <xdr:to>
      <xdr:col>9</xdr:col>
      <xdr:colOff>279071</xdr:colOff>
      <xdr:row>15</xdr:row>
      <xdr:rowOff>66021</xdr:rowOff>
    </xdr:to>
    <xdr:cxnSp macro="">
      <xdr:nvCxnSpPr>
        <xdr:cNvPr id="51" name="Elbow Connector 50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CxnSpPr>
          <a:stCxn id="29" idx="1"/>
          <a:endCxn id="7" idx="3"/>
        </xdr:cNvCxnSpPr>
      </xdr:nvCxnSpPr>
      <xdr:spPr>
        <a:xfrm rot="10800000" flipV="1">
          <a:off x="4311651" y="1243376"/>
          <a:ext cx="2774620" cy="1095945"/>
        </a:xfrm>
        <a:prstGeom prst="bentConnector3">
          <a:avLst>
            <a:gd name="adj1" fmla="val 84490"/>
          </a:avLst>
        </a:prstGeom>
        <a:ln w="28575">
          <a:solidFill>
            <a:schemeClr val="accent5"/>
          </a:solidFill>
          <a:headEnd type="diamond"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542307</xdr:colOff>
      <xdr:row>5</xdr:row>
      <xdr:rowOff>102903</xdr:rowOff>
    </xdr:from>
    <xdr:to>
      <xdr:col>15</xdr:col>
      <xdr:colOff>720436</xdr:colOff>
      <xdr:row>8</xdr:row>
      <xdr:rowOff>36877</xdr:rowOff>
    </xdr:to>
    <xdr:cxnSp macro="">
      <xdr:nvCxnSpPr>
        <xdr:cNvPr id="52" name="Elbow Connector 51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CxnSpPr>
          <a:stCxn id="21" idx="1"/>
          <a:endCxn id="29" idx="3"/>
        </xdr:cNvCxnSpPr>
      </xdr:nvCxnSpPr>
      <xdr:spPr>
        <a:xfrm rot="10800000" flipV="1">
          <a:off x="10848357" y="852203"/>
          <a:ext cx="1689429" cy="391174"/>
        </a:xfrm>
        <a:prstGeom prst="bentConnector3">
          <a:avLst>
            <a:gd name="adj1" fmla="val 50000"/>
          </a:avLst>
        </a:prstGeom>
        <a:ln w="28575">
          <a:solidFill>
            <a:schemeClr val="accent5"/>
          </a:solidFill>
          <a:headEnd type="diamond"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100784</xdr:colOff>
      <xdr:row>40</xdr:row>
      <xdr:rowOff>39190</xdr:rowOff>
    </xdr:from>
    <xdr:to>
      <xdr:col>20</xdr:col>
      <xdr:colOff>649424</xdr:colOff>
      <xdr:row>41</xdr:row>
      <xdr:rowOff>94047</xdr:rowOff>
    </xdr:to>
    <xdr:sp macro="" textlink="">
      <xdr:nvSpPr>
        <xdr:cNvPr id="53" name="Trapezoid 52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SpPr/>
      </xdr:nvSpPr>
      <xdr:spPr>
        <a:xfrm>
          <a:off x="15696384" y="6122490"/>
          <a:ext cx="548640" cy="207257"/>
        </a:xfrm>
        <a:prstGeom prst="trapezoid">
          <a:avLst>
            <a:gd name="adj" fmla="val 34046"/>
          </a:avLst>
        </a:prstGeom>
        <a:solidFill>
          <a:schemeClr val="bg1">
            <a:lumMod val="65000"/>
          </a:schemeClr>
        </a:solidFill>
        <a:ln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285085</xdr:colOff>
      <xdr:row>41</xdr:row>
      <xdr:rowOff>26696</xdr:rowOff>
    </xdr:from>
    <xdr:to>
      <xdr:col>20</xdr:col>
      <xdr:colOff>833725</xdr:colOff>
      <xdr:row>42</xdr:row>
      <xdr:rowOff>42879</xdr:rowOff>
    </xdr:to>
    <xdr:sp macro="" textlink="">
      <xdr:nvSpPr>
        <xdr:cNvPr id="54" name="Trapezoid 53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SpPr/>
      </xdr:nvSpPr>
      <xdr:spPr>
        <a:xfrm>
          <a:off x="15880685" y="6262396"/>
          <a:ext cx="548640" cy="168583"/>
        </a:xfrm>
        <a:prstGeom prst="trapezoid">
          <a:avLst>
            <a:gd name="adj" fmla="val 36373"/>
          </a:avLst>
        </a:prstGeom>
        <a:solidFill>
          <a:schemeClr val="bg1">
            <a:lumMod val="65000"/>
          </a:schemeClr>
        </a:solidFill>
        <a:ln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528699</xdr:colOff>
      <xdr:row>42</xdr:row>
      <xdr:rowOff>12202</xdr:rowOff>
    </xdr:from>
    <xdr:to>
      <xdr:col>20</xdr:col>
      <xdr:colOff>894459</xdr:colOff>
      <xdr:row>42</xdr:row>
      <xdr:rowOff>143435</xdr:rowOff>
    </xdr:to>
    <xdr:sp macro="" textlink="">
      <xdr:nvSpPr>
        <xdr:cNvPr id="55" name="Trapezoid 54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SpPr/>
      </xdr:nvSpPr>
      <xdr:spPr>
        <a:xfrm>
          <a:off x="16124299" y="6400302"/>
          <a:ext cx="365760" cy="131233"/>
        </a:xfrm>
        <a:prstGeom prst="trapezoid">
          <a:avLst>
            <a:gd name="adj" fmla="val 25913"/>
          </a:avLst>
        </a:prstGeom>
        <a:solidFill>
          <a:schemeClr val="bg1">
            <a:lumMod val="65000"/>
          </a:schemeClr>
        </a:solidFill>
        <a:ln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28013</xdr:colOff>
      <xdr:row>16</xdr:row>
      <xdr:rowOff>30945</xdr:rowOff>
    </xdr:from>
    <xdr:to>
      <xdr:col>14</xdr:col>
      <xdr:colOff>596793</xdr:colOff>
      <xdr:row>18</xdr:row>
      <xdr:rowOff>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28013</xdr:colOff>
      <xdr:row>28</xdr:row>
      <xdr:rowOff>30945</xdr:rowOff>
    </xdr:from>
    <xdr:to>
      <xdr:col>14</xdr:col>
      <xdr:colOff>596793</xdr:colOff>
      <xdr:row>30</xdr:row>
      <xdr:rowOff>8965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28013</xdr:colOff>
      <xdr:row>28</xdr:row>
      <xdr:rowOff>30945</xdr:rowOff>
    </xdr:from>
    <xdr:to>
      <xdr:col>14</xdr:col>
      <xdr:colOff>596793</xdr:colOff>
      <xdr:row>30</xdr:row>
      <xdr:rowOff>8965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28013</xdr:colOff>
      <xdr:row>22</xdr:row>
      <xdr:rowOff>30945</xdr:rowOff>
    </xdr:from>
    <xdr:to>
      <xdr:col>14</xdr:col>
      <xdr:colOff>596793</xdr:colOff>
      <xdr:row>24</xdr:row>
      <xdr:rowOff>8965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28013</xdr:colOff>
      <xdr:row>22</xdr:row>
      <xdr:rowOff>30945</xdr:rowOff>
    </xdr:from>
    <xdr:to>
      <xdr:col>14</xdr:col>
      <xdr:colOff>596793</xdr:colOff>
      <xdr:row>24</xdr:row>
      <xdr:rowOff>8965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11902</xdr:colOff>
      <xdr:row>53</xdr:row>
      <xdr:rowOff>27214</xdr:rowOff>
    </xdr:from>
    <xdr:to>
      <xdr:col>34</xdr:col>
      <xdr:colOff>943429</xdr:colOff>
      <xdr:row>83</xdr:row>
      <xdr:rowOff>175846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832024</xdr:colOff>
      <xdr:row>2</xdr:row>
      <xdr:rowOff>148890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193974" cy="5552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222250</xdr:colOff>
          <xdr:row>64</xdr:row>
          <xdr:rowOff>63500</xdr:rowOff>
        </xdr:from>
        <xdr:to>
          <xdr:col>18</xdr:col>
          <xdr:colOff>228600</xdr:colOff>
          <xdr:row>80</xdr:row>
          <xdr:rowOff>31750</xdr:rowOff>
        </xdr:to>
        <xdr:pic>
          <xdr:nvPicPr>
            <xdr:cNvPr id="2" name="Picture 1"/>
            <xdr:cNvPicPr>
              <a:picLocks noChangeAspect="1" noChangeArrowheads="1"/>
              <a:extLst>
                <a:ext uri="{84589F7E-364E-4C9E-8A38-B11213B215E9}">
                  <a14:cameraTool cellRange="$B$3:$R$18" spid="_x0000_s41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1850" y="6807200"/>
              <a:ext cx="14611350" cy="2914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29</xdr:row>
      <xdr:rowOff>0</xdr:rowOff>
    </xdr:from>
    <xdr:to>
      <xdr:col>25</xdr:col>
      <xdr:colOff>304800</xdr:colOff>
      <xdr:row>34</xdr:row>
      <xdr:rowOff>114704</xdr:rowOff>
    </xdr:to>
    <xdr:sp macro="" textlink="">
      <xdr:nvSpPr>
        <xdr:cNvPr id="2" name="AutoShape 5" descr="Menampilkan image.png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3881100" y="2546350"/>
          <a:ext cx="304800" cy="305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216647</xdr:colOff>
      <xdr:row>0</xdr:row>
      <xdr:rowOff>1</xdr:rowOff>
    </xdr:from>
    <xdr:to>
      <xdr:col>3</xdr:col>
      <xdr:colOff>1194801</xdr:colOff>
      <xdr:row>4</xdr:row>
      <xdr:rowOff>95498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097" y="0"/>
          <a:ext cx="978154" cy="476498"/>
        </a:xfrm>
        <a:prstGeom prst="rect">
          <a:avLst/>
        </a:prstGeom>
      </xdr:spPr>
    </xdr:pic>
    <xdr:clientData/>
  </xdr:twoCellAnchor>
  <xdr:twoCellAnchor>
    <xdr:from>
      <xdr:col>3</xdr:col>
      <xdr:colOff>108526</xdr:colOff>
      <xdr:row>43</xdr:row>
      <xdr:rowOff>71437</xdr:rowOff>
    </xdr:from>
    <xdr:to>
      <xdr:col>5</xdr:col>
      <xdr:colOff>960437</xdr:colOff>
      <xdr:row>59</xdr:row>
      <xdr:rowOff>153080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1096044</xdr:colOff>
      <xdr:row>47</xdr:row>
      <xdr:rowOff>149411</xdr:rowOff>
    </xdr:from>
    <xdr:to>
      <xdr:col>12</xdr:col>
      <xdr:colOff>789214</xdr:colOff>
      <xdr:row>60</xdr:row>
      <xdr:rowOff>18143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112059</xdr:colOff>
      <xdr:row>60</xdr:row>
      <xdr:rowOff>174625</xdr:rowOff>
    </xdr:from>
    <xdr:to>
      <xdr:col>5</xdr:col>
      <xdr:colOff>1030942</xdr:colOff>
      <xdr:row>70</xdr:row>
      <xdr:rowOff>44827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37353</xdr:colOff>
          <xdr:row>43</xdr:row>
          <xdr:rowOff>52722</xdr:rowOff>
        </xdr:from>
        <xdr:to>
          <xdr:col>11</xdr:col>
          <xdr:colOff>37353</xdr:colOff>
          <xdr:row>48</xdr:row>
          <xdr:rowOff>20972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00000000-0008-0000-13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62:$L$66" spid="_x0000_s512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4085478" y="4243722"/>
              <a:ext cx="4048125" cy="88106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40620</xdr:colOff>
      <xdr:row>0</xdr:row>
      <xdr:rowOff>103111</xdr:rowOff>
    </xdr:from>
    <xdr:to>
      <xdr:col>1</xdr:col>
      <xdr:colOff>800290</xdr:colOff>
      <xdr:row>3</xdr:row>
      <xdr:rowOff>23283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20" y="103111"/>
          <a:ext cx="1216870" cy="5551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Data%20Support/2026/09.%20Sep/Data%20Support%20Activity%20Sep%202026-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rom quality"/>
      <sheetName val="Db_ Bgt Outpit"/>
      <sheetName val="base ob inpit"/>
      <sheetName val="base ob outpit"/>
      <sheetName val="Db_bgt distance"/>
      <sheetName val="Rainfall Out26"/>
      <sheetName val="base coal"/>
      <sheetName val="DPO VS Actual"/>
      <sheetName val="weather"/>
      <sheetName val="coal trans"/>
      <sheetName val="fc quality"/>
      <sheetName val="base activity"/>
      <sheetName val="plan"/>
      <sheetName val="actual"/>
      <sheetName val="outlook"/>
      <sheetName val="Dashboard"/>
      <sheetName val="Summary Sep26"/>
      <sheetName val="To Date Summary"/>
      <sheetName val="Portion Blending"/>
      <sheetName val="Stock Information"/>
      <sheetName val="As RKAB 7.5MT"/>
      <sheetName val="As RKAB 5.4MT"/>
      <sheetName val="Summary Coal Inventory"/>
      <sheetName val="check"/>
      <sheetName val="Daily ROM"/>
      <sheetName val="Hauling Monitoring"/>
      <sheetName val="PAMA"/>
      <sheetName val="SNS"/>
      <sheetName val="TJP Void"/>
      <sheetName val="SKU Void"/>
      <sheetName val="SNS Void"/>
      <sheetName val="MPA Void"/>
      <sheetName val="Sheet1"/>
    </sheetNames>
    <sheetDataSet>
      <sheetData sheetId="0">
        <row r="2">
          <cell r="C2" t="str">
            <v>january</v>
          </cell>
          <cell r="D2" t="str">
            <v>february</v>
          </cell>
          <cell r="E2" t="str">
            <v>march</v>
          </cell>
          <cell r="F2" t="str">
            <v>april</v>
          </cell>
          <cell r="G2" t="str">
            <v>may</v>
          </cell>
          <cell r="H2" t="str">
            <v>june</v>
          </cell>
          <cell r="I2" t="str">
            <v>july</v>
          </cell>
          <cell r="J2" t="str">
            <v>august</v>
          </cell>
          <cell r="K2" t="str">
            <v>september</v>
          </cell>
          <cell r="L2" t="str">
            <v>october</v>
          </cell>
          <cell r="M2" t="str">
            <v>november</v>
          </cell>
          <cell r="N2" t="str">
            <v>december</v>
          </cell>
        </row>
        <row r="3">
          <cell r="C3" t="str">
            <v>Jan</v>
          </cell>
          <cell r="D3" t="str">
            <v>Feb</v>
          </cell>
          <cell r="E3" t="str">
            <v>Mar</v>
          </cell>
          <cell r="F3" t="str">
            <v>Apr</v>
          </cell>
          <cell r="G3" t="str">
            <v>May</v>
          </cell>
          <cell r="H3" t="str">
            <v>Jun</v>
          </cell>
          <cell r="I3" t="str">
            <v>Jul</v>
          </cell>
          <cell r="J3" t="str">
            <v>Aug</v>
          </cell>
          <cell r="K3" t="str">
            <v>Sep</v>
          </cell>
          <cell r="L3" t="str">
            <v>Oct</v>
          </cell>
          <cell r="M3" t="str">
            <v>Nov</v>
          </cell>
          <cell r="N3" t="str">
            <v>Dec</v>
          </cell>
          <cell r="O3" t="str">
            <v>Total</v>
          </cell>
        </row>
        <row r="4">
          <cell r="C4" t="str">
            <v>Budget</v>
          </cell>
          <cell r="D4" t="str">
            <v>Budget</v>
          </cell>
          <cell r="E4" t="str">
            <v>Budget</v>
          </cell>
          <cell r="F4" t="str">
            <v>Budget</v>
          </cell>
          <cell r="G4" t="str">
            <v>Budget</v>
          </cell>
          <cell r="H4" t="str">
            <v>Budget</v>
          </cell>
          <cell r="I4" t="str">
            <v>Budget</v>
          </cell>
          <cell r="J4" t="str">
            <v>Budget</v>
          </cell>
          <cell r="K4" t="str">
            <v>Budget</v>
          </cell>
          <cell r="L4" t="str">
            <v>Budget</v>
          </cell>
          <cell r="M4" t="str">
            <v>Budget</v>
          </cell>
          <cell r="N4" t="str">
            <v>Budget</v>
          </cell>
          <cell r="O4" t="str">
            <v>Budget</v>
          </cell>
        </row>
        <row r="5">
          <cell r="C5">
            <v>6100000</v>
          </cell>
          <cell r="D5">
            <v>6000000</v>
          </cell>
          <cell r="E5">
            <v>5855000</v>
          </cell>
          <cell r="F5">
            <v>5715000</v>
          </cell>
          <cell r="G5">
            <v>6175000</v>
          </cell>
          <cell r="H5">
            <v>6515000</v>
          </cell>
          <cell r="I5">
            <v>6470000</v>
          </cell>
          <cell r="J5">
            <v>6520000</v>
          </cell>
          <cell r="K5">
            <v>6430000</v>
          </cell>
          <cell r="L5">
            <v>6320000</v>
          </cell>
          <cell r="M5">
            <v>6100000</v>
          </cell>
          <cell r="N5">
            <v>5550000</v>
          </cell>
          <cell r="O5">
            <v>73750000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C7">
            <v>4450000</v>
          </cell>
          <cell r="D7">
            <v>4450000</v>
          </cell>
          <cell r="E7">
            <v>4200000</v>
          </cell>
          <cell r="F7">
            <v>4150000</v>
          </cell>
          <cell r="G7">
            <v>4650000</v>
          </cell>
          <cell r="H7">
            <v>4950000</v>
          </cell>
          <cell r="I7">
            <v>4950000</v>
          </cell>
          <cell r="J7">
            <v>4950000</v>
          </cell>
          <cell r="K7">
            <v>4930000</v>
          </cell>
          <cell r="L7">
            <v>4770000</v>
          </cell>
          <cell r="M7">
            <v>4500000</v>
          </cell>
          <cell r="N7">
            <v>4050000</v>
          </cell>
          <cell r="O7">
            <v>55000000</v>
          </cell>
        </row>
        <row r="8">
          <cell r="C8">
            <v>1650000</v>
          </cell>
          <cell r="D8">
            <v>1550000</v>
          </cell>
          <cell r="E8">
            <v>1655000</v>
          </cell>
          <cell r="F8">
            <v>1565000</v>
          </cell>
          <cell r="G8">
            <v>1525000</v>
          </cell>
          <cell r="H8">
            <v>1565000</v>
          </cell>
          <cell r="I8">
            <v>1520000</v>
          </cell>
          <cell r="J8">
            <v>1570000</v>
          </cell>
          <cell r="K8">
            <v>1500000</v>
          </cell>
          <cell r="L8">
            <v>1550000</v>
          </cell>
          <cell r="M8">
            <v>1600000</v>
          </cell>
          <cell r="N8">
            <v>1500000</v>
          </cell>
          <cell r="O8">
            <v>18750000</v>
          </cell>
        </row>
        <row r="9">
          <cell r="C9">
            <v>608000</v>
          </cell>
          <cell r="D9">
            <v>629000</v>
          </cell>
          <cell r="E9">
            <v>640000</v>
          </cell>
          <cell r="F9">
            <v>690000</v>
          </cell>
          <cell r="G9">
            <v>728000</v>
          </cell>
          <cell r="H9">
            <v>691000</v>
          </cell>
          <cell r="I9">
            <v>694000</v>
          </cell>
          <cell r="J9">
            <v>684000</v>
          </cell>
          <cell r="K9">
            <v>675000</v>
          </cell>
          <cell r="L9">
            <v>649000</v>
          </cell>
          <cell r="M9">
            <v>653000</v>
          </cell>
          <cell r="N9">
            <v>659000</v>
          </cell>
          <cell r="O9">
            <v>8000000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C11">
            <v>438000</v>
          </cell>
          <cell r="D11">
            <v>459000</v>
          </cell>
          <cell r="E11">
            <v>460000</v>
          </cell>
          <cell r="F11">
            <v>500000</v>
          </cell>
          <cell r="G11">
            <v>538000</v>
          </cell>
          <cell r="H11">
            <v>531000</v>
          </cell>
          <cell r="I11">
            <v>530000</v>
          </cell>
          <cell r="J11">
            <v>519000</v>
          </cell>
          <cell r="K11">
            <v>510000</v>
          </cell>
          <cell r="L11">
            <v>495000</v>
          </cell>
          <cell r="M11">
            <v>510000</v>
          </cell>
          <cell r="N11">
            <v>510000</v>
          </cell>
          <cell r="O11">
            <v>6000000</v>
          </cell>
        </row>
        <row r="12">
          <cell r="C12">
            <v>170000</v>
          </cell>
          <cell r="D12">
            <v>170000</v>
          </cell>
          <cell r="E12">
            <v>180000</v>
          </cell>
          <cell r="F12">
            <v>190000</v>
          </cell>
          <cell r="G12">
            <v>190000</v>
          </cell>
          <cell r="H12">
            <v>160000</v>
          </cell>
          <cell r="I12">
            <v>164000</v>
          </cell>
          <cell r="J12">
            <v>165000</v>
          </cell>
          <cell r="K12">
            <v>165000</v>
          </cell>
          <cell r="L12">
            <v>154000</v>
          </cell>
          <cell r="M12">
            <v>143000</v>
          </cell>
          <cell r="N12">
            <v>149000</v>
          </cell>
          <cell r="O12">
            <v>2000000</v>
          </cell>
        </row>
        <row r="13">
          <cell r="C13">
            <v>455000</v>
          </cell>
          <cell r="D13">
            <v>475000</v>
          </cell>
          <cell r="E13">
            <v>520000</v>
          </cell>
          <cell r="F13">
            <v>495000</v>
          </cell>
          <cell r="G13">
            <v>525000</v>
          </cell>
          <cell r="H13">
            <v>501000</v>
          </cell>
          <cell r="I13">
            <v>507000</v>
          </cell>
          <cell r="J13">
            <v>514000</v>
          </cell>
          <cell r="K13">
            <v>515000</v>
          </cell>
          <cell r="L13">
            <v>485000</v>
          </cell>
          <cell r="M13">
            <v>490000</v>
          </cell>
          <cell r="N13">
            <v>475000</v>
          </cell>
          <cell r="O13">
            <v>5957000</v>
          </cell>
        </row>
        <row r="14">
          <cell r="C14">
            <v>153000</v>
          </cell>
          <cell r="D14">
            <v>154000</v>
          </cell>
          <cell r="E14">
            <v>120000</v>
          </cell>
          <cell r="F14">
            <v>195000</v>
          </cell>
          <cell r="G14">
            <v>203000</v>
          </cell>
          <cell r="H14">
            <v>190000</v>
          </cell>
          <cell r="I14">
            <v>187000</v>
          </cell>
          <cell r="J14">
            <v>170000</v>
          </cell>
          <cell r="K14">
            <v>160000</v>
          </cell>
          <cell r="L14">
            <v>164000</v>
          </cell>
          <cell r="M14">
            <v>163000</v>
          </cell>
          <cell r="N14">
            <v>184000</v>
          </cell>
          <cell r="O14">
            <v>2043000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C16">
            <v>750000</v>
          </cell>
          <cell r="D16">
            <v>750000</v>
          </cell>
          <cell r="E16">
            <v>750000</v>
          </cell>
          <cell r="F16">
            <v>700000</v>
          </cell>
          <cell r="G16">
            <v>700000</v>
          </cell>
          <cell r="H16">
            <v>700000</v>
          </cell>
          <cell r="I16">
            <v>700000</v>
          </cell>
          <cell r="J16">
            <v>700000</v>
          </cell>
          <cell r="K16">
            <v>700000</v>
          </cell>
          <cell r="L16">
            <v>700000</v>
          </cell>
          <cell r="M16">
            <v>700000</v>
          </cell>
          <cell r="N16">
            <v>700000</v>
          </cell>
          <cell r="O16">
            <v>8550000</v>
          </cell>
        </row>
        <row r="17">
          <cell r="C17">
            <v>750000</v>
          </cell>
          <cell r="D17">
            <v>750000</v>
          </cell>
          <cell r="E17">
            <v>750000</v>
          </cell>
          <cell r="F17">
            <v>700000</v>
          </cell>
          <cell r="G17">
            <v>700000</v>
          </cell>
          <cell r="H17">
            <v>700000</v>
          </cell>
          <cell r="I17">
            <v>700000</v>
          </cell>
          <cell r="J17">
            <v>700000</v>
          </cell>
          <cell r="K17">
            <v>700000</v>
          </cell>
          <cell r="L17">
            <v>700000</v>
          </cell>
          <cell r="M17">
            <v>700000</v>
          </cell>
          <cell r="N17">
            <v>700000</v>
          </cell>
          <cell r="O17">
            <v>8550000</v>
          </cell>
        </row>
        <row r="18">
          <cell r="C18">
            <v>600000</v>
          </cell>
          <cell r="D18">
            <v>600000</v>
          </cell>
          <cell r="E18">
            <v>600000</v>
          </cell>
          <cell r="F18">
            <v>550000</v>
          </cell>
          <cell r="G18">
            <v>550000</v>
          </cell>
          <cell r="H18">
            <v>550000</v>
          </cell>
          <cell r="I18">
            <v>550000</v>
          </cell>
          <cell r="J18">
            <v>550000</v>
          </cell>
          <cell r="K18">
            <v>600000</v>
          </cell>
          <cell r="L18">
            <v>600000</v>
          </cell>
          <cell r="M18">
            <v>600000</v>
          </cell>
          <cell r="N18">
            <v>600000</v>
          </cell>
          <cell r="O18">
            <v>6950000</v>
          </cell>
        </row>
        <row r="19">
          <cell r="C19">
            <v>150000</v>
          </cell>
          <cell r="D19">
            <v>150000</v>
          </cell>
          <cell r="E19">
            <v>150000</v>
          </cell>
          <cell r="F19">
            <v>150000</v>
          </cell>
          <cell r="G19">
            <v>150000</v>
          </cell>
          <cell r="H19">
            <v>150000</v>
          </cell>
          <cell r="I19">
            <v>150000</v>
          </cell>
          <cell r="J19">
            <v>150000</v>
          </cell>
          <cell r="K19">
            <v>100000</v>
          </cell>
          <cell r="L19">
            <v>100000</v>
          </cell>
          <cell r="M19">
            <v>100000</v>
          </cell>
          <cell r="N19">
            <v>100000</v>
          </cell>
          <cell r="O19">
            <v>1600000</v>
          </cell>
        </row>
        <row r="20">
          <cell r="C20">
            <v>750000</v>
          </cell>
          <cell r="D20">
            <v>750000</v>
          </cell>
          <cell r="E20">
            <v>750000</v>
          </cell>
          <cell r="F20">
            <v>700000</v>
          </cell>
          <cell r="G20">
            <v>700000</v>
          </cell>
          <cell r="H20">
            <v>700000</v>
          </cell>
          <cell r="I20">
            <v>700000</v>
          </cell>
          <cell r="J20">
            <v>700000</v>
          </cell>
          <cell r="K20">
            <v>700000</v>
          </cell>
          <cell r="L20">
            <v>700000</v>
          </cell>
          <cell r="M20">
            <v>700000</v>
          </cell>
          <cell r="N20">
            <v>700000</v>
          </cell>
          <cell r="O20">
            <v>8550000</v>
          </cell>
        </row>
        <row r="21">
          <cell r="C21">
            <v>507.58389707512458</v>
          </cell>
          <cell r="D21">
            <v>610.86913043058689</v>
          </cell>
          <cell r="E21">
            <v>612.88831107310557</v>
          </cell>
          <cell r="F21">
            <v>651.40709585093259</v>
          </cell>
          <cell r="G21">
            <v>497.60516500778238</v>
          </cell>
          <cell r="H21">
            <v>329.29462479769461</v>
          </cell>
          <cell r="I21">
            <v>320.2451210318203</v>
          </cell>
          <cell r="J21">
            <v>218.16954041180065</v>
          </cell>
          <cell r="K21">
            <v>357.91061803749233</v>
          </cell>
          <cell r="L21">
            <v>429.23878223019619</v>
          </cell>
          <cell r="M21">
            <v>524.40639903647889</v>
          </cell>
          <cell r="N21">
            <v>595.93230009867057</v>
          </cell>
          <cell r="O21">
            <v>5655.5509850816861</v>
          </cell>
        </row>
        <row r="22">
          <cell r="C22">
            <v>181.58999999570196</v>
          </cell>
          <cell r="D22">
            <v>146.336666673515</v>
          </cell>
          <cell r="E22">
            <v>227.79877777769175</v>
          </cell>
          <cell r="F22">
            <v>193.63333333758172</v>
          </cell>
          <cell r="G22">
            <v>166.02333333475048</v>
          </cell>
          <cell r="H22">
            <v>127.69333333343575</v>
          </cell>
          <cell r="I22">
            <v>138.72454206352822</v>
          </cell>
          <cell r="J22">
            <v>108.43007288678945</v>
          </cell>
          <cell r="K22">
            <v>150.05176145786794</v>
          </cell>
          <cell r="L22">
            <v>177.74333333345595</v>
          </cell>
          <cell r="M22">
            <v>222.41636787834258</v>
          </cell>
          <cell r="N22">
            <v>185.31333333087309</v>
          </cell>
          <cell r="O22">
            <v>2025.7548554035336</v>
          </cell>
        </row>
        <row r="23">
          <cell r="C23">
            <v>1</v>
          </cell>
          <cell r="D23">
            <v>2</v>
          </cell>
          <cell r="E23">
            <v>3</v>
          </cell>
          <cell r="F23">
            <v>4</v>
          </cell>
          <cell r="G23">
            <v>5</v>
          </cell>
          <cell r="H23">
            <v>6</v>
          </cell>
          <cell r="I23">
            <v>7</v>
          </cell>
          <cell r="J23">
            <v>8</v>
          </cell>
          <cell r="K23">
            <v>9</v>
          </cell>
          <cell r="L23">
            <v>10</v>
          </cell>
          <cell r="M23">
            <v>11</v>
          </cell>
          <cell r="N23">
            <v>12</v>
          </cell>
        </row>
        <row r="24">
          <cell r="C24">
            <v>16.373674099197569</v>
          </cell>
          <cell r="D24">
            <v>21.816754658235247</v>
          </cell>
          <cell r="E24">
            <v>19.770590679777598</v>
          </cell>
          <cell r="F24">
            <v>21.713569861697753</v>
          </cell>
          <cell r="G24">
            <v>16.051779516380076</v>
          </cell>
          <cell r="H24">
            <v>10.976487493256487</v>
          </cell>
          <cell r="I24">
            <v>10.330487775220011</v>
          </cell>
          <cell r="J24">
            <v>7.0377271100580856</v>
          </cell>
          <cell r="K24">
            <v>11.930353934583078</v>
          </cell>
          <cell r="L24">
            <v>13.846412330006329</v>
          </cell>
          <cell r="M24">
            <v>17.480213301215962</v>
          </cell>
          <cell r="N24">
            <v>19.223622583828082</v>
          </cell>
        </row>
        <row r="25">
          <cell r="C25">
            <v>5.8577419353452242</v>
          </cell>
          <cell r="D25">
            <v>5.2263095240541073</v>
          </cell>
          <cell r="E25">
            <v>7.3483476702481214</v>
          </cell>
          <cell r="F25">
            <v>6.4544444445860574</v>
          </cell>
          <cell r="G25">
            <v>5.3555913978951768</v>
          </cell>
          <cell r="H25">
            <v>4.2564444444478582</v>
          </cell>
          <cell r="I25">
            <v>4.4749852278557487</v>
          </cell>
          <cell r="J25">
            <v>3.4977442866706272</v>
          </cell>
          <cell r="K25">
            <v>5.0017253819289316</v>
          </cell>
          <cell r="L25">
            <v>5.7336559139824503</v>
          </cell>
          <cell r="M25">
            <v>7.413878929278086</v>
          </cell>
          <cell r="N25">
            <v>5.9778494622862288</v>
          </cell>
        </row>
        <row r="29">
          <cell r="B29">
            <v>46023</v>
          </cell>
          <cell r="C29">
            <v>14677.41935483871</v>
          </cell>
          <cell r="D29">
            <v>14677.41935483871</v>
          </cell>
          <cell r="E29">
            <v>4935.4838709677415</v>
          </cell>
          <cell r="F29">
            <v>4935.4838709677415</v>
          </cell>
          <cell r="G29">
            <v>19612.903225806451</v>
          </cell>
          <cell r="H29">
            <v>19612.903225806451</v>
          </cell>
          <cell r="I29">
            <v>19354.83870967742</v>
          </cell>
          <cell r="J29">
            <v>19354.83870967742</v>
          </cell>
          <cell r="K29">
            <v>4838.7096774193551</v>
          </cell>
          <cell r="L29">
            <v>4838.7096774193551</v>
          </cell>
          <cell r="M29">
            <v>24193.548387096776</v>
          </cell>
          <cell r="N29">
            <v>24193.548387096776</v>
          </cell>
          <cell r="O29">
            <v>24193.548387096773</v>
          </cell>
          <cell r="P29">
            <v>24193.548387096773</v>
          </cell>
          <cell r="Q29">
            <v>196774.19354838709</v>
          </cell>
          <cell r="R29">
            <v>196774.19354838709</v>
          </cell>
          <cell r="S29">
            <v>16.373674099197569</v>
          </cell>
          <cell r="T29">
            <v>16.373674099197569</v>
          </cell>
          <cell r="U29">
            <v>5.8577419353452242</v>
          </cell>
          <cell r="V29">
            <v>5.8577419353452242</v>
          </cell>
          <cell r="W29">
            <v>0</v>
          </cell>
          <cell r="X29">
            <v>0</v>
          </cell>
          <cell r="Y29">
            <v>14129.032258064517</v>
          </cell>
          <cell r="Z29">
            <v>14129.032258064517</v>
          </cell>
          <cell r="AA29">
            <v>5483.8709677419356</v>
          </cell>
          <cell r="AB29">
            <v>5483.8709677419356</v>
          </cell>
          <cell r="AC29">
            <v>0</v>
          </cell>
          <cell r="AD29">
            <v>0</v>
          </cell>
          <cell r="AE29">
            <v>143548.38709677418</v>
          </cell>
          <cell r="AF29">
            <v>143548.38709677418</v>
          </cell>
          <cell r="AG29">
            <v>53225.806451612902</v>
          </cell>
          <cell r="AH29">
            <v>53225.806451612902</v>
          </cell>
        </row>
        <row r="30">
          <cell r="B30">
            <v>46024</v>
          </cell>
          <cell r="C30">
            <v>14677.41935483871</v>
          </cell>
          <cell r="D30">
            <v>29354.83870967742</v>
          </cell>
          <cell r="E30">
            <v>4935.4838709677415</v>
          </cell>
          <cell r="F30">
            <v>9870.967741935483</v>
          </cell>
          <cell r="G30">
            <v>19612.903225806451</v>
          </cell>
          <cell r="H30">
            <v>39225.806451612902</v>
          </cell>
          <cell r="I30">
            <v>19354.83870967742</v>
          </cell>
          <cell r="J30">
            <v>38709.677419354841</v>
          </cell>
          <cell r="K30">
            <v>4838.7096774193551</v>
          </cell>
          <cell r="L30">
            <v>9677.4193548387102</v>
          </cell>
          <cell r="M30">
            <v>24193.548387096776</v>
          </cell>
          <cell r="N30">
            <v>48387.096774193553</v>
          </cell>
          <cell r="O30">
            <v>24193.548387096773</v>
          </cell>
          <cell r="P30">
            <v>48387.096774193546</v>
          </cell>
          <cell r="Q30">
            <v>196774.19354838709</v>
          </cell>
          <cell r="R30">
            <v>393548.38709677418</v>
          </cell>
          <cell r="S30">
            <v>16.373674099197569</v>
          </cell>
          <cell r="T30">
            <v>32.747348198395137</v>
          </cell>
          <cell r="U30">
            <v>5.8577419353452242</v>
          </cell>
          <cell r="V30">
            <v>11.715483870690448</v>
          </cell>
          <cell r="W30">
            <v>0</v>
          </cell>
          <cell r="X30">
            <v>0</v>
          </cell>
          <cell r="Y30">
            <v>14129.032258064517</v>
          </cell>
          <cell r="Z30">
            <v>28258.064516129034</v>
          </cell>
          <cell r="AA30">
            <v>5483.8709677419356</v>
          </cell>
          <cell r="AB30">
            <v>10967.741935483871</v>
          </cell>
          <cell r="AC30">
            <v>0</v>
          </cell>
          <cell r="AD30">
            <v>0</v>
          </cell>
          <cell r="AE30">
            <v>143548.38709677418</v>
          </cell>
          <cell r="AF30">
            <v>287096.77419354836</v>
          </cell>
          <cell r="AG30">
            <v>53225.806451612902</v>
          </cell>
          <cell r="AH30">
            <v>106451.6129032258</v>
          </cell>
        </row>
        <row r="31">
          <cell r="B31">
            <v>46025</v>
          </cell>
          <cell r="C31">
            <v>14677.41935483871</v>
          </cell>
          <cell r="D31">
            <v>44032.258064516129</v>
          </cell>
          <cell r="E31">
            <v>4935.4838709677415</v>
          </cell>
          <cell r="F31">
            <v>14806.451612903224</v>
          </cell>
          <cell r="G31">
            <v>19612.903225806451</v>
          </cell>
          <cell r="H31">
            <v>58838.709677419349</v>
          </cell>
          <cell r="I31">
            <v>19354.83870967742</v>
          </cell>
          <cell r="J31">
            <v>58064.516129032258</v>
          </cell>
          <cell r="K31">
            <v>4838.7096774193551</v>
          </cell>
          <cell r="L31">
            <v>14516.129032258064</v>
          </cell>
          <cell r="M31">
            <v>24193.548387096776</v>
          </cell>
          <cell r="N31">
            <v>72580.645161290333</v>
          </cell>
          <cell r="O31">
            <v>24193.548387096773</v>
          </cell>
          <cell r="P31">
            <v>72580.645161290318</v>
          </cell>
          <cell r="Q31">
            <v>196774.19354838709</v>
          </cell>
          <cell r="R31">
            <v>590322.58064516122</v>
          </cell>
          <cell r="S31">
            <v>16.373674099197569</v>
          </cell>
          <cell r="T31">
            <v>49.121022297592702</v>
          </cell>
          <cell r="U31">
            <v>5.8577419353452242</v>
          </cell>
          <cell r="V31">
            <v>17.573225806035673</v>
          </cell>
          <cell r="W31">
            <v>0</v>
          </cell>
          <cell r="X31">
            <v>0</v>
          </cell>
          <cell r="Y31">
            <v>14129.032258064517</v>
          </cell>
          <cell r="Z31">
            <v>42387.096774193553</v>
          </cell>
          <cell r="AA31">
            <v>5483.8709677419356</v>
          </cell>
          <cell r="AB31">
            <v>16451.612903225807</v>
          </cell>
          <cell r="AC31">
            <v>0</v>
          </cell>
          <cell r="AD31">
            <v>0</v>
          </cell>
          <cell r="AE31">
            <v>143548.38709677418</v>
          </cell>
          <cell r="AF31">
            <v>430645.16129032255</v>
          </cell>
          <cell r="AG31">
            <v>53225.806451612902</v>
          </cell>
          <cell r="AH31">
            <v>159677.4193548387</v>
          </cell>
        </row>
        <row r="32">
          <cell r="B32">
            <v>46026</v>
          </cell>
          <cell r="C32">
            <v>14677.41935483871</v>
          </cell>
          <cell r="D32">
            <v>58709.677419354841</v>
          </cell>
          <cell r="E32">
            <v>4935.4838709677415</v>
          </cell>
          <cell r="F32">
            <v>19741.935483870966</v>
          </cell>
          <cell r="G32">
            <v>19612.903225806451</v>
          </cell>
          <cell r="H32">
            <v>78451.612903225803</v>
          </cell>
          <cell r="I32">
            <v>19354.83870967742</v>
          </cell>
          <cell r="J32">
            <v>77419.354838709682</v>
          </cell>
          <cell r="K32">
            <v>4838.7096774193551</v>
          </cell>
          <cell r="L32">
            <v>19354.83870967742</v>
          </cell>
          <cell r="M32">
            <v>24193.548387096776</v>
          </cell>
          <cell r="N32">
            <v>96774.193548387106</v>
          </cell>
          <cell r="O32">
            <v>24193.548387096773</v>
          </cell>
          <cell r="P32">
            <v>96774.193548387091</v>
          </cell>
          <cell r="Q32">
            <v>196774.19354838709</v>
          </cell>
          <cell r="R32">
            <v>787096.77419354836</v>
          </cell>
          <cell r="S32">
            <v>16.373674099197569</v>
          </cell>
          <cell r="T32">
            <v>65.494696396790275</v>
          </cell>
          <cell r="U32">
            <v>5.8577419353452242</v>
          </cell>
          <cell r="V32">
            <v>23.430967741380897</v>
          </cell>
          <cell r="W32">
            <v>0</v>
          </cell>
          <cell r="X32">
            <v>0</v>
          </cell>
          <cell r="Y32">
            <v>14129.032258064517</v>
          </cell>
          <cell r="Z32">
            <v>56516.129032258068</v>
          </cell>
          <cell r="AA32">
            <v>5483.8709677419356</v>
          </cell>
          <cell r="AB32">
            <v>21935.483870967742</v>
          </cell>
          <cell r="AC32">
            <v>0</v>
          </cell>
          <cell r="AD32">
            <v>0</v>
          </cell>
          <cell r="AE32">
            <v>143548.38709677418</v>
          </cell>
          <cell r="AF32">
            <v>574193.54838709673</v>
          </cell>
          <cell r="AG32">
            <v>53225.806451612902</v>
          </cell>
          <cell r="AH32">
            <v>212903.22580645161</v>
          </cell>
        </row>
        <row r="33">
          <cell r="B33">
            <v>46027</v>
          </cell>
          <cell r="C33">
            <v>14677.41935483871</v>
          </cell>
          <cell r="D33">
            <v>73387.096774193546</v>
          </cell>
          <cell r="E33">
            <v>4935.4838709677415</v>
          </cell>
          <cell r="F33">
            <v>24677.419354838708</v>
          </cell>
          <cell r="G33">
            <v>19612.903225806451</v>
          </cell>
          <cell r="H33">
            <v>98064.516129032258</v>
          </cell>
          <cell r="I33">
            <v>19354.83870967742</v>
          </cell>
          <cell r="J33">
            <v>96774.193548387106</v>
          </cell>
          <cell r="K33">
            <v>4838.7096774193551</v>
          </cell>
          <cell r="L33">
            <v>24193.548387096776</v>
          </cell>
          <cell r="M33">
            <v>24193.548387096776</v>
          </cell>
          <cell r="N33">
            <v>120967.74193548388</v>
          </cell>
          <cell r="O33">
            <v>24193.548387096773</v>
          </cell>
          <cell r="P33">
            <v>120967.74193548386</v>
          </cell>
          <cell r="Q33">
            <v>196774.19354838709</v>
          </cell>
          <cell r="R33">
            <v>983870.96774193551</v>
          </cell>
          <cell r="S33">
            <v>16.373674099197569</v>
          </cell>
          <cell r="T33">
            <v>81.868370495987847</v>
          </cell>
          <cell r="U33">
            <v>5.8577419353452242</v>
          </cell>
          <cell r="V33">
            <v>29.288709676726121</v>
          </cell>
          <cell r="W33">
            <v>0</v>
          </cell>
          <cell r="X33">
            <v>0</v>
          </cell>
          <cell r="Y33">
            <v>14129.032258064517</v>
          </cell>
          <cell r="Z33">
            <v>70645.161290322591</v>
          </cell>
          <cell r="AA33">
            <v>5483.8709677419356</v>
          </cell>
          <cell r="AB33">
            <v>27419.354838709678</v>
          </cell>
          <cell r="AC33">
            <v>0</v>
          </cell>
          <cell r="AD33">
            <v>0</v>
          </cell>
          <cell r="AE33">
            <v>143548.38709677418</v>
          </cell>
          <cell r="AF33">
            <v>717741.93548387091</v>
          </cell>
          <cell r="AG33">
            <v>53225.806451612902</v>
          </cell>
          <cell r="AH33">
            <v>266129.03225806449</v>
          </cell>
        </row>
        <row r="34">
          <cell r="B34">
            <v>46028</v>
          </cell>
          <cell r="C34">
            <v>14677.41935483871</v>
          </cell>
          <cell r="D34">
            <v>88064.516129032258</v>
          </cell>
          <cell r="E34">
            <v>4935.4838709677415</v>
          </cell>
          <cell r="F34">
            <v>29612.903225806451</v>
          </cell>
          <cell r="G34">
            <v>19612.903225806451</v>
          </cell>
          <cell r="H34">
            <v>117677.41935483871</v>
          </cell>
          <cell r="I34">
            <v>19354.83870967742</v>
          </cell>
          <cell r="J34">
            <v>116129.03225806453</v>
          </cell>
          <cell r="K34">
            <v>4838.7096774193551</v>
          </cell>
          <cell r="L34">
            <v>29032.258064516132</v>
          </cell>
          <cell r="M34">
            <v>24193.548387096776</v>
          </cell>
          <cell r="N34">
            <v>145161.29032258067</v>
          </cell>
          <cell r="O34">
            <v>24193.548387096773</v>
          </cell>
          <cell r="P34">
            <v>145161.29032258064</v>
          </cell>
          <cell r="Q34">
            <v>196774.19354838709</v>
          </cell>
          <cell r="R34">
            <v>1180645.1612903227</v>
          </cell>
          <cell r="S34">
            <v>16.373674099197569</v>
          </cell>
          <cell r="T34">
            <v>98.242044595185419</v>
          </cell>
          <cell r="U34">
            <v>5.8577419353452242</v>
          </cell>
          <cell r="V34">
            <v>35.146451612071345</v>
          </cell>
          <cell r="W34">
            <v>0</v>
          </cell>
          <cell r="X34">
            <v>0</v>
          </cell>
          <cell r="Y34">
            <v>14129.032258064517</v>
          </cell>
          <cell r="Z34">
            <v>84774.193548387106</v>
          </cell>
          <cell r="AA34">
            <v>5483.8709677419356</v>
          </cell>
          <cell r="AB34">
            <v>32903.225806451614</v>
          </cell>
          <cell r="AC34">
            <v>0</v>
          </cell>
          <cell r="AD34">
            <v>0</v>
          </cell>
          <cell r="AE34">
            <v>143548.38709677418</v>
          </cell>
          <cell r="AF34">
            <v>861290.32258064509</v>
          </cell>
          <cell r="AG34">
            <v>53225.806451612902</v>
          </cell>
          <cell r="AH34">
            <v>319354.83870967739</v>
          </cell>
        </row>
        <row r="35">
          <cell r="B35">
            <v>46029</v>
          </cell>
          <cell r="C35">
            <v>14677.41935483871</v>
          </cell>
          <cell r="D35">
            <v>102741.93548387097</v>
          </cell>
          <cell r="E35">
            <v>4935.4838709677415</v>
          </cell>
          <cell r="F35">
            <v>34548.38709677419</v>
          </cell>
          <cell r="G35">
            <v>19612.903225806451</v>
          </cell>
          <cell r="H35">
            <v>137290.32258064515</v>
          </cell>
          <cell r="I35">
            <v>19354.83870967742</v>
          </cell>
          <cell r="J35">
            <v>135483.87096774194</v>
          </cell>
          <cell r="K35">
            <v>4838.7096774193551</v>
          </cell>
          <cell r="L35">
            <v>33870.967741935485</v>
          </cell>
          <cell r="M35">
            <v>24193.548387096776</v>
          </cell>
          <cell r="N35">
            <v>169354.83870967745</v>
          </cell>
          <cell r="O35">
            <v>24193.548387096773</v>
          </cell>
          <cell r="P35">
            <v>169354.83870967739</v>
          </cell>
          <cell r="Q35">
            <v>196774.19354838709</v>
          </cell>
          <cell r="R35">
            <v>1377419.3548387098</v>
          </cell>
          <cell r="S35">
            <v>16.373674099197569</v>
          </cell>
          <cell r="T35">
            <v>114.61571869438299</v>
          </cell>
          <cell r="U35">
            <v>5.8577419353452242</v>
          </cell>
          <cell r="V35">
            <v>41.00419354741657</v>
          </cell>
          <cell r="W35">
            <v>0</v>
          </cell>
          <cell r="X35">
            <v>0</v>
          </cell>
          <cell r="Y35">
            <v>14129.032258064517</v>
          </cell>
          <cell r="Z35">
            <v>98903.225806451621</v>
          </cell>
          <cell r="AA35">
            <v>5483.8709677419356</v>
          </cell>
          <cell r="AB35">
            <v>38387.096774193546</v>
          </cell>
          <cell r="AC35">
            <v>0</v>
          </cell>
          <cell r="AD35">
            <v>0</v>
          </cell>
          <cell r="AE35">
            <v>143548.38709677418</v>
          </cell>
          <cell r="AF35">
            <v>1004838.7096774193</v>
          </cell>
          <cell r="AG35">
            <v>53225.806451612902</v>
          </cell>
          <cell r="AH35">
            <v>372580.6451612903</v>
          </cell>
        </row>
        <row r="36">
          <cell r="B36">
            <v>46030</v>
          </cell>
          <cell r="C36">
            <v>14677.41935483871</v>
          </cell>
          <cell r="D36">
            <v>117419.35483870968</v>
          </cell>
          <cell r="E36">
            <v>4935.4838709677415</v>
          </cell>
          <cell r="F36">
            <v>39483.870967741932</v>
          </cell>
          <cell r="G36">
            <v>19612.903225806451</v>
          </cell>
          <cell r="H36">
            <v>156903.22580645161</v>
          </cell>
          <cell r="I36">
            <v>19354.83870967742</v>
          </cell>
          <cell r="J36">
            <v>154838.70967741936</v>
          </cell>
          <cell r="K36">
            <v>4838.7096774193551</v>
          </cell>
          <cell r="L36">
            <v>38709.677419354841</v>
          </cell>
          <cell r="M36">
            <v>24193.548387096776</v>
          </cell>
          <cell r="N36">
            <v>193548.38709677424</v>
          </cell>
          <cell r="O36">
            <v>24193.548387096773</v>
          </cell>
          <cell r="P36">
            <v>193548.38709677418</v>
          </cell>
          <cell r="Q36">
            <v>196774.19354838709</v>
          </cell>
          <cell r="R36">
            <v>1574193.548387097</v>
          </cell>
          <cell r="S36">
            <v>16.373674099197569</v>
          </cell>
          <cell r="T36">
            <v>130.98939279358055</v>
          </cell>
          <cell r="U36">
            <v>5.8577419353452242</v>
          </cell>
          <cell r="V36">
            <v>46.861935482761794</v>
          </cell>
          <cell r="W36">
            <v>0</v>
          </cell>
          <cell r="X36">
            <v>0</v>
          </cell>
          <cell r="Y36">
            <v>14129.032258064517</v>
          </cell>
          <cell r="Z36">
            <v>113032.25806451614</v>
          </cell>
          <cell r="AA36">
            <v>5483.8709677419356</v>
          </cell>
          <cell r="AB36">
            <v>43870.967741935485</v>
          </cell>
          <cell r="AC36">
            <v>0</v>
          </cell>
          <cell r="AD36">
            <v>0</v>
          </cell>
          <cell r="AE36">
            <v>143548.38709677418</v>
          </cell>
          <cell r="AF36">
            <v>1148387.0967741935</v>
          </cell>
          <cell r="AG36">
            <v>53225.806451612902</v>
          </cell>
          <cell r="AH36">
            <v>425806.45161290321</v>
          </cell>
        </row>
        <row r="37">
          <cell r="B37">
            <v>46031</v>
          </cell>
          <cell r="C37">
            <v>14677.41935483871</v>
          </cell>
          <cell r="D37">
            <v>132096.77419354839</v>
          </cell>
          <cell r="E37">
            <v>4935.4838709677415</v>
          </cell>
          <cell r="F37">
            <v>44419.354838709674</v>
          </cell>
          <cell r="G37">
            <v>19612.903225806451</v>
          </cell>
          <cell r="H37">
            <v>176516.12903225806</v>
          </cell>
          <cell r="I37">
            <v>19354.83870967742</v>
          </cell>
          <cell r="J37">
            <v>174193.54838709679</v>
          </cell>
          <cell r="K37">
            <v>4838.7096774193551</v>
          </cell>
          <cell r="L37">
            <v>43548.387096774197</v>
          </cell>
          <cell r="M37">
            <v>24193.548387096776</v>
          </cell>
          <cell r="N37">
            <v>217741.93548387103</v>
          </cell>
          <cell r="O37">
            <v>24193.548387096773</v>
          </cell>
          <cell r="P37">
            <v>217741.93548387097</v>
          </cell>
          <cell r="Q37">
            <v>196774.19354838709</v>
          </cell>
          <cell r="R37">
            <v>1770967.7419354841</v>
          </cell>
          <cell r="S37">
            <v>16.373674099197569</v>
          </cell>
          <cell r="T37">
            <v>147.36306689277811</v>
          </cell>
          <cell r="U37">
            <v>5.8577419353452242</v>
          </cell>
          <cell r="V37">
            <v>52.719677418107018</v>
          </cell>
          <cell r="W37">
            <v>0</v>
          </cell>
          <cell r="X37">
            <v>0</v>
          </cell>
          <cell r="Y37">
            <v>14129.032258064517</v>
          </cell>
          <cell r="Z37">
            <v>127161.29032258065</v>
          </cell>
          <cell r="AA37">
            <v>5483.8709677419356</v>
          </cell>
          <cell r="AB37">
            <v>49354.838709677424</v>
          </cell>
          <cell r="AC37">
            <v>0</v>
          </cell>
          <cell r="AD37">
            <v>0</v>
          </cell>
          <cell r="AE37">
            <v>143548.38709677418</v>
          </cell>
          <cell r="AF37">
            <v>1291935.4838709678</v>
          </cell>
          <cell r="AG37">
            <v>53225.806451612902</v>
          </cell>
          <cell r="AH37">
            <v>479032.25806451612</v>
          </cell>
        </row>
        <row r="38">
          <cell r="B38">
            <v>46032</v>
          </cell>
          <cell r="C38">
            <v>14677.41935483871</v>
          </cell>
          <cell r="D38">
            <v>146774.19354838709</v>
          </cell>
          <cell r="E38">
            <v>4935.4838709677415</v>
          </cell>
          <cell r="F38">
            <v>49354.838709677417</v>
          </cell>
          <cell r="G38">
            <v>19612.903225806451</v>
          </cell>
          <cell r="H38">
            <v>196129.03225806452</v>
          </cell>
          <cell r="I38">
            <v>19354.83870967742</v>
          </cell>
          <cell r="J38">
            <v>193548.38709677421</v>
          </cell>
          <cell r="K38">
            <v>4838.7096774193551</v>
          </cell>
          <cell r="L38">
            <v>48387.096774193553</v>
          </cell>
          <cell r="M38">
            <v>24193.548387096776</v>
          </cell>
          <cell r="N38">
            <v>241935.48387096782</v>
          </cell>
          <cell r="O38">
            <v>24193.548387096773</v>
          </cell>
          <cell r="P38">
            <v>241935.48387096776</v>
          </cell>
          <cell r="Q38">
            <v>196774.19354838709</v>
          </cell>
          <cell r="R38">
            <v>1967741.9354838713</v>
          </cell>
          <cell r="S38">
            <v>16.373674099197569</v>
          </cell>
          <cell r="T38">
            <v>163.73674099197567</v>
          </cell>
          <cell r="U38">
            <v>5.8577419353452242</v>
          </cell>
          <cell r="V38">
            <v>58.577419353452242</v>
          </cell>
          <cell r="W38">
            <v>0</v>
          </cell>
          <cell r="X38">
            <v>0</v>
          </cell>
          <cell r="Y38">
            <v>14129.032258064517</v>
          </cell>
          <cell r="Z38">
            <v>141290.32258064518</v>
          </cell>
          <cell r="AA38">
            <v>5483.8709677419356</v>
          </cell>
          <cell r="AB38">
            <v>54838.709677419363</v>
          </cell>
          <cell r="AC38">
            <v>0</v>
          </cell>
          <cell r="AD38">
            <v>0</v>
          </cell>
          <cell r="AE38">
            <v>143548.38709677418</v>
          </cell>
          <cell r="AF38">
            <v>1435483.8709677421</v>
          </cell>
          <cell r="AG38">
            <v>53225.806451612902</v>
          </cell>
          <cell r="AH38">
            <v>532258.06451612897</v>
          </cell>
        </row>
        <row r="39">
          <cell r="B39">
            <v>46033</v>
          </cell>
          <cell r="C39">
            <v>14677.41935483871</v>
          </cell>
          <cell r="D39">
            <v>161451.61290322579</v>
          </cell>
          <cell r="E39">
            <v>4935.4838709677415</v>
          </cell>
          <cell r="F39">
            <v>54290.322580645159</v>
          </cell>
          <cell r="G39">
            <v>19612.903225806451</v>
          </cell>
          <cell r="H39">
            <v>215741.93548387097</v>
          </cell>
          <cell r="I39">
            <v>19354.83870967742</v>
          </cell>
          <cell r="J39">
            <v>212903.22580645164</v>
          </cell>
          <cell r="K39">
            <v>4838.7096774193551</v>
          </cell>
          <cell r="L39">
            <v>53225.806451612909</v>
          </cell>
          <cell r="M39">
            <v>24193.548387096776</v>
          </cell>
          <cell r="N39">
            <v>266129.0322580646</v>
          </cell>
          <cell r="O39">
            <v>24193.548387096773</v>
          </cell>
          <cell r="P39">
            <v>266129.03225806454</v>
          </cell>
          <cell r="Q39">
            <v>196774.19354838709</v>
          </cell>
          <cell r="R39">
            <v>2164516.1290322584</v>
          </cell>
          <cell r="S39">
            <v>16.373674099197569</v>
          </cell>
          <cell r="T39">
            <v>180.11041509117322</v>
          </cell>
          <cell r="U39">
            <v>5.8577419353452242</v>
          </cell>
          <cell r="V39">
            <v>64.435161288797474</v>
          </cell>
          <cell r="W39">
            <v>0</v>
          </cell>
          <cell r="X39">
            <v>0</v>
          </cell>
          <cell r="Y39">
            <v>14129.032258064517</v>
          </cell>
          <cell r="Z39">
            <v>155419.3548387097</v>
          </cell>
          <cell r="AA39">
            <v>5483.8709677419356</v>
          </cell>
          <cell r="AB39">
            <v>60322.580645161303</v>
          </cell>
          <cell r="AC39">
            <v>0</v>
          </cell>
          <cell r="AD39">
            <v>0</v>
          </cell>
          <cell r="AE39">
            <v>143548.38709677418</v>
          </cell>
          <cell r="AF39">
            <v>1579032.2580645164</v>
          </cell>
          <cell r="AG39">
            <v>53225.806451612902</v>
          </cell>
          <cell r="AH39">
            <v>585483.87096774182</v>
          </cell>
        </row>
        <row r="40">
          <cell r="B40">
            <v>46034</v>
          </cell>
          <cell r="C40">
            <v>14677.41935483871</v>
          </cell>
          <cell r="D40">
            <v>176129.03225806449</v>
          </cell>
          <cell r="E40">
            <v>4935.4838709677415</v>
          </cell>
          <cell r="F40">
            <v>59225.806451612902</v>
          </cell>
          <cell r="G40">
            <v>19612.903225806451</v>
          </cell>
          <cell r="H40">
            <v>235354.83870967742</v>
          </cell>
          <cell r="I40">
            <v>19354.83870967742</v>
          </cell>
          <cell r="J40">
            <v>232258.06451612906</v>
          </cell>
          <cell r="K40">
            <v>4838.7096774193551</v>
          </cell>
          <cell r="L40">
            <v>58064.516129032265</v>
          </cell>
          <cell r="M40">
            <v>24193.548387096776</v>
          </cell>
          <cell r="N40">
            <v>290322.58064516139</v>
          </cell>
          <cell r="O40">
            <v>24193.548387096773</v>
          </cell>
          <cell r="P40">
            <v>290322.58064516133</v>
          </cell>
          <cell r="Q40">
            <v>196774.19354838709</v>
          </cell>
          <cell r="R40">
            <v>2361290.3225806453</v>
          </cell>
          <cell r="S40">
            <v>16.373674099197569</v>
          </cell>
          <cell r="T40">
            <v>196.48408919037078</v>
          </cell>
          <cell r="U40">
            <v>5.8577419353452242</v>
          </cell>
          <cell r="V40">
            <v>70.292903224142691</v>
          </cell>
          <cell r="W40">
            <v>0</v>
          </cell>
          <cell r="X40">
            <v>0</v>
          </cell>
          <cell r="Y40">
            <v>14129.032258064517</v>
          </cell>
          <cell r="Z40">
            <v>169548.38709677421</v>
          </cell>
          <cell r="AA40">
            <v>5483.8709677419356</v>
          </cell>
          <cell r="AB40">
            <v>65806.451612903242</v>
          </cell>
          <cell r="AC40">
            <v>0</v>
          </cell>
          <cell r="AD40">
            <v>0</v>
          </cell>
          <cell r="AE40">
            <v>143548.38709677418</v>
          </cell>
          <cell r="AF40">
            <v>1722580.6451612907</v>
          </cell>
          <cell r="AG40">
            <v>53225.806451612902</v>
          </cell>
          <cell r="AH40">
            <v>638709.67741935467</v>
          </cell>
        </row>
        <row r="41">
          <cell r="B41">
            <v>46035</v>
          </cell>
          <cell r="C41">
            <v>14677.41935483871</v>
          </cell>
          <cell r="D41">
            <v>190806.45161290318</v>
          </cell>
          <cell r="E41">
            <v>4935.4838709677415</v>
          </cell>
          <cell r="F41">
            <v>64161.290322580644</v>
          </cell>
          <cell r="G41">
            <v>19612.903225806451</v>
          </cell>
          <cell r="H41">
            <v>254967.74193548388</v>
          </cell>
          <cell r="I41">
            <v>19354.83870967742</v>
          </cell>
          <cell r="J41">
            <v>251612.90322580648</v>
          </cell>
          <cell r="K41">
            <v>4838.7096774193551</v>
          </cell>
          <cell r="L41">
            <v>62903.225806451621</v>
          </cell>
          <cell r="M41">
            <v>24193.548387096776</v>
          </cell>
          <cell r="N41">
            <v>314516.12903225818</v>
          </cell>
          <cell r="O41">
            <v>24193.548387096773</v>
          </cell>
          <cell r="P41">
            <v>314516.12903225812</v>
          </cell>
          <cell r="Q41">
            <v>196774.19354838709</v>
          </cell>
          <cell r="R41">
            <v>2558064.5161290322</v>
          </cell>
          <cell r="S41">
            <v>16.373674099197569</v>
          </cell>
          <cell r="T41">
            <v>212.85776328956834</v>
          </cell>
          <cell r="U41">
            <v>5.8577419353452242</v>
          </cell>
          <cell r="V41">
            <v>76.150645159487908</v>
          </cell>
          <cell r="W41">
            <v>0</v>
          </cell>
          <cell r="X41">
            <v>0</v>
          </cell>
          <cell r="Y41">
            <v>14129.032258064517</v>
          </cell>
          <cell r="Z41">
            <v>183677.41935483873</v>
          </cell>
          <cell r="AA41">
            <v>5483.8709677419356</v>
          </cell>
          <cell r="AB41">
            <v>71290.322580645181</v>
          </cell>
          <cell r="AC41">
            <v>0</v>
          </cell>
          <cell r="AD41">
            <v>0</v>
          </cell>
          <cell r="AE41">
            <v>143548.38709677418</v>
          </cell>
          <cell r="AF41">
            <v>1866129.032258065</v>
          </cell>
          <cell r="AG41">
            <v>53225.806451612902</v>
          </cell>
          <cell r="AH41">
            <v>691935.48387096752</v>
          </cell>
        </row>
        <row r="42">
          <cell r="B42">
            <v>46036</v>
          </cell>
          <cell r="C42">
            <v>14677.41935483871</v>
          </cell>
          <cell r="D42">
            <v>205483.87096774188</v>
          </cell>
          <cell r="E42">
            <v>4935.4838709677415</v>
          </cell>
          <cell r="F42">
            <v>69096.774193548379</v>
          </cell>
          <cell r="G42">
            <v>19612.903225806451</v>
          </cell>
          <cell r="H42">
            <v>274580.6451612903</v>
          </cell>
          <cell r="I42">
            <v>19354.83870967742</v>
          </cell>
          <cell r="J42">
            <v>270967.74193548388</v>
          </cell>
          <cell r="K42">
            <v>4838.7096774193551</v>
          </cell>
          <cell r="L42">
            <v>67741.93548387097</v>
          </cell>
          <cell r="M42">
            <v>24193.548387096776</v>
          </cell>
          <cell r="N42">
            <v>338709.67741935496</v>
          </cell>
          <cell r="O42">
            <v>24193.548387096773</v>
          </cell>
          <cell r="P42">
            <v>338709.67741935491</v>
          </cell>
          <cell r="Q42">
            <v>196774.19354838709</v>
          </cell>
          <cell r="R42">
            <v>2754838.7096774192</v>
          </cell>
          <cell r="S42">
            <v>16.373674099197569</v>
          </cell>
          <cell r="T42">
            <v>229.2314373887659</v>
          </cell>
          <cell r="U42">
            <v>5.8577419353452242</v>
          </cell>
          <cell r="V42">
            <v>82.008387094833125</v>
          </cell>
          <cell r="W42">
            <v>0</v>
          </cell>
          <cell r="X42">
            <v>0</v>
          </cell>
          <cell r="Y42">
            <v>14129.032258064517</v>
          </cell>
          <cell r="Z42">
            <v>197806.45161290324</v>
          </cell>
          <cell r="AA42">
            <v>5483.8709677419356</v>
          </cell>
          <cell r="AB42">
            <v>76774.19354838712</v>
          </cell>
          <cell r="AC42">
            <v>0</v>
          </cell>
          <cell r="AD42">
            <v>0</v>
          </cell>
          <cell r="AE42">
            <v>143548.38709677418</v>
          </cell>
          <cell r="AF42">
            <v>2009677.4193548393</v>
          </cell>
          <cell r="AG42">
            <v>53225.806451612902</v>
          </cell>
          <cell r="AH42">
            <v>745161.29032258037</v>
          </cell>
        </row>
        <row r="43">
          <cell r="B43">
            <v>46037</v>
          </cell>
          <cell r="C43">
            <v>14677.41935483871</v>
          </cell>
          <cell r="D43">
            <v>220161.29032258058</v>
          </cell>
          <cell r="E43">
            <v>4935.4838709677415</v>
          </cell>
          <cell r="F43">
            <v>74032.258064516122</v>
          </cell>
          <cell r="G43">
            <v>19612.903225806451</v>
          </cell>
          <cell r="H43">
            <v>294193.54838709673</v>
          </cell>
          <cell r="I43">
            <v>19354.83870967742</v>
          </cell>
          <cell r="J43">
            <v>290322.58064516127</v>
          </cell>
          <cell r="K43">
            <v>4838.7096774193551</v>
          </cell>
          <cell r="L43">
            <v>72580.645161290318</v>
          </cell>
          <cell r="M43">
            <v>24193.548387096776</v>
          </cell>
          <cell r="N43">
            <v>362903.22580645175</v>
          </cell>
          <cell r="O43">
            <v>24193.548387096773</v>
          </cell>
          <cell r="P43">
            <v>362903.22580645169</v>
          </cell>
          <cell r="Q43">
            <v>196774.19354838709</v>
          </cell>
          <cell r="R43">
            <v>2951612.9032258061</v>
          </cell>
          <cell r="S43">
            <v>16.373674099197569</v>
          </cell>
          <cell r="T43">
            <v>245.60511148796346</v>
          </cell>
          <cell r="U43">
            <v>5.8577419353452242</v>
          </cell>
          <cell r="V43">
            <v>87.866129030178342</v>
          </cell>
          <cell r="W43">
            <v>0</v>
          </cell>
          <cell r="X43">
            <v>0</v>
          </cell>
          <cell r="Y43">
            <v>14129.032258064517</v>
          </cell>
          <cell r="Z43">
            <v>211935.48387096776</v>
          </cell>
          <cell r="AA43">
            <v>5483.8709677419356</v>
          </cell>
          <cell r="AB43">
            <v>82258.064516129059</v>
          </cell>
          <cell r="AC43">
            <v>0</v>
          </cell>
          <cell r="AD43">
            <v>0</v>
          </cell>
          <cell r="AE43">
            <v>143548.38709677418</v>
          </cell>
          <cell r="AF43">
            <v>2153225.8064516135</v>
          </cell>
          <cell r="AG43">
            <v>53225.806451612902</v>
          </cell>
          <cell r="AH43">
            <v>798387.09677419323</v>
          </cell>
        </row>
        <row r="44">
          <cell r="B44">
            <v>46038</v>
          </cell>
          <cell r="C44">
            <v>14677.41935483871</v>
          </cell>
          <cell r="D44">
            <v>234838.70967741928</v>
          </cell>
          <cell r="E44">
            <v>4935.4838709677415</v>
          </cell>
          <cell r="F44">
            <v>78967.741935483864</v>
          </cell>
          <cell r="G44">
            <v>19612.903225806451</v>
          </cell>
          <cell r="H44">
            <v>313806.45161290315</v>
          </cell>
          <cell r="I44">
            <v>19354.83870967742</v>
          </cell>
          <cell r="J44">
            <v>309677.41935483867</v>
          </cell>
          <cell r="K44">
            <v>4838.7096774193551</v>
          </cell>
          <cell r="L44">
            <v>77419.354838709667</v>
          </cell>
          <cell r="M44">
            <v>24193.548387096776</v>
          </cell>
          <cell r="N44">
            <v>387096.77419354854</v>
          </cell>
          <cell r="O44">
            <v>24193.548387096773</v>
          </cell>
          <cell r="P44">
            <v>387096.77419354848</v>
          </cell>
          <cell r="Q44">
            <v>196774.19354838709</v>
          </cell>
          <cell r="R44">
            <v>3148387.096774193</v>
          </cell>
          <cell r="S44">
            <v>16.373674099197569</v>
          </cell>
          <cell r="T44">
            <v>261.97878558716104</v>
          </cell>
          <cell r="U44">
            <v>5.8577419353452242</v>
          </cell>
          <cell r="V44">
            <v>93.72387096552356</v>
          </cell>
          <cell r="W44">
            <v>0</v>
          </cell>
          <cell r="X44">
            <v>0</v>
          </cell>
          <cell r="Y44">
            <v>14129.032258064517</v>
          </cell>
          <cell r="Z44">
            <v>226064.51612903227</v>
          </cell>
          <cell r="AA44">
            <v>5483.8709677419356</v>
          </cell>
          <cell r="AB44">
            <v>87741.935483870999</v>
          </cell>
          <cell r="AC44">
            <v>0</v>
          </cell>
          <cell r="AD44">
            <v>0</v>
          </cell>
          <cell r="AE44">
            <v>143548.38709677418</v>
          </cell>
          <cell r="AF44">
            <v>2296774.1935483878</v>
          </cell>
          <cell r="AG44">
            <v>53225.806451612902</v>
          </cell>
          <cell r="AH44">
            <v>851612.90322580608</v>
          </cell>
        </row>
        <row r="45">
          <cell r="B45">
            <v>46039</v>
          </cell>
          <cell r="C45">
            <v>14677.41935483871</v>
          </cell>
          <cell r="D45">
            <v>249516.12903225797</v>
          </cell>
          <cell r="E45">
            <v>4935.4838709677415</v>
          </cell>
          <cell r="F45">
            <v>83903.225806451606</v>
          </cell>
          <cell r="G45">
            <v>19612.903225806451</v>
          </cell>
          <cell r="H45">
            <v>333419.35483870958</v>
          </cell>
          <cell r="I45">
            <v>19354.83870967742</v>
          </cell>
          <cell r="J45">
            <v>329032.25806451606</v>
          </cell>
          <cell r="K45">
            <v>4838.7096774193551</v>
          </cell>
          <cell r="L45">
            <v>82258.064516129016</v>
          </cell>
          <cell r="M45">
            <v>24193.548387096776</v>
          </cell>
          <cell r="N45">
            <v>411290.32258064533</v>
          </cell>
          <cell r="O45">
            <v>24193.548387096773</v>
          </cell>
          <cell r="P45">
            <v>411290.32258064527</v>
          </cell>
          <cell r="Q45">
            <v>196774.19354838709</v>
          </cell>
          <cell r="R45">
            <v>3345161.2903225799</v>
          </cell>
          <cell r="S45">
            <v>16.373674099197569</v>
          </cell>
          <cell r="T45">
            <v>278.3524596863586</v>
          </cell>
          <cell r="U45">
            <v>5.8577419353452242</v>
          </cell>
          <cell r="V45">
            <v>99.581612900868777</v>
          </cell>
          <cell r="W45">
            <v>0</v>
          </cell>
          <cell r="X45">
            <v>0</v>
          </cell>
          <cell r="Y45">
            <v>14129.032258064517</v>
          </cell>
          <cell r="Z45">
            <v>240193.54838709679</v>
          </cell>
          <cell r="AA45">
            <v>5483.8709677419356</v>
          </cell>
          <cell r="AB45">
            <v>93225.806451612938</v>
          </cell>
          <cell r="AC45">
            <v>0</v>
          </cell>
          <cell r="AD45">
            <v>0</v>
          </cell>
          <cell r="AE45">
            <v>143548.38709677418</v>
          </cell>
          <cell r="AF45">
            <v>2440322.5806451621</v>
          </cell>
          <cell r="AG45">
            <v>53225.806451612902</v>
          </cell>
          <cell r="AH45">
            <v>904838.70967741893</v>
          </cell>
        </row>
        <row r="46">
          <cell r="B46">
            <v>46040</v>
          </cell>
          <cell r="C46">
            <v>14677.41935483871</v>
          </cell>
          <cell r="D46">
            <v>264193.54838709667</v>
          </cell>
          <cell r="E46">
            <v>4935.4838709677415</v>
          </cell>
          <cell r="F46">
            <v>88838.709677419349</v>
          </cell>
          <cell r="G46">
            <v>19612.903225806451</v>
          </cell>
          <cell r="H46">
            <v>353032.25806451601</v>
          </cell>
          <cell r="I46">
            <v>19354.83870967742</v>
          </cell>
          <cell r="J46">
            <v>348387.09677419346</v>
          </cell>
          <cell r="K46">
            <v>4838.7096774193551</v>
          </cell>
          <cell r="L46">
            <v>87096.774193548365</v>
          </cell>
          <cell r="M46">
            <v>24193.548387096776</v>
          </cell>
          <cell r="N46">
            <v>435483.87096774211</v>
          </cell>
          <cell r="O46">
            <v>24193.548387096773</v>
          </cell>
          <cell r="P46">
            <v>435483.87096774206</v>
          </cell>
          <cell r="Q46">
            <v>196774.19354838709</v>
          </cell>
          <cell r="R46">
            <v>3541935.4838709668</v>
          </cell>
          <cell r="S46">
            <v>16.373674099197569</v>
          </cell>
          <cell r="T46">
            <v>294.72613378555616</v>
          </cell>
          <cell r="U46">
            <v>5.8577419353452242</v>
          </cell>
          <cell r="V46">
            <v>105.43935483621399</v>
          </cell>
          <cell r="W46">
            <v>0</v>
          </cell>
          <cell r="X46">
            <v>0</v>
          </cell>
          <cell r="Y46">
            <v>14129.032258064517</v>
          </cell>
          <cell r="Z46">
            <v>254322.5806451613</v>
          </cell>
          <cell r="AA46">
            <v>5483.8709677419356</v>
          </cell>
          <cell r="AB46">
            <v>98709.677419354877</v>
          </cell>
          <cell r="AC46">
            <v>0</v>
          </cell>
          <cell r="AD46">
            <v>0</v>
          </cell>
          <cell r="AE46">
            <v>143548.38709677418</v>
          </cell>
          <cell r="AF46">
            <v>2583870.9677419364</v>
          </cell>
          <cell r="AG46">
            <v>53225.806451612902</v>
          </cell>
          <cell r="AH46">
            <v>958064.51612903178</v>
          </cell>
        </row>
        <row r="47">
          <cell r="B47">
            <v>46041</v>
          </cell>
          <cell r="C47">
            <v>14677.41935483871</v>
          </cell>
          <cell r="D47">
            <v>278870.9677419354</v>
          </cell>
          <cell r="E47">
            <v>4935.4838709677415</v>
          </cell>
          <cell r="F47">
            <v>93774.193548387091</v>
          </cell>
          <cell r="G47">
            <v>19612.903225806451</v>
          </cell>
          <cell r="H47">
            <v>372645.16129032243</v>
          </cell>
          <cell r="I47">
            <v>19354.83870967742</v>
          </cell>
          <cell r="J47">
            <v>367741.93548387085</v>
          </cell>
          <cell r="K47">
            <v>4838.7096774193551</v>
          </cell>
          <cell r="L47">
            <v>91935.483870967713</v>
          </cell>
          <cell r="M47">
            <v>24193.548387096776</v>
          </cell>
          <cell r="N47">
            <v>459677.4193548389</v>
          </cell>
          <cell r="O47">
            <v>24193.548387096773</v>
          </cell>
          <cell r="P47">
            <v>459677.41935483884</v>
          </cell>
          <cell r="Q47">
            <v>196774.19354838709</v>
          </cell>
          <cell r="R47">
            <v>3738709.6774193537</v>
          </cell>
          <cell r="S47">
            <v>16.373674099197569</v>
          </cell>
          <cell r="T47">
            <v>311.09980788475372</v>
          </cell>
          <cell r="U47">
            <v>5.8577419353452242</v>
          </cell>
          <cell r="V47">
            <v>111.29709677155921</v>
          </cell>
          <cell r="W47">
            <v>0</v>
          </cell>
          <cell r="X47">
            <v>0</v>
          </cell>
          <cell r="Y47">
            <v>14129.032258064517</v>
          </cell>
          <cell r="Z47">
            <v>268451.61290322582</v>
          </cell>
          <cell r="AA47">
            <v>5483.8709677419356</v>
          </cell>
          <cell r="AB47">
            <v>104193.54838709682</v>
          </cell>
          <cell r="AC47">
            <v>0</v>
          </cell>
          <cell r="AD47">
            <v>0</v>
          </cell>
          <cell r="AE47">
            <v>143548.38709677418</v>
          </cell>
          <cell r="AF47">
            <v>2727419.3548387107</v>
          </cell>
          <cell r="AG47">
            <v>53225.806451612902</v>
          </cell>
          <cell r="AH47">
            <v>1011290.3225806446</v>
          </cell>
        </row>
        <row r="48">
          <cell r="B48">
            <v>46042</v>
          </cell>
          <cell r="C48">
            <v>14677.41935483871</v>
          </cell>
          <cell r="D48">
            <v>293548.38709677412</v>
          </cell>
          <cell r="E48">
            <v>4935.4838709677415</v>
          </cell>
          <cell r="F48">
            <v>98709.677419354834</v>
          </cell>
          <cell r="G48">
            <v>19612.903225806451</v>
          </cell>
          <cell r="H48">
            <v>392258.06451612886</v>
          </cell>
          <cell r="I48">
            <v>19354.83870967742</v>
          </cell>
          <cell r="J48">
            <v>387096.77419354825</v>
          </cell>
          <cell r="K48">
            <v>4838.7096774193551</v>
          </cell>
          <cell r="L48">
            <v>96774.193548387062</v>
          </cell>
          <cell r="M48">
            <v>24193.548387096776</v>
          </cell>
          <cell r="N48">
            <v>483870.96774193569</v>
          </cell>
          <cell r="O48">
            <v>24193.548387096773</v>
          </cell>
          <cell r="P48">
            <v>483870.96774193563</v>
          </cell>
          <cell r="Q48">
            <v>196774.19354838709</v>
          </cell>
          <cell r="R48">
            <v>3935483.8709677407</v>
          </cell>
          <cell r="S48">
            <v>16.373674099197569</v>
          </cell>
          <cell r="T48">
            <v>327.47348198395127</v>
          </cell>
          <cell r="U48">
            <v>5.8577419353452242</v>
          </cell>
          <cell r="V48">
            <v>117.15483870690443</v>
          </cell>
          <cell r="W48">
            <v>0</v>
          </cell>
          <cell r="X48">
            <v>0</v>
          </cell>
          <cell r="Y48">
            <v>14129.032258064517</v>
          </cell>
          <cell r="Z48">
            <v>282580.64516129036</v>
          </cell>
          <cell r="AA48">
            <v>5483.8709677419356</v>
          </cell>
          <cell r="AB48">
            <v>109677.41935483876</v>
          </cell>
          <cell r="AC48">
            <v>0</v>
          </cell>
          <cell r="AD48">
            <v>0</v>
          </cell>
          <cell r="AE48">
            <v>143548.38709677418</v>
          </cell>
          <cell r="AF48">
            <v>2870967.741935485</v>
          </cell>
          <cell r="AG48">
            <v>53225.806451612902</v>
          </cell>
          <cell r="AH48">
            <v>1064516.1290322575</v>
          </cell>
        </row>
        <row r="49">
          <cell r="B49">
            <v>46043</v>
          </cell>
          <cell r="C49">
            <v>14677.41935483871</v>
          </cell>
          <cell r="D49">
            <v>308225.80645161285</v>
          </cell>
          <cell r="E49">
            <v>4935.4838709677415</v>
          </cell>
          <cell r="F49">
            <v>103645.16129032258</v>
          </cell>
          <cell r="G49">
            <v>19612.903225806451</v>
          </cell>
          <cell r="H49">
            <v>411870.96774193528</v>
          </cell>
          <cell r="I49">
            <v>19354.83870967742</v>
          </cell>
          <cell r="J49">
            <v>406451.61290322564</v>
          </cell>
          <cell r="K49">
            <v>4838.7096774193551</v>
          </cell>
          <cell r="L49">
            <v>101612.90322580641</v>
          </cell>
          <cell r="M49">
            <v>24193.548387096776</v>
          </cell>
          <cell r="N49">
            <v>508064.51612903248</v>
          </cell>
          <cell r="O49">
            <v>24193.548387096773</v>
          </cell>
          <cell r="P49">
            <v>508064.51612903242</v>
          </cell>
          <cell r="Q49">
            <v>196774.19354838709</v>
          </cell>
          <cell r="R49">
            <v>4132258.0645161276</v>
          </cell>
          <cell r="S49">
            <v>16.373674099197569</v>
          </cell>
          <cell r="T49">
            <v>343.84715608314883</v>
          </cell>
          <cell r="U49">
            <v>5.8577419353452242</v>
          </cell>
          <cell r="V49">
            <v>123.01258064224965</v>
          </cell>
          <cell r="W49">
            <v>0</v>
          </cell>
          <cell r="X49">
            <v>0</v>
          </cell>
          <cell r="Y49">
            <v>14129.032258064517</v>
          </cell>
          <cell r="Z49">
            <v>296709.67741935491</v>
          </cell>
          <cell r="AA49">
            <v>5483.8709677419356</v>
          </cell>
          <cell r="AB49">
            <v>115161.29032258069</v>
          </cell>
          <cell r="AC49">
            <v>0</v>
          </cell>
          <cell r="AD49">
            <v>0</v>
          </cell>
          <cell r="AE49">
            <v>143548.38709677418</v>
          </cell>
          <cell r="AF49">
            <v>3014516.1290322593</v>
          </cell>
          <cell r="AG49">
            <v>53225.806451612902</v>
          </cell>
          <cell r="AH49">
            <v>1117741.9354838703</v>
          </cell>
        </row>
        <row r="50">
          <cell r="B50">
            <v>46044</v>
          </cell>
          <cell r="C50">
            <v>14677.41935483871</v>
          </cell>
          <cell r="D50">
            <v>322903.22580645158</v>
          </cell>
          <cell r="E50">
            <v>4935.4838709677415</v>
          </cell>
          <cell r="F50">
            <v>108580.64516129032</v>
          </cell>
          <cell r="G50">
            <v>19612.903225806451</v>
          </cell>
          <cell r="H50">
            <v>431483.87096774171</v>
          </cell>
          <cell r="I50">
            <v>19354.83870967742</v>
          </cell>
          <cell r="J50">
            <v>425806.45161290304</v>
          </cell>
          <cell r="K50">
            <v>4838.7096774193551</v>
          </cell>
          <cell r="L50">
            <v>106451.61290322576</v>
          </cell>
          <cell r="M50">
            <v>24193.548387096776</v>
          </cell>
          <cell r="N50">
            <v>532258.06451612921</v>
          </cell>
          <cell r="O50">
            <v>24193.548387096773</v>
          </cell>
          <cell r="P50">
            <v>532258.06451612921</v>
          </cell>
          <cell r="Q50">
            <v>196774.19354838709</v>
          </cell>
          <cell r="R50">
            <v>4329032.258064515</v>
          </cell>
          <cell r="S50">
            <v>16.373674099197569</v>
          </cell>
          <cell r="T50">
            <v>360.22083018234639</v>
          </cell>
          <cell r="U50">
            <v>5.8577419353452242</v>
          </cell>
          <cell r="V50">
            <v>128.87032257759486</v>
          </cell>
          <cell r="W50">
            <v>0</v>
          </cell>
          <cell r="X50">
            <v>0</v>
          </cell>
          <cell r="Y50">
            <v>14129.032258064517</v>
          </cell>
          <cell r="Z50">
            <v>310838.70967741945</v>
          </cell>
          <cell r="AA50">
            <v>5483.8709677419356</v>
          </cell>
          <cell r="AB50">
            <v>120645.16129032263</v>
          </cell>
          <cell r="AC50">
            <v>0</v>
          </cell>
          <cell r="AD50">
            <v>0</v>
          </cell>
          <cell r="AE50">
            <v>143548.38709677418</v>
          </cell>
          <cell r="AF50">
            <v>3158064.5161290336</v>
          </cell>
          <cell r="AG50">
            <v>53225.806451612902</v>
          </cell>
          <cell r="AH50">
            <v>1170967.7419354832</v>
          </cell>
        </row>
        <row r="51">
          <cell r="B51">
            <v>46045</v>
          </cell>
          <cell r="C51">
            <v>14677.41935483871</v>
          </cell>
          <cell r="D51">
            <v>337580.6451612903</v>
          </cell>
          <cell r="E51">
            <v>4935.4838709677415</v>
          </cell>
          <cell r="F51">
            <v>113516.12903225806</v>
          </cell>
          <cell r="G51">
            <v>19612.903225806451</v>
          </cell>
          <cell r="H51">
            <v>451096.77419354813</v>
          </cell>
          <cell r="I51">
            <v>19354.83870967742</v>
          </cell>
          <cell r="J51">
            <v>445161.29032258043</v>
          </cell>
          <cell r="K51">
            <v>4838.7096774193551</v>
          </cell>
          <cell r="L51">
            <v>111290.32258064511</v>
          </cell>
          <cell r="M51">
            <v>24193.548387096776</v>
          </cell>
          <cell r="N51">
            <v>556451.61290322593</v>
          </cell>
          <cell r="O51">
            <v>24193.548387096773</v>
          </cell>
          <cell r="P51">
            <v>556451.61290322593</v>
          </cell>
          <cell r="Q51">
            <v>196774.19354838709</v>
          </cell>
          <cell r="R51">
            <v>4525806.4516129019</v>
          </cell>
          <cell r="S51">
            <v>16.373674099197569</v>
          </cell>
          <cell r="T51">
            <v>376.59450428154395</v>
          </cell>
          <cell r="U51">
            <v>5.8577419353452242</v>
          </cell>
          <cell r="V51">
            <v>134.72806451294008</v>
          </cell>
          <cell r="W51">
            <v>0</v>
          </cell>
          <cell r="X51">
            <v>0</v>
          </cell>
          <cell r="Y51">
            <v>14129.032258064517</v>
          </cell>
          <cell r="Z51">
            <v>324967.74193548399</v>
          </cell>
          <cell r="AA51">
            <v>5483.8709677419356</v>
          </cell>
          <cell r="AB51">
            <v>126129.03225806457</v>
          </cell>
          <cell r="AC51">
            <v>0</v>
          </cell>
          <cell r="AD51">
            <v>0</v>
          </cell>
          <cell r="AE51">
            <v>143548.38709677418</v>
          </cell>
          <cell r="AF51">
            <v>3301612.9032258079</v>
          </cell>
          <cell r="AG51">
            <v>53225.806451612902</v>
          </cell>
          <cell r="AH51">
            <v>1224193.548387096</v>
          </cell>
        </row>
        <row r="52">
          <cell r="B52">
            <v>46046</v>
          </cell>
          <cell r="C52">
            <v>14677.41935483871</v>
          </cell>
          <cell r="D52">
            <v>352258.06451612903</v>
          </cell>
          <cell r="E52">
            <v>4935.4838709677415</v>
          </cell>
          <cell r="F52">
            <v>118451.6129032258</v>
          </cell>
          <cell r="G52">
            <v>19612.903225806451</v>
          </cell>
          <cell r="H52">
            <v>470709.67741935456</v>
          </cell>
          <cell r="I52">
            <v>19354.83870967742</v>
          </cell>
          <cell r="J52">
            <v>464516.12903225783</v>
          </cell>
          <cell r="K52">
            <v>4838.7096774193551</v>
          </cell>
          <cell r="L52">
            <v>116129.03225806446</v>
          </cell>
          <cell r="M52">
            <v>24193.548387096776</v>
          </cell>
          <cell r="N52">
            <v>580645.16129032266</v>
          </cell>
          <cell r="O52">
            <v>24193.548387096773</v>
          </cell>
          <cell r="P52">
            <v>580645.16129032266</v>
          </cell>
          <cell r="Q52">
            <v>196774.19354838709</v>
          </cell>
          <cell r="R52">
            <v>4722580.6451612888</v>
          </cell>
          <cell r="S52">
            <v>16.373674099197569</v>
          </cell>
          <cell r="T52">
            <v>392.96817838074151</v>
          </cell>
          <cell r="U52">
            <v>5.8577419353452242</v>
          </cell>
          <cell r="V52">
            <v>140.5858064482853</v>
          </cell>
          <cell r="W52">
            <v>0</v>
          </cell>
          <cell r="X52">
            <v>0</v>
          </cell>
          <cell r="Y52">
            <v>14129.032258064517</v>
          </cell>
          <cell r="Z52">
            <v>339096.77419354854</v>
          </cell>
          <cell r="AA52">
            <v>5483.8709677419356</v>
          </cell>
          <cell r="AB52">
            <v>131612.90322580651</v>
          </cell>
          <cell r="AC52">
            <v>0</v>
          </cell>
          <cell r="AD52">
            <v>0</v>
          </cell>
          <cell r="AE52">
            <v>143548.38709677418</v>
          </cell>
          <cell r="AF52">
            <v>3445161.2903225822</v>
          </cell>
          <cell r="AG52">
            <v>53225.806451612902</v>
          </cell>
          <cell r="AH52">
            <v>1277419.3548387089</v>
          </cell>
        </row>
        <row r="53">
          <cell r="B53">
            <v>46047</v>
          </cell>
          <cell r="C53">
            <v>14677.41935483871</v>
          </cell>
          <cell r="D53">
            <v>366935.48387096776</v>
          </cell>
          <cell r="E53">
            <v>4935.4838709677415</v>
          </cell>
          <cell r="F53">
            <v>123387.09677419355</v>
          </cell>
          <cell r="G53">
            <v>19612.903225806451</v>
          </cell>
          <cell r="H53">
            <v>490322.58064516098</v>
          </cell>
          <cell r="I53">
            <v>19354.83870967742</v>
          </cell>
          <cell r="J53">
            <v>483870.96774193522</v>
          </cell>
          <cell r="K53">
            <v>4838.7096774193551</v>
          </cell>
          <cell r="L53">
            <v>120967.74193548381</v>
          </cell>
          <cell r="M53">
            <v>24193.548387096776</v>
          </cell>
          <cell r="N53">
            <v>604838.70967741939</v>
          </cell>
          <cell r="O53">
            <v>24193.548387096773</v>
          </cell>
          <cell r="P53">
            <v>604838.70967741939</v>
          </cell>
          <cell r="Q53">
            <v>196774.19354838709</v>
          </cell>
          <cell r="R53">
            <v>4919354.8387096757</v>
          </cell>
          <cell r="S53">
            <v>16.373674099197569</v>
          </cell>
          <cell r="T53">
            <v>409.34185247993906</v>
          </cell>
          <cell r="U53">
            <v>5.8577419353452242</v>
          </cell>
          <cell r="V53">
            <v>146.44354838363051</v>
          </cell>
          <cell r="W53">
            <v>0</v>
          </cell>
          <cell r="X53">
            <v>0</v>
          </cell>
          <cell r="Y53">
            <v>14129.032258064517</v>
          </cell>
          <cell r="Z53">
            <v>353225.80645161308</v>
          </cell>
          <cell r="AA53">
            <v>5483.8709677419356</v>
          </cell>
          <cell r="AB53">
            <v>137096.77419354845</v>
          </cell>
          <cell r="AC53">
            <v>0</v>
          </cell>
          <cell r="AD53">
            <v>0</v>
          </cell>
          <cell r="AE53">
            <v>143548.38709677418</v>
          </cell>
          <cell r="AF53">
            <v>3588709.6774193565</v>
          </cell>
          <cell r="AG53">
            <v>53225.806451612902</v>
          </cell>
          <cell r="AH53">
            <v>1330645.1612903217</v>
          </cell>
        </row>
        <row r="54">
          <cell r="B54">
            <v>46048</v>
          </cell>
          <cell r="C54">
            <v>14677.41935483871</v>
          </cell>
          <cell r="D54">
            <v>381612.90322580648</v>
          </cell>
          <cell r="E54">
            <v>4935.4838709677415</v>
          </cell>
          <cell r="F54">
            <v>128322.58064516129</v>
          </cell>
          <cell r="G54">
            <v>19612.903225806451</v>
          </cell>
          <cell r="H54">
            <v>509935.48387096741</v>
          </cell>
          <cell r="I54">
            <v>19354.83870967742</v>
          </cell>
          <cell r="J54">
            <v>503225.80645161262</v>
          </cell>
          <cell r="K54">
            <v>4838.7096774193551</v>
          </cell>
          <cell r="L54">
            <v>125806.45161290315</v>
          </cell>
          <cell r="M54">
            <v>24193.548387096776</v>
          </cell>
          <cell r="N54">
            <v>629032.25806451612</v>
          </cell>
          <cell r="O54">
            <v>24193.548387096773</v>
          </cell>
          <cell r="P54">
            <v>629032.25806451612</v>
          </cell>
          <cell r="Q54">
            <v>196774.19354838709</v>
          </cell>
          <cell r="R54">
            <v>5116129.0322580626</v>
          </cell>
          <cell r="S54">
            <v>16.373674099197569</v>
          </cell>
          <cell r="T54">
            <v>425.71552657913662</v>
          </cell>
          <cell r="U54">
            <v>5.8577419353452242</v>
          </cell>
          <cell r="V54">
            <v>152.30129031897573</v>
          </cell>
          <cell r="W54">
            <v>0</v>
          </cell>
          <cell r="X54">
            <v>0</v>
          </cell>
          <cell r="Y54">
            <v>14129.032258064517</v>
          </cell>
          <cell r="Z54">
            <v>367354.83870967763</v>
          </cell>
          <cell r="AA54">
            <v>5483.8709677419356</v>
          </cell>
          <cell r="AB54">
            <v>142580.64516129039</v>
          </cell>
          <cell r="AC54">
            <v>0</v>
          </cell>
          <cell r="AD54">
            <v>0</v>
          </cell>
          <cell r="AE54">
            <v>143548.38709677418</v>
          </cell>
          <cell r="AF54">
            <v>3732258.0645161308</v>
          </cell>
          <cell r="AG54">
            <v>53225.806451612902</v>
          </cell>
          <cell r="AH54">
            <v>1383870.9677419346</v>
          </cell>
        </row>
        <row r="55">
          <cell r="B55">
            <v>46049</v>
          </cell>
          <cell r="C55">
            <v>14677.41935483871</v>
          </cell>
          <cell r="D55">
            <v>396290.32258064521</v>
          </cell>
          <cell r="E55">
            <v>4935.4838709677415</v>
          </cell>
          <cell r="F55">
            <v>133258.06451612903</v>
          </cell>
          <cell r="G55">
            <v>19612.903225806451</v>
          </cell>
          <cell r="H55">
            <v>529548.38709677383</v>
          </cell>
          <cell r="I55">
            <v>19354.83870967742</v>
          </cell>
          <cell r="J55">
            <v>522580.64516129001</v>
          </cell>
          <cell r="K55">
            <v>4838.7096774193551</v>
          </cell>
          <cell r="L55">
            <v>130645.1612903225</v>
          </cell>
          <cell r="M55">
            <v>24193.548387096776</v>
          </cell>
          <cell r="N55">
            <v>653225.80645161285</v>
          </cell>
          <cell r="O55">
            <v>24193.548387096773</v>
          </cell>
          <cell r="P55">
            <v>653225.80645161285</v>
          </cell>
          <cell r="Q55">
            <v>196774.19354838709</v>
          </cell>
          <cell r="R55">
            <v>5312903.2258064495</v>
          </cell>
          <cell r="S55">
            <v>16.373674099197569</v>
          </cell>
          <cell r="T55">
            <v>442.08920067833418</v>
          </cell>
          <cell r="U55">
            <v>5.8577419353452242</v>
          </cell>
          <cell r="V55">
            <v>158.15903225432095</v>
          </cell>
          <cell r="W55">
            <v>0</v>
          </cell>
          <cell r="X55">
            <v>0</v>
          </cell>
          <cell r="Y55">
            <v>14129.032258064517</v>
          </cell>
          <cell r="Z55">
            <v>381483.87096774217</v>
          </cell>
          <cell r="AA55">
            <v>5483.8709677419356</v>
          </cell>
          <cell r="AB55">
            <v>148064.51612903233</v>
          </cell>
          <cell r="AC55">
            <v>0</v>
          </cell>
          <cell r="AD55">
            <v>0</v>
          </cell>
          <cell r="AE55">
            <v>143548.38709677418</v>
          </cell>
          <cell r="AF55">
            <v>3875806.4516129051</v>
          </cell>
          <cell r="AG55">
            <v>53225.806451612902</v>
          </cell>
          <cell r="AH55">
            <v>1437096.7741935474</v>
          </cell>
        </row>
        <row r="56">
          <cell r="B56">
            <v>46050</v>
          </cell>
          <cell r="C56">
            <v>14677.41935483871</v>
          </cell>
          <cell r="D56">
            <v>410967.74193548394</v>
          </cell>
          <cell r="E56">
            <v>4935.4838709677415</v>
          </cell>
          <cell r="F56">
            <v>138193.54838709676</v>
          </cell>
          <cell r="G56">
            <v>19612.903225806451</v>
          </cell>
          <cell r="H56">
            <v>549161.29032258026</v>
          </cell>
          <cell r="I56">
            <v>19354.83870967742</v>
          </cell>
          <cell r="J56">
            <v>541935.48387096741</v>
          </cell>
          <cell r="K56">
            <v>4838.7096774193551</v>
          </cell>
          <cell r="L56">
            <v>135483.87096774185</v>
          </cell>
          <cell r="M56">
            <v>24193.548387096776</v>
          </cell>
          <cell r="N56">
            <v>677419.35483870958</v>
          </cell>
          <cell r="O56">
            <v>24193.548387096773</v>
          </cell>
          <cell r="P56">
            <v>677419.35483870958</v>
          </cell>
          <cell r="Q56">
            <v>196774.19354838709</v>
          </cell>
          <cell r="R56">
            <v>5509677.4193548365</v>
          </cell>
          <cell r="S56">
            <v>16.373674099197569</v>
          </cell>
          <cell r="T56">
            <v>458.46287477753174</v>
          </cell>
          <cell r="U56">
            <v>5.8577419353452242</v>
          </cell>
          <cell r="V56">
            <v>164.01677418966617</v>
          </cell>
          <cell r="W56">
            <v>0</v>
          </cell>
          <cell r="X56">
            <v>0</v>
          </cell>
          <cell r="Y56">
            <v>14129.032258064517</v>
          </cell>
          <cell r="Z56">
            <v>395612.90322580672</v>
          </cell>
          <cell r="AA56">
            <v>5483.8709677419356</v>
          </cell>
          <cell r="AB56">
            <v>153548.38709677427</v>
          </cell>
          <cell r="AC56">
            <v>0</v>
          </cell>
          <cell r="AD56">
            <v>0</v>
          </cell>
          <cell r="AE56">
            <v>143548.38709677418</v>
          </cell>
          <cell r="AF56">
            <v>4019354.8387096794</v>
          </cell>
          <cell r="AG56">
            <v>53225.806451612902</v>
          </cell>
          <cell r="AH56">
            <v>1490322.5806451603</v>
          </cell>
        </row>
        <row r="57">
          <cell r="B57">
            <v>46051</v>
          </cell>
          <cell r="C57">
            <v>14677.41935483871</v>
          </cell>
          <cell r="D57">
            <v>425645.16129032266</v>
          </cell>
          <cell r="E57">
            <v>4935.4838709677415</v>
          </cell>
          <cell r="F57">
            <v>143129.03225806449</v>
          </cell>
          <cell r="G57">
            <v>19612.903225806451</v>
          </cell>
          <cell r="H57">
            <v>568774.19354838668</v>
          </cell>
          <cell r="I57">
            <v>19354.83870967742</v>
          </cell>
          <cell r="J57">
            <v>561290.32258064486</v>
          </cell>
          <cell r="K57">
            <v>4838.7096774193551</v>
          </cell>
          <cell r="L57">
            <v>140322.58064516122</v>
          </cell>
          <cell r="M57">
            <v>24193.548387096776</v>
          </cell>
          <cell r="N57">
            <v>701612.90322580631</v>
          </cell>
          <cell r="O57">
            <v>24193.548387096773</v>
          </cell>
          <cell r="P57">
            <v>701612.90322580631</v>
          </cell>
          <cell r="Q57">
            <v>196774.19354838709</v>
          </cell>
          <cell r="R57">
            <v>5706451.6129032234</v>
          </cell>
          <cell r="S57">
            <v>16.373674099197569</v>
          </cell>
          <cell r="T57">
            <v>474.8365488767293</v>
          </cell>
          <cell r="U57">
            <v>5.8577419353452242</v>
          </cell>
          <cell r="V57">
            <v>169.87451612501138</v>
          </cell>
          <cell r="W57">
            <v>0</v>
          </cell>
          <cell r="X57">
            <v>0</v>
          </cell>
          <cell r="Y57">
            <v>14129.032258064517</v>
          </cell>
          <cell r="Z57">
            <v>409741.93548387126</v>
          </cell>
          <cell r="AA57">
            <v>5483.8709677419356</v>
          </cell>
          <cell r="AB57">
            <v>159032.25806451621</v>
          </cell>
          <cell r="AC57">
            <v>0</v>
          </cell>
          <cell r="AD57">
            <v>0</v>
          </cell>
          <cell r="AE57">
            <v>143548.38709677418</v>
          </cell>
          <cell r="AF57">
            <v>4162903.2258064537</v>
          </cell>
          <cell r="AG57">
            <v>53225.806451612902</v>
          </cell>
          <cell r="AH57">
            <v>1543548.3870967731</v>
          </cell>
        </row>
        <row r="58">
          <cell r="B58">
            <v>46052</v>
          </cell>
          <cell r="C58">
            <v>14677.41935483871</v>
          </cell>
          <cell r="D58">
            <v>440322.58064516139</v>
          </cell>
          <cell r="E58">
            <v>4935.4838709677415</v>
          </cell>
          <cell r="F58">
            <v>148064.51612903221</v>
          </cell>
          <cell r="G58">
            <v>19612.903225806451</v>
          </cell>
          <cell r="H58">
            <v>588387.09677419311</v>
          </cell>
          <cell r="I58">
            <v>19354.83870967742</v>
          </cell>
          <cell r="J58">
            <v>580645.16129032231</v>
          </cell>
          <cell r="K58">
            <v>4838.7096774193551</v>
          </cell>
          <cell r="L58">
            <v>145161.29032258058</v>
          </cell>
          <cell r="M58">
            <v>24193.548387096776</v>
          </cell>
          <cell r="N58">
            <v>725806.45161290304</v>
          </cell>
          <cell r="O58">
            <v>24193.548387096773</v>
          </cell>
          <cell r="P58">
            <v>725806.45161290304</v>
          </cell>
          <cell r="Q58">
            <v>196774.19354838709</v>
          </cell>
          <cell r="R58">
            <v>5903225.8064516103</v>
          </cell>
          <cell r="S58">
            <v>16.373674099197569</v>
          </cell>
          <cell r="T58">
            <v>491.21022297592685</v>
          </cell>
          <cell r="U58">
            <v>5.8577419353452242</v>
          </cell>
          <cell r="V58">
            <v>175.7322580603566</v>
          </cell>
          <cell r="W58">
            <v>0</v>
          </cell>
          <cell r="X58">
            <v>0</v>
          </cell>
          <cell r="Y58">
            <v>14129.032258064517</v>
          </cell>
          <cell r="Z58">
            <v>423870.9677419358</v>
          </cell>
          <cell r="AA58">
            <v>5483.8709677419356</v>
          </cell>
          <cell r="AB58">
            <v>164516.12903225815</v>
          </cell>
          <cell r="AC58">
            <v>0</v>
          </cell>
          <cell r="AD58">
            <v>0</v>
          </cell>
          <cell r="AE58">
            <v>143548.38709677418</v>
          </cell>
          <cell r="AF58">
            <v>4306451.612903228</v>
          </cell>
          <cell r="AG58">
            <v>53225.806451612902</v>
          </cell>
          <cell r="AH58">
            <v>1596774.193548386</v>
          </cell>
        </row>
        <row r="59">
          <cell r="B59">
            <v>46053</v>
          </cell>
          <cell r="C59">
            <v>14677.41935483871</v>
          </cell>
          <cell r="D59">
            <v>455000.00000000012</v>
          </cell>
          <cell r="E59">
            <v>4935.4838709677415</v>
          </cell>
          <cell r="F59">
            <v>152999.99999999994</v>
          </cell>
          <cell r="G59">
            <v>19612.903225806451</v>
          </cell>
          <cell r="H59">
            <v>607999.99999999953</v>
          </cell>
          <cell r="I59">
            <v>19354.83870967742</v>
          </cell>
          <cell r="J59">
            <v>599999.99999999977</v>
          </cell>
          <cell r="K59">
            <v>4838.7096774193551</v>
          </cell>
          <cell r="L59">
            <v>149999.99999999994</v>
          </cell>
          <cell r="M59">
            <v>24193.548387096776</v>
          </cell>
          <cell r="N59">
            <v>749999.99999999977</v>
          </cell>
          <cell r="O59">
            <v>24193.548387096773</v>
          </cell>
          <cell r="P59">
            <v>749999.99999999977</v>
          </cell>
          <cell r="Q59">
            <v>196774.19354838709</v>
          </cell>
          <cell r="R59">
            <v>6099999.9999999972</v>
          </cell>
          <cell r="S59">
            <v>16.373674099197569</v>
          </cell>
          <cell r="T59">
            <v>507.58389707512441</v>
          </cell>
          <cell r="U59">
            <v>5.8577419353452242</v>
          </cell>
          <cell r="V59">
            <v>181.58999999570182</v>
          </cell>
          <cell r="W59">
            <v>0</v>
          </cell>
          <cell r="X59">
            <v>0</v>
          </cell>
          <cell r="Y59">
            <v>14129.032258064517</v>
          </cell>
          <cell r="Z59">
            <v>438000.00000000035</v>
          </cell>
          <cell r="AA59">
            <v>5483.8709677419356</v>
          </cell>
          <cell r="AB59">
            <v>170000.00000000009</v>
          </cell>
          <cell r="AC59">
            <v>0</v>
          </cell>
          <cell r="AD59">
            <v>0</v>
          </cell>
          <cell r="AE59">
            <v>143548.38709677418</v>
          </cell>
          <cell r="AF59">
            <v>4450000.0000000019</v>
          </cell>
          <cell r="AG59">
            <v>53225.806451612902</v>
          </cell>
          <cell r="AH59">
            <v>1649999.9999999988</v>
          </cell>
        </row>
        <row r="60">
          <cell r="B60">
            <v>46054</v>
          </cell>
          <cell r="C60">
            <v>16964.285714285714</v>
          </cell>
          <cell r="D60">
            <v>471964.28571428586</v>
          </cell>
          <cell r="E60">
            <v>5500</v>
          </cell>
          <cell r="F60">
            <v>158499.99999999994</v>
          </cell>
          <cell r="G60">
            <v>22464.285714285714</v>
          </cell>
          <cell r="H60">
            <v>630464.28571428522</v>
          </cell>
          <cell r="I60">
            <v>21428.571428571428</v>
          </cell>
          <cell r="J60">
            <v>621428.57142857125</v>
          </cell>
          <cell r="K60">
            <v>5357.1428571428569</v>
          </cell>
          <cell r="L60">
            <v>155357.14285714281</v>
          </cell>
          <cell r="M60">
            <v>26785.714285714283</v>
          </cell>
          <cell r="N60">
            <v>776785.71428571409</v>
          </cell>
          <cell r="O60">
            <v>26785.714285714286</v>
          </cell>
          <cell r="P60">
            <v>776785.71428571409</v>
          </cell>
          <cell r="Q60">
            <v>214285.71428571429</v>
          </cell>
          <cell r="R60">
            <v>6314285.7142857118</v>
          </cell>
          <cell r="S60">
            <v>21.816754658235247</v>
          </cell>
          <cell r="T60">
            <v>529.40065173335961</v>
          </cell>
          <cell r="U60">
            <v>5.2263095240541073</v>
          </cell>
          <cell r="V60">
            <v>186.81630951975592</v>
          </cell>
          <cell r="W60">
            <v>0</v>
          </cell>
          <cell r="X60">
            <v>0</v>
          </cell>
          <cell r="Y60">
            <v>16392.857142857141</v>
          </cell>
          <cell r="Z60">
            <v>454392.85714285751</v>
          </cell>
          <cell r="AA60">
            <v>6071.4285714285716</v>
          </cell>
          <cell r="AB60">
            <v>176071.42857142867</v>
          </cell>
          <cell r="AC60">
            <v>0</v>
          </cell>
          <cell r="AD60">
            <v>0</v>
          </cell>
          <cell r="AE60">
            <v>158928.57142857142</v>
          </cell>
          <cell r="AF60">
            <v>4608928.5714285737</v>
          </cell>
          <cell r="AG60">
            <v>55357.142857142855</v>
          </cell>
          <cell r="AH60">
            <v>1705357.1428571418</v>
          </cell>
        </row>
        <row r="61">
          <cell r="B61">
            <v>46055</v>
          </cell>
          <cell r="C61">
            <v>16964.285714285714</v>
          </cell>
          <cell r="D61">
            <v>488928.57142857159</v>
          </cell>
          <cell r="E61">
            <v>5500</v>
          </cell>
          <cell r="F61">
            <v>163999.99999999994</v>
          </cell>
          <cell r="G61">
            <v>22464.285714285714</v>
          </cell>
          <cell r="H61">
            <v>652928.5714285709</v>
          </cell>
          <cell r="I61">
            <v>21428.571428571428</v>
          </cell>
          <cell r="J61">
            <v>642857.14285714272</v>
          </cell>
          <cell r="K61">
            <v>5357.1428571428569</v>
          </cell>
          <cell r="L61">
            <v>160714.28571428568</v>
          </cell>
          <cell r="M61">
            <v>26785.714285714283</v>
          </cell>
          <cell r="N61">
            <v>803571.42857142841</v>
          </cell>
          <cell r="O61">
            <v>26785.714285714286</v>
          </cell>
          <cell r="P61">
            <v>803571.42857142841</v>
          </cell>
          <cell r="Q61">
            <v>214285.71428571429</v>
          </cell>
          <cell r="R61">
            <v>6528571.4285714263</v>
          </cell>
          <cell r="S61">
            <v>21.816754658235247</v>
          </cell>
          <cell r="T61">
            <v>551.21740639159486</v>
          </cell>
          <cell r="U61">
            <v>5.2263095240541073</v>
          </cell>
          <cell r="V61">
            <v>192.04261904381002</v>
          </cell>
          <cell r="W61">
            <v>0</v>
          </cell>
          <cell r="X61">
            <v>0</v>
          </cell>
          <cell r="Y61">
            <v>16392.857142857141</v>
          </cell>
          <cell r="Z61">
            <v>470785.71428571467</v>
          </cell>
          <cell r="AA61">
            <v>6071.4285714285716</v>
          </cell>
          <cell r="AB61">
            <v>182142.85714285725</v>
          </cell>
          <cell r="AC61">
            <v>0</v>
          </cell>
          <cell r="AD61">
            <v>0</v>
          </cell>
          <cell r="AE61">
            <v>158928.57142857142</v>
          </cell>
          <cell r="AF61">
            <v>4767857.1428571455</v>
          </cell>
          <cell r="AG61">
            <v>55357.142857142855</v>
          </cell>
          <cell r="AH61">
            <v>1760714.2857142847</v>
          </cell>
        </row>
        <row r="62">
          <cell r="B62">
            <v>46056</v>
          </cell>
          <cell r="C62">
            <v>16964.285714285714</v>
          </cell>
          <cell r="D62">
            <v>505892.85714285733</v>
          </cell>
          <cell r="E62">
            <v>5500</v>
          </cell>
          <cell r="F62">
            <v>169499.99999999994</v>
          </cell>
          <cell r="G62">
            <v>22464.285714285714</v>
          </cell>
          <cell r="H62">
            <v>675392.85714285658</v>
          </cell>
          <cell r="I62">
            <v>21428.571428571428</v>
          </cell>
          <cell r="J62">
            <v>664285.7142857142</v>
          </cell>
          <cell r="K62">
            <v>5357.1428571428569</v>
          </cell>
          <cell r="L62">
            <v>166071.42857142855</v>
          </cell>
          <cell r="M62">
            <v>26785.714285714283</v>
          </cell>
          <cell r="N62">
            <v>830357.14285714272</v>
          </cell>
          <cell r="O62">
            <v>26785.714285714286</v>
          </cell>
          <cell r="P62">
            <v>830357.14285714272</v>
          </cell>
          <cell r="Q62">
            <v>214285.71428571429</v>
          </cell>
          <cell r="R62">
            <v>6742857.1428571409</v>
          </cell>
          <cell r="S62">
            <v>21.816754658235247</v>
          </cell>
          <cell r="T62">
            <v>573.03416104983012</v>
          </cell>
          <cell r="U62">
            <v>5.2263095240541073</v>
          </cell>
          <cell r="V62">
            <v>197.26892856786412</v>
          </cell>
          <cell r="W62">
            <v>0</v>
          </cell>
          <cell r="X62">
            <v>0</v>
          </cell>
          <cell r="Y62">
            <v>16392.857142857141</v>
          </cell>
          <cell r="Z62">
            <v>487178.57142857183</v>
          </cell>
          <cell r="AA62">
            <v>6071.4285714285716</v>
          </cell>
          <cell r="AB62">
            <v>188214.28571428583</v>
          </cell>
          <cell r="AC62">
            <v>0</v>
          </cell>
          <cell r="AD62">
            <v>0</v>
          </cell>
          <cell r="AE62">
            <v>158928.57142857142</v>
          </cell>
          <cell r="AF62">
            <v>4926785.7142857173</v>
          </cell>
          <cell r="AG62">
            <v>55357.142857142855</v>
          </cell>
          <cell r="AH62">
            <v>1816071.4285714277</v>
          </cell>
        </row>
        <row r="63">
          <cell r="B63">
            <v>46057</v>
          </cell>
          <cell r="C63">
            <v>16964.285714285714</v>
          </cell>
          <cell r="D63">
            <v>522857.14285714307</v>
          </cell>
          <cell r="E63">
            <v>5500</v>
          </cell>
          <cell r="F63">
            <v>174999.99999999994</v>
          </cell>
          <cell r="G63">
            <v>22464.285714285714</v>
          </cell>
          <cell r="H63">
            <v>697857.14285714226</v>
          </cell>
          <cell r="I63">
            <v>21428.571428571428</v>
          </cell>
          <cell r="J63">
            <v>685714.28571428568</v>
          </cell>
          <cell r="K63">
            <v>5357.1428571428569</v>
          </cell>
          <cell r="L63">
            <v>171428.57142857142</v>
          </cell>
          <cell r="M63">
            <v>26785.714285714283</v>
          </cell>
          <cell r="N63">
            <v>857142.85714285704</v>
          </cell>
          <cell r="O63">
            <v>26785.714285714286</v>
          </cell>
          <cell r="P63">
            <v>857142.85714285704</v>
          </cell>
          <cell r="Q63">
            <v>214285.71428571429</v>
          </cell>
          <cell r="R63">
            <v>6957142.8571428554</v>
          </cell>
          <cell r="S63">
            <v>21.816754658235247</v>
          </cell>
          <cell r="T63">
            <v>594.85091570806537</v>
          </cell>
          <cell r="U63">
            <v>5.2263095240541073</v>
          </cell>
          <cell r="V63">
            <v>202.49523809191822</v>
          </cell>
          <cell r="W63">
            <v>0</v>
          </cell>
          <cell r="X63">
            <v>0</v>
          </cell>
          <cell r="Y63">
            <v>16392.857142857141</v>
          </cell>
          <cell r="Z63">
            <v>503571.42857142899</v>
          </cell>
          <cell r="AA63">
            <v>6071.4285714285716</v>
          </cell>
          <cell r="AB63">
            <v>194285.71428571441</v>
          </cell>
          <cell r="AC63">
            <v>0</v>
          </cell>
          <cell r="AD63">
            <v>0</v>
          </cell>
          <cell r="AE63">
            <v>158928.57142857142</v>
          </cell>
          <cell r="AF63">
            <v>5085714.2857142892</v>
          </cell>
          <cell r="AG63">
            <v>55357.142857142855</v>
          </cell>
          <cell r="AH63">
            <v>1871428.5714285707</v>
          </cell>
        </row>
        <row r="64">
          <cell r="B64">
            <v>46058</v>
          </cell>
          <cell r="C64">
            <v>16964.285714285714</v>
          </cell>
          <cell r="D64">
            <v>539821.42857142875</v>
          </cell>
          <cell r="E64">
            <v>5500</v>
          </cell>
          <cell r="F64">
            <v>180499.99999999994</v>
          </cell>
          <cell r="G64">
            <v>22464.285714285714</v>
          </cell>
          <cell r="H64">
            <v>720321.42857142794</v>
          </cell>
          <cell r="I64">
            <v>21428.571428571428</v>
          </cell>
          <cell r="J64">
            <v>707142.85714285716</v>
          </cell>
          <cell r="K64">
            <v>5357.1428571428569</v>
          </cell>
          <cell r="L64">
            <v>176785.71428571429</v>
          </cell>
          <cell r="M64">
            <v>26785.714285714283</v>
          </cell>
          <cell r="N64">
            <v>883928.57142857136</v>
          </cell>
          <cell r="O64">
            <v>26785.714285714286</v>
          </cell>
          <cell r="P64">
            <v>883928.57142857136</v>
          </cell>
          <cell r="Q64">
            <v>214285.71428571429</v>
          </cell>
          <cell r="R64">
            <v>7171428.57142857</v>
          </cell>
          <cell r="S64">
            <v>21.816754658235247</v>
          </cell>
          <cell r="T64">
            <v>616.66767036630063</v>
          </cell>
          <cell r="U64">
            <v>5.2263095240541073</v>
          </cell>
          <cell r="V64">
            <v>207.72154761597233</v>
          </cell>
          <cell r="W64">
            <v>0</v>
          </cell>
          <cell r="X64">
            <v>0</v>
          </cell>
          <cell r="Y64">
            <v>16392.857142857141</v>
          </cell>
          <cell r="Z64">
            <v>519964.28571428615</v>
          </cell>
          <cell r="AA64">
            <v>6071.4285714285716</v>
          </cell>
          <cell r="AB64">
            <v>200357.14285714299</v>
          </cell>
          <cell r="AC64">
            <v>0</v>
          </cell>
          <cell r="AD64">
            <v>0</v>
          </cell>
          <cell r="AE64">
            <v>158928.57142857142</v>
          </cell>
          <cell r="AF64">
            <v>5244642.857142861</v>
          </cell>
          <cell r="AG64">
            <v>55357.142857142855</v>
          </cell>
          <cell r="AH64">
            <v>1926785.7142857136</v>
          </cell>
        </row>
        <row r="65">
          <cell r="B65">
            <v>46059</v>
          </cell>
          <cell r="C65">
            <v>16964.285714285714</v>
          </cell>
          <cell r="D65">
            <v>556785.71428571444</v>
          </cell>
          <cell r="E65">
            <v>5500</v>
          </cell>
          <cell r="F65">
            <v>185999.99999999994</v>
          </cell>
          <cell r="G65">
            <v>22464.285714285714</v>
          </cell>
          <cell r="H65">
            <v>742785.71428571362</v>
          </cell>
          <cell r="I65">
            <v>21428.571428571428</v>
          </cell>
          <cell r="J65">
            <v>728571.42857142864</v>
          </cell>
          <cell r="K65">
            <v>5357.1428571428569</v>
          </cell>
          <cell r="L65">
            <v>182142.85714285716</v>
          </cell>
          <cell r="M65">
            <v>26785.714285714283</v>
          </cell>
          <cell r="N65">
            <v>910714.28571428568</v>
          </cell>
          <cell r="O65">
            <v>26785.714285714286</v>
          </cell>
          <cell r="P65">
            <v>910714.28571428568</v>
          </cell>
          <cell r="Q65">
            <v>214285.71428571429</v>
          </cell>
          <cell r="R65">
            <v>7385714.2857142845</v>
          </cell>
          <cell r="S65">
            <v>21.816754658235247</v>
          </cell>
          <cell r="T65">
            <v>638.48442502453588</v>
          </cell>
          <cell r="U65">
            <v>5.2263095240541073</v>
          </cell>
          <cell r="V65">
            <v>212.94785714002643</v>
          </cell>
          <cell r="W65">
            <v>0</v>
          </cell>
          <cell r="X65">
            <v>0</v>
          </cell>
          <cell r="Y65">
            <v>16392.857142857141</v>
          </cell>
          <cell r="Z65">
            <v>536357.14285714331</v>
          </cell>
          <cell r="AA65">
            <v>6071.4285714285716</v>
          </cell>
          <cell r="AB65">
            <v>206428.57142857157</v>
          </cell>
          <cell r="AC65">
            <v>0</v>
          </cell>
          <cell r="AD65">
            <v>0</v>
          </cell>
          <cell r="AE65">
            <v>158928.57142857142</v>
          </cell>
          <cell r="AF65">
            <v>5403571.4285714328</v>
          </cell>
          <cell r="AG65">
            <v>55357.142857142855</v>
          </cell>
          <cell r="AH65">
            <v>1982142.8571428566</v>
          </cell>
        </row>
        <row r="66">
          <cell r="B66">
            <v>46060</v>
          </cell>
          <cell r="C66">
            <v>16964.285714285714</v>
          </cell>
          <cell r="D66">
            <v>573750.00000000012</v>
          </cell>
          <cell r="E66">
            <v>5500</v>
          </cell>
          <cell r="F66">
            <v>191499.99999999994</v>
          </cell>
          <cell r="G66">
            <v>22464.285714285714</v>
          </cell>
          <cell r="H66">
            <v>765249.9999999993</v>
          </cell>
          <cell r="I66">
            <v>21428.571428571428</v>
          </cell>
          <cell r="J66">
            <v>750000.00000000012</v>
          </cell>
          <cell r="K66">
            <v>5357.1428571428569</v>
          </cell>
          <cell r="L66">
            <v>187500.00000000003</v>
          </cell>
          <cell r="M66">
            <v>26785.714285714283</v>
          </cell>
          <cell r="N66">
            <v>937500</v>
          </cell>
          <cell r="O66">
            <v>26785.714285714286</v>
          </cell>
          <cell r="P66">
            <v>937500</v>
          </cell>
          <cell r="Q66">
            <v>214285.71428571429</v>
          </cell>
          <cell r="R66">
            <v>7599999.9999999991</v>
          </cell>
          <cell r="S66">
            <v>21.816754658235247</v>
          </cell>
          <cell r="T66">
            <v>660.30117968277114</v>
          </cell>
          <cell r="U66">
            <v>5.2263095240541073</v>
          </cell>
          <cell r="V66">
            <v>218.17416666408053</v>
          </cell>
          <cell r="W66">
            <v>0</v>
          </cell>
          <cell r="X66">
            <v>0</v>
          </cell>
          <cell r="Y66">
            <v>16392.857142857141</v>
          </cell>
          <cell r="Z66">
            <v>552750.00000000047</v>
          </cell>
          <cell r="AA66">
            <v>6071.4285714285716</v>
          </cell>
          <cell r="AB66">
            <v>212500.00000000015</v>
          </cell>
          <cell r="AC66">
            <v>0</v>
          </cell>
          <cell r="AD66">
            <v>0</v>
          </cell>
          <cell r="AE66">
            <v>158928.57142857142</v>
          </cell>
          <cell r="AF66">
            <v>5562500.0000000047</v>
          </cell>
          <cell r="AG66">
            <v>55357.142857142855</v>
          </cell>
          <cell r="AH66">
            <v>2037499.9999999995</v>
          </cell>
        </row>
        <row r="67">
          <cell r="B67">
            <v>46061</v>
          </cell>
          <cell r="C67">
            <v>16964.285714285714</v>
          </cell>
          <cell r="D67">
            <v>590714.2857142858</v>
          </cell>
          <cell r="E67">
            <v>5500</v>
          </cell>
          <cell r="F67">
            <v>196999.99999999994</v>
          </cell>
          <cell r="G67">
            <v>22464.285714285714</v>
          </cell>
          <cell r="H67">
            <v>787714.28571428498</v>
          </cell>
          <cell r="I67">
            <v>21428.571428571428</v>
          </cell>
          <cell r="J67">
            <v>771428.57142857159</v>
          </cell>
          <cell r="K67">
            <v>5357.1428571428569</v>
          </cell>
          <cell r="L67">
            <v>192857.1428571429</v>
          </cell>
          <cell r="M67">
            <v>26785.714285714283</v>
          </cell>
          <cell r="N67">
            <v>964285.71428571432</v>
          </cell>
          <cell r="O67">
            <v>26785.714285714286</v>
          </cell>
          <cell r="P67">
            <v>964285.71428571432</v>
          </cell>
          <cell r="Q67">
            <v>214285.71428571429</v>
          </cell>
          <cell r="R67">
            <v>7814285.7142857136</v>
          </cell>
          <cell r="S67">
            <v>21.816754658235247</v>
          </cell>
          <cell r="T67">
            <v>682.11793434100639</v>
          </cell>
          <cell r="U67">
            <v>5.2263095240541073</v>
          </cell>
          <cell r="V67">
            <v>223.40047618813463</v>
          </cell>
          <cell r="W67">
            <v>0</v>
          </cell>
          <cell r="X67">
            <v>0</v>
          </cell>
          <cell r="Y67">
            <v>16392.857142857141</v>
          </cell>
          <cell r="Z67">
            <v>569142.85714285763</v>
          </cell>
          <cell r="AA67">
            <v>6071.4285714285716</v>
          </cell>
          <cell r="AB67">
            <v>218571.42857142873</v>
          </cell>
          <cell r="AC67">
            <v>0</v>
          </cell>
          <cell r="AD67">
            <v>0</v>
          </cell>
          <cell r="AE67">
            <v>158928.57142857142</v>
          </cell>
          <cell r="AF67">
            <v>5721428.5714285765</v>
          </cell>
          <cell r="AG67">
            <v>55357.142857142855</v>
          </cell>
          <cell r="AH67">
            <v>2092857.1428571425</v>
          </cell>
        </row>
        <row r="68">
          <cell r="B68">
            <v>46062</v>
          </cell>
          <cell r="C68">
            <v>16964.285714285714</v>
          </cell>
          <cell r="D68">
            <v>607678.57142857148</v>
          </cell>
          <cell r="E68">
            <v>5500</v>
          </cell>
          <cell r="F68">
            <v>202499.99999999994</v>
          </cell>
          <cell r="G68">
            <v>22464.285714285714</v>
          </cell>
          <cell r="H68">
            <v>810178.57142857066</v>
          </cell>
          <cell r="I68">
            <v>21428.571428571428</v>
          </cell>
          <cell r="J68">
            <v>792857.14285714307</v>
          </cell>
          <cell r="K68">
            <v>5357.1428571428569</v>
          </cell>
          <cell r="L68">
            <v>198214.28571428577</v>
          </cell>
          <cell r="M68">
            <v>26785.714285714283</v>
          </cell>
          <cell r="N68">
            <v>991071.42857142864</v>
          </cell>
          <cell r="O68">
            <v>26785.714285714286</v>
          </cell>
          <cell r="P68">
            <v>991071.42857142864</v>
          </cell>
          <cell r="Q68">
            <v>214285.71428571429</v>
          </cell>
          <cell r="R68">
            <v>8028571.4285714282</v>
          </cell>
          <cell r="S68">
            <v>21.816754658235247</v>
          </cell>
          <cell r="T68">
            <v>703.93468899924164</v>
          </cell>
          <cell r="U68">
            <v>5.2263095240541073</v>
          </cell>
          <cell r="V68">
            <v>228.62678571218873</v>
          </cell>
          <cell r="W68">
            <v>0</v>
          </cell>
          <cell r="X68">
            <v>0</v>
          </cell>
          <cell r="Y68">
            <v>16392.857142857141</v>
          </cell>
          <cell r="Z68">
            <v>585535.71428571478</v>
          </cell>
          <cell r="AA68">
            <v>6071.4285714285716</v>
          </cell>
          <cell r="AB68">
            <v>224642.85714285731</v>
          </cell>
          <cell r="AC68">
            <v>0</v>
          </cell>
          <cell r="AD68">
            <v>0</v>
          </cell>
          <cell r="AE68">
            <v>158928.57142857142</v>
          </cell>
          <cell r="AF68">
            <v>5880357.1428571483</v>
          </cell>
          <cell r="AG68">
            <v>55357.142857142855</v>
          </cell>
          <cell r="AH68">
            <v>2148214.2857142854</v>
          </cell>
        </row>
        <row r="69">
          <cell r="B69">
            <v>46063</v>
          </cell>
          <cell r="C69">
            <v>16964.285714285714</v>
          </cell>
          <cell r="D69">
            <v>624642.85714285716</v>
          </cell>
          <cell r="E69">
            <v>5500</v>
          </cell>
          <cell r="F69">
            <v>207999.99999999994</v>
          </cell>
          <cell r="G69">
            <v>22464.285714285714</v>
          </cell>
          <cell r="H69">
            <v>832642.85714285634</v>
          </cell>
          <cell r="I69">
            <v>21428.571428571428</v>
          </cell>
          <cell r="J69">
            <v>814285.71428571455</v>
          </cell>
          <cell r="K69">
            <v>5357.1428571428569</v>
          </cell>
          <cell r="L69">
            <v>203571.42857142864</v>
          </cell>
          <cell r="M69">
            <v>26785.714285714283</v>
          </cell>
          <cell r="N69">
            <v>1017857.142857143</v>
          </cell>
          <cell r="O69">
            <v>26785.714285714286</v>
          </cell>
          <cell r="P69">
            <v>1017857.142857143</v>
          </cell>
          <cell r="Q69">
            <v>214285.71428571429</v>
          </cell>
          <cell r="R69">
            <v>8242857.1428571427</v>
          </cell>
          <cell r="S69">
            <v>21.816754658235247</v>
          </cell>
          <cell r="T69">
            <v>725.7514436574769</v>
          </cell>
          <cell r="U69">
            <v>5.2263095240541073</v>
          </cell>
          <cell r="V69">
            <v>233.85309523624284</v>
          </cell>
          <cell r="W69">
            <v>0</v>
          </cell>
          <cell r="X69">
            <v>0</v>
          </cell>
          <cell r="Y69">
            <v>16392.857142857141</v>
          </cell>
          <cell r="Z69">
            <v>601928.57142857194</v>
          </cell>
          <cell r="AA69">
            <v>6071.4285714285716</v>
          </cell>
          <cell r="AB69">
            <v>230714.28571428588</v>
          </cell>
          <cell r="AC69">
            <v>0</v>
          </cell>
          <cell r="AD69">
            <v>0</v>
          </cell>
          <cell r="AE69">
            <v>158928.57142857142</v>
          </cell>
          <cell r="AF69">
            <v>6039285.7142857201</v>
          </cell>
          <cell r="AG69">
            <v>55357.142857142855</v>
          </cell>
          <cell r="AH69">
            <v>2203571.4285714282</v>
          </cell>
        </row>
        <row r="70">
          <cell r="B70">
            <v>46064</v>
          </cell>
          <cell r="C70">
            <v>16964.285714285714</v>
          </cell>
          <cell r="D70">
            <v>641607.14285714284</v>
          </cell>
          <cell r="E70">
            <v>5500</v>
          </cell>
          <cell r="F70">
            <v>213499.99999999994</v>
          </cell>
          <cell r="G70">
            <v>22464.285714285714</v>
          </cell>
          <cell r="H70">
            <v>855107.14285714203</v>
          </cell>
          <cell r="I70">
            <v>21428.571428571428</v>
          </cell>
          <cell r="J70">
            <v>835714.28571428603</v>
          </cell>
          <cell r="K70">
            <v>5357.1428571428569</v>
          </cell>
          <cell r="L70">
            <v>208928.57142857151</v>
          </cell>
          <cell r="M70">
            <v>26785.714285714283</v>
          </cell>
          <cell r="N70">
            <v>1044642.8571428573</v>
          </cell>
          <cell r="O70">
            <v>26785.714285714286</v>
          </cell>
          <cell r="P70">
            <v>1044642.8571428573</v>
          </cell>
          <cell r="Q70">
            <v>214285.71428571429</v>
          </cell>
          <cell r="R70">
            <v>8457142.8571428563</v>
          </cell>
          <cell r="S70">
            <v>21.816754658235247</v>
          </cell>
          <cell r="T70">
            <v>747.56819831571215</v>
          </cell>
          <cell r="U70">
            <v>5.2263095240541073</v>
          </cell>
          <cell r="V70">
            <v>239.07940476029694</v>
          </cell>
          <cell r="W70">
            <v>0</v>
          </cell>
          <cell r="X70">
            <v>0</v>
          </cell>
          <cell r="Y70">
            <v>16392.857142857141</v>
          </cell>
          <cell r="Z70">
            <v>618321.4285714291</v>
          </cell>
          <cell r="AA70">
            <v>6071.4285714285716</v>
          </cell>
          <cell r="AB70">
            <v>236785.71428571446</v>
          </cell>
          <cell r="AC70">
            <v>0</v>
          </cell>
          <cell r="AD70">
            <v>0</v>
          </cell>
          <cell r="AE70">
            <v>158928.57142857142</v>
          </cell>
          <cell r="AF70">
            <v>6198214.285714292</v>
          </cell>
          <cell r="AG70">
            <v>55357.142857142855</v>
          </cell>
          <cell r="AH70">
            <v>2258928.5714285709</v>
          </cell>
        </row>
        <row r="71">
          <cell r="B71">
            <v>46065</v>
          </cell>
          <cell r="C71">
            <v>16964.285714285714</v>
          </cell>
          <cell r="D71">
            <v>658571.42857142852</v>
          </cell>
          <cell r="E71">
            <v>5500</v>
          </cell>
          <cell r="F71">
            <v>218999.99999999994</v>
          </cell>
          <cell r="G71">
            <v>22464.285714285714</v>
          </cell>
          <cell r="H71">
            <v>877571.42857142771</v>
          </cell>
          <cell r="I71">
            <v>21428.571428571428</v>
          </cell>
          <cell r="J71">
            <v>857142.85714285751</v>
          </cell>
          <cell r="K71">
            <v>5357.1428571428569</v>
          </cell>
          <cell r="L71">
            <v>214285.71428571438</v>
          </cell>
          <cell r="M71">
            <v>26785.714285714283</v>
          </cell>
          <cell r="N71">
            <v>1071428.5714285716</v>
          </cell>
          <cell r="O71">
            <v>26785.714285714286</v>
          </cell>
          <cell r="P71">
            <v>1071428.5714285716</v>
          </cell>
          <cell r="Q71">
            <v>214285.71428571429</v>
          </cell>
          <cell r="R71">
            <v>8671428.5714285709</v>
          </cell>
          <cell r="S71">
            <v>21.816754658235247</v>
          </cell>
          <cell r="T71">
            <v>769.38495297394741</v>
          </cell>
          <cell r="U71">
            <v>5.2263095240541073</v>
          </cell>
          <cell r="V71">
            <v>244.30571428435104</v>
          </cell>
          <cell r="W71">
            <v>0</v>
          </cell>
          <cell r="X71">
            <v>0</v>
          </cell>
          <cell r="Y71">
            <v>16392.857142857141</v>
          </cell>
          <cell r="Z71">
            <v>634714.28571428626</v>
          </cell>
          <cell r="AA71">
            <v>6071.4285714285716</v>
          </cell>
          <cell r="AB71">
            <v>242857.14285714304</v>
          </cell>
          <cell r="AC71">
            <v>0</v>
          </cell>
          <cell r="AD71">
            <v>0</v>
          </cell>
          <cell r="AE71">
            <v>158928.57142857142</v>
          </cell>
          <cell r="AF71">
            <v>6357142.8571428638</v>
          </cell>
          <cell r="AG71">
            <v>55357.142857142855</v>
          </cell>
          <cell r="AH71">
            <v>2314285.7142857136</v>
          </cell>
        </row>
        <row r="72">
          <cell r="B72">
            <v>46066</v>
          </cell>
          <cell r="C72">
            <v>16964.285714285714</v>
          </cell>
          <cell r="D72">
            <v>675535.7142857142</v>
          </cell>
          <cell r="E72">
            <v>5500</v>
          </cell>
          <cell r="F72">
            <v>224499.99999999994</v>
          </cell>
          <cell r="G72">
            <v>22464.285714285714</v>
          </cell>
          <cell r="H72">
            <v>900035.71428571339</v>
          </cell>
          <cell r="I72">
            <v>21428.571428571428</v>
          </cell>
          <cell r="J72">
            <v>878571.42857142899</v>
          </cell>
          <cell r="K72">
            <v>5357.1428571428569</v>
          </cell>
          <cell r="L72">
            <v>219642.85714285725</v>
          </cell>
          <cell r="M72">
            <v>26785.714285714283</v>
          </cell>
          <cell r="N72">
            <v>1098214.2857142859</v>
          </cell>
          <cell r="O72">
            <v>26785.714285714286</v>
          </cell>
          <cell r="P72">
            <v>1098214.2857142859</v>
          </cell>
          <cell r="Q72">
            <v>214285.71428571429</v>
          </cell>
          <cell r="R72">
            <v>8885714.2857142854</v>
          </cell>
          <cell r="S72">
            <v>21.816754658235247</v>
          </cell>
          <cell r="T72">
            <v>791.20170763218266</v>
          </cell>
          <cell r="U72">
            <v>5.2263095240541073</v>
          </cell>
          <cell r="V72">
            <v>249.53202380840514</v>
          </cell>
          <cell r="W72">
            <v>0</v>
          </cell>
          <cell r="X72">
            <v>0</v>
          </cell>
          <cell r="Y72">
            <v>16392.857142857141</v>
          </cell>
          <cell r="Z72">
            <v>651107.14285714342</v>
          </cell>
          <cell r="AA72">
            <v>6071.4285714285716</v>
          </cell>
          <cell r="AB72">
            <v>248928.57142857162</v>
          </cell>
          <cell r="AC72">
            <v>0</v>
          </cell>
          <cell r="AD72">
            <v>0</v>
          </cell>
          <cell r="AE72">
            <v>158928.57142857142</v>
          </cell>
          <cell r="AF72">
            <v>6516071.4285714356</v>
          </cell>
          <cell r="AG72">
            <v>55357.142857142855</v>
          </cell>
          <cell r="AH72">
            <v>2369642.8571428563</v>
          </cell>
        </row>
        <row r="73">
          <cell r="B73">
            <v>46067</v>
          </cell>
          <cell r="C73">
            <v>16964.285714285714</v>
          </cell>
          <cell r="D73">
            <v>692499.99999999988</v>
          </cell>
          <cell r="E73">
            <v>5500</v>
          </cell>
          <cell r="F73">
            <v>229999.99999999994</v>
          </cell>
          <cell r="G73">
            <v>22464.285714285714</v>
          </cell>
          <cell r="H73">
            <v>922499.99999999907</v>
          </cell>
          <cell r="I73">
            <v>21428.571428571428</v>
          </cell>
          <cell r="J73">
            <v>900000.00000000047</v>
          </cell>
          <cell r="K73">
            <v>5357.1428571428569</v>
          </cell>
          <cell r="L73">
            <v>225000.00000000012</v>
          </cell>
          <cell r="M73">
            <v>26785.714285714283</v>
          </cell>
          <cell r="N73">
            <v>1125000.0000000002</v>
          </cell>
          <cell r="O73">
            <v>26785.714285714286</v>
          </cell>
          <cell r="P73">
            <v>1125000.0000000002</v>
          </cell>
          <cell r="Q73">
            <v>214285.71428571429</v>
          </cell>
          <cell r="R73">
            <v>9100000</v>
          </cell>
          <cell r="S73">
            <v>21.816754658235247</v>
          </cell>
          <cell r="T73">
            <v>813.01846229041792</v>
          </cell>
          <cell r="U73">
            <v>5.2263095240541073</v>
          </cell>
          <cell r="V73">
            <v>254.75833333245924</v>
          </cell>
          <cell r="W73">
            <v>0</v>
          </cell>
          <cell r="X73">
            <v>0</v>
          </cell>
          <cell r="Y73">
            <v>16392.857142857141</v>
          </cell>
          <cell r="Z73">
            <v>667500.00000000058</v>
          </cell>
          <cell r="AA73">
            <v>6071.4285714285716</v>
          </cell>
          <cell r="AB73">
            <v>255000.0000000002</v>
          </cell>
          <cell r="AC73">
            <v>0</v>
          </cell>
          <cell r="AD73">
            <v>0</v>
          </cell>
          <cell r="AE73">
            <v>158928.57142857142</v>
          </cell>
          <cell r="AF73">
            <v>6675000.0000000075</v>
          </cell>
          <cell r="AG73">
            <v>55357.142857142855</v>
          </cell>
          <cell r="AH73">
            <v>2424999.9999999991</v>
          </cell>
        </row>
        <row r="74">
          <cell r="B74">
            <v>46068</v>
          </cell>
          <cell r="C74">
            <v>16964.285714285714</v>
          </cell>
          <cell r="D74">
            <v>709464.28571428556</v>
          </cell>
          <cell r="E74">
            <v>5500</v>
          </cell>
          <cell r="F74">
            <v>235499.99999999994</v>
          </cell>
          <cell r="G74">
            <v>22464.285714285714</v>
          </cell>
          <cell r="H74">
            <v>944964.28571428475</v>
          </cell>
          <cell r="I74">
            <v>21428.571428571428</v>
          </cell>
          <cell r="J74">
            <v>921428.57142857194</v>
          </cell>
          <cell r="K74">
            <v>5357.1428571428569</v>
          </cell>
          <cell r="L74">
            <v>230357.14285714299</v>
          </cell>
          <cell r="M74">
            <v>26785.714285714283</v>
          </cell>
          <cell r="N74">
            <v>1151785.7142857146</v>
          </cell>
          <cell r="O74">
            <v>26785.714285714286</v>
          </cell>
          <cell r="P74">
            <v>1151785.7142857146</v>
          </cell>
          <cell r="Q74">
            <v>214285.71428571429</v>
          </cell>
          <cell r="R74">
            <v>9314285.7142857146</v>
          </cell>
          <cell r="S74">
            <v>21.816754658235247</v>
          </cell>
          <cell r="T74">
            <v>834.83521694865317</v>
          </cell>
          <cell r="U74">
            <v>5.2263095240541073</v>
          </cell>
          <cell r="V74">
            <v>259.98464285651335</v>
          </cell>
          <cell r="W74">
            <v>0</v>
          </cell>
          <cell r="X74">
            <v>0</v>
          </cell>
          <cell r="Y74">
            <v>16392.857142857141</v>
          </cell>
          <cell r="Z74">
            <v>683892.85714285774</v>
          </cell>
          <cell r="AA74">
            <v>6071.4285714285716</v>
          </cell>
          <cell r="AB74">
            <v>261071.42857142878</v>
          </cell>
          <cell r="AC74">
            <v>0</v>
          </cell>
          <cell r="AD74">
            <v>0</v>
          </cell>
          <cell r="AE74">
            <v>158928.57142857142</v>
          </cell>
          <cell r="AF74">
            <v>6833928.5714285793</v>
          </cell>
          <cell r="AG74">
            <v>55357.142857142855</v>
          </cell>
          <cell r="AH74">
            <v>2480357.1428571418</v>
          </cell>
        </row>
        <row r="75">
          <cell r="B75">
            <v>46069</v>
          </cell>
          <cell r="C75">
            <v>16964.285714285714</v>
          </cell>
          <cell r="D75">
            <v>726428.57142857125</v>
          </cell>
          <cell r="E75">
            <v>5500</v>
          </cell>
          <cell r="F75">
            <v>240999.99999999994</v>
          </cell>
          <cell r="G75">
            <v>22464.285714285714</v>
          </cell>
          <cell r="H75">
            <v>967428.57142857043</v>
          </cell>
          <cell r="I75">
            <v>21428.571428571428</v>
          </cell>
          <cell r="J75">
            <v>942857.14285714342</v>
          </cell>
          <cell r="K75">
            <v>5357.1428571428569</v>
          </cell>
          <cell r="L75">
            <v>235714.28571428586</v>
          </cell>
          <cell r="M75">
            <v>26785.714285714283</v>
          </cell>
          <cell r="N75">
            <v>1178571.4285714289</v>
          </cell>
          <cell r="O75">
            <v>26785.714285714286</v>
          </cell>
          <cell r="P75">
            <v>1178571.4285714289</v>
          </cell>
          <cell r="Q75">
            <v>214285.71428571429</v>
          </cell>
          <cell r="R75">
            <v>9528571.4285714291</v>
          </cell>
          <cell r="S75">
            <v>21.816754658235247</v>
          </cell>
          <cell r="T75">
            <v>856.65197160688842</v>
          </cell>
          <cell r="U75">
            <v>5.2263095240541073</v>
          </cell>
          <cell r="V75">
            <v>265.21095238056745</v>
          </cell>
          <cell r="W75">
            <v>0</v>
          </cell>
          <cell r="X75">
            <v>0</v>
          </cell>
          <cell r="Y75">
            <v>16392.857142857141</v>
          </cell>
          <cell r="Z75">
            <v>700285.7142857149</v>
          </cell>
          <cell r="AA75">
            <v>6071.4285714285716</v>
          </cell>
          <cell r="AB75">
            <v>267142.85714285733</v>
          </cell>
          <cell r="AC75">
            <v>0</v>
          </cell>
          <cell r="AD75">
            <v>0</v>
          </cell>
          <cell r="AE75">
            <v>158928.57142857142</v>
          </cell>
          <cell r="AF75">
            <v>6992857.1428571511</v>
          </cell>
          <cell r="AG75">
            <v>55357.142857142855</v>
          </cell>
          <cell r="AH75">
            <v>2535714.2857142845</v>
          </cell>
        </row>
        <row r="76">
          <cell r="B76">
            <v>46070</v>
          </cell>
          <cell r="C76">
            <v>16964.285714285714</v>
          </cell>
          <cell r="D76">
            <v>743392.85714285693</v>
          </cell>
          <cell r="E76">
            <v>5500</v>
          </cell>
          <cell r="F76">
            <v>246499.99999999994</v>
          </cell>
          <cell r="G76">
            <v>22464.285714285714</v>
          </cell>
          <cell r="H76">
            <v>989892.85714285611</v>
          </cell>
          <cell r="I76">
            <v>21428.571428571428</v>
          </cell>
          <cell r="J76">
            <v>964285.7142857149</v>
          </cell>
          <cell r="K76">
            <v>5357.1428571428569</v>
          </cell>
          <cell r="L76">
            <v>241071.42857142873</v>
          </cell>
          <cell r="M76">
            <v>26785.714285714283</v>
          </cell>
          <cell r="N76">
            <v>1205357.1428571432</v>
          </cell>
          <cell r="O76">
            <v>26785.714285714286</v>
          </cell>
          <cell r="P76">
            <v>1205357.1428571432</v>
          </cell>
          <cell r="Q76">
            <v>214285.71428571429</v>
          </cell>
          <cell r="R76">
            <v>9742857.1428571437</v>
          </cell>
          <cell r="S76">
            <v>21.816754658235247</v>
          </cell>
          <cell r="T76">
            <v>878.46872626512368</v>
          </cell>
          <cell r="U76">
            <v>5.2263095240541073</v>
          </cell>
          <cell r="V76">
            <v>270.43726190462155</v>
          </cell>
          <cell r="W76">
            <v>0</v>
          </cell>
          <cell r="X76">
            <v>0</v>
          </cell>
          <cell r="Y76">
            <v>16392.857142857141</v>
          </cell>
          <cell r="Z76">
            <v>716678.57142857206</v>
          </cell>
          <cell r="AA76">
            <v>6071.4285714285716</v>
          </cell>
          <cell r="AB76">
            <v>273214.28571428591</v>
          </cell>
          <cell r="AC76">
            <v>0</v>
          </cell>
          <cell r="AD76">
            <v>0</v>
          </cell>
          <cell r="AE76">
            <v>158928.57142857142</v>
          </cell>
          <cell r="AF76">
            <v>7151785.7142857229</v>
          </cell>
          <cell r="AG76">
            <v>55357.142857142855</v>
          </cell>
          <cell r="AH76">
            <v>2591071.4285714272</v>
          </cell>
        </row>
        <row r="77">
          <cell r="B77">
            <v>46071</v>
          </cell>
          <cell r="C77">
            <v>16964.285714285714</v>
          </cell>
          <cell r="D77">
            <v>760357.14285714261</v>
          </cell>
          <cell r="E77">
            <v>5500</v>
          </cell>
          <cell r="F77">
            <v>251999.99999999994</v>
          </cell>
          <cell r="G77">
            <v>22464.285714285714</v>
          </cell>
          <cell r="H77">
            <v>1012357.1428571418</v>
          </cell>
          <cell r="I77">
            <v>21428.571428571428</v>
          </cell>
          <cell r="J77">
            <v>985714.28571428638</v>
          </cell>
          <cell r="K77">
            <v>5357.1428571428569</v>
          </cell>
          <cell r="L77">
            <v>246428.57142857159</v>
          </cell>
          <cell r="M77">
            <v>26785.714285714283</v>
          </cell>
          <cell r="N77">
            <v>1232142.8571428575</v>
          </cell>
          <cell r="O77">
            <v>26785.714285714286</v>
          </cell>
          <cell r="P77">
            <v>1232142.8571428575</v>
          </cell>
          <cell r="Q77">
            <v>214285.71428571429</v>
          </cell>
          <cell r="R77">
            <v>9957142.8571428582</v>
          </cell>
          <cell r="S77">
            <v>21.816754658235247</v>
          </cell>
          <cell r="T77">
            <v>900.28548092335893</v>
          </cell>
          <cell r="U77">
            <v>5.2263095240541073</v>
          </cell>
          <cell r="V77">
            <v>275.66357142867565</v>
          </cell>
          <cell r="W77">
            <v>0</v>
          </cell>
          <cell r="X77">
            <v>0</v>
          </cell>
          <cell r="Y77">
            <v>16392.857142857141</v>
          </cell>
          <cell r="Z77">
            <v>733071.42857142922</v>
          </cell>
          <cell r="AA77">
            <v>6071.4285714285716</v>
          </cell>
          <cell r="AB77">
            <v>279285.71428571449</v>
          </cell>
          <cell r="AC77">
            <v>0</v>
          </cell>
          <cell r="AD77">
            <v>0</v>
          </cell>
          <cell r="AE77">
            <v>158928.57142857142</v>
          </cell>
          <cell r="AF77">
            <v>7310714.2857142948</v>
          </cell>
          <cell r="AG77">
            <v>55357.142857142855</v>
          </cell>
          <cell r="AH77">
            <v>2646428.57142857</v>
          </cell>
        </row>
        <row r="78">
          <cell r="B78">
            <v>46072</v>
          </cell>
          <cell r="C78">
            <v>16964.285714285714</v>
          </cell>
          <cell r="D78">
            <v>777321.42857142829</v>
          </cell>
          <cell r="E78">
            <v>5500</v>
          </cell>
          <cell r="F78">
            <v>257499.99999999994</v>
          </cell>
          <cell r="G78">
            <v>22464.285714285714</v>
          </cell>
          <cell r="H78">
            <v>1034821.4285714275</v>
          </cell>
          <cell r="I78">
            <v>21428.571428571428</v>
          </cell>
          <cell r="J78">
            <v>1007142.8571428579</v>
          </cell>
          <cell r="K78">
            <v>5357.1428571428569</v>
          </cell>
          <cell r="L78">
            <v>251785.71428571446</v>
          </cell>
          <cell r="M78">
            <v>26785.714285714283</v>
          </cell>
          <cell r="N78">
            <v>1258928.5714285718</v>
          </cell>
          <cell r="O78">
            <v>26785.714285714286</v>
          </cell>
          <cell r="P78">
            <v>1258928.5714285718</v>
          </cell>
          <cell r="Q78">
            <v>214285.71428571429</v>
          </cell>
          <cell r="R78">
            <v>10171428.571428573</v>
          </cell>
          <cell r="S78">
            <v>21.816754658235247</v>
          </cell>
          <cell r="T78">
            <v>922.10223558159419</v>
          </cell>
          <cell r="U78">
            <v>5.2263095240541073</v>
          </cell>
          <cell r="V78">
            <v>280.88988095272975</v>
          </cell>
          <cell r="W78">
            <v>0</v>
          </cell>
          <cell r="X78">
            <v>0</v>
          </cell>
          <cell r="Y78">
            <v>16392.857142857141</v>
          </cell>
          <cell r="Z78">
            <v>749464.28571428638</v>
          </cell>
          <cell r="AA78">
            <v>6071.4285714285716</v>
          </cell>
          <cell r="AB78">
            <v>285357.14285714307</v>
          </cell>
          <cell r="AC78">
            <v>0</v>
          </cell>
          <cell r="AD78">
            <v>0</v>
          </cell>
          <cell r="AE78">
            <v>158928.57142857142</v>
          </cell>
          <cell r="AF78">
            <v>7469642.8571428666</v>
          </cell>
          <cell r="AG78">
            <v>55357.142857142855</v>
          </cell>
          <cell r="AH78">
            <v>2701785.7142857127</v>
          </cell>
        </row>
        <row r="79">
          <cell r="B79">
            <v>46073</v>
          </cell>
          <cell r="C79">
            <v>16964.285714285714</v>
          </cell>
          <cell r="D79">
            <v>794285.71428571397</v>
          </cell>
          <cell r="E79">
            <v>5500</v>
          </cell>
          <cell r="F79">
            <v>262999.99999999994</v>
          </cell>
          <cell r="G79">
            <v>22464.285714285714</v>
          </cell>
          <cell r="H79">
            <v>1057285.7142857132</v>
          </cell>
          <cell r="I79">
            <v>21428.571428571428</v>
          </cell>
          <cell r="J79">
            <v>1028571.4285714293</v>
          </cell>
          <cell r="K79">
            <v>5357.1428571428569</v>
          </cell>
          <cell r="L79">
            <v>257142.85714285733</v>
          </cell>
          <cell r="M79">
            <v>26785.714285714283</v>
          </cell>
          <cell r="N79">
            <v>1285714.2857142861</v>
          </cell>
          <cell r="O79">
            <v>26785.714285714286</v>
          </cell>
          <cell r="P79">
            <v>1285714.2857142861</v>
          </cell>
          <cell r="Q79">
            <v>214285.71428571429</v>
          </cell>
          <cell r="R79">
            <v>10385714.285714287</v>
          </cell>
          <cell r="S79">
            <v>21.816754658235247</v>
          </cell>
          <cell r="T79">
            <v>943.91899023982944</v>
          </cell>
          <cell r="U79">
            <v>5.2263095240541073</v>
          </cell>
          <cell r="V79">
            <v>286.11619047678386</v>
          </cell>
          <cell r="W79">
            <v>0</v>
          </cell>
          <cell r="X79">
            <v>0</v>
          </cell>
          <cell r="Y79">
            <v>16392.857142857141</v>
          </cell>
          <cell r="Z79">
            <v>765857.14285714354</v>
          </cell>
          <cell r="AA79">
            <v>6071.4285714285716</v>
          </cell>
          <cell r="AB79">
            <v>291428.57142857165</v>
          </cell>
          <cell r="AC79">
            <v>0</v>
          </cell>
          <cell r="AD79">
            <v>0</v>
          </cell>
          <cell r="AE79">
            <v>158928.57142857142</v>
          </cell>
          <cell r="AF79">
            <v>7628571.4285714384</v>
          </cell>
          <cell r="AG79">
            <v>55357.142857142855</v>
          </cell>
          <cell r="AH79">
            <v>2757142.8571428554</v>
          </cell>
        </row>
        <row r="80">
          <cell r="B80">
            <v>46074</v>
          </cell>
          <cell r="C80">
            <v>16964.285714285714</v>
          </cell>
          <cell r="D80">
            <v>811249.99999999965</v>
          </cell>
          <cell r="E80">
            <v>5500</v>
          </cell>
          <cell r="F80">
            <v>268499.99999999994</v>
          </cell>
          <cell r="G80">
            <v>22464.285714285714</v>
          </cell>
          <cell r="H80">
            <v>1079749.9999999988</v>
          </cell>
          <cell r="I80">
            <v>21428.571428571428</v>
          </cell>
          <cell r="J80">
            <v>1050000.0000000007</v>
          </cell>
          <cell r="K80">
            <v>5357.1428571428569</v>
          </cell>
          <cell r="L80">
            <v>262500.00000000017</v>
          </cell>
          <cell r="M80">
            <v>26785.714285714283</v>
          </cell>
          <cell r="N80">
            <v>1312500.0000000005</v>
          </cell>
          <cell r="O80">
            <v>26785.714285714286</v>
          </cell>
          <cell r="P80">
            <v>1312500.0000000005</v>
          </cell>
          <cell r="Q80">
            <v>214285.71428571429</v>
          </cell>
          <cell r="R80">
            <v>10600000.000000002</v>
          </cell>
          <cell r="S80">
            <v>21.816754658235247</v>
          </cell>
          <cell r="T80">
            <v>965.7357448980647</v>
          </cell>
          <cell r="U80">
            <v>5.2263095240541073</v>
          </cell>
          <cell r="V80">
            <v>291.34250000083796</v>
          </cell>
          <cell r="W80">
            <v>0</v>
          </cell>
          <cell r="X80">
            <v>0</v>
          </cell>
          <cell r="Y80">
            <v>16392.857142857141</v>
          </cell>
          <cell r="Z80">
            <v>782250.0000000007</v>
          </cell>
          <cell r="AA80">
            <v>6071.4285714285716</v>
          </cell>
          <cell r="AB80">
            <v>297500.00000000023</v>
          </cell>
          <cell r="AC80">
            <v>0</v>
          </cell>
          <cell r="AD80">
            <v>0</v>
          </cell>
          <cell r="AE80">
            <v>158928.57142857142</v>
          </cell>
          <cell r="AF80">
            <v>7787500.0000000102</v>
          </cell>
          <cell r="AG80">
            <v>55357.142857142855</v>
          </cell>
          <cell r="AH80">
            <v>2812499.9999999981</v>
          </cell>
        </row>
        <row r="81">
          <cell r="B81">
            <v>46075</v>
          </cell>
          <cell r="C81">
            <v>16964.285714285714</v>
          </cell>
          <cell r="D81">
            <v>828214.28571428533</v>
          </cell>
          <cell r="E81">
            <v>5500</v>
          </cell>
          <cell r="F81">
            <v>273999.99999999994</v>
          </cell>
          <cell r="G81">
            <v>22464.285714285714</v>
          </cell>
          <cell r="H81">
            <v>1102214.2857142845</v>
          </cell>
          <cell r="I81">
            <v>21428.571428571428</v>
          </cell>
          <cell r="J81">
            <v>1071428.5714285721</v>
          </cell>
          <cell r="K81">
            <v>5357.1428571428569</v>
          </cell>
          <cell r="L81">
            <v>267857.14285714302</v>
          </cell>
          <cell r="M81">
            <v>26785.714285714283</v>
          </cell>
          <cell r="N81">
            <v>1339285.7142857148</v>
          </cell>
          <cell r="O81">
            <v>26785.714285714286</v>
          </cell>
          <cell r="P81">
            <v>1339285.7142857148</v>
          </cell>
          <cell r="Q81">
            <v>214285.71428571429</v>
          </cell>
          <cell r="R81">
            <v>10814285.714285716</v>
          </cell>
          <cell r="S81">
            <v>21.816754658235247</v>
          </cell>
          <cell r="T81">
            <v>987.55249955629995</v>
          </cell>
          <cell r="U81">
            <v>5.2263095240541073</v>
          </cell>
          <cell r="V81">
            <v>296.56880952489206</v>
          </cell>
          <cell r="W81">
            <v>0</v>
          </cell>
          <cell r="X81">
            <v>0</v>
          </cell>
          <cell r="Y81">
            <v>16392.857142857141</v>
          </cell>
          <cell r="Z81">
            <v>798642.85714285786</v>
          </cell>
          <cell r="AA81">
            <v>6071.4285714285716</v>
          </cell>
          <cell r="AB81">
            <v>303571.42857142881</v>
          </cell>
          <cell r="AC81">
            <v>0</v>
          </cell>
          <cell r="AD81">
            <v>0</v>
          </cell>
          <cell r="AE81">
            <v>158928.57142857142</v>
          </cell>
          <cell r="AF81">
            <v>7946428.5714285821</v>
          </cell>
          <cell r="AG81">
            <v>55357.142857142855</v>
          </cell>
          <cell r="AH81">
            <v>2867857.1428571409</v>
          </cell>
        </row>
        <row r="82">
          <cell r="B82">
            <v>46076</v>
          </cell>
          <cell r="C82">
            <v>16964.285714285714</v>
          </cell>
          <cell r="D82">
            <v>845178.57142857101</v>
          </cell>
          <cell r="E82">
            <v>5500</v>
          </cell>
          <cell r="F82">
            <v>279499.99999999994</v>
          </cell>
          <cell r="G82">
            <v>22464.285714285714</v>
          </cell>
          <cell r="H82">
            <v>1124678.5714285702</v>
          </cell>
          <cell r="I82">
            <v>21428.571428571428</v>
          </cell>
          <cell r="J82">
            <v>1092857.1428571434</v>
          </cell>
          <cell r="K82">
            <v>5357.1428571428569</v>
          </cell>
          <cell r="L82">
            <v>273214.28571428586</v>
          </cell>
          <cell r="M82">
            <v>26785.714285714283</v>
          </cell>
          <cell r="N82">
            <v>1366071.4285714291</v>
          </cell>
          <cell r="O82">
            <v>26785.714285714286</v>
          </cell>
          <cell r="P82">
            <v>1366071.4285714291</v>
          </cell>
          <cell r="Q82">
            <v>214285.71428571429</v>
          </cell>
          <cell r="R82">
            <v>11028571.428571431</v>
          </cell>
          <cell r="S82">
            <v>21.816754658235247</v>
          </cell>
          <cell r="T82">
            <v>1009.3692542145352</v>
          </cell>
          <cell r="U82">
            <v>5.2263095240541073</v>
          </cell>
          <cell r="V82">
            <v>301.79511904894616</v>
          </cell>
          <cell r="W82">
            <v>0</v>
          </cell>
          <cell r="X82">
            <v>0</v>
          </cell>
          <cell r="Y82">
            <v>16392.857142857141</v>
          </cell>
          <cell r="Z82">
            <v>815035.71428571502</v>
          </cell>
          <cell r="AA82">
            <v>6071.4285714285716</v>
          </cell>
          <cell r="AB82">
            <v>309642.85714285739</v>
          </cell>
          <cell r="AC82">
            <v>0</v>
          </cell>
          <cell r="AD82">
            <v>0</v>
          </cell>
          <cell r="AE82">
            <v>158928.57142857142</v>
          </cell>
          <cell r="AF82">
            <v>8105357.1428571539</v>
          </cell>
          <cell r="AG82">
            <v>55357.142857142855</v>
          </cell>
          <cell r="AH82">
            <v>2923214.2857142836</v>
          </cell>
        </row>
        <row r="83">
          <cell r="B83">
            <v>46077</v>
          </cell>
          <cell r="C83">
            <v>16964.285714285714</v>
          </cell>
          <cell r="D83">
            <v>862142.85714285669</v>
          </cell>
          <cell r="E83">
            <v>5500</v>
          </cell>
          <cell r="F83">
            <v>284999.99999999994</v>
          </cell>
          <cell r="G83">
            <v>22464.285714285714</v>
          </cell>
          <cell r="H83">
            <v>1147142.8571428559</v>
          </cell>
          <cell r="I83">
            <v>21428.571428571428</v>
          </cell>
          <cell r="J83">
            <v>1114285.7142857148</v>
          </cell>
          <cell r="K83">
            <v>5357.1428571428569</v>
          </cell>
          <cell r="L83">
            <v>278571.4285714287</v>
          </cell>
          <cell r="M83">
            <v>26785.714285714283</v>
          </cell>
          <cell r="N83">
            <v>1392857.1428571434</v>
          </cell>
          <cell r="O83">
            <v>26785.714285714286</v>
          </cell>
          <cell r="P83">
            <v>1392857.1428571434</v>
          </cell>
          <cell r="Q83">
            <v>214285.71428571429</v>
          </cell>
          <cell r="R83">
            <v>11242857.142857146</v>
          </cell>
          <cell r="S83">
            <v>21.816754658235247</v>
          </cell>
          <cell r="T83">
            <v>1031.1860088727703</v>
          </cell>
          <cell r="U83">
            <v>5.2263095240541073</v>
          </cell>
          <cell r="V83">
            <v>307.02142857300026</v>
          </cell>
          <cell r="W83">
            <v>0</v>
          </cell>
          <cell r="X83">
            <v>0</v>
          </cell>
          <cell r="Y83">
            <v>16392.857142857141</v>
          </cell>
          <cell r="Z83">
            <v>831428.57142857218</v>
          </cell>
          <cell r="AA83">
            <v>6071.4285714285716</v>
          </cell>
          <cell r="AB83">
            <v>315714.28571428597</v>
          </cell>
          <cell r="AC83">
            <v>0</v>
          </cell>
          <cell r="AD83">
            <v>0</v>
          </cell>
          <cell r="AE83">
            <v>158928.57142857142</v>
          </cell>
          <cell r="AF83">
            <v>8264285.7142857257</v>
          </cell>
          <cell r="AG83">
            <v>55357.142857142855</v>
          </cell>
          <cell r="AH83">
            <v>2978571.4285714263</v>
          </cell>
        </row>
        <row r="84">
          <cell r="B84">
            <v>46078</v>
          </cell>
          <cell r="C84">
            <v>16964.285714285714</v>
          </cell>
          <cell r="D84">
            <v>879107.14285714237</v>
          </cell>
          <cell r="E84">
            <v>5500</v>
          </cell>
          <cell r="F84">
            <v>290499.99999999994</v>
          </cell>
          <cell r="G84">
            <v>22464.285714285714</v>
          </cell>
          <cell r="H84">
            <v>1169607.1428571416</v>
          </cell>
          <cell r="I84">
            <v>21428.571428571428</v>
          </cell>
          <cell r="J84">
            <v>1135714.2857142861</v>
          </cell>
          <cell r="K84">
            <v>5357.1428571428569</v>
          </cell>
          <cell r="L84">
            <v>283928.57142857154</v>
          </cell>
          <cell r="M84">
            <v>26785.714285714283</v>
          </cell>
          <cell r="N84">
            <v>1419642.8571428577</v>
          </cell>
          <cell r="O84">
            <v>26785.714285714286</v>
          </cell>
          <cell r="P84">
            <v>1419642.8571428577</v>
          </cell>
          <cell r="Q84">
            <v>214285.71428571429</v>
          </cell>
          <cell r="R84">
            <v>11457142.85714286</v>
          </cell>
          <cell r="S84">
            <v>21.816754658235247</v>
          </cell>
          <cell r="T84">
            <v>1053.0027635310055</v>
          </cell>
          <cell r="U84">
            <v>5.2263095240541073</v>
          </cell>
          <cell r="V84">
            <v>312.24773809705437</v>
          </cell>
          <cell r="W84">
            <v>0</v>
          </cell>
          <cell r="X84">
            <v>0</v>
          </cell>
          <cell r="Y84">
            <v>16392.857142857141</v>
          </cell>
          <cell r="Z84">
            <v>847821.42857142934</v>
          </cell>
          <cell r="AA84">
            <v>6071.4285714285716</v>
          </cell>
          <cell r="AB84">
            <v>321785.71428571455</v>
          </cell>
          <cell r="AC84">
            <v>0</v>
          </cell>
          <cell r="AD84">
            <v>0</v>
          </cell>
          <cell r="AE84">
            <v>158928.57142857142</v>
          </cell>
          <cell r="AF84">
            <v>8423214.2857142966</v>
          </cell>
          <cell r="AG84">
            <v>55357.142857142855</v>
          </cell>
          <cell r="AH84">
            <v>3033928.571428569</v>
          </cell>
        </row>
        <row r="85">
          <cell r="B85">
            <v>46079</v>
          </cell>
          <cell r="C85">
            <v>16964.285714285714</v>
          </cell>
          <cell r="D85">
            <v>896071.42857142806</v>
          </cell>
          <cell r="E85">
            <v>5500</v>
          </cell>
          <cell r="F85">
            <v>295999.99999999994</v>
          </cell>
          <cell r="G85">
            <v>22464.285714285714</v>
          </cell>
          <cell r="H85">
            <v>1192071.4285714272</v>
          </cell>
          <cell r="I85">
            <v>21428.571428571428</v>
          </cell>
          <cell r="J85">
            <v>1157142.8571428575</v>
          </cell>
          <cell r="K85">
            <v>5357.1428571428569</v>
          </cell>
          <cell r="L85">
            <v>289285.71428571438</v>
          </cell>
          <cell r="M85">
            <v>26785.714285714283</v>
          </cell>
          <cell r="N85">
            <v>1446428.5714285721</v>
          </cell>
          <cell r="O85">
            <v>26785.714285714286</v>
          </cell>
          <cell r="P85">
            <v>1446428.5714285721</v>
          </cell>
          <cell r="Q85">
            <v>214285.71428571429</v>
          </cell>
          <cell r="R85">
            <v>11671428.571428575</v>
          </cell>
          <cell r="S85">
            <v>21.816754658235247</v>
          </cell>
          <cell r="T85">
            <v>1074.8195181892406</v>
          </cell>
          <cell r="U85">
            <v>5.2263095240541073</v>
          </cell>
          <cell r="V85">
            <v>317.47404762110847</v>
          </cell>
          <cell r="W85">
            <v>0</v>
          </cell>
          <cell r="X85">
            <v>0</v>
          </cell>
          <cell r="Y85">
            <v>16392.857142857141</v>
          </cell>
          <cell r="Z85">
            <v>864214.2857142865</v>
          </cell>
          <cell r="AA85">
            <v>6071.4285714285716</v>
          </cell>
          <cell r="AB85">
            <v>327857.14285714313</v>
          </cell>
          <cell r="AC85">
            <v>0</v>
          </cell>
          <cell r="AD85">
            <v>0</v>
          </cell>
          <cell r="AE85">
            <v>158928.57142857142</v>
          </cell>
          <cell r="AF85">
            <v>8582142.8571428675</v>
          </cell>
          <cell r="AG85">
            <v>55357.142857142855</v>
          </cell>
          <cell r="AH85">
            <v>3089285.7142857118</v>
          </cell>
        </row>
        <row r="86">
          <cell r="B86">
            <v>46080</v>
          </cell>
          <cell r="C86">
            <v>16964.285714285714</v>
          </cell>
          <cell r="D86">
            <v>913035.71428571374</v>
          </cell>
          <cell r="E86">
            <v>5500</v>
          </cell>
          <cell r="F86">
            <v>301499.99999999994</v>
          </cell>
          <cell r="G86">
            <v>22464.285714285714</v>
          </cell>
          <cell r="H86">
            <v>1214535.7142857129</v>
          </cell>
          <cell r="I86">
            <v>21428.571428571428</v>
          </cell>
          <cell r="J86">
            <v>1178571.4285714289</v>
          </cell>
          <cell r="K86">
            <v>5357.1428571428569</v>
          </cell>
          <cell r="L86">
            <v>294642.85714285722</v>
          </cell>
          <cell r="M86">
            <v>26785.714285714283</v>
          </cell>
          <cell r="N86">
            <v>1473214.2857142864</v>
          </cell>
          <cell r="O86">
            <v>26785.714285714286</v>
          </cell>
          <cell r="P86">
            <v>1473214.2857142864</v>
          </cell>
          <cell r="Q86">
            <v>214285.71428571429</v>
          </cell>
          <cell r="R86">
            <v>11885714.285714289</v>
          </cell>
          <cell r="S86">
            <v>21.816754658235247</v>
          </cell>
          <cell r="T86">
            <v>1096.6362728474758</v>
          </cell>
          <cell r="U86">
            <v>5.2263095240541073</v>
          </cell>
          <cell r="V86">
            <v>322.70035714516257</v>
          </cell>
          <cell r="W86">
            <v>0</v>
          </cell>
          <cell r="X86">
            <v>0</v>
          </cell>
          <cell r="Y86">
            <v>16392.857142857141</v>
          </cell>
          <cell r="Z86">
            <v>880607.14285714366</v>
          </cell>
          <cell r="AA86">
            <v>6071.4285714285716</v>
          </cell>
          <cell r="AB86">
            <v>333928.57142857171</v>
          </cell>
          <cell r="AC86">
            <v>0</v>
          </cell>
          <cell r="AD86">
            <v>0</v>
          </cell>
          <cell r="AE86">
            <v>158928.57142857142</v>
          </cell>
          <cell r="AF86">
            <v>8741071.4285714384</v>
          </cell>
          <cell r="AG86">
            <v>55357.142857142855</v>
          </cell>
          <cell r="AH86">
            <v>3144642.8571428545</v>
          </cell>
        </row>
        <row r="87">
          <cell r="B87">
            <v>46081</v>
          </cell>
          <cell r="C87">
            <v>16964.285714285714</v>
          </cell>
          <cell r="D87">
            <v>929999.99999999942</v>
          </cell>
          <cell r="E87">
            <v>5500</v>
          </cell>
          <cell r="F87">
            <v>306999.99999999994</v>
          </cell>
          <cell r="G87">
            <v>22464.285714285714</v>
          </cell>
          <cell r="H87">
            <v>1236999.9999999986</v>
          </cell>
          <cell r="I87">
            <v>21428.571428571428</v>
          </cell>
          <cell r="J87">
            <v>1200000.0000000002</v>
          </cell>
          <cell r="K87">
            <v>5357.1428571428569</v>
          </cell>
          <cell r="L87">
            <v>300000.00000000006</v>
          </cell>
          <cell r="M87">
            <v>26785.714285714283</v>
          </cell>
          <cell r="N87">
            <v>1500000.0000000007</v>
          </cell>
          <cell r="O87">
            <v>26785.714285714286</v>
          </cell>
          <cell r="P87">
            <v>1500000.0000000007</v>
          </cell>
          <cell r="Q87">
            <v>214285.71428571429</v>
          </cell>
          <cell r="R87">
            <v>12100000.000000004</v>
          </cell>
          <cell r="S87">
            <v>21.816754658235247</v>
          </cell>
          <cell r="T87">
            <v>1118.4530275057109</v>
          </cell>
          <cell r="U87">
            <v>5.2263095240541073</v>
          </cell>
          <cell r="V87">
            <v>327.92666666921667</v>
          </cell>
          <cell r="W87">
            <v>0</v>
          </cell>
          <cell r="X87">
            <v>0</v>
          </cell>
          <cell r="Y87">
            <v>16392.857142857141</v>
          </cell>
          <cell r="Z87">
            <v>897000.00000000081</v>
          </cell>
          <cell r="AA87">
            <v>6071.4285714285716</v>
          </cell>
          <cell r="AB87">
            <v>340000.00000000029</v>
          </cell>
          <cell r="AC87">
            <v>0</v>
          </cell>
          <cell r="AD87">
            <v>0</v>
          </cell>
          <cell r="AE87">
            <v>158928.57142857142</v>
          </cell>
          <cell r="AF87">
            <v>8900000.0000000093</v>
          </cell>
          <cell r="AG87">
            <v>55357.142857142855</v>
          </cell>
          <cell r="AH87">
            <v>3199999.9999999972</v>
          </cell>
        </row>
        <row r="88">
          <cell r="B88">
            <v>46082</v>
          </cell>
          <cell r="C88">
            <v>16774.193548387098</v>
          </cell>
          <cell r="D88">
            <v>946774.19354838657</v>
          </cell>
          <cell r="E88">
            <v>3870.9677419354839</v>
          </cell>
          <cell r="F88">
            <v>310870.9677419354</v>
          </cell>
          <cell r="G88">
            <v>20645.161290322583</v>
          </cell>
          <cell r="H88">
            <v>1257645.1612903213</v>
          </cell>
          <cell r="I88">
            <v>19354.83870967742</v>
          </cell>
          <cell r="J88">
            <v>1219354.8387096776</v>
          </cell>
          <cell r="K88">
            <v>4838.7096774193551</v>
          </cell>
          <cell r="L88">
            <v>304838.70967741939</v>
          </cell>
          <cell r="M88">
            <v>24193.548387096776</v>
          </cell>
          <cell r="N88">
            <v>1524193.5483870974</v>
          </cell>
          <cell r="O88">
            <v>24193.548387096773</v>
          </cell>
          <cell r="P88">
            <v>1524193.5483870974</v>
          </cell>
          <cell r="Q88">
            <v>214285.71428571429</v>
          </cell>
          <cell r="R88">
            <v>12314285.714285718</v>
          </cell>
          <cell r="S88">
            <v>19.770590679777598</v>
          </cell>
          <cell r="T88">
            <v>1138.2236181854885</v>
          </cell>
          <cell r="U88">
            <v>7.3483476702481214</v>
          </cell>
          <cell r="V88">
            <v>335.2750143394648</v>
          </cell>
          <cell r="W88">
            <v>0</v>
          </cell>
          <cell r="X88">
            <v>0</v>
          </cell>
          <cell r="Y88">
            <v>14838.709677419354</v>
          </cell>
          <cell r="Z88">
            <v>911838.70967742021</v>
          </cell>
          <cell r="AA88">
            <v>5806.4516129032254</v>
          </cell>
          <cell r="AB88">
            <v>345806.4516129035</v>
          </cell>
          <cell r="AC88">
            <v>0</v>
          </cell>
          <cell r="AD88">
            <v>0</v>
          </cell>
          <cell r="AE88">
            <v>135483.87096774194</v>
          </cell>
          <cell r="AF88">
            <v>9035483.8709677514</v>
          </cell>
          <cell r="AG88">
            <v>53387.096774193546</v>
          </cell>
          <cell r="AH88">
            <v>3253387.0967741907</v>
          </cell>
        </row>
        <row r="89">
          <cell r="B89">
            <v>46083</v>
          </cell>
          <cell r="C89">
            <v>16774.193548387098</v>
          </cell>
          <cell r="D89">
            <v>963548.38709677372</v>
          </cell>
          <cell r="E89">
            <v>3870.9677419354839</v>
          </cell>
          <cell r="F89">
            <v>314741.93548387085</v>
          </cell>
          <cell r="G89">
            <v>20645.161290322583</v>
          </cell>
          <cell r="H89">
            <v>1278290.3225806439</v>
          </cell>
          <cell r="I89">
            <v>19354.83870967742</v>
          </cell>
          <cell r="J89">
            <v>1238709.6774193549</v>
          </cell>
          <cell r="K89">
            <v>4838.7096774193551</v>
          </cell>
          <cell r="L89">
            <v>309677.41935483873</v>
          </cell>
          <cell r="M89">
            <v>24193.548387096776</v>
          </cell>
          <cell r="N89">
            <v>1548387.0967741942</v>
          </cell>
          <cell r="O89">
            <v>24193.548387096773</v>
          </cell>
          <cell r="P89">
            <v>1548387.0967741942</v>
          </cell>
          <cell r="Q89">
            <v>188870.96774193548</v>
          </cell>
          <cell r="R89">
            <v>12503156.682027653</v>
          </cell>
          <cell r="S89">
            <v>19.770590679777598</v>
          </cell>
          <cell r="T89">
            <v>1157.994208865266</v>
          </cell>
          <cell r="U89">
            <v>7.3483476702481214</v>
          </cell>
          <cell r="V89">
            <v>342.62336200971293</v>
          </cell>
          <cell r="W89">
            <v>0</v>
          </cell>
          <cell r="X89">
            <v>0</v>
          </cell>
          <cell r="Y89">
            <v>14838.709677419354</v>
          </cell>
          <cell r="Z89">
            <v>926677.4193548396</v>
          </cell>
          <cell r="AA89">
            <v>5806.4516129032254</v>
          </cell>
          <cell r="AB89">
            <v>351612.90322580672</v>
          </cell>
          <cell r="AC89">
            <v>0</v>
          </cell>
          <cell r="AD89">
            <v>0</v>
          </cell>
          <cell r="AE89">
            <v>135483.87096774194</v>
          </cell>
          <cell r="AF89">
            <v>9170967.7419354934</v>
          </cell>
          <cell r="AG89">
            <v>53387.096774193546</v>
          </cell>
          <cell r="AH89">
            <v>3306774.1935483841</v>
          </cell>
        </row>
        <row r="90">
          <cell r="B90">
            <v>46084</v>
          </cell>
          <cell r="C90">
            <v>16774.193548387098</v>
          </cell>
          <cell r="D90">
            <v>980322.58064516087</v>
          </cell>
          <cell r="E90">
            <v>3870.9677419354839</v>
          </cell>
          <cell r="F90">
            <v>318612.90322580631</v>
          </cell>
          <cell r="G90">
            <v>20645.161290322583</v>
          </cell>
          <cell r="H90">
            <v>1298935.4838709666</v>
          </cell>
          <cell r="I90">
            <v>19354.83870967742</v>
          </cell>
          <cell r="J90">
            <v>1258064.5161290322</v>
          </cell>
          <cell r="K90">
            <v>4838.7096774193551</v>
          </cell>
          <cell r="L90">
            <v>314516.12903225806</v>
          </cell>
          <cell r="M90">
            <v>24193.548387096776</v>
          </cell>
          <cell r="N90">
            <v>1572580.6451612909</v>
          </cell>
          <cell r="O90">
            <v>24193.548387096773</v>
          </cell>
          <cell r="P90">
            <v>1572580.6451612909</v>
          </cell>
          <cell r="Q90">
            <v>188870.96774193548</v>
          </cell>
          <cell r="R90">
            <v>12692027.649769587</v>
          </cell>
          <cell r="S90">
            <v>19.770590679777598</v>
          </cell>
          <cell r="T90">
            <v>1177.7647995450436</v>
          </cell>
          <cell r="U90">
            <v>7.3483476702481214</v>
          </cell>
          <cell r="V90">
            <v>349.97170967996107</v>
          </cell>
          <cell r="W90">
            <v>0</v>
          </cell>
          <cell r="X90">
            <v>0</v>
          </cell>
          <cell r="Y90">
            <v>14838.709677419354</v>
          </cell>
          <cell r="Z90">
            <v>941516.12903225899</v>
          </cell>
          <cell r="AA90">
            <v>5806.4516129032254</v>
          </cell>
          <cell r="AB90">
            <v>357419.35483870993</v>
          </cell>
          <cell r="AC90">
            <v>0</v>
          </cell>
          <cell r="AD90">
            <v>0</v>
          </cell>
          <cell r="AE90">
            <v>135483.87096774194</v>
          </cell>
          <cell r="AF90">
            <v>9306451.6129032355</v>
          </cell>
          <cell r="AG90">
            <v>53387.096774193546</v>
          </cell>
          <cell r="AH90">
            <v>3360161.2903225776</v>
          </cell>
        </row>
        <row r="91">
          <cell r="B91">
            <v>46085</v>
          </cell>
          <cell r="C91">
            <v>16774.193548387098</v>
          </cell>
          <cell r="D91">
            <v>997096.77419354802</v>
          </cell>
          <cell r="E91">
            <v>3870.9677419354839</v>
          </cell>
          <cell r="F91">
            <v>322483.87096774176</v>
          </cell>
          <cell r="G91">
            <v>20645.161290322583</v>
          </cell>
          <cell r="H91">
            <v>1319580.6451612893</v>
          </cell>
          <cell r="I91">
            <v>19354.83870967742</v>
          </cell>
          <cell r="J91">
            <v>1277419.3548387096</v>
          </cell>
          <cell r="K91">
            <v>4838.7096774193551</v>
          </cell>
          <cell r="L91">
            <v>319354.83870967739</v>
          </cell>
          <cell r="M91">
            <v>24193.548387096776</v>
          </cell>
          <cell r="N91">
            <v>1596774.1935483876</v>
          </cell>
          <cell r="O91">
            <v>24193.548387096773</v>
          </cell>
          <cell r="P91">
            <v>1596774.1935483876</v>
          </cell>
          <cell r="Q91">
            <v>188870.96774193548</v>
          </cell>
          <cell r="R91">
            <v>12880898.617511522</v>
          </cell>
          <cell r="S91">
            <v>19.770590679777598</v>
          </cell>
          <cell r="T91">
            <v>1197.5353902248212</v>
          </cell>
          <cell r="U91">
            <v>7.3483476702481214</v>
          </cell>
          <cell r="V91">
            <v>357.3200573502092</v>
          </cell>
          <cell r="W91">
            <v>0</v>
          </cell>
          <cell r="X91">
            <v>0</v>
          </cell>
          <cell r="Y91">
            <v>14838.709677419354</v>
          </cell>
          <cell r="Z91">
            <v>956354.83870967838</v>
          </cell>
          <cell r="AA91">
            <v>5806.4516129032254</v>
          </cell>
          <cell r="AB91">
            <v>363225.80645161314</v>
          </cell>
          <cell r="AC91">
            <v>0</v>
          </cell>
          <cell r="AD91">
            <v>0</v>
          </cell>
          <cell r="AE91">
            <v>135483.87096774194</v>
          </cell>
          <cell r="AF91">
            <v>9441935.4838709775</v>
          </cell>
          <cell r="AG91">
            <v>53387.096774193546</v>
          </cell>
          <cell r="AH91">
            <v>3413548.387096771</v>
          </cell>
        </row>
        <row r="92">
          <cell r="B92">
            <v>46086</v>
          </cell>
          <cell r="C92">
            <v>16774.193548387098</v>
          </cell>
          <cell r="D92">
            <v>1013870.9677419352</v>
          </cell>
          <cell r="E92">
            <v>3870.9677419354839</v>
          </cell>
          <cell r="F92">
            <v>326354.83870967722</v>
          </cell>
          <cell r="G92">
            <v>20645.161290322583</v>
          </cell>
          <cell r="H92">
            <v>1340225.8064516119</v>
          </cell>
          <cell r="I92">
            <v>19354.83870967742</v>
          </cell>
          <cell r="J92">
            <v>1296774.1935483869</v>
          </cell>
          <cell r="K92">
            <v>4838.7096774193551</v>
          </cell>
          <cell r="L92">
            <v>324193.54838709673</v>
          </cell>
          <cell r="M92">
            <v>24193.548387096776</v>
          </cell>
          <cell r="N92">
            <v>1620967.7419354843</v>
          </cell>
          <cell r="O92">
            <v>24193.548387096773</v>
          </cell>
          <cell r="P92">
            <v>1620967.7419354843</v>
          </cell>
          <cell r="Q92">
            <v>188870.96774193548</v>
          </cell>
          <cell r="R92">
            <v>13069769.585253457</v>
          </cell>
          <cell r="S92">
            <v>19.770590679777598</v>
          </cell>
          <cell r="T92">
            <v>1217.3059809045988</v>
          </cell>
          <cell r="U92">
            <v>7.3483476702481214</v>
          </cell>
          <cell r="V92">
            <v>364.66840502045733</v>
          </cell>
          <cell r="W92">
            <v>0</v>
          </cell>
          <cell r="X92">
            <v>0</v>
          </cell>
          <cell r="Y92">
            <v>14838.709677419354</v>
          </cell>
          <cell r="Z92">
            <v>971193.54838709778</v>
          </cell>
          <cell r="AA92">
            <v>5806.4516129032254</v>
          </cell>
          <cell r="AB92">
            <v>369032.25806451635</v>
          </cell>
          <cell r="AC92">
            <v>0</v>
          </cell>
          <cell r="AD92">
            <v>0</v>
          </cell>
          <cell r="AE92">
            <v>135483.87096774194</v>
          </cell>
          <cell r="AF92">
            <v>9577419.3548387196</v>
          </cell>
          <cell r="AG92">
            <v>53387.096774193546</v>
          </cell>
          <cell r="AH92">
            <v>3466935.4838709645</v>
          </cell>
        </row>
        <row r="93">
          <cell r="B93">
            <v>46087</v>
          </cell>
          <cell r="C93">
            <v>16774.193548387098</v>
          </cell>
          <cell r="D93">
            <v>1030645.1612903223</v>
          </cell>
          <cell r="E93">
            <v>3870.9677419354839</v>
          </cell>
          <cell r="F93">
            <v>330225.80645161268</v>
          </cell>
          <cell r="G93">
            <v>20645.161290322583</v>
          </cell>
          <cell r="H93">
            <v>1360870.9677419346</v>
          </cell>
          <cell r="I93">
            <v>19354.83870967742</v>
          </cell>
          <cell r="J93">
            <v>1316129.0322580643</v>
          </cell>
          <cell r="K93">
            <v>4838.7096774193551</v>
          </cell>
          <cell r="L93">
            <v>329032.25806451606</v>
          </cell>
          <cell r="M93">
            <v>24193.548387096776</v>
          </cell>
          <cell r="N93">
            <v>1645161.2903225811</v>
          </cell>
          <cell r="O93">
            <v>24193.548387096773</v>
          </cell>
          <cell r="P93">
            <v>1645161.2903225811</v>
          </cell>
          <cell r="Q93">
            <v>188870.96774193548</v>
          </cell>
          <cell r="R93">
            <v>13258640.552995391</v>
          </cell>
          <cell r="S93">
            <v>19.770590679777598</v>
          </cell>
          <cell r="T93">
            <v>1237.0765715843763</v>
          </cell>
          <cell r="U93">
            <v>7.3483476702481214</v>
          </cell>
          <cell r="V93">
            <v>372.01675269070546</v>
          </cell>
          <cell r="W93">
            <v>0</v>
          </cell>
          <cell r="X93">
            <v>0</v>
          </cell>
          <cell r="Y93">
            <v>14838.709677419354</v>
          </cell>
          <cell r="Z93">
            <v>986032.25806451717</v>
          </cell>
          <cell r="AA93">
            <v>5806.4516129032254</v>
          </cell>
          <cell r="AB93">
            <v>374838.70967741957</v>
          </cell>
          <cell r="AC93">
            <v>0</v>
          </cell>
          <cell r="AD93">
            <v>0</v>
          </cell>
          <cell r="AE93">
            <v>135483.87096774194</v>
          </cell>
          <cell r="AF93">
            <v>9712903.2258064616</v>
          </cell>
          <cell r="AG93">
            <v>53387.096774193546</v>
          </cell>
          <cell r="AH93">
            <v>3520322.580645158</v>
          </cell>
        </row>
        <row r="94">
          <cell r="B94">
            <v>46088</v>
          </cell>
          <cell r="C94">
            <v>16774.193548387098</v>
          </cell>
          <cell r="D94">
            <v>1047419.3548387095</v>
          </cell>
          <cell r="E94">
            <v>3870.9677419354839</v>
          </cell>
          <cell r="F94">
            <v>334096.77419354813</v>
          </cell>
          <cell r="G94">
            <v>20645.161290322583</v>
          </cell>
          <cell r="H94">
            <v>1381516.1290322572</v>
          </cell>
          <cell r="I94">
            <v>19354.83870967742</v>
          </cell>
          <cell r="J94">
            <v>1335483.8709677416</v>
          </cell>
          <cell r="K94">
            <v>4838.7096774193551</v>
          </cell>
          <cell r="L94">
            <v>333870.9677419354</v>
          </cell>
          <cell r="M94">
            <v>24193.548387096776</v>
          </cell>
          <cell r="N94">
            <v>1669354.8387096778</v>
          </cell>
          <cell r="O94">
            <v>24193.548387096773</v>
          </cell>
          <cell r="P94">
            <v>1669354.8387096778</v>
          </cell>
          <cell r="Q94">
            <v>188870.96774193548</v>
          </cell>
          <cell r="R94">
            <v>13447511.520737326</v>
          </cell>
          <cell r="S94">
            <v>19.770590679777598</v>
          </cell>
          <cell r="T94">
            <v>1256.8471622641539</v>
          </cell>
          <cell r="U94">
            <v>7.3483476702481214</v>
          </cell>
          <cell r="V94">
            <v>379.36510036095359</v>
          </cell>
          <cell r="W94">
            <v>0</v>
          </cell>
          <cell r="X94">
            <v>0</v>
          </cell>
          <cell r="Y94">
            <v>14838.709677419354</v>
          </cell>
          <cell r="Z94">
            <v>1000870.9677419366</v>
          </cell>
          <cell r="AA94">
            <v>5806.4516129032254</v>
          </cell>
          <cell r="AB94">
            <v>380645.16129032278</v>
          </cell>
          <cell r="AC94">
            <v>0</v>
          </cell>
          <cell r="AD94">
            <v>0</v>
          </cell>
          <cell r="AE94">
            <v>135483.87096774194</v>
          </cell>
          <cell r="AF94">
            <v>9848387.0967742037</v>
          </cell>
          <cell r="AG94">
            <v>53387.096774193546</v>
          </cell>
          <cell r="AH94">
            <v>3573709.6774193514</v>
          </cell>
        </row>
        <row r="95">
          <cell r="B95">
            <v>46089</v>
          </cell>
          <cell r="C95">
            <v>16774.193548387098</v>
          </cell>
          <cell r="D95">
            <v>1064193.5483870965</v>
          </cell>
          <cell r="E95">
            <v>3870.9677419354839</v>
          </cell>
          <cell r="F95">
            <v>337967.74193548359</v>
          </cell>
          <cell r="G95">
            <v>20645.161290322583</v>
          </cell>
          <cell r="H95">
            <v>1402161.2903225799</v>
          </cell>
          <cell r="I95">
            <v>19354.83870967742</v>
          </cell>
          <cell r="J95">
            <v>1354838.7096774189</v>
          </cell>
          <cell r="K95">
            <v>4838.7096774193551</v>
          </cell>
          <cell r="L95">
            <v>338709.67741935473</v>
          </cell>
          <cell r="M95">
            <v>24193.548387096776</v>
          </cell>
          <cell r="N95">
            <v>1693548.3870967745</v>
          </cell>
          <cell r="O95">
            <v>24193.548387096773</v>
          </cell>
          <cell r="P95">
            <v>1693548.3870967745</v>
          </cell>
          <cell r="Q95">
            <v>188870.96774193548</v>
          </cell>
          <cell r="R95">
            <v>13636382.48847926</v>
          </cell>
          <cell r="S95">
            <v>19.770590679777598</v>
          </cell>
          <cell r="T95">
            <v>1276.6177529439315</v>
          </cell>
          <cell r="U95">
            <v>7.3483476702481214</v>
          </cell>
          <cell r="V95">
            <v>386.71344803120172</v>
          </cell>
          <cell r="W95">
            <v>0</v>
          </cell>
          <cell r="X95">
            <v>0</v>
          </cell>
          <cell r="Y95">
            <v>14838.709677419354</v>
          </cell>
          <cell r="Z95">
            <v>1015709.677419356</v>
          </cell>
          <cell r="AA95">
            <v>5806.4516129032254</v>
          </cell>
          <cell r="AB95">
            <v>386451.61290322599</v>
          </cell>
          <cell r="AC95">
            <v>0</v>
          </cell>
          <cell r="AD95">
            <v>0</v>
          </cell>
          <cell r="AE95">
            <v>135483.87096774194</v>
          </cell>
          <cell r="AF95">
            <v>9983870.9677419458</v>
          </cell>
          <cell r="AG95">
            <v>53387.096774193546</v>
          </cell>
          <cell r="AH95">
            <v>3627096.7741935449</v>
          </cell>
        </row>
        <row r="96">
          <cell r="B96">
            <v>46090</v>
          </cell>
          <cell r="C96">
            <v>16774.193548387098</v>
          </cell>
          <cell r="D96">
            <v>1080967.7419354836</v>
          </cell>
          <cell r="E96">
            <v>3870.9677419354839</v>
          </cell>
          <cell r="F96">
            <v>341838.70967741904</v>
          </cell>
          <cell r="G96">
            <v>20645.161290322583</v>
          </cell>
          <cell r="H96">
            <v>1422806.4516129026</v>
          </cell>
          <cell r="I96">
            <v>19354.83870967742</v>
          </cell>
          <cell r="J96">
            <v>1374193.5483870963</v>
          </cell>
          <cell r="K96">
            <v>4838.7096774193551</v>
          </cell>
          <cell r="L96">
            <v>343548.38709677407</v>
          </cell>
          <cell r="M96">
            <v>24193.548387096776</v>
          </cell>
          <cell r="N96">
            <v>1717741.9354838713</v>
          </cell>
          <cell r="O96">
            <v>24193.548387096773</v>
          </cell>
          <cell r="P96">
            <v>1717741.9354838713</v>
          </cell>
          <cell r="Q96">
            <v>188870.96774193548</v>
          </cell>
          <cell r="R96">
            <v>13825253.456221195</v>
          </cell>
          <cell r="S96">
            <v>19.770590679777598</v>
          </cell>
          <cell r="T96">
            <v>1296.388343623709</v>
          </cell>
          <cell r="U96">
            <v>7.3483476702481214</v>
          </cell>
          <cell r="V96">
            <v>394.06179570144985</v>
          </cell>
          <cell r="W96">
            <v>0</v>
          </cell>
          <cell r="X96">
            <v>0</v>
          </cell>
          <cell r="Y96">
            <v>14838.709677419354</v>
          </cell>
          <cell r="Z96">
            <v>1030548.3870967753</v>
          </cell>
          <cell r="AA96">
            <v>5806.4516129032254</v>
          </cell>
          <cell r="AB96">
            <v>392258.06451612921</v>
          </cell>
          <cell r="AC96">
            <v>0</v>
          </cell>
          <cell r="AD96">
            <v>0</v>
          </cell>
          <cell r="AE96">
            <v>135483.87096774194</v>
          </cell>
          <cell r="AF96">
            <v>10119354.838709688</v>
          </cell>
          <cell r="AG96">
            <v>53387.096774193546</v>
          </cell>
          <cell r="AH96">
            <v>3680483.8709677383</v>
          </cell>
        </row>
        <row r="97">
          <cell r="B97">
            <v>46091</v>
          </cell>
          <cell r="C97">
            <v>16774.193548387098</v>
          </cell>
          <cell r="D97">
            <v>1097741.9354838708</v>
          </cell>
          <cell r="E97">
            <v>3870.9677419354839</v>
          </cell>
          <cell r="F97">
            <v>345709.6774193545</v>
          </cell>
          <cell r="G97">
            <v>20645.161290322583</v>
          </cell>
          <cell r="H97">
            <v>1443451.6129032252</v>
          </cell>
          <cell r="I97">
            <v>19354.83870967742</v>
          </cell>
          <cell r="J97">
            <v>1393548.3870967736</v>
          </cell>
          <cell r="K97">
            <v>4838.7096774193551</v>
          </cell>
          <cell r="L97">
            <v>348387.0967741934</v>
          </cell>
          <cell r="M97">
            <v>24193.548387096776</v>
          </cell>
          <cell r="N97">
            <v>1741935.483870968</v>
          </cell>
          <cell r="O97">
            <v>24193.548387096773</v>
          </cell>
          <cell r="P97">
            <v>1741935.483870968</v>
          </cell>
          <cell r="Q97">
            <v>188870.96774193548</v>
          </cell>
          <cell r="R97">
            <v>14014124.42396313</v>
          </cell>
          <cell r="S97">
            <v>19.770590679777598</v>
          </cell>
          <cell r="T97">
            <v>1316.1589343034866</v>
          </cell>
          <cell r="U97">
            <v>7.3483476702481214</v>
          </cell>
          <cell r="V97">
            <v>401.41014337169798</v>
          </cell>
          <cell r="W97">
            <v>0</v>
          </cell>
          <cell r="X97">
            <v>0</v>
          </cell>
          <cell r="Y97">
            <v>14838.709677419354</v>
          </cell>
          <cell r="Z97">
            <v>1045387.0967741947</v>
          </cell>
          <cell r="AA97">
            <v>5806.4516129032254</v>
          </cell>
          <cell r="AB97">
            <v>398064.51612903242</v>
          </cell>
          <cell r="AC97">
            <v>0</v>
          </cell>
          <cell r="AD97">
            <v>0</v>
          </cell>
          <cell r="AE97">
            <v>135483.87096774194</v>
          </cell>
          <cell r="AF97">
            <v>10254838.70967743</v>
          </cell>
          <cell r="AG97">
            <v>53387.096774193546</v>
          </cell>
          <cell r="AH97">
            <v>3733870.9677419318</v>
          </cell>
        </row>
        <row r="98">
          <cell r="B98">
            <v>46092</v>
          </cell>
          <cell r="C98">
            <v>16774.193548387098</v>
          </cell>
          <cell r="D98">
            <v>1114516.1290322579</v>
          </cell>
          <cell r="E98">
            <v>3870.9677419354839</v>
          </cell>
          <cell r="F98">
            <v>349580.64516128995</v>
          </cell>
          <cell r="G98">
            <v>20645.161290322583</v>
          </cell>
          <cell r="H98">
            <v>1464096.7741935479</v>
          </cell>
          <cell r="I98">
            <v>19354.83870967742</v>
          </cell>
          <cell r="J98">
            <v>1412903.2258064509</v>
          </cell>
          <cell r="K98">
            <v>4838.7096774193551</v>
          </cell>
          <cell r="L98">
            <v>353225.80645161273</v>
          </cell>
          <cell r="M98">
            <v>24193.548387096776</v>
          </cell>
          <cell r="N98">
            <v>1766129.0322580647</v>
          </cell>
          <cell r="O98">
            <v>24193.548387096773</v>
          </cell>
          <cell r="P98">
            <v>1766129.0322580647</v>
          </cell>
          <cell r="Q98">
            <v>188870.96774193548</v>
          </cell>
          <cell r="R98">
            <v>14202995.391705064</v>
          </cell>
          <cell r="S98">
            <v>19.770590679777598</v>
          </cell>
          <cell r="T98">
            <v>1335.9295249832642</v>
          </cell>
          <cell r="U98">
            <v>7.3483476702481214</v>
          </cell>
          <cell r="V98">
            <v>408.75849104194612</v>
          </cell>
          <cell r="W98">
            <v>0</v>
          </cell>
          <cell r="X98">
            <v>0</v>
          </cell>
          <cell r="Y98">
            <v>14838.709677419354</v>
          </cell>
          <cell r="Z98">
            <v>1060225.806451614</v>
          </cell>
          <cell r="AA98">
            <v>5806.4516129032254</v>
          </cell>
          <cell r="AB98">
            <v>403870.96774193563</v>
          </cell>
          <cell r="AC98">
            <v>0</v>
          </cell>
          <cell r="AD98">
            <v>0</v>
          </cell>
          <cell r="AE98">
            <v>135483.87096774194</v>
          </cell>
          <cell r="AF98">
            <v>10390322.580645172</v>
          </cell>
          <cell r="AG98">
            <v>53387.096774193546</v>
          </cell>
          <cell r="AH98">
            <v>3787258.0645161252</v>
          </cell>
        </row>
        <row r="99">
          <cell r="B99">
            <v>46093</v>
          </cell>
          <cell r="C99">
            <v>16774.193548387098</v>
          </cell>
          <cell r="D99">
            <v>1131290.3225806451</v>
          </cell>
          <cell r="E99">
            <v>3870.9677419354839</v>
          </cell>
          <cell r="F99">
            <v>353451.61290322541</v>
          </cell>
          <cell r="G99">
            <v>20645.161290322583</v>
          </cell>
          <cell r="H99">
            <v>1484741.9354838706</v>
          </cell>
          <cell r="I99">
            <v>19354.83870967742</v>
          </cell>
          <cell r="J99">
            <v>1432258.0645161283</v>
          </cell>
          <cell r="K99">
            <v>4838.7096774193551</v>
          </cell>
          <cell r="L99">
            <v>358064.51612903207</v>
          </cell>
          <cell r="M99">
            <v>24193.548387096776</v>
          </cell>
          <cell r="N99">
            <v>1790322.5806451614</v>
          </cell>
          <cell r="O99">
            <v>24193.548387096773</v>
          </cell>
          <cell r="P99">
            <v>1790322.5806451614</v>
          </cell>
          <cell r="Q99">
            <v>188870.96774193548</v>
          </cell>
          <cell r="R99">
            <v>14391866.359446999</v>
          </cell>
          <cell r="S99">
            <v>19.770590679777598</v>
          </cell>
          <cell r="T99">
            <v>1355.7001156630417</v>
          </cell>
          <cell r="U99">
            <v>7.3483476702481214</v>
          </cell>
          <cell r="V99">
            <v>416.10683871219425</v>
          </cell>
          <cell r="W99">
            <v>0</v>
          </cell>
          <cell r="X99">
            <v>0</v>
          </cell>
          <cell r="Y99">
            <v>14838.709677419354</v>
          </cell>
          <cell r="Z99">
            <v>1075064.5161290334</v>
          </cell>
          <cell r="AA99">
            <v>5806.4516129032254</v>
          </cell>
          <cell r="AB99">
            <v>409677.41935483884</v>
          </cell>
          <cell r="AC99">
            <v>0</v>
          </cell>
          <cell r="AD99">
            <v>0</v>
          </cell>
          <cell r="AE99">
            <v>135483.87096774194</v>
          </cell>
          <cell r="AF99">
            <v>10525806.451612914</v>
          </cell>
          <cell r="AG99">
            <v>53387.096774193546</v>
          </cell>
          <cell r="AH99">
            <v>3840645.1612903187</v>
          </cell>
        </row>
        <row r="100">
          <cell r="B100">
            <v>46094</v>
          </cell>
          <cell r="C100">
            <v>16774.193548387098</v>
          </cell>
          <cell r="D100">
            <v>1148064.5161290322</v>
          </cell>
          <cell r="E100">
            <v>3870.9677419354839</v>
          </cell>
          <cell r="F100">
            <v>357322.58064516087</v>
          </cell>
          <cell r="G100">
            <v>20645.161290322583</v>
          </cell>
          <cell r="H100">
            <v>1505387.0967741932</v>
          </cell>
          <cell r="I100">
            <v>19354.83870967742</v>
          </cell>
          <cell r="J100">
            <v>1451612.9032258056</v>
          </cell>
          <cell r="K100">
            <v>4838.7096774193551</v>
          </cell>
          <cell r="L100">
            <v>362903.2258064514</v>
          </cell>
          <cell r="M100">
            <v>24193.548387096776</v>
          </cell>
          <cell r="N100">
            <v>1814516.1290322582</v>
          </cell>
          <cell r="O100">
            <v>24193.548387096773</v>
          </cell>
          <cell r="P100">
            <v>1814516.1290322582</v>
          </cell>
          <cell r="Q100">
            <v>188870.96774193548</v>
          </cell>
          <cell r="R100">
            <v>14580737.327188933</v>
          </cell>
          <cell r="S100">
            <v>19.770590679777598</v>
          </cell>
          <cell r="T100">
            <v>1375.4707063428193</v>
          </cell>
          <cell r="U100">
            <v>7.3483476702481214</v>
          </cell>
          <cell r="V100">
            <v>423.45518638244238</v>
          </cell>
          <cell r="W100">
            <v>0</v>
          </cell>
          <cell r="X100">
            <v>0</v>
          </cell>
          <cell r="Y100">
            <v>14838.709677419354</v>
          </cell>
          <cell r="Z100">
            <v>1089903.2258064528</v>
          </cell>
          <cell r="AA100">
            <v>5806.4516129032254</v>
          </cell>
          <cell r="AB100">
            <v>415483.87096774206</v>
          </cell>
          <cell r="AC100">
            <v>0</v>
          </cell>
          <cell r="AD100">
            <v>0</v>
          </cell>
          <cell r="AE100">
            <v>135483.87096774194</v>
          </cell>
          <cell r="AF100">
            <v>10661290.322580656</v>
          </cell>
          <cell r="AG100">
            <v>53387.096774193546</v>
          </cell>
          <cell r="AH100">
            <v>3894032.2580645122</v>
          </cell>
        </row>
        <row r="101">
          <cell r="B101">
            <v>46095</v>
          </cell>
          <cell r="C101">
            <v>16774.193548387098</v>
          </cell>
          <cell r="D101">
            <v>1164838.7096774194</v>
          </cell>
          <cell r="E101">
            <v>3870.9677419354839</v>
          </cell>
          <cell r="F101">
            <v>361193.54838709632</v>
          </cell>
          <cell r="G101">
            <v>20645.161290322583</v>
          </cell>
          <cell r="H101">
            <v>1526032.2580645159</v>
          </cell>
          <cell r="I101">
            <v>19354.83870967742</v>
          </cell>
          <cell r="J101">
            <v>1470967.7419354829</v>
          </cell>
          <cell r="K101">
            <v>4838.7096774193551</v>
          </cell>
          <cell r="L101">
            <v>367741.93548387074</v>
          </cell>
          <cell r="M101">
            <v>24193.548387096776</v>
          </cell>
          <cell r="N101">
            <v>1838709.6774193549</v>
          </cell>
          <cell r="O101">
            <v>24193.548387096773</v>
          </cell>
          <cell r="P101">
            <v>1838709.6774193549</v>
          </cell>
          <cell r="Q101">
            <v>188870.96774193548</v>
          </cell>
          <cell r="R101">
            <v>14769608.294930868</v>
          </cell>
          <cell r="S101">
            <v>19.770590679777598</v>
          </cell>
          <cell r="T101">
            <v>1395.2412970225969</v>
          </cell>
          <cell r="U101">
            <v>7.3483476702481214</v>
          </cell>
          <cell r="V101">
            <v>430.80353405269051</v>
          </cell>
          <cell r="W101">
            <v>0</v>
          </cell>
          <cell r="X101">
            <v>0</v>
          </cell>
          <cell r="Y101">
            <v>14838.709677419354</v>
          </cell>
          <cell r="Z101">
            <v>1104741.9354838722</v>
          </cell>
          <cell r="AA101">
            <v>5806.4516129032254</v>
          </cell>
          <cell r="AB101">
            <v>421290.32258064527</v>
          </cell>
          <cell r="AC101">
            <v>0</v>
          </cell>
          <cell r="AD101">
            <v>0</v>
          </cell>
          <cell r="AE101">
            <v>135483.87096774194</v>
          </cell>
          <cell r="AF101">
            <v>10796774.193548398</v>
          </cell>
          <cell r="AG101">
            <v>53387.096774193546</v>
          </cell>
          <cell r="AH101">
            <v>3947419.3548387056</v>
          </cell>
        </row>
        <row r="102">
          <cell r="B102">
            <v>46096</v>
          </cell>
          <cell r="C102">
            <v>16774.193548387098</v>
          </cell>
          <cell r="D102">
            <v>1181612.9032258065</v>
          </cell>
          <cell r="E102">
            <v>3870.9677419354839</v>
          </cell>
          <cell r="F102">
            <v>365064.51612903178</v>
          </cell>
          <cell r="G102">
            <v>20645.161290322583</v>
          </cell>
          <cell r="H102">
            <v>1546677.4193548386</v>
          </cell>
          <cell r="I102">
            <v>19354.83870967742</v>
          </cell>
          <cell r="J102">
            <v>1490322.5806451603</v>
          </cell>
          <cell r="K102">
            <v>4838.7096774193551</v>
          </cell>
          <cell r="L102">
            <v>372580.64516129007</v>
          </cell>
          <cell r="M102">
            <v>24193.548387096776</v>
          </cell>
          <cell r="N102">
            <v>1862903.2258064516</v>
          </cell>
          <cell r="O102">
            <v>24193.548387096773</v>
          </cell>
          <cell r="P102">
            <v>1862903.2258064516</v>
          </cell>
          <cell r="Q102">
            <v>188870.96774193548</v>
          </cell>
          <cell r="R102">
            <v>14958479.262672802</v>
          </cell>
          <cell r="S102">
            <v>19.770590679777598</v>
          </cell>
          <cell r="T102">
            <v>1415.0118877023745</v>
          </cell>
          <cell r="U102">
            <v>7.3483476702481214</v>
          </cell>
          <cell r="V102">
            <v>438.15188172293864</v>
          </cell>
          <cell r="W102">
            <v>0</v>
          </cell>
          <cell r="X102">
            <v>0</v>
          </cell>
          <cell r="Y102">
            <v>14838.709677419354</v>
          </cell>
          <cell r="Z102">
            <v>1119580.6451612916</v>
          </cell>
          <cell r="AA102">
            <v>5806.4516129032254</v>
          </cell>
          <cell r="AB102">
            <v>427096.77419354848</v>
          </cell>
          <cell r="AC102">
            <v>0</v>
          </cell>
          <cell r="AD102">
            <v>0</v>
          </cell>
          <cell r="AE102">
            <v>135483.87096774194</v>
          </cell>
          <cell r="AF102">
            <v>10932258.06451614</v>
          </cell>
          <cell r="AG102">
            <v>53387.096774193546</v>
          </cell>
          <cell r="AH102">
            <v>4000806.4516128991</v>
          </cell>
        </row>
        <row r="103">
          <cell r="B103">
            <v>46097</v>
          </cell>
          <cell r="C103">
            <v>16774.193548387098</v>
          </cell>
          <cell r="D103">
            <v>1198387.0967741937</v>
          </cell>
          <cell r="E103">
            <v>3870.9677419354839</v>
          </cell>
          <cell r="F103">
            <v>368935.48387096723</v>
          </cell>
          <cell r="G103">
            <v>20645.161290322583</v>
          </cell>
          <cell r="H103">
            <v>1567322.5806451612</v>
          </cell>
          <cell r="I103">
            <v>19354.83870967742</v>
          </cell>
          <cell r="J103">
            <v>1509677.4193548376</v>
          </cell>
          <cell r="K103">
            <v>4838.7096774193551</v>
          </cell>
          <cell r="L103">
            <v>377419.35483870941</v>
          </cell>
          <cell r="M103">
            <v>24193.548387096776</v>
          </cell>
          <cell r="N103">
            <v>1887096.7741935484</v>
          </cell>
          <cell r="O103">
            <v>24193.548387096773</v>
          </cell>
          <cell r="P103">
            <v>1887096.7741935484</v>
          </cell>
          <cell r="Q103">
            <v>188870.96774193548</v>
          </cell>
          <cell r="R103">
            <v>15147350.230414737</v>
          </cell>
          <cell r="S103">
            <v>19.770590679777598</v>
          </cell>
          <cell r="T103">
            <v>1434.782478382152</v>
          </cell>
          <cell r="U103">
            <v>7.3483476702481214</v>
          </cell>
          <cell r="V103">
            <v>445.50022939318677</v>
          </cell>
          <cell r="W103">
            <v>0</v>
          </cell>
          <cell r="X103">
            <v>0</v>
          </cell>
          <cell r="Y103">
            <v>14838.709677419354</v>
          </cell>
          <cell r="Z103">
            <v>1134419.354838711</v>
          </cell>
          <cell r="AA103">
            <v>5806.4516129032254</v>
          </cell>
          <cell r="AB103">
            <v>432903.22580645169</v>
          </cell>
          <cell r="AC103">
            <v>0</v>
          </cell>
          <cell r="AD103">
            <v>0</v>
          </cell>
          <cell r="AE103">
            <v>135483.87096774194</v>
          </cell>
          <cell r="AF103">
            <v>11067741.935483882</v>
          </cell>
          <cell r="AG103">
            <v>53387.096774193546</v>
          </cell>
          <cell r="AH103">
            <v>4054193.5483870925</v>
          </cell>
        </row>
        <row r="104">
          <cell r="B104">
            <v>46098</v>
          </cell>
          <cell r="C104">
            <v>16774.193548387098</v>
          </cell>
          <cell r="D104">
            <v>1215161.2903225808</v>
          </cell>
          <cell r="E104">
            <v>3870.9677419354839</v>
          </cell>
          <cell r="F104">
            <v>372806.45161290269</v>
          </cell>
          <cell r="G104">
            <v>20645.161290322583</v>
          </cell>
          <cell r="H104">
            <v>1587967.7419354839</v>
          </cell>
          <cell r="I104">
            <v>19354.83870967742</v>
          </cell>
          <cell r="J104">
            <v>1529032.258064515</v>
          </cell>
          <cell r="K104">
            <v>4838.7096774193551</v>
          </cell>
          <cell r="L104">
            <v>382258.06451612874</v>
          </cell>
          <cell r="M104">
            <v>24193.548387096776</v>
          </cell>
          <cell r="N104">
            <v>1911290.3225806451</v>
          </cell>
          <cell r="O104">
            <v>24193.548387096773</v>
          </cell>
          <cell r="P104">
            <v>1911290.3225806451</v>
          </cell>
          <cell r="Q104">
            <v>188870.96774193548</v>
          </cell>
          <cell r="R104">
            <v>15336221.198156672</v>
          </cell>
          <cell r="S104">
            <v>19.770590679777598</v>
          </cell>
          <cell r="T104">
            <v>1454.5530690619296</v>
          </cell>
          <cell r="U104">
            <v>7.3483476702481214</v>
          </cell>
          <cell r="V104">
            <v>452.8485770634349</v>
          </cell>
          <cell r="W104">
            <v>0</v>
          </cell>
          <cell r="X104">
            <v>0</v>
          </cell>
          <cell r="Y104">
            <v>14838.709677419354</v>
          </cell>
          <cell r="Z104">
            <v>1149258.0645161304</v>
          </cell>
          <cell r="AA104">
            <v>5806.4516129032254</v>
          </cell>
          <cell r="AB104">
            <v>438709.67741935491</v>
          </cell>
          <cell r="AC104">
            <v>0</v>
          </cell>
          <cell r="AD104">
            <v>0</v>
          </cell>
          <cell r="AE104">
            <v>135483.87096774194</v>
          </cell>
          <cell r="AF104">
            <v>11203225.806451624</v>
          </cell>
          <cell r="AG104">
            <v>53387.096774193546</v>
          </cell>
          <cell r="AH104">
            <v>4107580.645161286</v>
          </cell>
        </row>
        <row r="105">
          <cell r="B105">
            <v>46099</v>
          </cell>
          <cell r="C105">
            <v>16774.193548387098</v>
          </cell>
          <cell r="D105">
            <v>1231935.483870968</v>
          </cell>
          <cell r="E105">
            <v>3870.9677419354839</v>
          </cell>
          <cell r="F105">
            <v>376677.41935483814</v>
          </cell>
          <cell r="G105">
            <v>20645.161290322583</v>
          </cell>
          <cell r="H105">
            <v>1608612.9032258065</v>
          </cell>
          <cell r="I105">
            <v>19354.83870967742</v>
          </cell>
          <cell r="J105">
            <v>1548387.0967741923</v>
          </cell>
          <cell r="K105">
            <v>4838.7096774193551</v>
          </cell>
          <cell r="L105">
            <v>387096.77419354807</v>
          </cell>
          <cell r="M105">
            <v>24193.548387096776</v>
          </cell>
          <cell r="N105">
            <v>1935483.8709677418</v>
          </cell>
          <cell r="O105">
            <v>24193.548387096773</v>
          </cell>
          <cell r="P105">
            <v>1935483.8709677418</v>
          </cell>
          <cell r="Q105">
            <v>188870.96774193548</v>
          </cell>
          <cell r="R105">
            <v>15525092.165898606</v>
          </cell>
          <cell r="S105">
            <v>19.770590679777598</v>
          </cell>
          <cell r="T105">
            <v>1474.3236597417072</v>
          </cell>
          <cell r="U105">
            <v>7.3483476702481214</v>
          </cell>
          <cell r="V105">
            <v>460.19692473368303</v>
          </cell>
          <cell r="W105">
            <v>0</v>
          </cell>
          <cell r="X105">
            <v>0</v>
          </cell>
          <cell r="Y105">
            <v>14838.709677419354</v>
          </cell>
          <cell r="Z105">
            <v>1164096.7741935498</v>
          </cell>
          <cell r="AA105">
            <v>5806.4516129032254</v>
          </cell>
          <cell r="AB105">
            <v>444516.12903225812</v>
          </cell>
          <cell r="AC105">
            <v>0</v>
          </cell>
          <cell r="AD105">
            <v>0</v>
          </cell>
          <cell r="AE105">
            <v>135483.87096774194</v>
          </cell>
          <cell r="AF105">
            <v>11338709.677419366</v>
          </cell>
          <cell r="AG105">
            <v>53387.096774193546</v>
          </cell>
          <cell r="AH105">
            <v>4160967.7419354795</v>
          </cell>
        </row>
        <row r="106">
          <cell r="B106">
            <v>46100</v>
          </cell>
          <cell r="C106">
            <v>16774.193548387098</v>
          </cell>
          <cell r="D106">
            <v>1248709.6774193551</v>
          </cell>
          <cell r="E106">
            <v>3870.9677419354839</v>
          </cell>
          <cell r="F106">
            <v>380548.3870967736</v>
          </cell>
          <cell r="G106">
            <v>20645.161290322583</v>
          </cell>
          <cell r="H106">
            <v>1629258.0645161292</v>
          </cell>
          <cell r="I106">
            <v>19354.83870967742</v>
          </cell>
          <cell r="J106">
            <v>1567741.9354838696</v>
          </cell>
          <cell r="K106">
            <v>4838.7096774193551</v>
          </cell>
          <cell r="L106">
            <v>391935.48387096741</v>
          </cell>
          <cell r="M106">
            <v>24193.548387096776</v>
          </cell>
          <cell r="N106">
            <v>1959677.4193548386</v>
          </cell>
          <cell r="O106">
            <v>24193.548387096773</v>
          </cell>
          <cell r="P106">
            <v>1959677.4193548386</v>
          </cell>
          <cell r="Q106">
            <v>188870.96774193548</v>
          </cell>
          <cell r="R106">
            <v>15713963.133640541</v>
          </cell>
          <cell r="S106">
            <v>19.770590679777598</v>
          </cell>
          <cell r="T106">
            <v>1494.0942504214847</v>
          </cell>
          <cell r="U106">
            <v>7.3483476702481214</v>
          </cell>
          <cell r="V106">
            <v>467.54527240393116</v>
          </cell>
          <cell r="W106">
            <v>0</v>
          </cell>
          <cell r="X106">
            <v>0</v>
          </cell>
          <cell r="Y106">
            <v>14838.709677419354</v>
          </cell>
          <cell r="Z106">
            <v>1178935.4838709692</v>
          </cell>
          <cell r="AA106">
            <v>5806.4516129032254</v>
          </cell>
          <cell r="AB106">
            <v>450322.58064516133</v>
          </cell>
          <cell r="AC106">
            <v>0</v>
          </cell>
          <cell r="AD106">
            <v>0</v>
          </cell>
          <cell r="AE106">
            <v>135483.87096774194</v>
          </cell>
          <cell r="AF106">
            <v>11474193.548387108</v>
          </cell>
          <cell r="AG106">
            <v>53387.096774193546</v>
          </cell>
          <cell r="AH106">
            <v>4214354.8387096729</v>
          </cell>
        </row>
        <row r="107">
          <cell r="B107">
            <v>46101</v>
          </cell>
          <cell r="C107">
            <v>16774.193548387098</v>
          </cell>
          <cell r="D107">
            <v>1265483.8709677423</v>
          </cell>
          <cell r="E107">
            <v>3870.9677419354839</v>
          </cell>
          <cell r="F107">
            <v>384419.35483870906</v>
          </cell>
          <cell r="G107">
            <v>20645.161290322583</v>
          </cell>
          <cell r="H107">
            <v>1649903.2258064519</v>
          </cell>
          <cell r="I107">
            <v>19354.83870967742</v>
          </cell>
          <cell r="J107">
            <v>1587096.774193547</v>
          </cell>
          <cell r="K107">
            <v>4838.7096774193551</v>
          </cell>
          <cell r="L107">
            <v>396774.19354838674</v>
          </cell>
          <cell r="M107">
            <v>24193.548387096776</v>
          </cell>
          <cell r="N107">
            <v>1983870.9677419353</v>
          </cell>
          <cell r="O107">
            <v>24193.548387096773</v>
          </cell>
          <cell r="P107">
            <v>1983870.9677419353</v>
          </cell>
          <cell r="Q107">
            <v>188870.96774193548</v>
          </cell>
          <cell r="R107">
            <v>15902834.101382475</v>
          </cell>
          <cell r="S107">
            <v>19.770590679777598</v>
          </cell>
          <cell r="T107">
            <v>1513.8648411012623</v>
          </cell>
          <cell r="U107">
            <v>7.3483476702481214</v>
          </cell>
          <cell r="V107">
            <v>474.8936200741793</v>
          </cell>
          <cell r="W107">
            <v>0</v>
          </cell>
          <cell r="X107">
            <v>0</v>
          </cell>
          <cell r="Y107">
            <v>14838.709677419354</v>
          </cell>
          <cell r="Z107">
            <v>1193774.1935483885</v>
          </cell>
          <cell r="AA107">
            <v>5806.4516129032254</v>
          </cell>
          <cell r="AB107">
            <v>456129.03225806454</v>
          </cell>
          <cell r="AC107">
            <v>0</v>
          </cell>
          <cell r="AD107">
            <v>0</v>
          </cell>
          <cell r="AE107">
            <v>135483.87096774194</v>
          </cell>
          <cell r="AF107">
            <v>11609677.41935485</v>
          </cell>
          <cell r="AG107">
            <v>53387.096774193546</v>
          </cell>
          <cell r="AH107">
            <v>4267741.9354838664</v>
          </cell>
        </row>
        <row r="108">
          <cell r="B108">
            <v>46102</v>
          </cell>
          <cell r="C108">
            <v>16774.193548387098</v>
          </cell>
          <cell r="D108">
            <v>1282258.0645161294</v>
          </cell>
          <cell r="E108">
            <v>3870.9677419354839</v>
          </cell>
          <cell r="F108">
            <v>388290.32258064451</v>
          </cell>
          <cell r="G108">
            <v>20645.161290322583</v>
          </cell>
          <cell r="H108">
            <v>1670548.3870967745</v>
          </cell>
          <cell r="I108">
            <v>19354.83870967742</v>
          </cell>
          <cell r="J108">
            <v>1606451.6129032243</v>
          </cell>
          <cell r="K108">
            <v>4838.7096774193551</v>
          </cell>
          <cell r="L108">
            <v>401612.90322580608</v>
          </cell>
          <cell r="M108">
            <v>24193.548387096776</v>
          </cell>
          <cell r="N108">
            <v>2008064.516129032</v>
          </cell>
          <cell r="O108">
            <v>24193.548387096773</v>
          </cell>
          <cell r="P108">
            <v>2008064.516129032</v>
          </cell>
          <cell r="Q108">
            <v>188870.96774193548</v>
          </cell>
          <cell r="R108">
            <v>16091705.06912441</v>
          </cell>
          <cell r="S108">
            <v>19.770590679777598</v>
          </cell>
          <cell r="T108">
            <v>1533.6354317810399</v>
          </cell>
          <cell r="U108">
            <v>7.3483476702481214</v>
          </cell>
          <cell r="V108">
            <v>482.24196774442743</v>
          </cell>
          <cell r="W108">
            <v>0</v>
          </cell>
          <cell r="X108">
            <v>0</v>
          </cell>
          <cell r="Y108">
            <v>14838.709677419354</v>
          </cell>
          <cell r="Z108">
            <v>1208612.9032258079</v>
          </cell>
          <cell r="AA108">
            <v>5806.4516129032254</v>
          </cell>
          <cell r="AB108">
            <v>461935.48387096776</v>
          </cell>
          <cell r="AC108">
            <v>0</v>
          </cell>
          <cell r="AD108">
            <v>0</v>
          </cell>
          <cell r="AE108">
            <v>135483.87096774194</v>
          </cell>
          <cell r="AF108">
            <v>11745161.290322592</v>
          </cell>
          <cell r="AG108">
            <v>53387.096774193546</v>
          </cell>
          <cell r="AH108">
            <v>4321129.0322580598</v>
          </cell>
        </row>
        <row r="109">
          <cell r="B109">
            <v>46103</v>
          </cell>
          <cell r="C109">
            <v>16774.193548387098</v>
          </cell>
          <cell r="D109">
            <v>1299032.2580645166</v>
          </cell>
          <cell r="E109">
            <v>3870.9677419354839</v>
          </cell>
          <cell r="F109">
            <v>392161.29032257997</v>
          </cell>
          <cell r="G109">
            <v>20645.161290322583</v>
          </cell>
          <cell r="H109">
            <v>1691193.5483870972</v>
          </cell>
          <cell r="I109">
            <v>19354.83870967742</v>
          </cell>
          <cell r="J109">
            <v>1625806.4516129016</v>
          </cell>
          <cell r="K109">
            <v>4838.7096774193551</v>
          </cell>
          <cell r="L109">
            <v>406451.61290322541</v>
          </cell>
          <cell r="M109">
            <v>24193.548387096776</v>
          </cell>
          <cell r="N109">
            <v>2032258.0645161287</v>
          </cell>
          <cell r="O109">
            <v>24193.548387096773</v>
          </cell>
          <cell r="P109">
            <v>2032258.0645161287</v>
          </cell>
          <cell r="Q109">
            <v>188870.96774193548</v>
          </cell>
          <cell r="R109">
            <v>16280576.036866345</v>
          </cell>
          <cell r="S109">
            <v>19.770590679777598</v>
          </cell>
          <cell r="T109">
            <v>1553.4060224608174</v>
          </cell>
          <cell r="U109">
            <v>7.3483476702481214</v>
          </cell>
          <cell r="V109">
            <v>489.59031541467556</v>
          </cell>
          <cell r="W109">
            <v>0</v>
          </cell>
          <cell r="X109">
            <v>0</v>
          </cell>
          <cell r="Y109">
            <v>14838.709677419354</v>
          </cell>
          <cell r="Z109">
            <v>1223451.6129032273</v>
          </cell>
          <cell r="AA109">
            <v>5806.4516129032254</v>
          </cell>
          <cell r="AB109">
            <v>467741.93548387097</v>
          </cell>
          <cell r="AC109">
            <v>0</v>
          </cell>
          <cell r="AD109">
            <v>0</v>
          </cell>
          <cell r="AE109">
            <v>135483.87096774194</v>
          </cell>
          <cell r="AF109">
            <v>11880645.161290335</v>
          </cell>
          <cell r="AG109">
            <v>53387.096774193546</v>
          </cell>
          <cell r="AH109">
            <v>4374516.1290322533</v>
          </cell>
        </row>
        <row r="110">
          <cell r="B110">
            <v>46104</v>
          </cell>
          <cell r="C110">
            <v>16774.193548387098</v>
          </cell>
          <cell r="D110">
            <v>1315806.4516129037</v>
          </cell>
          <cell r="E110">
            <v>3870.9677419354839</v>
          </cell>
          <cell r="F110">
            <v>396032.25806451542</v>
          </cell>
          <cell r="G110">
            <v>20645.161290322583</v>
          </cell>
          <cell r="H110">
            <v>1711838.7096774199</v>
          </cell>
          <cell r="I110">
            <v>19354.83870967742</v>
          </cell>
          <cell r="J110">
            <v>1645161.290322579</v>
          </cell>
          <cell r="K110">
            <v>4838.7096774193551</v>
          </cell>
          <cell r="L110">
            <v>411290.32258064474</v>
          </cell>
          <cell r="M110">
            <v>24193.548387096776</v>
          </cell>
          <cell r="N110">
            <v>2056451.6129032255</v>
          </cell>
          <cell r="O110">
            <v>24193.548387096773</v>
          </cell>
          <cell r="P110">
            <v>2056451.6129032255</v>
          </cell>
          <cell r="Q110">
            <v>188870.96774193548</v>
          </cell>
          <cell r="R110">
            <v>16469447.004608279</v>
          </cell>
          <cell r="S110">
            <v>19.770590679777598</v>
          </cell>
          <cell r="T110">
            <v>1573.176613140595</v>
          </cell>
          <cell r="U110">
            <v>7.3483476702481214</v>
          </cell>
          <cell r="V110">
            <v>496.93866308492369</v>
          </cell>
          <cell r="W110">
            <v>0</v>
          </cell>
          <cell r="X110">
            <v>0</v>
          </cell>
          <cell r="Y110">
            <v>14838.709677419354</v>
          </cell>
          <cell r="Z110">
            <v>1238290.3225806467</v>
          </cell>
          <cell r="AA110">
            <v>5806.4516129032254</v>
          </cell>
          <cell r="AB110">
            <v>473548.38709677418</v>
          </cell>
          <cell r="AC110">
            <v>0</v>
          </cell>
          <cell r="AD110">
            <v>0</v>
          </cell>
          <cell r="AE110">
            <v>135483.87096774194</v>
          </cell>
          <cell r="AF110">
            <v>12016129.032258077</v>
          </cell>
          <cell r="AG110">
            <v>53387.096774193546</v>
          </cell>
          <cell r="AH110">
            <v>4427903.2258064467</v>
          </cell>
        </row>
        <row r="111">
          <cell r="B111">
            <v>46105</v>
          </cell>
          <cell r="C111">
            <v>16774.193548387098</v>
          </cell>
          <cell r="D111">
            <v>1332580.6451612909</v>
          </cell>
          <cell r="E111">
            <v>3870.9677419354839</v>
          </cell>
          <cell r="F111">
            <v>399903.22580645088</v>
          </cell>
          <cell r="G111">
            <v>20645.161290322583</v>
          </cell>
          <cell r="H111">
            <v>1732483.8709677425</v>
          </cell>
          <cell r="I111">
            <v>19354.83870967742</v>
          </cell>
          <cell r="J111">
            <v>1664516.1290322563</v>
          </cell>
          <cell r="K111">
            <v>4838.7096774193551</v>
          </cell>
          <cell r="L111">
            <v>416129.03225806408</v>
          </cell>
          <cell r="M111">
            <v>24193.548387096776</v>
          </cell>
          <cell r="N111">
            <v>2080645.1612903222</v>
          </cell>
          <cell r="O111">
            <v>24193.548387096773</v>
          </cell>
          <cell r="P111">
            <v>2080645.1612903222</v>
          </cell>
          <cell r="Q111">
            <v>188870.96774193548</v>
          </cell>
          <cell r="R111">
            <v>16658317.972350214</v>
          </cell>
          <cell r="S111">
            <v>19.770590679777598</v>
          </cell>
          <cell r="T111">
            <v>1592.9472038203726</v>
          </cell>
          <cell r="U111">
            <v>7.3483476702481214</v>
          </cell>
          <cell r="V111">
            <v>504.28701075517182</v>
          </cell>
          <cell r="W111">
            <v>0</v>
          </cell>
          <cell r="X111">
            <v>0</v>
          </cell>
          <cell r="Y111">
            <v>14838.709677419354</v>
          </cell>
          <cell r="Z111">
            <v>1253129.0322580661</v>
          </cell>
          <cell r="AA111">
            <v>5806.4516129032254</v>
          </cell>
          <cell r="AB111">
            <v>479354.83870967739</v>
          </cell>
          <cell r="AC111">
            <v>0</v>
          </cell>
          <cell r="AD111">
            <v>0</v>
          </cell>
          <cell r="AE111">
            <v>135483.87096774194</v>
          </cell>
          <cell r="AF111">
            <v>12151612.903225819</v>
          </cell>
          <cell r="AG111">
            <v>53387.096774193546</v>
          </cell>
          <cell r="AH111">
            <v>4481290.3225806402</v>
          </cell>
        </row>
        <row r="112">
          <cell r="B112">
            <v>46106</v>
          </cell>
          <cell r="C112">
            <v>16774.193548387098</v>
          </cell>
          <cell r="D112">
            <v>1349354.838709678</v>
          </cell>
          <cell r="E112">
            <v>3870.9677419354839</v>
          </cell>
          <cell r="F112">
            <v>403774.19354838633</v>
          </cell>
          <cell r="G112">
            <v>20645.161290322583</v>
          </cell>
          <cell r="H112">
            <v>1753129.0322580652</v>
          </cell>
          <cell r="I112">
            <v>19354.83870967742</v>
          </cell>
          <cell r="J112">
            <v>1683870.9677419337</v>
          </cell>
          <cell r="K112">
            <v>4838.7096774193551</v>
          </cell>
          <cell r="L112">
            <v>420967.74193548341</v>
          </cell>
          <cell r="M112">
            <v>24193.548387096776</v>
          </cell>
          <cell r="N112">
            <v>2104838.7096774192</v>
          </cell>
          <cell r="O112">
            <v>24193.548387096773</v>
          </cell>
          <cell r="P112">
            <v>2104838.7096774192</v>
          </cell>
          <cell r="Q112">
            <v>188870.96774193548</v>
          </cell>
          <cell r="R112">
            <v>16847188.94009215</v>
          </cell>
          <cell r="S112">
            <v>19.770590679777598</v>
          </cell>
          <cell r="T112">
            <v>1612.7177945001501</v>
          </cell>
          <cell r="U112">
            <v>7.3483476702481214</v>
          </cell>
          <cell r="V112">
            <v>511.63535842541995</v>
          </cell>
          <cell r="W112">
            <v>0</v>
          </cell>
          <cell r="X112">
            <v>0</v>
          </cell>
          <cell r="Y112">
            <v>14838.709677419354</v>
          </cell>
          <cell r="Z112">
            <v>1267967.7419354855</v>
          </cell>
          <cell r="AA112">
            <v>5806.4516129032254</v>
          </cell>
          <cell r="AB112">
            <v>485161.29032258061</v>
          </cell>
          <cell r="AC112">
            <v>0</v>
          </cell>
          <cell r="AD112">
            <v>0</v>
          </cell>
          <cell r="AE112">
            <v>135483.87096774194</v>
          </cell>
          <cell r="AF112">
            <v>12287096.774193561</v>
          </cell>
          <cell r="AG112">
            <v>53387.096774193546</v>
          </cell>
          <cell r="AH112">
            <v>4534677.4193548337</v>
          </cell>
        </row>
        <row r="113">
          <cell r="B113">
            <v>46107</v>
          </cell>
          <cell r="C113">
            <v>16774.193548387098</v>
          </cell>
          <cell r="D113">
            <v>1366129.0322580652</v>
          </cell>
          <cell r="E113">
            <v>3870.9677419354839</v>
          </cell>
          <cell r="F113">
            <v>407645.16129032179</v>
          </cell>
          <cell r="G113">
            <v>20645.161290322583</v>
          </cell>
          <cell r="H113">
            <v>1773774.1935483878</v>
          </cell>
          <cell r="I113">
            <v>19354.83870967742</v>
          </cell>
          <cell r="J113">
            <v>1703225.806451611</v>
          </cell>
          <cell r="K113">
            <v>4838.7096774193551</v>
          </cell>
          <cell r="L113">
            <v>425806.45161290275</v>
          </cell>
          <cell r="M113">
            <v>24193.548387096776</v>
          </cell>
          <cell r="N113">
            <v>2129032.2580645159</v>
          </cell>
          <cell r="O113">
            <v>24193.548387096773</v>
          </cell>
          <cell r="P113">
            <v>2129032.2580645159</v>
          </cell>
          <cell r="Q113">
            <v>188870.96774193548</v>
          </cell>
          <cell r="R113">
            <v>17036059.907834087</v>
          </cell>
          <cell r="S113">
            <v>19.770590679777598</v>
          </cell>
          <cell r="T113">
            <v>1632.4883851799277</v>
          </cell>
          <cell r="U113">
            <v>7.3483476702481214</v>
          </cell>
          <cell r="V113">
            <v>518.98370609566803</v>
          </cell>
          <cell r="W113">
            <v>0</v>
          </cell>
          <cell r="X113">
            <v>0</v>
          </cell>
          <cell r="Y113">
            <v>14838.709677419354</v>
          </cell>
          <cell r="Z113">
            <v>1282806.4516129049</v>
          </cell>
          <cell r="AA113">
            <v>5806.4516129032254</v>
          </cell>
          <cell r="AB113">
            <v>490967.74193548382</v>
          </cell>
          <cell r="AC113">
            <v>0</v>
          </cell>
          <cell r="AD113">
            <v>0</v>
          </cell>
          <cell r="AE113">
            <v>135483.87096774194</v>
          </cell>
          <cell r="AF113">
            <v>12422580.645161303</v>
          </cell>
          <cell r="AG113">
            <v>53387.096774193546</v>
          </cell>
          <cell r="AH113">
            <v>4588064.5161290271</v>
          </cell>
        </row>
        <row r="114">
          <cell r="B114">
            <v>46108</v>
          </cell>
          <cell r="C114">
            <v>16774.193548387098</v>
          </cell>
          <cell r="D114">
            <v>1382903.2258064523</v>
          </cell>
          <cell r="E114">
            <v>3870.9677419354839</v>
          </cell>
          <cell r="F114">
            <v>411516.12903225725</v>
          </cell>
          <cell r="G114">
            <v>20645.161290322583</v>
          </cell>
          <cell r="H114">
            <v>1794419.3548387105</v>
          </cell>
          <cell r="I114">
            <v>19354.83870967742</v>
          </cell>
          <cell r="J114">
            <v>1722580.6451612883</v>
          </cell>
          <cell r="K114">
            <v>4838.7096774193551</v>
          </cell>
          <cell r="L114">
            <v>430645.16129032208</v>
          </cell>
          <cell r="M114">
            <v>24193.548387096776</v>
          </cell>
          <cell r="N114">
            <v>2153225.8064516126</v>
          </cell>
          <cell r="O114">
            <v>24193.548387096773</v>
          </cell>
          <cell r="P114">
            <v>2153225.8064516126</v>
          </cell>
          <cell r="Q114">
            <v>188870.96774193548</v>
          </cell>
          <cell r="R114">
            <v>17224930.875576023</v>
          </cell>
          <cell r="S114">
            <v>19.770590679777598</v>
          </cell>
          <cell r="T114">
            <v>1652.2589758597053</v>
          </cell>
          <cell r="U114">
            <v>7.3483476702481214</v>
          </cell>
          <cell r="V114">
            <v>526.33205376591616</v>
          </cell>
          <cell r="W114">
            <v>0</v>
          </cell>
          <cell r="X114">
            <v>0</v>
          </cell>
          <cell r="Y114">
            <v>14838.709677419354</v>
          </cell>
          <cell r="Z114">
            <v>1297645.1612903243</v>
          </cell>
          <cell r="AA114">
            <v>5806.4516129032254</v>
          </cell>
          <cell r="AB114">
            <v>496774.19354838703</v>
          </cell>
          <cell r="AC114">
            <v>0</v>
          </cell>
          <cell r="AD114">
            <v>0</v>
          </cell>
          <cell r="AE114">
            <v>135483.87096774194</v>
          </cell>
          <cell r="AF114">
            <v>12558064.516129045</v>
          </cell>
          <cell r="AG114">
            <v>53387.096774193546</v>
          </cell>
          <cell r="AH114">
            <v>4641451.6129032206</v>
          </cell>
        </row>
        <row r="115">
          <cell r="B115">
            <v>46109</v>
          </cell>
          <cell r="C115">
            <v>16774.193548387098</v>
          </cell>
          <cell r="D115">
            <v>1399677.4193548395</v>
          </cell>
          <cell r="E115">
            <v>3870.9677419354839</v>
          </cell>
          <cell r="F115">
            <v>415387.0967741927</v>
          </cell>
          <cell r="G115">
            <v>20645.161290322583</v>
          </cell>
          <cell r="H115">
            <v>1815064.5161290332</v>
          </cell>
          <cell r="I115">
            <v>19354.83870967742</v>
          </cell>
          <cell r="J115">
            <v>1741935.4838709657</v>
          </cell>
          <cell r="K115">
            <v>4838.7096774193551</v>
          </cell>
          <cell r="L115">
            <v>435483.87096774142</v>
          </cell>
          <cell r="M115">
            <v>24193.548387096776</v>
          </cell>
          <cell r="N115">
            <v>2177419.3548387093</v>
          </cell>
          <cell r="O115">
            <v>24193.548387096773</v>
          </cell>
          <cell r="P115">
            <v>2177419.3548387093</v>
          </cell>
          <cell r="Q115">
            <v>188870.96774193548</v>
          </cell>
          <cell r="R115">
            <v>17413801.843317959</v>
          </cell>
          <cell r="S115">
            <v>19.770590679777598</v>
          </cell>
          <cell r="T115">
            <v>1672.0295665394829</v>
          </cell>
          <cell r="U115">
            <v>7.3483476702481214</v>
          </cell>
          <cell r="V115">
            <v>533.68040143616429</v>
          </cell>
          <cell r="W115">
            <v>0</v>
          </cell>
          <cell r="X115">
            <v>0</v>
          </cell>
          <cell r="Y115">
            <v>14838.709677419354</v>
          </cell>
          <cell r="Z115">
            <v>1312483.8709677437</v>
          </cell>
          <cell r="AA115">
            <v>5806.4516129032254</v>
          </cell>
          <cell r="AB115">
            <v>502580.64516129025</v>
          </cell>
          <cell r="AC115">
            <v>0</v>
          </cell>
          <cell r="AD115">
            <v>0</v>
          </cell>
          <cell r="AE115">
            <v>135483.87096774194</v>
          </cell>
          <cell r="AF115">
            <v>12693548.387096787</v>
          </cell>
          <cell r="AG115">
            <v>53387.096774193546</v>
          </cell>
          <cell r="AH115">
            <v>4694838.709677414</v>
          </cell>
        </row>
        <row r="116">
          <cell r="B116">
            <v>46110</v>
          </cell>
          <cell r="C116">
            <v>16774.193548387098</v>
          </cell>
          <cell r="D116">
            <v>1416451.6129032266</v>
          </cell>
          <cell r="E116">
            <v>3870.9677419354839</v>
          </cell>
          <cell r="F116">
            <v>419258.06451612816</v>
          </cell>
          <cell r="G116">
            <v>20645.161290322583</v>
          </cell>
          <cell r="H116">
            <v>1835709.6774193558</v>
          </cell>
          <cell r="I116">
            <v>19354.83870967742</v>
          </cell>
          <cell r="J116">
            <v>1761290.322580643</v>
          </cell>
          <cell r="K116">
            <v>4838.7096774193551</v>
          </cell>
          <cell r="L116">
            <v>440322.58064516075</v>
          </cell>
          <cell r="M116">
            <v>24193.548387096776</v>
          </cell>
          <cell r="N116">
            <v>2201612.9032258061</v>
          </cell>
          <cell r="O116">
            <v>24193.548387096773</v>
          </cell>
          <cell r="P116">
            <v>2201612.9032258061</v>
          </cell>
          <cell r="Q116">
            <v>188870.96774193548</v>
          </cell>
          <cell r="R116">
            <v>17602672.811059896</v>
          </cell>
          <cell r="S116">
            <v>19.770590679777598</v>
          </cell>
          <cell r="T116">
            <v>1691.8001572192604</v>
          </cell>
          <cell r="U116">
            <v>7.3483476702481214</v>
          </cell>
          <cell r="V116">
            <v>541.02874910641242</v>
          </cell>
          <cell r="W116">
            <v>0</v>
          </cell>
          <cell r="X116">
            <v>0</v>
          </cell>
          <cell r="Y116">
            <v>14838.709677419354</v>
          </cell>
          <cell r="Z116">
            <v>1327322.5806451631</v>
          </cell>
          <cell r="AA116">
            <v>5806.4516129032254</v>
          </cell>
          <cell r="AB116">
            <v>508387.09677419346</v>
          </cell>
          <cell r="AC116">
            <v>0</v>
          </cell>
          <cell r="AD116">
            <v>0</v>
          </cell>
          <cell r="AE116">
            <v>135483.87096774194</v>
          </cell>
          <cell r="AF116">
            <v>12829032.258064529</v>
          </cell>
          <cell r="AG116">
            <v>53387.096774193546</v>
          </cell>
          <cell r="AH116">
            <v>4748225.8064516075</v>
          </cell>
        </row>
        <row r="117">
          <cell r="B117">
            <v>46111</v>
          </cell>
          <cell r="C117">
            <v>16774.193548387098</v>
          </cell>
          <cell r="D117">
            <v>1433225.8064516138</v>
          </cell>
          <cell r="E117">
            <v>3870.9677419354839</v>
          </cell>
          <cell r="F117">
            <v>423129.03225806361</v>
          </cell>
          <cell r="G117">
            <v>20645.161290322583</v>
          </cell>
          <cell r="H117">
            <v>1856354.8387096785</v>
          </cell>
          <cell r="I117">
            <v>19354.83870967742</v>
          </cell>
          <cell r="J117">
            <v>1780645.1612903203</v>
          </cell>
          <cell r="K117">
            <v>4838.7096774193551</v>
          </cell>
          <cell r="L117">
            <v>445161.29032258008</v>
          </cell>
          <cell r="M117">
            <v>24193.548387096776</v>
          </cell>
          <cell r="N117">
            <v>2225806.4516129028</v>
          </cell>
          <cell r="O117">
            <v>24193.548387096773</v>
          </cell>
          <cell r="P117">
            <v>2225806.4516129028</v>
          </cell>
          <cell r="Q117">
            <v>188870.96774193548</v>
          </cell>
          <cell r="R117">
            <v>17791543.778801832</v>
          </cell>
          <cell r="S117">
            <v>19.770590679777598</v>
          </cell>
          <cell r="T117">
            <v>1711.570747899038</v>
          </cell>
          <cell r="U117">
            <v>7.3483476702481214</v>
          </cell>
          <cell r="V117">
            <v>548.37709677666055</v>
          </cell>
          <cell r="W117">
            <v>0</v>
          </cell>
          <cell r="X117">
            <v>0</v>
          </cell>
          <cell r="Y117">
            <v>14838.709677419354</v>
          </cell>
          <cell r="Z117">
            <v>1342161.2903225825</v>
          </cell>
          <cell r="AA117">
            <v>5806.4516129032254</v>
          </cell>
          <cell r="AB117">
            <v>514193.54838709667</v>
          </cell>
          <cell r="AC117">
            <v>0</v>
          </cell>
          <cell r="AD117">
            <v>0</v>
          </cell>
          <cell r="AE117">
            <v>135483.87096774194</v>
          </cell>
          <cell r="AF117">
            <v>12964516.129032271</v>
          </cell>
          <cell r="AG117">
            <v>53387.096774193546</v>
          </cell>
          <cell r="AH117">
            <v>4801612.903225801</v>
          </cell>
        </row>
        <row r="118">
          <cell r="B118">
            <v>46112</v>
          </cell>
          <cell r="C118">
            <v>16774.193548387098</v>
          </cell>
          <cell r="D118">
            <v>1450000.0000000009</v>
          </cell>
          <cell r="E118">
            <v>3870.9677419354839</v>
          </cell>
          <cell r="F118">
            <v>426999.99999999907</v>
          </cell>
          <cell r="G118">
            <v>20645.161290322583</v>
          </cell>
          <cell r="H118">
            <v>1877000.0000000012</v>
          </cell>
          <cell r="I118">
            <v>19354.83870967742</v>
          </cell>
          <cell r="J118">
            <v>1799999.9999999977</v>
          </cell>
          <cell r="K118">
            <v>4838.7096774193551</v>
          </cell>
          <cell r="L118">
            <v>449999.99999999942</v>
          </cell>
          <cell r="M118">
            <v>24193.548387096776</v>
          </cell>
          <cell r="N118">
            <v>2249999.9999999995</v>
          </cell>
          <cell r="O118">
            <v>24193.548387096773</v>
          </cell>
          <cell r="P118">
            <v>2249999.9999999995</v>
          </cell>
          <cell r="Q118">
            <v>188870.96774193548</v>
          </cell>
          <cell r="R118">
            <v>17980414.746543769</v>
          </cell>
          <cell r="S118">
            <v>19.770590679777598</v>
          </cell>
          <cell r="T118">
            <v>1731.3413385788156</v>
          </cell>
          <cell r="U118">
            <v>7.3483476702481214</v>
          </cell>
          <cell r="V118">
            <v>555.72544444690868</v>
          </cell>
          <cell r="W118">
            <v>0</v>
          </cell>
          <cell r="X118">
            <v>0</v>
          </cell>
          <cell r="Y118">
            <v>14838.709677419354</v>
          </cell>
          <cell r="Z118">
            <v>1357000.0000000019</v>
          </cell>
          <cell r="AA118">
            <v>5806.4516129032254</v>
          </cell>
          <cell r="AB118">
            <v>519999.99999999988</v>
          </cell>
          <cell r="AC118">
            <v>0</v>
          </cell>
          <cell r="AD118">
            <v>0</v>
          </cell>
          <cell r="AE118">
            <v>135483.87096774194</v>
          </cell>
          <cell r="AF118">
            <v>13100000.000000013</v>
          </cell>
          <cell r="AG118">
            <v>53387.096774193546</v>
          </cell>
          <cell r="AH118">
            <v>4854999.9999999944</v>
          </cell>
        </row>
        <row r="119">
          <cell r="B119">
            <v>46113</v>
          </cell>
          <cell r="C119">
            <v>16500</v>
          </cell>
          <cell r="D119">
            <v>1466500.0000000009</v>
          </cell>
          <cell r="E119">
            <v>6500</v>
          </cell>
          <cell r="F119">
            <v>433499.99999999907</v>
          </cell>
          <cell r="G119">
            <v>23000</v>
          </cell>
          <cell r="H119">
            <v>1900000.0000000012</v>
          </cell>
          <cell r="I119">
            <v>18333.333333333332</v>
          </cell>
          <cell r="J119">
            <v>1818333.3333333309</v>
          </cell>
          <cell r="K119">
            <v>5000</v>
          </cell>
          <cell r="L119">
            <v>454999.99999999942</v>
          </cell>
          <cell r="M119">
            <v>23333.333333333332</v>
          </cell>
          <cell r="N119">
            <v>2273333.333333333</v>
          </cell>
          <cell r="O119">
            <v>23333.333333333332</v>
          </cell>
          <cell r="P119">
            <v>2273333.333333333</v>
          </cell>
          <cell r="Q119">
            <v>190500</v>
          </cell>
          <cell r="R119">
            <v>18170914.746543769</v>
          </cell>
          <cell r="S119">
            <v>21.713569861697753</v>
          </cell>
          <cell r="T119">
            <v>1753.0549084405134</v>
          </cell>
          <cell r="U119">
            <v>6.4544444445860574</v>
          </cell>
          <cell r="V119">
            <v>562.17988889149478</v>
          </cell>
          <cell r="W119">
            <v>0</v>
          </cell>
          <cell r="X119">
            <v>0</v>
          </cell>
          <cell r="Y119">
            <v>16666.666666666668</v>
          </cell>
          <cell r="Z119">
            <v>1373666.6666666686</v>
          </cell>
          <cell r="AA119">
            <v>6333.333333333333</v>
          </cell>
          <cell r="AB119">
            <v>526333.33333333326</v>
          </cell>
          <cell r="AC119">
            <v>0</v>
          </cell>
          <cell r="AD119">
            <v>0</v>
          </cell>
          <cell r="AE119">
            <v>138333.33333333334</v>
          </cell>
          <cell r="AF119">
            <v>13238333.333333347</v>
          </cell>
          <cell r="AG119">
            <v>52166.666666666664</v>
          </cell>
          <cell r="AH119">
            <v>4907166.6666666614</v>
          </cell>
        </row>
        <row r="120">
          <cell r="B120">
            <v>46114</v>
          </cell>
          <cell r="C120">
            <v>16500</v>
          </cell>
          <cell r="D120">
            <v>1483000.0000000009</v>
          </cell>
          <cell r="E120">
            <v>6500</v>
          </cell>
          <cell r="F120">
            <v>439999.99999999907</v>
          </cell>
          <cell r="G120">
            <v>23000</v>
          </cell>
          <cell r="H120">
            <v>1923000.0000000012</v>
          </cell>
          <cell r="I120">
            <v>18333.333333333332</v>
          </cell>
          <cell r="J120">
            <v>1836666.6666666642</v>
          </cell>
          <cell r="K120">
            <v>5000</v>
          </cell>
          <cell r="L120">
            <v>459999.99999999942</v>
          </cell>
          <cell r="M120">
            <v>23333.333333333332</v>
          </cell>
          <cell r="N120">
            <v>2296666.6666666665</v>
          </cell>
          <cell r="O120">
            <v>23333.333333333332</v>
          </cell>
          <cell r="P120">
            <v>2296666.6666666665</v>
          </cell>
          <cell r="Q120">
            <v>190500</v>
          </cell>
          <cell r="R120">
            <v>18361414.746543769</v>
          </cell>
          <cell r="S120">
            <v>21.713569861697753</v>
          </cell>
          <cell r="T120">
            <v>1774.7684783022112</v>
          </cell>
          <cell r="U120">
            <v>6.4544444445860574</v>
          </cell>
          <cell r="V120">
            <v>568.63433333608089</v>
          </cell>
          <cell r="W120">
            <v>0</v>
          </cell>
          <cell r="X120">
            <v>0</v>
          </cell>
          <cell r="Y120">
            <v>16666.666666666668</v>
          </cell>
          <cell r="Z120">
            <v>1390333.3333333354</v>
          </cell>
          <cell r="AA120">
            <v>6333.333333333333</v>
          </cell>
          <cell r="AB120">
            <v>532666.66666666663</v>
          </cell>
          <cell r="AC120">
            <v>0</v>
          </cell>
          <cell r="AD120">
            <v>0</v>
          </cell>
          <cell r="AE120">
            <v>138333.33333333334</v>
          </cell>
          <cell r="AF120">
            <v>13376666.666666681</v>
          </cell>
          <cell r="AG120">
            <v>52166.666666666664</v>
          </cell>
          <cell r="AH120">
            <v>4959333.3333333284</v>
          </cell>
        </row>
        <row r="121">
          <cell r="B121">
            <v>46115</v>
          </cell>
          <cell r="C121">
            <v>16500</v>
          </cell>
          <cell r="D121">
            <v>1499500.0000000009</v>
          </cell>
          <cell r="E121">
            <v>6500</v>
          </cell>
          <cell r="F121">
            <v>446499.99999999907</v>
          </cell>
          <cell r="G121">
            <v>23000</v>
          </cell>
          <cell r="H121">
            <v>1946000.0000000012</v>
          </cell>
          <cell r="I121">
            <v>18333.333333333332</v>
          </cell>
          <cell r="J121">
            <v>1854999.9999999974</v>
          </cell>
          <cell r="K121">
            <v>5000</v>
          </cell>
          <cell r="L121">
            <v>464999.99999999942</v>
          </cell>
          <cell r="M121">
            <v>23333.333333333332</v>
          </cell>
          <cell r="N121">
            <v>2320000</v>
          </cell>
          <cell r="O121">
            <v>23333.333333333332</v>
          </cell>
          <cell r="P121">
            <v>2320000</v>
          </cell>
          <cell r="Q121">
            <v>190500</v>
          </cell>
          <cell r="R121">
            <v>18551914.746543769</v>
          </cell>
          <cell r="S121">
            <v>21.713569861697753</v>
          </cell>
          <cell r="T121">
            <v>1796.482048163909</v>
          </cell>
          <cell r="U121">
            <v>6.4544444445860574</v>
          </cell>
          <cell r="V121">
            <v>575.08877778066699</v>
          </cell>
          <cell r="W121">
            <v>0</v>
          </cell>
          <cell r="X121">
            <v>0</v>
          </cell>
          <cell r="Y121">
            <v>16666.666666666668</v>
          </cell>
          <cell r="Z121">
            <v>1407000.0000000021</v>
          </cell>
          <cell r="AA121">
            <v>6333.333333333333</v>
          </cell>
          <cell r="AB121">
            <v>539000</v>
          </cell>
          <cell r="AC121">
            <v>0</v>
          </cell>
          <cell r="AD121">
            <v>0</v>
          </cell>
          <cell r="AE121">
            <v>138333.33333333334</v>
          </cell>
          <cell r="AF121">
            <v>13515000.000000015</v>
          </cell>
          <cell r="AG121">
            <v>52166.666666666664</v>
          </cell>
          <cell r="AH121">
            <v>5011499.9999999953</v>
          </cell>
        </row>
        <row r="122">
          <cell r="B122">
            <v>46116</v>
          </cell>
          <cell r="C122">
            <v>16500</v>
          </cell>
          <cell r="D122">
            <v>1516000.0000000009</v>
          </cell>
          <cell r="E122">
            <v>6500</v>
          </cell>
          <cell r="F122">
            <v>452999.99999999907</v>
          </cell>
          <cell r="G122">
            <v>23000</v>
          </cell>
          <cell r="H122">
            <v>1969000.0000000012</v>
          </cell>
          <cell r="I122">
            <v>18333.333333333332</v>
          </cell>
          <cell r="J122">
            <v>1873333.3333333307</v>
          </cell>
          <cell r="K122">
            <v>5000</v>
          </cell>
          <cell r="L122">
            <v>469999.99999999942</v>
          </cell>
          <cell r="M122">
            <v>23333.333333333332</v>
          </cell>
          <cell r="N122">
            <v>2343333.3333333335</v>
          </cell>
          <cell r="O122">
            <v>23333.333333333332</v>
          </cell>
          <cell r="P122">
            <v>2343333.3333333335</v>
          </cell>
          <cell r="Q122">
            <v>190500</v>
          </cell>
          <cell r="R122">
            <v>18742414.746543769</v>
          </cell>
          <cell r="S122">
            <v>21.713569861697753</v>
          </cell>
          <cell r="T122">
            <v>1818.1956180256068</v>
          </cell>
          <cell r="U122">
            <v>6.4544444445860574</v>
          </cell>
          <cell r="V122">
            <v>581.54322222525309</v>
          </cell>
          <cell r="W122">
            <v>0</v>
          </cell>
          <cell r="X122">
            <v>0</v>
          </cell>
          <cell r="Y122">
            <v>16666.666666666668</v>
          </cell>
          <cell r="Z122">
            <v>1423666.6666666688</v>
          </cell>
          <cell r="AA122">
            <v>6333.333333333333</v>
          </cell>
          <cell r="AB122">
            <v>545333.33333333337</v>
          </cell>
          <cell r="AC122">
            <v>0</v>
          </cell>
          <cell r="AD122">
            <v>0</v>
          </cell>
          <cell r="AE122">
            <v>138333.33333333334</v>
          </cell>
          <cell r="AF122">
            <v>13653333.333333349</v>
          </cell>
          <cell r="AG122">
            <v>52166.666666666664</v>
          </cell>
          <cell r="AH122">
            <v>5063666.6666666623</v>
          </cell>
        </row>
        <row r="123">
          <cell r="B123">
            <v>46117</v>
          </cell>
          <cell r="C123">
            <v>16500</v>
          </cell>
          <cell r="D123">
            <v>1532500.0000000009</v>
          </cell>
          <cell r="E123">
            <v>6500</v>
          </cell>
          <cell r="F123">
            <v>459499.99999999907</v>
          </cell>
          <cell r="G123">
            <v>23000</v>
          </cell>
          <cell r="H123">
            <v>1992000.0000000012</v>
          </cell>
          <cell r="I123">
            <v>18333.333333333332</v>
          </cell>
          <cell r="J123">
            <v>1891666.666666664</v>
          </cell>
          <cell r="K123">
            <v>5000</v>
          </cell>
          <cell r="L123">
            <v>474999.99999999942</v>
          </cell>
          <cell r="M123">
            <v>23333.333333333332</v>
          </cell>
          <cell r="N123">
            <v>2366666.666666667</v>
          </cell>
          <cell r="O123">
            <v>23333.333333333332</v>
          </cell>
          <cell r="P123">
            <v>2366666.666666667</v>
          </cell>
          <cell r="Q123">
            <v>190500</v>
          </cell>
          <cell r="R123">
            <v>18932914.746543769</v>
          </cell>
          <cell r="S123">
            <v>21.713569861697753</v>
          </cell>
          <cell r="T123">
            <v>1839.9091878873046</v>
          </cell>
          <cell r="U123">
            <v>6.4544444445860574</v>
          </cell>
          <cell r="V123">
            <v>587.99766666983919</v>
          </cell>
          <cell r="W123">
            <v>0</v>
          </cell>
          <cell r="X123">
            <v>0</v>
          </cell>
          <cell r="Y123">
            <v>16666.666666666668</v>
          </cell>
          <cell r="Z123">
            <v>1440333.3333333356</v>
          </cell>
          <cell r="AA123">
            <v>6333.333333333333</v>
          </cell>
          <cell r="AB123">
            <v>551666.66666666674</v>
          </cell>
          <cell r="AC123">
            <v>0</v>
          </cell>
          <cell r="AD123">
            <v>0</v>
          </cell>
          <cell r="AE123">
            <v>138333.33333333334</v>
          </cell>
          <cell r="AF123">
            <v>13791666.666666683</v>
          </cell>
          <cell r="AG123">
            <v>52166.666666666664</v>
          </cell>
          <cell r="AH123">
            <v>5115833.3333333293</v>
          </cell>
        </row>
        <row r="124">
          <cell r="B124">
            <v>46118</v>
          </cell>
          <cell r="C124">
            <v>16500</v>
          </cell>
          <cell r="D124">
            <v>1549000.0000000009</v>
          </cell>
          <cell r="E124">
            <v>6500</v>
          </cell>
          <cell r="F124">
            <v>465999.99999999907</v>
          </cell>
          <cell r="G124">
            <v>23000</v>
          </cell>
          <cell r="H124">
            <v>2015000.0000000012</v>
          </cell>
          <cell r="I124">
            <v>18333.333333333332</v>
          </cell>
          <cell r="J124">
            <v>1909999.9999999972</v>
          </cell>
          <cell r="K124">
            <v>5000</v>
          </cell>
          <cell r="L124">
            <v>479999.99999999942</v>
          </cell>
          <cell r="M124">
            <v>23333.333333333332</v>
          </cell>
          <cell r="N124">
            <v>2390000.0000000005</v>
          </cell>
          <cell r="O124">
            <v>23333.333333333332</v>
          </cell>
          <cell r="P124">
            <v>2390000.0000000005</v>
          </cell>
          <cell r="Q124">
            <v>190500</v>
          </cell>
          <cell r="R124">
            <v>19123414.746543769</v>
          </cell>
          <cell r="S124">
            <v>21.713569861697753</v>
          </cell>
          <cell r="T124">
            <v>1861.6227577490024</v>
          </cell>
          <cell r="U124">
            <v>6.4544444445860574</v>
          </cell>
          <cell r="V124">
            <v>594.45211111442529</v>
          </cell>
          <cell r="W124">
            <v>0</v>
          </cell>
          <cell r="X124">
            <v>0</v>
          </cell>
          <cell r="Y124">
            <v>16666.666666666668</v>
          </cell>
          <cell r="Z124">
            <v>1457000.0000000023</v>
          </cell>
          <cell r="AA124">
            <v>6333.333333333333</v>
          </cell>
          <cell r="AB124">
            <v>558000.00000000012</v>
          </cell>
          <cell r="AC124">
            <v>0</v>
          </cell>
          <cell r="AD124">
            <v>0</v>
          </cell>
          <cell r="AE124">
            <v>138333.33333333334</v>
          </cell>
          <cell r="AF124">
            <v>13930000.000000017</v>
          </cell>
          <cell r="AG124">
            <v>52166.666666666664</v>
          </cell>
          <cell r="AH124">
            <v>5167999.9999999963</v>
          </cell>
        </row>
        <row r="125">
          <cell r="B125">
            <v>46119</v>
          </cell>
          <cell r="C125">
            <v>16500</v>
          </cell>
          <cell r="D125">
            <v>1565500.0000000009</v>
          </cell>
          <cell r="E125">
            <v>6500</v>
          </cell>
          <cell r="F125">
            <v>472499.99999999907</v>
          </cell>
          <cell r="G125">
            <v>23000</v>
          </cell>
          <cell r="H125">
            <v>2038000.0000000012</v>
          </cell>
          <cell r="I125">
            <v>18333.333333333332</v>
          </cell>
          <cell r="J125">
            <v>1928333.3333333305</v>
          </cell>
          <cell r="K125">
            <v>5000</v>
          </cell>
          <cell r="L125">
            <v>484999.99999999942</v>
          </cell>
          <cell r="M125">
            <v>23333.333333333332</v>
          </cell>
          <cell r="N125">
            <v>2413333.333333334</v>
          </cell>
          <cell r="O125">
            <v>23333.333333333332</v>
          </cell>
          <cell r="P125">
            <v>2413333.333333334</v>
          </cell>
          <cell r="Q125">
            <v>190500</v>
          </cell>
          <cell r="R125">
            <v>19313914.746543769</v>
          </cell>
          <cell r="S125">
            <v>21.713569861697753</v>
          </cell>
          <cell r="T125">
            <v>1883.3363276107002</v>
          </cell>
          <cell r="U125">
            <v>6.4544444445860574</v>
          </cell>
          <cell r="V125">
            <v>600.90655555901139</v>
          </cell>
          <cell r="W125">
            <v>0</v>
          </cell>
          <cell r="X125">
            <v>0</v>
          </cell>
          <cell r="Y125">
            <v>16666.666666666668</v>
          </cell>
          <cell r="Z125">
            <v>1473666.6666666691</v>
          </cell>
          <cell r="AA125">
            <v>6333.333333333333</v>
          </cell>
          <cell r="AB125">
            <v>564333.33333333349</v>
          </cell>
          <cell r="AC125">
            <v>0</v>
          </cell>
          <cell r="AD125">
            <v>0</v>
          </cell>
          <cell r="AE125">
            <v>138333.33333333334</v>
          </cell>
          <cell r="AF125">
            <v>14068333.333333351</v>
          </cell>
          <cell r="AG125">
            <v>52166.666666666664</v>
          </cell>
          <cell r="AH125">
            <v>5220166.6666666633</v>
          </cell>
        </row>
        <row r="126">
          <cell r="B126">
            <v>46120</v>
          </cell>
          <cell r="C126">
            <v>16500</v>
          </cell>
          <cell r="D126">
            <v>1582000.0000000009</v>
          </cell>
          <cell r="E126">
            <v>6500</v>
          </cell>
          <cell r="F126">
            <v>478999.99999999907</v>
          </cell>
          <cell r="G126">
            <v>23000</v>
          </cell>
          <cell r="H126">
            <v>2061000.0000000012</v>
          </cell>
          <cell r="I126">
            <v>18333.333333333332</v>
          </cell>
          <cell r="J126">
            <v>1946666.6666666637</v>
          </cell>
          <cell r="K126">
            <v>5000</v>
          </cell>
          <cell r="L126">
            <v>489999.99999999942</v>
          </cell>
          <cell r="M126">
            <v>23333.333333333332</v>
          </cell>
          <cell r="N126">
            <v>2436666.6666666674</v>
          </cell>
          <cell r="O126">
            <v>23333.333333333332</v>
          </cell>
          <cell r="P126">
            <v>2436666.6666666674</v>
          </cell>
          <cell r="Q126">
            <v>190500</v>
          </cell>
          <cell r="R126">
            <v>19504414.746543769</v>
          </cell>
          <cell r="S126">
            <v>21.713569861697753</v>
          </cell>
          <cell r="T126">
            <v>1905.049897472398</v>
          </cell>
          <cell r="U126">
            <v>6.4544444445860574</v>
          </cell>
          <cell r="V126">
            <v>607.3610000035975</v>
          </cell>
          <cell r="W126">
            <v>0</v>
          </cell>
          <cell r="X126">
            <v>0</v>
          </cell>
          <cell r="Y126">
            <v>16666.666666666668</v>
          </cell>
          <cell r="Z126">
            <v>1490333.3333333358</v>
          </cell>
          <cell r="AA126">
            <v>6333.333333333333</v>
          </cell>
          <cell r="AB126">
            <v>570666.66666666686</v>
          </cell>
          <cell r="AC126">
            <v>0</v>
          </cell>
          <cell r="AD126">
            <v>0</v>
          </cell>
          <cell r="AE126">
            <v>138333.33333333334</v>
          </cell>
          <cell r="AF126">
            <v>14206666.666666685</v>
          </cell>
          <cell r="AG126">
            <v>52166.666666666664</v>
          </cell>
          <cell r="AH126">
            <v>5272333.3333333302</v>
          </cell>
        </row>
        <row r="127">
          <cell r="B127">
            <v>46121</v>
          </cell>
          <cell r="C127">
            <v>16500</v>
          </cell>
          <cell r="D127">
            <v>1598500.0000000009</v>
          </cell>
          <cell r="E127">
            <v>6500</v>
          </cell>
          <cell r="F127">
            <v>485499.99999999907</v>
          </cell>
          <cell r="G127">
            <v>23000</v>
          </cell>
          <cell r="H127">
            <v>2084000.0000000012</v>
          </cell>
          <cell r="I127">
            <v>18333.333333333332</v>
          </cell>
          <cell r="J127">
            <v>1964999.999999997</v>
          </cell>
          <cell r="K127">
            <v>5000</v>
          </cell>
          <cell r="L127">
            <v>494999.99999999942</v>
          </cell>
          <cell r="M127">
            <v>23333.333333333332</v>
          </cell>
          <cell r="N127">
            <v>2460000.0000000009</v>
          </cell>
          <cell r="O127">
            <v>23333.333333333332</v>
          </cell>
          <cell r="P127">
            <v>2460000.0000000009</v>
          </cell>
          <cell r="Q127">
            <v>190500</v>
          </cell>
          <cell r="R127">
            <v>19694914.746543769</v>
          </cell>
          <cell r="S127">
            <v>21.713569861697753</v>
          </cell>
          <cell r="T127">
            <v>1926.7634673340958</v>
          </cell>
          <cell r="U127">
            <v>6.4544444445860574</v>
          </cell>
          <cell r="V127">
            <v>613.8154444481836</v>
          </cell>
          <cell r="W127">
            <v>0</v>
          </cell>
          <cell r="X127">
            <v>0</v>
          </cell>
          <cell r="Y127">
            <v>16666.666666666668</v>
          </cell>
          <cell r="Z127">
            <v>1507000.0000000026</v>
          </cell>
          <cell r="AA127">
            <v>6333.333333333333</v>
          </cell>
          <cell r="AB127">
            <v>577000.00000000023</v>
          </cell>
          <cell r="AC127">
            <v>0</v>
          </cell>
          <cell r="AD127">
            <v>0</v>
          </cell>
          <cell r="AE127">
            <v>138333.33333333334</v>
          </cell>
          <cell r="AF127">
            <v>14345000.000000019</v>
          </cell>
          <cell r="AG127">
            <v>52166.666666666664</v>
          </cell>
          <cell r="AH127">
            <v>5324499.9999999972</v>
          </cell>
        </row>
        <row r="128">
          <cell r="B128">
            <v>46122</v>
          </cell>
          <cell r="C128">
            <v>16500</v>
          </cell>
          <cell r="D128">
            <v>1615000.0000000009</v>
          </cell>
          <cell r="E128">
            <v>6500</v>
          </cell>
          <cell r="F128">
            <v>491999.99999999907</v>
          </cell>
          <cell r="G128">
            <v>23000</v>
          </cell>
          <cell r="H128">
            <v>2107000.0000000009</v>
          </cell>
          <cell r="I128">
            <v>18333.333333333332</v>
          </cell>
          <cell r="J128">
            <v>1983333.3333333302</v>
          </cell>
          <cell r="K128">
            <v>5000</v>
          </cell>
          <cell r="L128">
            <v>499999.99999999942</v>
          </cell>
          <cell r="M128">
            <v>23333.333333333332</v>
          </cell>
          <cell r="N128">
            <v>2483333.3333333344</v>
          </cell>
          <cell r="O128">
            <v>23333.333333333332</v>
          </cell>
          <cell r="P128">
            <v>2483333.3333333344</v>
          </cell>
          <cell r="Q128">
            <v>190500</v>
          </cell>
          <cell r="R128">
            <v>19885414.746543769</v>
          </cell>
          <cell r="S128">
            <v>21.713569861697753</v>
          </cell>
          <cell r="T128">
            <v>1948.4770371957936</v>
          </cell>
          <cell r="U128">
            <v>6.4544444445860574</v>
          </cell>
          <cell r="V128">
            <v>620.2698888927697</v>
          </cell>
          <cell r="W128">
            <v>0</v>
          </cell>
          <cell r="X128">
            <v>0</v>
          </cell>
          <cell r="Y128">
            <v>16666.666666666668</v>
          </cell>
          <cell r="Z128">
            <v>1523666.6666666693</v>
          </cell>
          <cell r="AA128">
            <v>6333.333333333333</v>
          </cell>
          <cell r="AB128">
            <v>583333.3333333336</v>
          </cell>
          <cell r="AC128">
            <v>0</v>
          </cell>
          <cell r="AD128">
            <v>0</v>
          </cell>
          <cell r="AE128">
            <v>138333.33333333334</v>
          </cell>
          <cell r="AF128">
            <v>14483333.333333353</v>
          </cell>
          <cell r="AG128">
            <v>52166.666666666664</v>
          </cell>
          <cell r="AH128">
            <v>5376666.6666666642</v>
          </cell>
        </row>
        <row r="129">
          <cell r="B129">
            <v>46123</v>
          </cell>
          <cell r="C129">
            <v>16500</v>
          </cell>
          <cell r="D129">
            <v>1631500.0000000009</v>
          </cell>
          <cell r="E129">
            <v>6500</v>
          </cell>
          <cell r="F129">
            <v>498499.99999999907</v>
          </cell>
          <cell r="G129">
            <v>23000</v>
          </cell>
          <cell r="H129">
            <v>2130000.0000000009</v>
          </cell>
          <cell r="I129">
            <v>18333.333333333332</v>
          </cell>
          <cell r="J129">
            <v>2001666.6666666635</v>
          </cell>
          <cell r="K129">
            <v>5000</v>
          </cell>
          <cell r="L129">
            <v>504999.99999999942</v>
          </cell>
          <cell r="M129">
            <v>23333.333333333332</v>
          </cell>
          <cell r="N129">
            <v>2506666.6666666679</v>
          </cell>
          <cell r="O129">
            <v>23333.333333333332</v>
          </cell>
          <cell r="P129">
            <v>2506666.6666666679</v>
          </cell>
          <cell r="Q129">
            <v>190500</v>
          </cell>
          <cell r="R129">
            <v>20075914.746543769</v>
          </cell>
          <cell r="S129">
            <v>21.713569861697753</v>
          </cell>
          <cell r="T129">
            <v>1970.1906070574914</v>
          </cell>
          <cell r="U129">
            <v>6.4544444445860574</v>
          </cell>
          <cell r="V129">
            <v>626.7243333373558</v>
          </cell>
          <cell r="W129">
            <v>0</v>
          </cell>
          <cell r="X129">
            <v>0</v>
          </cell>
          <cell r="Y129">
            <v>16666.666666666668</v>
          </cell>
          <cell r="Z129">
            <v>1540333.333333336</v>
          </cell>
          <cell r="AA129">
            <v>6333.333333333333</v>
          </cell>
          <cell r="AB129">
            <v>589666.66666666698</v>
          </cell>
          <cell r="AC129">
            <v>0</v>
          </cell>
          <cell r="AD129">
            <v>0</v>
          </cell>
          <cell r="AE129">
            <v>138333.33333333334</v>
          </cell>
          <cell r="AF129">
            <v>14621666.666666687</v>
          </cell>
          <cell r="AG129">
            <v>52166.666666666664</v>
          </cell>
          <cell r="AH129">
            <v>5428833.3333333312</v>
          </cell>
        </row>
        <row r="130">
          <cell r="B130">
            <v>46124</v>
          </cell>
          <cell r="C130">
            <v>16500</v>
          </cell>
          <cell r="D130">
            <v>1648000.0000000009</v>
          </cell>
          <cell r="E130">
            <v>6500</v>
          </cell>
          <cell r="F130">
            <v>504999.99999999907</v>
          </cell>
          <cell r="G130">
            <v>23000</v>
          </cell>
          <cell r="H130">
            <v>2153000.0000000009</v>
          </cell>
          <cell r="I130">
            <v>18333.333333333332</v>
          </cell>
          <cell r="J130">
            <v>2019999.9999999967</v>
          </cell>
          <cell r="K130">
            <v>5000</v>
          </cell>
          <cell r="L130">
            <v>509999.99999999942</v>
          </cell>
          <cell r="M130">
            <v>23333.333333333332</v>
          </cell>
          <cell r="N130">
            <v>2530000.0000000014</v>
          </cell>
          <cell r="O130">
            <v>23333.333333333332</v>
          </cell>
          <cell r="P130">
            <v>2530000.0000000014</v>
          </cell>
          <cell r="Q130">
            <v>190500</v>
          </cell>
          <cell r="R130">
            <v>20266414.746543769</v>
          </cell>
          <cell r="S130">
            <v>21.713569861697753</v>
          </cell>
          <cell r="T130">
            <v>1991.9041769191892</v>
          </cell>
          <cell r="U130">
            <v>6.4544444445860574</v>
          </cell>
          <cell r="V130">
            <v>633.1787777819419</v>
          </cell>
          <cell r="W130">
            <v>0</v>
          </cell>
          <cell r="X130">
            <v>0</v>
          </cell>
          <cell r="Y130">
            <v>16666.666666666668</v>
          </cell>
          <cell r="Z130">
            <v>1557000.0000000028</v>
          </cell>
          <cell r="AA130">
            <v>6333.333333333333</v>
          </cell>
          <cell r="AB130">
            <v>596000.00000000035</v>
          </cell>
          <cell r="AC130">
            <v>0</v>
          </cell>
          <cell r="AD130">
            <v>0</v>
          </cell>
          <cell r="AE130">
            <v>138333.33333333334</v>
          </cell>
          <cell r="AF130">
            <v>14760000.00000002</v>
          </cell>
          <cell r="AG130">
            <v>52166.666666666664</v>
          </cell>
          <cell r="AH130">
            <v>5480999.9999999981</v>
          </cell>
        </row>
        <row r="131">
          <cell r="B131">
            <v>46125</v>
          </cell>
          <cell r="C131">
            <v>16500</v>
          </cell>
          <cell r="D131">
            <v>1664500.0000000009</v>
          </cell>
          <cell r="E131">
            <v>6500</v>
          </cell>
          <cell r="F131">
            <v>511499.99999999907</v>
          </cell>
          <cell r="G131">
            <v>23000</v>
          </cell>
          <cell r="H131">
            <v>2176000.0000000009</v>
          </cell>
          <cell r="I131">
            <v>18333.333333333332</v>
          </cell>
          <cell r="J131">
            <v>2038333.33333333</v>
          </cell>
          <cell r="K131">
            <v>5000</v>
          </cell>
          <cell r="L131">
            <v>514999.99999999942</v>
          </cell>
          <cell r="M131">
            <v>23333.333333333332</v>
          </cell>
          <cell r="N131">
            <v>2553333.3333333349</v>
          </cell>
          <cell r="O131">
            <v>23333.333333333332</v>
          </cell>
          <cell r="P131">
            <v>2553333.3333333349</v>
          </cell>
          <cell r="Q131">
            <v>190500</v>
          </cell>
          <cell r="R131">
            <v>20456914.746543769</v>
          </cell>
          <cell r="S131">
            <v>21.713569861697753</v>
          </cell>
          <cell r="T131">
            <v>2013.617746780887</v>
          </cell>
          <cell r="U131">
            <v>6.4544444445860574</v>
          </cell>
          <cell r="V131">
            <v>639.63322222652801</v>
          </cell>
          <cell r="W131">
            <v>0</v>
          </cell>
          <cell r="X131">
            <v>0</v>
          </cell>
          <cell r="Y131">
            <v>16666.666666666668</v>
          </cell>
          <cell r="Z131">
            <v>1573666.6666666695</v>
          </cell>
          <cell r="AA131">
            <v>6333.333333333333</v>
          </cell>
          <cell r="AB131">
            <v>602333.33333333372</v>
          </cell>
          <cell r="AC131">
            <v>0</v>
          </cell>
          <cell r="AD131">
            <v>0</v>
          </cell>
          <cell r="AE131">
            <v>138333.33333333334</v>
          </cell>
          <cell r="AF131">
            <v>14898333.333333354</v>
          </cell>
          <cell r="AG131">
            <v>52166.666666666664</v>
          </cell>
          <cell r="AH131">
            <v>5533166.6666666651</v>
          </cell>
        </row>
        <row r="132">
          <cell r="B132">
            <v>46126</v>
          </cell>
          <cell r="C132">
            <v>16500</v>
          </cell>
          <cell r="D132">
            <v>1681000.0000000009</v>
          </cell>
          <cell r="E132">
            <v>6500</v>
          </cell>
          <cell r="F132">
            <v>517999.99999999907</v>
          </cell>
          <cell r="G132">
            <v>23000</v>
          </cell>
          <cell r="H132">
            <v>2199000.0000000009</v>
          </cell>
          <cell r="I132">
            <v>18333.333333333332</v>
          </cell>
          <cell r="J132">
            <v>2056666.6666666633</v>
          </cell>
          <cell r="K132">
            <v>5000</v>
          </cell>
          <cell r="L132">
            <v>519999.99999999942</v>
          </cell>
          <cell r="M132">
            <v>23333.333333333332</v>
          </cell>
          <cell r="N132">
            <v>2576666.6666666684</v>
          </cell>
          <cell r="O132">
            <v>23333.333333333332</v>
          </cell>
          <cell r="P132">
            <v>2576666.6666666684</v>
          </cell>
          <cell r="Q132">
            <v>190500</v>
          </cell>
          <cell r="R132">
            <v>20647414.746543769</v>
          </cell>
          <cell r="S132">
            <v>21.713569861697753</v>
          </cell>
          <cell r="T132">
            <v>2035.3313166425849</v>
          </cell>
          <cell r="U132">
            <v>6.4544444445860574</v>
          </cell>
          <cell r="V132">
            <v>646.08766667111411</v>
          </cell>
          <cell r="W132">
            <v>0</v>
          </cell>
          <cell r="X132">
            <v>0</v>
          </cell>
          <cell r="Y132">
            <v>16666.666666666668</v>
          </cell>
          <cell r="Z132">
            <v>1590333.3333333363</v>
          </cell>
          <cell r="AA132">
            <v>6333.333333333333</v>
          </cell>
          <cell r="AB132">
            <v>608666.66666666709</v>
          </cell>
          <cell r="AC132">
            <v>0</v>
          </cell>
          <cell r="AD132">
            <v>0</v>
          </cell>
          <cell r="AE132">
            <v>138333.33333333334</v>
          </cell>
          <cell r="AF132">
            <v>15036666.666666688</v>
          </cell>
          <cell r="AG132">
            <v>52166.666666666664</v>
          </cell>
          <cell r="AH132">
            <v>5585333.3333333321</v>
          </cell>
        </row>
        <row r="133">
          <cell r="B133">
            <v>46127</v>
          </cell>
          <cell r="C133">
            <v>16500</v>
          </cell>
          <cell r="D133">
            <v>1697500.0000000009</v>
          </cell>
          <cell r="E133">
            <v>6500</v>
          </cell>
          <cell r="F133">
            <v>524499.99999999907</v>
          </cell>
          <cell r="G133">
            <v>23000</v>
          </cell>
          <cell r="H133">
            <v>2222000.0000000009</v>
          </cell>
          <cell r="I133">
            <v>18333.333333333332</v>
          </cell>
          <cell r="J133">
            <v>2074999.9999999965</v>
          </cell>
          <cell r="K133">
            <v>5000</v>
          </cell>
          <cell r="L133">
            <v>524999.99999999942</v>
          </cell>
          <cell r="M133">
            <v>23333.333333333332</v>
          </cell>
          <cell r="N133">
            <v>2600000.0000000019</v>
          </cell>
          <cell r="O133">
            <v>23333.333333333332</v>
          </cell>
          <cell r="P133">
            <v>2600000.0000000019</v>
          </cell>
          <cell r="Q133">
            <v>190500</v>
          </cell>
          <cell r="R133">
            <v>20837914.746543769</v>
          </cell>
          <cell r="S133">
            <v>21.713569861697753</v>
          </cell>
          <cell r="T133">
            <v>2057.0448865042827</v>
          </cell>
          <cell r="U133">
            <v>6.4544444445860574</v>
          </cell>
          <cell r="V133">
            <v>652.54211111570021</v>
          </cell>
          <cell r="W133">
            <v>0</v>
          </cell>
          <cell r="X133">
            <v>0</v>
          </cell>
          <cell r="Y133">
            <v>16666.666666666668</v>
          </cell>
          <cell r="Z133">
            <v>1607000.000000003</v>
          </cell>
          <cell r="AA133">
            <v>6333.333333333333</v>
          </cell>
          <cell r="AB133">
            <v>615000.00000000047</v>
          </cell>
          <cell r="AC133">
            <v>0</v>
          </cell>
          <cell r="AD133">
            <v>0</v>
          </cell>
          <cell r="AE133">
            <v>138333.33333333334</v>
          </cell>
          <cell r="AF133">
            <v>15175000.000000022</v>
          </cell>
          <cell r="AG133">
            <v>52166.666666666664</v>
          </cell>
          <cell r="AH133">
            <v>5637499.9999999991</v>
          </cell>
        </row>
        <row r="134">
          <cell r="B134">
            <v>46128</v>
          </cell>
          <cell r="C134">
            <v>16500</v>
          </cell>
          <cell r="D134">
            <v>1714000.0000000009</v>
          </cell>
          <cell r="E134">
            <v>6500</v>
          </cell>
          <cell r="F134">
            <v>530999.99999999907</v>
          </cell>
          <cell r="G134">
            <v>23000</v>
          </cell>
          <cell r="H134">
            <v>2245000.0000000009</v>
          </cell>
          <cell r="I134">
            <v>18333.333333333332</v>
          </cell>
          <cell r="J134">
            <v>2093333.3333333298</v>
          </cell>
          <cell r="K134">
            <v>5000</v>
          </cell>
          <cell r="L134">
            <v>529999.99999999942</v>
          </cell>
          <cell r="M134">
            <v>23333.333333333332</v>
          </cell>
          <cell r="N134">
            <v>2623333.3333333354</v>
          </cell>
          <cell r="O134">
            <v>23333.333333333332</v>
          </cell>
          <cell r="P134">
            <v>2623333.3333333354</v>
          </cell>
          <cell r="Q134">
            <v>190500</v>
          </cell>
          <cell r="R134">
            <v>21028414.746543769</v>
          </cell>
          <cell r="S134">
            <v>21.713569861697753</v>
          </cell>
          <cell r="T134">
            <v>2078.7584563659802</v>
          </cell>
          <cell r="U134">
            <v>6.4544444445860574</v>
          </cell>
          <cell r="V134">
            <v>658.99655556028631</v>
          </cell>
          <cell r="W134">
            <v>0</v>
          </cell>
          <cell r="X134">
            <v>0</v>
          </cell>
          <cell r="Y134">
            <v>16666.666666666668</v>
          </cell>
          <cell r="Z134">
            <v>1623666.6666666698</v>
          </cell>
          <cell r="AA134">
            <v>6333.333333333333</v>
          </cell>
          <cell r="AB134">
            <v>621333.33333333384</v>
          </cell>
          <cell r="AC134">
            <v>0</v>
          </cell>
          <cell r="AD134">
            <v>0</v>
          </cell>
          <cell r="AE134">
            <v>138333.33333333334</v>
          </cell>
          <cell r="AF134">
            <v>15313333.333333356</v>
          </cell>
          <cell r="AG134">
            <v>52166.666666666664</v>
          </cell>
          <cell r="AH134">
            <v>5689666.666666666</v>
          </cell>
        </row>
        <row r="135">
          <cell r="B135">
            <v>46129</v>
          </cell>
          <cell r="C135">
            <v>16500</v>
          </cell>
          <cell r="D135">
            <v>1730500.0000000009</v>
          </cell>
          <cell r="E135">
            <v>6500</v>
          </cell>
          <cell r="F135">
            <v>537499.99999999907</v>
          </cell>
          <cell r="G135">
            <v>23000</v>
          </cell>
          <cell r="H135">
            <v>2268000.0000000009</v>
          </cell>
          <cell r="I135">
            <v>18333.333333333332</v>
          </cell>
          <cell r="J135">
            <v>2111666.6666666633</v>
          </cell>
          <cell r="K135">
            <v>5000</v>
          </cell>
          <cell r="L135">
            <v>534999.99999999942</v>
          </cell>
          <cell r="M135">
            <v>23333.333333333332</v>
          </cell>
          <cell r="N135">
            <v>2646666.6666666688</v>
          </cell>
          <cell r="O135">
            <v>23333.333333333332</v>
          </cell>
          <cell r="P135">
            <v>2646666.6666666688</v>
          </cell>
          <cell r="Q135">
            <v>190500</v>
          </cell>
          <cell r="R135">
            <v>21218914.746543769</v>
          </cell>
          <cell r="S135">
            <v>21.713569861697753</v>
          </cell>
          <cell r="T135">
            <v>2100.4720262276778</v>
          </cell>
          <cell r="U135">
            <v>6.4544444445860574</v>
          </cell>
          <cell r="V135">
            <v>665.45100000487241</v>
          </cell>
          <cell r="W135">
            <v>0</v>
          </cell>
          <cell r="X135">
            <v>0</v>
          </cell>
          <cell r="Y135">
            <v>16666.666666666668</v>
          </cell>
          <cell r="Z135">
            <v>1640333.3333333365</v>
          </cell>
          <cell r="AA135">
            <v>6333.333333333333</v>
          </cell>
          <cell r="AB135">
            <v>627666.66666666721</v>
          </cell>
          <cell r="AC135">
            <v>0</v>
          </cell>
          <cell r="AD135">
            <v>0</v>
          </cell>
          <cell r="AE135">
            <v>138333.33333333334</v>
          </cell>
          <cell r="AF135">
            <v>15451666.66666669</v>
          </cell>
          <cell r="AG135">
            <v>52166.666666666664</v>
          </cell>
          <cell r="AH135">
            <v>5741833.333333333</v>
          </cell>
        </row>
        <row r="136">
          <cell r="B136">
            <v>46130</v>
          </cell>
          <cell r="C136">
            <v>16500</v>
          </cell>
          <cell r="D136">
            <v>1747000.0000000009</v>
          </cell>
          <cell r="E136">
            <v>6500</v>
          </cell>
          <cell r="F136">
            <v>543999.99999999907</v>
          </cell>
          <cell r="G136">
            <v>23000</v>
          </cell>
          <cell r="H136">
            <v>2291000.0000000009</v>
          </cell>
          <cell r="I136">
            <v>18333.333333333332</v>
          </cell>
          <cell r="J136">
            <v>2129999.9999999967</v>
          </cell>
          <cell r="K136">
            <v>5000</v>
          </cell>
          <cell r="L136">
            <v>539999.99999999942</v>
          </cell>
          <cell r="M136">
            <v>23333.333333333332</v>
          </cell>
          <cell r="N136">
            <v>2670000.0000000023</v>
          </cell>
          <cell r="O136">
            <v>23333.333333333332</v>
          </cell>
          <cell r="P136">
            <v>2670000.0000000023</v>
          </cell>
          <cell r="Q136">
            <v>190500</v>
          </cell>
          <cell r="R136">
            <v>21409414.746543769</v>
          </cell>
          <cell r="S136">
            <v>21.713569861697753</v>
          </cell>
          <cell r="T136">
            <v>2122.1855960893754</v>
          </cell>
          <cell r="U136">
            <v>6.4544444445860574</v>
          </cell>
          <cell r="V136">
            <v>671.90544444945851</v>
          </cell>
          <cell r="W136">
            <v>0</v>
          </cell>
          <cell r="X136">
            <v>0</v>
          </cell>
          <cell r="Y136">
            <v>16666.666666666668</v>
          </cell>
          <cell r="Z136">
            <v>1657000.0000000033</v>
          </cell>
          <cell r="AA136">
            <v>6333.333333333333</v>
          </cell>
          <cell r="AB136">
            <v>634000.00000000058</v>
          </cell>
          <cell r="AC136">
            <v>0</v>
          </cell>
          <cell r="AD136">
            <v>0</v>
          </cell>
          <cell r="AE136">
            <v>138333.33333333334</v>
          </cell>
          <cell r="AF136">
            <v>15590000.000000024</v>
          </cell>
          <cell r="AG136">
            <v>52166.666666666664</v>
          </cell>
          <cell r="AH136">
            <v>5794000</v>
          </cell>
        </row>
        <row r="137">
          <cell r="B137">
            <v>46131</v>
          </cell>
          <cell r="C137">
            <v>16500</v>
          </cell>
          <cell r="D137">
            <v>1763500.0000000009</v>
          </cell>
          <cell r="E137">
            <v>6500</v>
          </cell>
          <cell r="F137">
            <v>550499.99999999907</v>
          </cell>
          <cell r="G137">
            <v>23000</v>
          </cell>
          <cell r="H137">
            <v>2314000.0000000009</v>
          </cell>
          <cell r="I137">
            <v>18333.333333333332</v>
          </cell>
          <cell r="J137">
            <v>2148333.3333333302</v>
          </cell>
          <cell r="K137">
            <v>5000</v>
          </cell>
          <cell r="L137">
            <v>544999.99999999942</v>
          </cell>
          <cell r="M137">
            <v>23333.333333333332</v>
          </cell>
          <cell r="N137">
            <v>2693333.3333333358</v>
          </cell>
          <cell r="O137">
            <v>23333.333333333332</v>
          </cell>
          <cell r="P137">
            <v>2693333.3333333358</v>
          </cell>
          <cell r="Q137">
            <v>190500</v>
          </cell>
          <cell r="R137">
            <v>21599914.746543769</v>
          </cell>
          <cell r="S137">
            <v>21.713569861697753</v>
          </cell>
          <cell r="T137">
            <v>2143.899165951073</v>
          </cell>
          <cell r="U137">
            <v>6.4544444445860574</v>
          </cell>
          <cell r="V137">
            <v>678.35988889404462</v>
          </cell>
          <cell r="W137">
            <v>0</v>
          </cell>
          <cell r="X137">
            <v>0</v>
          </cell>
          <cell r="Y137">
            <v>16666.666666666668</v>
          </cell>
          <cell r="Z137">
            <v>1673666.66666667</v>
          </cell>
          <cell r="AA137">
            <v>6333.333333333333</v>
          </cell>
          <cell r="AB137">
            <v>640333.33333333395</v>
          </cell>
          <cell r="AC137">
            <v>0</v>
          </cell>
          <cell r="AD137">
            <v>0</v>
          </cell>
          <cell r="AE137">
            <v>138333.33333333334</v>
          </cell>
          <cell r="AF137">
            <v>15728333.333333358</v>
          </cell>
          <cell r="AG137">
            <v>52166.666666666664</v>
          </cell>
          <cell r="AH137">
            <v>5846166.666666667</v>
          </cell>
        </row>
        <row r="138">
          <cell r="B138">
            <v>46132</v>
          </cell>
          <cell r="C138">
            <v>16500</v>
          </cell>
          <cell r="D138">
            <v>1780000.0000000009</v>
          </cell>
          <cell r="E138">
            <v>6500</v>
          </cell>
          <cell r="F138">
            <v>556999.99999999907</v>
          </cell>
          <cell r="G138">
            <v>23000</v>
          </cell>
          <cell r="H138">
            <v>2337000.0000000009</v>
          </cell>
          <cell r="I138">
            <v>18333.333333333332</v>
          </cell>
          <cell r="J138">
            <v>2166666.6666666637</v>
          </cell>
          <cell r="K138">
            <v>5000</v>
          </cell>
          <cell r="L138">
            <v>549999.99999999942</v>
          </cell>
          <cell r="M138">
            <v>23333.333333333332</v>
          </cell>
          <cell r="N138">
            <v>2716666.6666666693</v>
          </cell>
          <cell r="O138">
            <v>23333.333333333332</v>
          </cell>
          <cell r="P138">
            <v>2716666.6666666693</v>
          </cell>
          <cell r="Q138">
            <v>190500</v>
          </cell>
          <cell r="R138">
            <v>21790414.746543769</v>
          </cell>
          <cell r="S138">
            <v>21.713569861697753</v>
          </cell>
          <cell r="T138">
            <v>2165.6127358127706</v>
          </cell>
          <cell r="U138">
            <v>6.4544444445860574</v>
          </cell>
          <cell r="V138">
            <v>684.81433333863072</v>
          </cell>
          <cell r="W138">
            <v>0</v>
          </cell>
          <cell r="X138">
            <v>0</v>
          </cell>
          <cell r="Y138">
            <v>16666.666666666668</v>
          </cell>
          <cell r="Z138">
            <v>1690333.3333333367</v>
          </cell>
          <cell r="AA138">
            <v>6333.333333333333</v>
          </cell>
          <cell r="AB138">
            <v>646666.66666666733</v>
          </cell>
          <cell r="AC138">
            <v>0</v>
          </cell>
          <cell r="AD138">
            <v>0</v>
          </cell>
          <cell r="AE138">
            <v>138333.33333333334</v>
          </cell>
          <cell r="AF138">
            <v>15866666.666666692</v>
          </cell>
          <cell r="AG138">
            <v>52166.666666666664</v>
          </cell>
          <cell r="AH138">
            <v>5898333.333333334</v>
          </cell>
        </row>
        <row r="139">
          <cell r="B139">
            <v>46133</v>
          </cell>
          <cell r="C139">
            <v>16500</v>
          </cell>
          <cell r="D139">
            <v>1796500.0000000009</v>
          </cell>
          <cell r="E139">
            <v>6500</v>
          </cell>
          <cell r="F139">
            <v>563499.99999999907</v>
          </cell>
          <cell r="G139">
            <v>23000</v>
          </cell>
          <cell r="H139">
            <v>2360000.0000000009</v>
          </cell>
          <cell r="I139">
            <v>18333.333333333332</v>
          </cell>
          <cell r="J139">
            <v>2184999.9999999972</v>
          </cell>
          <cell r="K139">
            <v>5000</v>
          </cell>
          <cell r="L139">
            <v>554999.99999999942</v>
          </cell>
          <cell r="M139">
            <v>23333.333333333332</v>
          </cell>
          <cell r="N139">
            <v>2740000.0000000028</v>
          </cell>
          <cell r="O139">
            <v>23333.333333333332</v>
          </cell>
          <cell r="P139">
            <v>2740000.0000000028</v>
          </cell>
          <cell r="Q139">
            <v>190500</v>
          </cell>
          <cell r="R139">
            <v>21980914.746543769</v>
          </cell>
          <cell r="S139">
            <v>21.713569861697753</v>
          </cell>
          <cell r="T139">
            <v>2187.3263056744681</v>
          </cell>
          <cell r="U139">
            <v>6.4544444445860574</v>
          </cell>
          <cell r="V139">
            <v>691.26877778321682</v>
          </cell>
          <cell r="W139">
            <v>0</v>
          </cell>
          <cell r="X139">
            <v>0</v>
          </cell>
          <cell r="Y139">
            <v>16666.666666666668</v>
          </cell>
          <cell r="Z139">
            <v>1707000.0000000035</v>
          </cell>
          <cell r="AA139">
            <v>6333.333333333333</v>
          </cell>
          <cell r="AB139">
            <v>653000.0000000007</v>
          </cell>
          <cell r="AC139">
            <v>0</v>
          </cell>
          <cell r="AD139">
            <v>0</v>
          </cell>
          <cell r="AE139">
            <v>138333.33333333334</v>
          </cell>
          <cell r="AF139">
            <v>16005000.000000026</v>
          </cell>
          <cell r="AG139">
            <v>52166.666666666664</v>
          </cell>
          <cell r="AH139">
            <v>5950500.0000000009</v>
          </cell>
        </row>
        <row r="140">
          <cell r="B140">
            <v>46134</v>
          </cell>
          <cell r="C140">
            <v>16500</v>
          </cell>
          <cell r="D140">
            <v>1813000.0000000009</v>
          </cell>
          <cell r="E140">
            <v>6500</v>
          </cell>
          <cell r="F140">
            <v>569999.99999999907</v>
          </cell>
          <cell r="G140">
            <v>23000</v>
          </cell>
          <cell r="H140">
            <v>2383000.0000000009</v>
          </cell>
          <cell r="I140">
            <v>18333.333333333332</v>
          </cell>
          <cell r="J140">
            <v>2203333.3333333307</v>
          </cell>
          <cell r="K140">
            <v>5000</v>
          </cell>
          <cell r="L140">
            <v>559999.99999999942</v>
          </cell>
          <cell r="M140">
            <v>23333.333333333332</v>
          </cell>
          <cell r="N140">
            <v>2763333.3333333363</v>
          </cell>
          <cell r="O140">
            <v>23333.333333333332</v>
          </cell>
          <cell r="P140">
            <v>2763333.3333333363</v>
          </cell>
          <cell r="Q140">
            <v>190500</v>
          </cell>
          <cell r="R140">
            <v>22171414.746543769</v>
          </cell>
          <cell r="S140">
            <v>21.713569861697753</v>
          </cell>
          <cell r="T140">
            <v>2209.0398755361657</v>
          </cell>
          <cell r="U140">
            <v>6.4544444445860574</v>
          </cell>
          <cell r="V140">
            <v>697.72322222780292</v>
          </cell>
          <cell r="W140">
            <v>0</v>
          </cell>
          <cell r="X140">
            <v>0</v>
          </cell>
          <cell r="Y140">
            <v>16666.666666666668</v>
          </cell>
          <cell r="Z140">
            <v>1723666.6666666702</v>
          </cell>
          <cell r="AA140">
            <v>6333.333333333333</v>
          </cell>
          <cell r="AB140">
            <v>659333.33333333407</v>
          </cell>
          <cell r="AC140">
            <v>0</v>
          </cell>
          <cell r="AD140">
            <v>0</v>
          </cell>
          <cell r="AE140">
            <v>138333.33333333334</v>
          </cell>
          <cell r="AF140">
            <v>16143333.33333336</v>
          </cell>
          <cell r="AG140">
            <v>52166.666666666664</v>
          </cell>
          <cell r="AH140">
            <v>6002666.6666666679</v>
          </cell>
        </row>
        <row r="141">
          <cell r="B141">
            <v>46135</v>
          </cell>
          <cell r="C141">
            <v>16500</v>
          </cell>
          <cell r="D141">
            <v>1829500.0000000009</v>
          </cell>
          <cell r="E141">
            <v>6500</v>
          </cell>
          <cell r="F141">
            <v>576499.99999999907</v>
          </cell>
          <cell r="G141">
            <v>23000</v>
          </cell>
          <cell r="H141">
            <v>2406000.0000000009</v>
          </cell>
          <cell r="I141">
            <v>18333.333333333332</v>
          </cell>
          <cell r="J141">
            <v>2221666.6666666642</v>
          </cell>
          <cell r="K141">
            <v>5000</v>
          </cell>
          <cell r="L141">
            <v>564999.99999999942</v>
          </cell>
          <cell r="M141">
            <v>23333.333333333332</v>
          </cell>
          <cell r="N141">
            <v>2786666.6666666698</v>
          </cell>
          <cell r="O141">
            <v>23333.333333333332</v>
          </cell>
          <cell r="P141">
            <v>2786666.6666666698</v>
          </cell>
          <cell r="Q141">
            <v>190500</v>
          </cell>
          <cell r="R141">
            <v>22361914.746543769</v>
          </cell>
          <cell r="S141">
            <v>21.713569861697753</v>
          </cell>
          <cell r="T141">
            <v>2230.7534453978633</v>
          </cell>
          <cell r="U141">
            <v>6.4544444445860574</v>
          </cell>
          <cell r="V141">
            <v>704.17766667238902</v>
          </cell>
          <cell r="W141">
            <v>0</v>
          </cell>
          <cell r="X141">
            <v>0</v>
          </cell>
          <cell r="Y141">
            <v>16666.666666666668</v>
          </cell>
          <cell r="Z141">
            <v>1740333.333333337</v>
          </cell>
          <cell r="AA141">
            <v>6333.333333333333</v>
          </cell>
          <cell r="AB141">
            <v>665666.66666666744</v>
          </cell>
          <cell r="AC141">
            <v>0</v>
          </cell>
          <cell r="AD141">
            <v>0</v>
          </cell>
          <cell r="AE141">
            <v>138333.33333333334</v>
          </cell>
          <cell r="AF141">
            <v>16281666.666666694</v>
          </cell>
          <cell r="AG141">
            <v>52166.666666666664</v>
          </cell>
          <cell r="AH141">
            <v>6054833.3333333349</v>
          </cell>
        </row>
        <row r="142">
          <cell r="B142">
            <v>46136</v>
          </cell>
          <cell r="C142">
            <v>16500</v>
          </cell>
          <cell r="D142">
            <v>1846000.0000000009</v>
          </cell>
          <cell r="E142">
            <v>6500</v>
          </cell>
          <cell r="F142">
            <v>582999.99999999907</v>
          </cell>
          <cell r="G142">
            <v>23000</v>
          </cell>
          <cell r="H142">
            <v>2429000.0000000009</v>
          </cell>
          <cell r="I142">
            <v>18333.333333333332</v>
          </cell>
          <cell r="J142">
            <v>2239999.9999999977</v>
          </cell>
          <cell r="K142">
            <v>5000</v>
          </cell>
          <cell r="L142">
            <v>569999.99999999942</v>
          </cell>
          <cell r="M142">
            <v>23333.333333333332</v>
          </cell>
          <cell r="N142">
            <v>2810000.0000000033</v>
          </cell>
          <cell r="O142">
            <v>23333.333333333332</v>
          </cell>
          <cell r="P142">
            <v>2810000.0000000033</v>
          </cell>
          <cell r="Q142">
            <v>190500</v>
          </cell>
          <cell r="R142">
            <v>22552414.746543769</v>
          </cell>
          <cell r="S142">
            <v>21.713569861697753</v>
          </cell>
          <cell r="T142">
            <v>2252.4670152595609</v>
          </cell>
          <cell r="U142">
            <v>6.4544444445860574</v>
          </cell>
          <cell r="V142">
            <v>710.63211111697512</v>
          </cell>
          <cell r="W142">
            <v>0</v>
          </cell>
          <cell r="X142">
            <v>0</v>
          </cell>
          <cell r="Y142">
            <v>16666.666666666668</v>
          </cell>
          <cell r="Z142">
            <v>1757000.0000000037</v>
          </cell>
          <cell r="AA142">
            <v>6333.333333333333</v>
          </cell>
          <cell r="AB142">
            <v>672000.00000000081</v>
          </cell>
          <cell r="AC142">
            <v>0</v>
          </cell>
          <cell r="AD142">
            <v>0</v>
          </cell>
          <cell r="AE142">
            <v>138333.33333333334</v>
          </cell>
          <cell r="AF142">
            <v>16420000.000000028</v>
          </cell>
          <cell r="AG142">
            <v>52166.666666666664</v>
          </cell>
          <cell r="AH142">
            <v>6107000.0000000019</v>
          </cell>
        </row>
        <row r="143">
          <cell r="B143">
            <v>46137</v>
          </cell>
          <cell r="C143">
            <v>16500</v>
          </cell>
          <cell r="D143">
            <v>1862500.0000000009</v>
          </cell>
          <cell r="E143">
            <v>6500</v>
          </cell>
          <cell r="F143">
            <v>589499.99999999907</v>
          </cell>
          <cell r="G143">
            <v>23000</v>
          </cell>
          <cell r="H143">
            <v>2452000.0000000009</v>
          </cell>
          <cell r="I143">
            <v>18333.333333333332</v>
          </cell>
          <cell r="J143">
            <v>2258333.3333333312</v>
          </cell>
          <cell r="K143">
            <v>5000</v>
          </cell>
          <cell r="L143">
            <v>574999.99999999942</v>
          </cell>
          <cell r="M143">
            <v>23333.333333333332</v>
          </cell>
          <cell r="N143">
            <v>2833333.3333333367</v>
          </cell>
          <cell r="O143">
            <v>23333.333333333332</v>
          </cell>
          <cell r="P143">
            <v>2833333.3333333367</v>
          </cell>
          <cell r="Q143">
            <v>190500</v>
          </cell>
          <cell r="R143">
            <v>22742914.746543769</v>
          </cell>
          <cell r="S143">
            <v>21.713569861697753</v>
          </cell>
          <cell r="T143">
            <v>2274.1805851212584</v>
          </cell>
          <cell r="U143">
            <v>6.4544444445860574</v>
          </cell>
          <cell r="V143">
            <v>717.08655556156123</v>
          </cell>
          <cell r="W143">
            <v>0</v>
          </cell>
          <cell r="X143">
            <v>0</v>
          </cell>
          <cell r="Y143">
            <v>16666.666666666668</v>
          </cell>
          <cell r="Z143">
            <v>1773666.6666666705</v>
          </cell>
          <cell r="AA143">
            <v>6333.333333333333</v>
          </cell>
          <cell r="AB143">
            <v>678333.33333333419</v>
          </cell>
          <cell r="AC143">
            <v>0</v>
          </cell>
          <cell r="AD143">
            <v>0</v>
          </cell>
          <cell r="AE143">
            <v>138333.33333333334</v>
          </cell>
          <cell r="AF143">
            <v>16558333.333333362</v>
          </cell>
          <cell r="AG143">
            <v>52166.666666666664</v>
          </cell>
          <cell r="AH143">
            <v>6159166.6666666688</v>
          </cell>
        </row>
        <row r="144">
          <cell r="B144">
            <v>46138</v>
          </cell>
          <cell r="C144">
            <v>16500</v>
          </cell>
          <cell r="D144">
            <v>1879000.0000000009</v>
          </cell>
          <cell r="E144">
            <v>6500</v>
          </cell>
          <cell r="F144">
            <v>595999.99999999907</v>
          </cell>
          <cell r="G144">
            <v>23000</v>
          </cell>
          <cell r="H144">
            <v>2475000.0000000009</v>
          </cell>
          <cell r="I144">
            <v>18333.333333333332</v>
          </cell>
          <cell r="J144">
            <v>2276666.6666666646</v>
          </cell>
          <cell r="K144">
            <v>5000</v>
          </cell>
          <cell r="L144">
            <v>579999.99999999942</v>
          </cell>
          <cell r="M144">
            <v>23333.333333333332</v>
          </cell>
          <cell r="N144">
            <v>2856666.6666666702</v>
          </cell>
          <cell r="O144">
            <v>23333.333333333332</v>
          </cell>
          <cell r="P144">
            <v>2856666.6666666702</v>
          </cell>
          <cell r="Q144">
            <v>190500</v>
          </cell>
          <cell r="R144">
            <v>22933414.746543769</v>
          </cell>
          <cell r="S144">
            <v>21.713569861697753</v>
          </cell>
          <cell r="T144">
            <v>2295.894154982956</v>
          </cell>
          <cell r="U144">
            <v>6.4544444445860574</v>
          </cell>
          <cell r="V144">
            <v>723.54100000614733</v>
          </cell>
          <cell r="W144">
            <v>0</v>
          </cell>
          <cell r="X144">
            <v>0</v>
          </cell>
          <cell r="Y144">
            <v>16666.666666666668</v>
          </cell>
          <cell r="Z144">
            <v>1790333.3333333372</v>
          </cell>
          <cell r="AA144">
            <v>6333.333333333333</v>
          </cell>
          <cell r="AB144">
            <v>684666.66666666756</v>
          </cell>
          <cell r="AC144">
            <v>0</v>
          </cell>
          <cell r="AD144">
            <v>0</v>
          </cell>
          <cell r="AE144">
            <v>138333.33333333334</v>
          </cell>
          <cell r="AF144">
            <v>16696666.666666696</v>
          </cell>
          <cell r="AG144">
            <v>52166.666666666664</v>
          </cell>
          <cell r="AH144">
            <v>6211333.3333333358</v>
          </cell>
        </row>
        <row r="145">
          <cell r="B145">
            <v>46139</v>
          </cell>
          <cell r="C145">
            <v>16500</v>
          </cell>
          <cell r="D145">
            <v>1895500.0000000009</v>
          </cell>
          <cell r="E145">
            <v>6500</v>
          </cell>
          <cell r="F145">
            <v>602499.99999999907</v>
          </cell>
          <cell r="G145">
            <v>23000</v>
          </cell>
          <cell r="H145">
            <v>2498000.0000000009</v>
          </cell>
          <cell r="I145">
            <v>18333.333333333332</v>
          </cell>
          <cell r="J145">
            <v>2294999.9999999981</v>
          </cell>
          <cell r="K145">
            <v>5000</v>
          </cell>
          <cell r="L145">
            <v>584999.99999999942</v>
          </cell>
          <cell r="M145">
            <v>23333.333333333332</v>
          </cell>
          <cell r="N145">
            <v>2880000.0000000037</v>
          </cell>
          <cell r="O145">
            <v>23333.333333333332</v>
          </cell>
          <cell r="P145">
            <v>2880000.0000000037</v>
          </cell>
          <cell r="Q145">
            <v>190500</v>
          </cell>
          <cell r="R145">
            <v>23123914.746543769</v>
          </cell>
          <cell r="S145">
            <v>21.713569861697753</v>
          </cell>
          <cell r="T145">
            <v>2317.6077248446536</v>
          </cell>
          <cell r="U145">
            <v>6.4544444445860574</v>
          </cell>
          <cell r="V145">
            <v>729.99544445073343</v>
          </cell>
          <cell r="W145">
            <v>0</v>
          </cell>
          <cell r="X145">
            <v>0</v>
          </cell>
          <cell r="Y145">
            <v>16666.666666666668</v>
          </cell>
          <cell r="Z145">
            <v>1807000.000000004</v>
          </cell>
          <cell r="AA145">
            <v>6333.333333333333</v>
          </cell>
          <cell r="AB145">
            <v>691000.00000000093</v>
          </cell>
          <cell r="AC145">
            <v>0</v>
          </cell>
          <cell r="AD145">
            <v>0</v>
          </cell>
          <cell r="AE145">
            <v>138333.33333333334</v>
          </cell>
          <cell r="AF145">
            <v>16835000.00000003</v>
          </cell>
          <cell r="AG145">
            <v>52166.666666666664</v>
          </cell>
          <cell r="AH145">
            <v>6263500.0000000028</v>
          </cell>
        </row>
        <row r="146">
          <cell r="B146">
            <v>46140</v>
          </cell>
          <cell r="C146">
            <v>16500</v>
          </cell>
          <cell r="D146">
            <v>1912000.0000000009</v>
          </cell>
          <cell r="E146">
            <v>6500</v>
          </cell>
          <cell r="F146">
            <v>608999.99999999907</v>
          </cell>
          <cell r="G146">
            <v>23000</v>
          </cell>
          <cell r="H146">
            <v>2521000.0000000009</v>
          </cell>
          <cell r="I146">
            <v>18333.333333333332</v>
          </cell>
          <cell r="J146">
            <v>2313333.3333333316</v>
          </cell>
          <cell r="K146">
            <v>5000</v>
          </cell>
          <cell r="L146">
            <v>589999.99999999942</v>
          </cell>
          <cell r="M146">
            <v>23333.333333333332</v>
          </cell>
          <cell r="N146">
            <v>2903333.3333333372</v>
          </cell>
          <cell r="O146">
            <v>23333.333333333332</v>
          </cell>
          <cell r="P146">
            <v>2903333.3333333372</v>
          </cell>
          <cell r="Q146">
            <v>190500</v>
          </cell>
          <cell r="R146">
            <v>23314414.746543769</v>
          </cell>
          <cell r="S146">
            <v>21.713569861697753</v>
          </cell>
          <cell r="T146">
            <v>2339.3212947063512</v>
          </cell>
          <cell r="U146">
            <v>6.4544444445860574</v>
          </cell>
          <cell r="V146">
            <v>736.44988889531953</v>
          </cell>
          <cell r="W146">
            <v>0</v>
          </cell>
          <cell r="X146">
            <v>0</v>
          </cell>
          <cell r="Y146">
            <v>16666.666666666668</v>
          </cell>
          <cell r="Z146">
            <v>1823666.6666666707</v>
          </cell>
          <cell r="AA146">
            <v>6333.333333333333</v>
          </cell>
          <cell r="AB146">
            <v>697333.3333333343</v>
          </cell>
          <cell r="AC146">
            <v>0</v>
          </cell>
          <cell r="AD146">
            <v>0</v>
          </cell>
          <cell r="AE146">
            <v>138333.33333333334</v>
          </cell>
          <cell r="AF146">
            <v>16973333.333333362</v>
          </cell>
          <cell r="AG146">
            <v>52166.666666666664</v>
          </cell>
          <cell r="AH146">
            <v>6315666.6666666698</v>
          </cell>
        </row>
        <row r="147">
          <cell r="B147">
            <v>46141</v>
          </cell>
          <cell r="C147">
            <v>16500</v>
          </cell>
          <cell r="D147">
            <v>1928500.0000000009</v>
          </cell>
          <cell r="E147">
            <v>6500</v>
          </cell>
          <cell r="F147">
            <v>615499.99999999907</v>
          </cell>
          <cell r="G147">
            <v>23000</v>
          </cell>
          <cell r="H147">
            <v>2544000.0000000009</v>
          </cell>
          <cell r="I147">
            <v>18333.333333333332</v>
          </cell>
          <cell r="J147">
            <v>2331666.6666666651</v>
          </cell>
          <cell r="K147">
            <v>5000</v>
          </cell>
          <cell r="L147">
            <v>594999.99999999942</v>
          </cell>
          <cell r="M147">
            <v>23333.333333333332</v>
          </cell>
          <cell r="N147">
            <v>2926666.6666666707</v>
          </cell>
          <cell r="O147">
            <v>23333.333333333332</v>
          </cell>
          <cell r="P147">
            <v>2926666.6666666707</v>
          </cell>
          <cell r="Q147">
            <v>190500</v>
          </cell>
          <cell r="R147">
            <v>23504914.746543769</v>
          </cell>
          <cell r="S147">
            <v>21.713569861697753</v>
          </cell>
          <cell r="T147">
            <v>2361.0348645680488</v>
          </cell>
          <cell r="U147">
            <v>6.4544444445860574</v>
          </cell>
          <cell r="V147">
            <v>742.90433333990563</v>
          </cell>
          <cell r="W147">
            <v>0</v>
          </cell>
          <cell r="X147">
            <v>0</v>
          </cell>
          <cell r="Y147">
            <v>16666.666666666668</v>
          </cell>
          <cell r="Z147">
            <v>1840333.3333333374</v>
          </cell>
          <cell r="AA147">
            <v>6333.333333333333</v>
          </cell>
          <cell r="AB147">
            <v>703666.66666666768</v>
          </cell>
          <cell r="AC147">
            <v>0</v>
          </cell>
          <cell r="AD147">
            <v>0</v>
          </cell>
          <cell r="AE147">
            <v>138333.33333333334</v>
          </cell>
          <cell r="AF147">
            <v>17111666.666666694</v>
          </cell>
          <cell r="AG147">
            <v>52166.666666666664</v>
          </cell>
          <cell r="AH147">
            <v>6367833.3333333367</v>
          </cell>
        </row>
        <row r="148">
          <cell r="B148">
            <v>46142</v>
          </cell>
          <cell r="C148">
            <v>16500</v>
          </cell>
          <cell r="D148">
            <v>1945000.0000000009</v>
          </cell>
          <cell r="E148">
            <v>6500</v>
          </cell>
          <cell r="F148">
            <v>621999.99999999907</v>
          </cell>
          <cell r="G148">
            <v>23000</v>
          </cell>
          <cell r="H148">
            <v>2567000.0000000009</v>
          </cell>
          <cell r="I148">
            <v>18333.333333333332</v>
          </cell>
          <cell r="J148">
            <v>2349999.9999999986</v>
          </cell>
          <cell r="K148">
            <v>5000</v>
          </cell>
          <cell r="L148">
            <v>599999.99999999942</v>
          </cell>
          <cell r="M148">
            <v>23333.333333333332</v>
          </cell>
          <cell r="N148">
            <v>2950000.0000000042</v>
          </cell>
          <cell r="O148">
            <v>23333.333333333332</v>
          </cell>
          <cell r="P148">
            <v>2950000.0000000042</v>
          </cell>
          <cell r="Q148">
            <v>190500</v>
          </cell>
          <cell r="R148">
            <v>23695414.746543769</v>
          </cell>
          <cell r="S148">
            <v>21.713569861697753</v>
          </cell>
          <cell r="T148">
            <v>2382.7484344297463</v>
          </cell>
          <cell r="U148">
            <v>6.4544444445860574</v>
          </cell>
          <cell r="V148">
            <v>749.35877778449174</v>
          </cell>
          <cell r="W148">
            <v>0</v>
          </cell>
          <cell r="X148">
            <v>0</v>
          </cell>
          <cell r="Y148">
            <v>16666.666666666668</v>
          </cell>
          <cell r="Z148">
            <v>1857000.0000000042</v>
          </cell>
          <cell r="AA148">
            <v>6333.333333333333</v>
          </cell>
          <cell r="AB148">
            <v>710000.00000000105</v>
          </cell>
          <cell r="AC148">
            <v>0</v>
          </cell>
          <cell r="AD148">
            <v>0</v>
          </cell>
          <cell r="AE148">
            <v>138333.33333333334</v>
          </cell>
          <cell r="AF148">
            <v>17250000.000000026</v>
          </cell>
          <cell r="AG148">
            <v>52166.666666666664</v>
          </cell>
          <cell r="AH148">
            <v>6420000.0000000037</v>
          </cell>
        </row>
        <row r="149">
          <cell r="B149">
            <v>46143</v>
          </cell>
          <cell r="C149">
            <v>16935.483870967742</v>
          </cell>
          <cell r="D149">
            <v>1961935.4838709687</v>
          </cell>
          <cell r="E149">
            <v>6548.3870967741932</v>
          </cell>
          <cell r="F149">
            <v>628548.38709677325</v>
          </cell>
          <cell r="G149">
            <v>23483.870967741936</v>
          </cell>
          <cell r="H149">
            <v>2590483.870967743</v>
          </cell>
          <cell r="I149">
            <v>17741.935483870966</v>
          </cell>
          <cell r="J149">
            <v>2367741.9354838696</v>
          </cell>
          <cell r="K149">
            <v>4838.7096774193551</v>
          </cell>
          <cell r="L149">
            <v>604838.70967741881</v>
          </cell>
          <cell r="M149">
            <v>22580.645161290322</v>
          </cell>
          <cell r="N149">
            <v>2972580.6451612944</v>
          </cell>
          <cell r="O149">
            <v>22580.645161290322</v>
          </cell>
          <cell r="P149">
            <v>2972580.6451612944</v>
          </cell>
          <cell r="Q149">
            <v>199193.54838709679</v>
          </cell>
          <cell r="R149">
            <v>23894608.294930864</v>
          </cell>
          <cell r="S149">
            <v>16.051779516380076</v>
          </cell>
          <cell r="T149">
            <v>2398.8002139461264</v>
          </cell>
          <cell r="U149">
            <v>5.3555913978951768</v>
          </cell>
          <cell r="V149">
            <v>754.71436918238692</v>
          </cell>
          <cell r="W149">
            <v>0</v>
          </cell>
          <cell r="X149">
            <v>0</v>
          </cell>
          <cell r="Y149">
            <v>17354.83870967742</v>
          </cell>
          <cell r="Z149">
            <v>1874354.8387096815</v>
          </cell>
          <cell r="AA149">
            <v>6129.0322580645161</v>
          </cell>
          <cell r="AB149">
            <v>716129.03225806553</v>
          </cell>
          <cell r="AC149">
            <v>0</v>
          </cell>
          <cell r="AD149">
            <v>0</v>
          </cell>
          <cell r="AE149">
            <v>150000</v>
          </cell>
          <cell r="AF149">
            <v>17400000.000000026</v>
          </cell>
          <cell r="AG149">
            <v>49193.548387096773</v>
          </cell>
          <cell r="AH149">
            <v>6469193.5483871009</v>
          </cell>
        </row>
        <row r="150">
          <cell r="B150">
            <v>46144</v>
          </cell>
          <cell r="C150">
            <v>16935.483870967742</v>
          </cell>
          <cell r="D150">
            <v>1978870.9677419364</v>
          </cell>
          <cell r="E150">
            <v>6548.3870967741932</v>
          </cell>
          <cell r="F150">
            <v>635096.77419354743</v>
          </cell>
          <cell r="G150">
            <v>23483.870967741936</v>
          </cell>
          <cell r="H150">
            <v>2613967.741935485</v>
          </cell>
          <cell r="I150">
            <v>17741.935483870966</v>
          </cell>
          <cell r="J150">
            <v>2385483.8709677407</v>
          </cell>
          <cell r="K150">
            <v>4838.7096774193551</v>
          </cell>
          <cell r="L150">
            <v>609677.4193548382</v>
          </cell>
          <cell r="M150">
            <v>22580.645161290322</v>
          </cell>
          <cell r="N150">
            <v>2995161.2903225846</v>
          </cell>
          <cell r="O150">
            <v>22580.645161290322</v>
          </cell>
          <cell r="P150">
            <v>2995161.2903225846</v>
          </cell>
          <cell r="Q150">
            <v>199193.54838709679</v>
          </cell>
          <cell r="R150">
            <v>24093801.843317959</v>
          </cell>
          <cell r="S150">
            <v>16.051779516380076</v>
          </cell>
          <cell r="T150">
            <v>2414.8519934625065</v>
          </cell>
          <cell r="U150">
            <v>5.3555913978951768</v>
          </cell>
          <cell r="V150">
            <v>760.0699605802821</v>
          </cell>
          <cell r="W150">
            <v>0</v>
          </cell>
          <cell r="X150">
            <v>0</v>
          </cell>
          <cell r="Y150">
            <v>17354.83870967742</v>
          </cell>
          <cell r="Z150">
            <v>1891709.6774193589</v>
          </cell>
          <cell r="AA150">
            <v>6129.0322580645161</v>
          </cell>
          <cell r="AB150">
            <v>722258.06451613002</v>
          </cell>
          <cell r="AC150">
            <v>0</v>
          </cell>
          <cell r="AD150">
            <v>0</v>
          </cell>
          <cell r="AE150">
            <v>150000</v>
          </cell>
          <cell r="AF150">
            <v>17550000.000000026</v>
          </cell>
          <cell r="AG150">
            <v>49193.548387096773</v>
          </cell>
          <cell r="AH150">
            <v>6518387.0967741981</v>
          </cell>
        </row>
        <row r="151">
          <cell r="B151">
            <v>46145</v>
          </cell>
          <cell r="C151">
            <v>16935.483870967742</v>
          </cell>
          <cell r="D151">
            <v>1995806.4516129042</v>
          </cell>
          <cell r="E151">
            <v>6548.3870967741932</v>
          </cell>
          <cell r="F151">
            <v>641645.16129032162</v>
          </cell>
          <cell r="G151">
            <v>23483.870967741936</v>
          </cell>
          <cell r="H151">
            <v>2637451.6129032271</v>
          </cell>
          <cell r="I151">
            <v>17741.935483870966</v>
          </cell>
          <cell r="J151">
            <v>2403225.8064516117</v>
          </cell>
          <cell r="K151">
            <v>4838.7096774193551</v>
          </cell>
          <cell r="L151">
            <v>614516.1290322576</v>
          </cell>
          <cell r="M151">
            <v>22580.645161290322</v>
          </cell>
          <cell r="N151">
            <v>3017741.9354838748</v>
          </cell>
          <cell r="O151">
            <v>22580.645161290322</v>
          </cell>
          <cell r="P151">
            <v>3017741.9354838748</v>
          </cell>
          <cell r="Q151">
            <v>199193.54838709679</v>
          </cell>
          <cell r="R151">
            <v>24292995.391705055</v>
          </cell>
          <cell r="S151">
            <v>16.051779516380076</v>
          </cell>
          <cell r="T151">
            <v>2430.9037729788865</v>
          </cell>
          <cell r="U151">
            <v>5.3555913978951768</v>
          </cell>
          <cell r="V151">
            <v>765.42555197817728</v>
          </cell>
          <cell r="W151">
            <v>0</v>
          </cell>
          <cell r="X151">
            <v>0</v>
          </cell>
          <cell r="Y151">
            <v>17354.83870967742</v>
          </cell>
          <cell r="Z151">
            <v>1909064.5161290362</v>
          </cell>
          <cell r="AA151">
            <v>6129.0322580645161</v>
          </cell>
          <cell r="AB151">
            <v>728387.09677419451</v>
          </cell>
          <cell r="AC151">
            <v>0</v>
          </cell>
          <cell r="AD151">
            <v>0</v>
          </cell>
          <cell r="AE151">
            <v>150000</v>
          </cell>
          <cell r="AF151">
            <v>17700000.000000026</v>
          </cell>
          <cell r="AG151">
            <v>49193.548387096773</v>
          </cell>
          <cell r="AH151">
            <v>6567580.6451612953</v>
          </cell>
        </row>
        <row r="152">
          <cell r="B152">
            <v>46146</v>
          </cell>
          <cell r="C152">
            <v>16935.483870967742</v>
          </cell>
          <cell r="D152">
            <v>2012741.935483872</v>
          </cell>
          <cell r="E152">
            <v>6548.3870967741932</v>
          </cell>
          <cell r="F152">
            <v>648193.5483870958</v>
          </cell>
          <cell r="G152">
            <v>23483.870967741936</v>
          </cell>
          <cell r="H152">
            <v>2660935.4838709692</v>
          </cell>
          <cell r="I152">
            <v>17741.935483870966</v>
          </cell>
          <cell r="J152">
            <v>2420967.7419354827</v>
          </cell>
          <cell r="K152">
            <v>4838.7096774193551</v>
          </cell>
          <cell r="L152">
            <v>619354.83870967699</v>
          </cell>
          <cell r="M152">
            <v>22580.645161290322</v>
          </cell>
          <cell r="N152">
            <v>3040322.5806451649</v>
          </cell>
          <cell r="O152">
            <v>22580.645161290322</v>
          </cell>
          <cell r="P152">
            <v>3040322.5806451649</v>
          </cell>
          <cell r="Q152">
            <v>199193.54838709679</v>
          </cell>
          <cell r="R152">
            <v>24492188.94009215</v>
          </cell>
          <cell r="S152">
            <v>16.051779516380076</v>
          </cell>
          <cell r="T152">
            <v>2446.9555524952666</v>
          </cell>
          <cell r="U152">
            <v>5.3555913978951768</v>
          </cell>
          <cell r="V152">
            <v>770.78114337607246</v>
          </cell>
          <cell r="W152">
            <v>0</v>
          </cell>
          <cell r="X152">
            <v>0</v>
          </cell>
          <cell r="Y152">
            <v>17354.83870967742</v>
          </cell>
          <cell r="Z152">
            <v>1926419.3548387135</v>
          </cell>
          <cell r="AA152">
            <v>6129.0322580645161</v>
          </cell>
          <cell r="AB152">
            <v>734516.12903225899</v>
          </cell>
          <cell r="AC152">
            <v>0</v>
          </cell>
          <cell r="AD152">
            <v>0</v>
          </cell>
          <cell r="AE152">
            <v>150000</v>
          </cell>
          <cell r="AF152">
            <v>17850000.000000026</v>
          </cell>
          <cell r="AG152">
            <v>49193.548387096773</v>
          </cell>
          <cell r="AH152">
            <v>6616774.1935483925</v>
          </cell>
        </row>
        <row r="153">
          <cell r="B153">
            <v>46147</v>
          </cell>
          <cell r="C153">
            <v>16935.483870967742</v>
          </cell>
          <cell r="D153">
            <v>2029677.4193548397</v>
          </cell>
          <cell r="E153">
            <v>6548.3870967741932</v>
          </cell>
          <cell r="F153">
            <v>654741.93548386998</v>
          </cell>
          <cell r="G153">
            <v>23483.870967741936</v>
          </cell>
          <cell r="H153">
            <v>2684419.3548387112</v>
          </cell>
          <cell r="I153">
            <v>17741.935483870966</v>
          </cell>
          <cell r="J153">
            <v>2438709.6774193537</v>
          </cell>
          <cell r="K153">
            <v>4838.7096774193551</v>
          </cell>
          <cell r="L153">
            <v>624193.54838709638</v>
          </cell>
          <cell r="M153">
            <v>22580.645161290322</v>
          </cell>
          <cell r="N153">
            <v>3062903.2258064551</v>
          </cell>
          <cell r="O153">
            <v>22580.645161290322</v>
          </cell>
          <cell r="P153">
            <v>3062903.2258064551</v>
          </cell>
          <cell r="Q153">
            <v>199193.54838709679</v>
          </cell>
          <cell r="R153">
            <v>24691382.488479245</v>
          </cell>
          <cell r="S153">
            <v>16.051779516380076</v>
          </cell>
          <cell r="T153">
            <v>2463.0073320116467</v>
          </cell>
          <cell r="U153">
            <v>5.3555913978951768</v>
          </cell>
          <cell r="V153">
            <v>776.13673477396765</v>
          </cell>
          <cell r="W153">
            <v>0</v>
          </cell>
          <cell r="X153">
            <v>0</v>
          </cell>
          <cell r="Y153">
            <v>17354.83870967742</v>
          </cell>
          <cell r="Z153">
            <v>1943774.1935483909</v>
          </cell>
          <cell r="AA153">
            <v>6129.0322580645161</v>
          </cell>
          <cell r="AB153">
            <v>740645.16129032348</v>
          </cell>
          <cell r="AC153">
            <v>0</v>
          </cell>
          <cell r="AD153">
            <v>0</v>
          </cell>
          <cell r="AE153">
            <v>150000</v>
          </cell>
          <cell r="AF153">
            <v>18000000.000000026</v>
          </cell>
          <cell r="AG153">
            <v>49193.548387096773</v>
          </cell>
          <cell r="AH153">
            <v>6665967.7419354897</v>
          </cell>
        </row>
        <row r="154">
          <cell r="B154">
            <v>46148</v>
          </cell>
          <cell r="C154">
            <v>16935.483870967742</v>
          </cell>
          <cell r="D154">
            <v>2046612.9032258075</v>
          </cell>
          <cell r="E154">
            <v>6548.3870967741932</v>
          </cell>
          <cell r="F154">
            <v>661290.32258064416</v>
          </cell>
          <cell r="G154">
            <v>23483.870967741936</v>
          </cell>
          <cell r="H154">
            <v>2707903.2258064533</v>
          </cell>
          <cell r="I154">
            <v>17741.935483870966</v>
          </cell>
          <cell r="J154">
            <v>2456451.6129032248</v>
          </cell>
          <cell r="K154">
            <v>4838.7096774193551</v>
          </cell>
          <cell r="L154">
            <v>629032.25806451577</v>
          </cell>
          <cell r="M154">
            <v>22580.645161290322</v>
          </cell>
          <cell r="N154">
            <v>3085483.8709677453</v>
          </cell>
          <cell r="O154">
            <v>22580.645161290322</v>
          </cell>
          <cell r="P154">
            <v>3085483.8709677453</v>
          </cell>
          <cell r="Q154">
            <v>199193.54838709679</v>
          </cell>
          <cell r="R154">
            <v>24890576.036866341</v>
          </cell>
          <cell r="S154">
            <v>16.051779516380076</v>
          </cell>
          <cell r="T154">
            <v>2479.0591115280267</v>
          </cell>
          <cell r="U154">
            <v>5.3555913978951768</v>
          </cell>
          <cell r="V154">
            <v>781.49232617186283</v>
          </cell>
          <cell r="W154">
            <v>0</v>
          </cell>
          <cell r="X154">
            <v>0</v>
          </cell>
          <cell r="Y154">
            <v>17354.83870967742</v>
          </cell>
          <cell r="Z154">
            <v>1961129.0322580682</v>
          </cell>
          <cell r="AA154">
            <v>6129.0322580645161</v>
          </cell>
          <cell r="AB154">
            <v>746774.19354838796</v>
          </cell>
          <cell r="AC154">
            <v>0</v>
          </cell>
          <cell r="AD154">
            <v>0</v>
          </cell>
          <cell r="AE154">
            <v>150000</v>
          </cell>
          <cell r="AF154">
            <v>18150000.000000026</v>
          </cell>
          <cell r="AG154">
            <v>49193.548387096773</v>
          </cell>
          <cell r="AH154">
            <v>6715161.2903225869</v>
          </cell>
        </row>
        <row r="155">
          <cell r="B155">
            <v>46149</v>
          </cell>
          <cell r="C155">
            <v>16935.483870967742</v>
          </cell>
          <cell r="D155">
            <v>2063548.3870967752</v>
          </cell>
          <cell r="E155">
            <v>6548.3870967741932</v>
          </cell>
          <cell r="F155">
            <v>667838.70967741834</v>
          </cell>
          <cell r="G155">
            <v>23483.870967741936</v>
          </cell>
          <cell r="H155">
            <v>2731387.0967741953</v>
          </cell>
          <cell r="I155">
            <v>17741.935483870966</v>
          </cell>
          <cell r="J155">
            <v>2474193.5483870958</v>
          </cell>
          <cell r="K155">
            <v>4838.7096774193551</v>
          </cell>
          <cell r="L155">
            <v>633870.96774193516</v>
          </cell>
          <cell r="M155">
            <v>22580.645161290322</v>
          </cell>
          <cell r="N155">
            <v>3108064.5161290355</v>
          </cell>
          <cell r="O155">
            <v>22580.645161290322</v>
          </cell>
          <cell r="P155">
            <v>3108064.5161290355</v>
          </cell>
          <cell r="Q155">
            <v>199193.54838709679</v>
          </cell>
          <cell r="R155">
            <v>25089769.585253436</v>
          </cell>
          <cell r="S155">
            <v>16.051779516380076</v>
          </cell>
          <cell r="T155">
            <v>2495.1108910444068</v>
          </cell>
          <cell r="U155">
            <v>5.3555913978951768</v>
          </cell>
          <cell r="V155">
            <v>786.84791756975801</v>
          </cell>
          <cell r="W155">
            <v>0</v>
          </cell>
          <cell r="X155">
            <v>0</v>
          </cell>
          <cell r="Y155">
            <v>17354.83870967742</v>
          </cell>
          <cell r="Z155">
            <v>1978483.8709677455</v>
          </cell>
          <cell r="AA155">
            <v>6129.0322580645161</v>
          </cell>
          <cell r="AB155">
            <v>752903.22580645245</v>
          </cell>
          <cell r="AC155">
            <v>0</v>
          </cell>
          <cell r="AD155">
            <v>0</v>
          </cell>
          <cell r="AE155">
            <v>150000</v>
          </cell>
          <cell r="AF155">
            <v>18300000.000000026</v>
          </cell>
          <cell r="AG155">
            <v>49193.548387096773</v>
          </cell>
          <cell r="AH155">
            <v>6764354.8387096841</v>
          </cell>
        </row>
        <row r="156">
          <cell r="B156">
            <v>46150</v>
          </cell>
          <cell r="C156">
            <v>16935.483870967742</v>
          </cell>
          <cell r="D156">
            <v>2080483.870967743</v>
          </cell>
          <cell r="E156">
            <v>6548.3870967741932</v>
          </cell>
          <cell r="F156">
            <v>674387.09677419253</v>
          </cell>
          <cell r="G156">
            <v>23483.870967741936</v>
          </cell>
          <cell r="H156">
            <v>2754870.9677419374</v>
          </cell>
          <cell r="I156">
            <v>17741.935483870966</v>
          </cell>
          <cell r="J156">
            <v>2491935.4838709668</v>
          </cell>
          <cell r="K156">
            <v>4838.7096774193551</v>
          </cell>
          <cell r="L156">
            <v>638709.67741935456</v>
          </cell>
          <cell r="M156">
            <v>22580.645161290322</v>
          </cell>
          <cell r="N156">
            <v>3130645.1612903257</v>
          </cell>
          <cell r="O156">
            <v>22580.645161290322</v>
          </cell>
          <cell r="P156">
            <v>3130645.1612903257</v>
          </cell>
          <cell r="Q156">
            <v>199193.54838709679</v>
          </cell>
          <cell r="R156">
            <v>25288963.133640531</v>
          </cell>
          <cell r="S156">
            <v>16.051779516380076</v>
          </cell>
          <cell r="T156">
            <v>2511.1626705607869</v>
          </cell>
          <cell r="U156">
            <v>5.3555913978951768</v>
          </cell>
          <cell r="V156">
            <v>792.20350896765319</v>
          </cell>
          <cell r="W156">
            <v>0</v>
          </cell>
          <cell r="X156">
            <v>0</v>
          </cell>
          <cell r="Y156">
            <v>17354.83870967742</v>
          </cell>
          <cell r="Z156">
            <v>1995838.7096774229</v>
          </cell>
          <cell r="AA156">
            <v>6129.0322580645161</v>
          </cell>
          <cell r="AB156">
            <v>759032.25806451694</v>
          </cell>
          <cell r="AC156">
            <v>0</v>
          </cell>
          <cell r="AD156">
            <v>0</v>
          </cell>
          <cell r="AE156">
            <v>150000</v>
          </cell>
          <cell r="AF156">
            <v>18450000.000000026</v>
          </cell>
          <cell r="AG156">
            <v>49193.548387096773</v>
          </cell>
          <cell r="AH156">
            <v>6813548.3870967813</v>
          </cell>
        </row>
        <row r="157">
          <cell r="B157">
            <v>46151</v>
          </cell>
          <cell r="C157">
            <v>16935.483870967742</v>
          </cell>
          <cell r="D157">
            <v>2097419.3548387107</v>
          </cell>
          <cell r="E157">
            <v>6548.3870967741932</v>
          </cell>
          <cell r="F157">
            <v>680935.48387096671</v>
          </cell>
          <cell r="G157">
            <v>23483.870967741936</v>
          </cell>
          <cell r="H157">
            <v>2778354.8387096794</v>
          </cell>
          <cell r="I157">
            <v>17741.935483870966</v>
          </cell>
          <cell r="J157">
            <v>2509677.4193548379</v>
          </cell>
          <cell r="K157">
            <v>4838.7096774193551</v>
          </cell>
          <cell r="L157">
            <v>643548.38709677395</v>
          </cell>
          <cell r="M157">
            <v>22580.645161290322</v>
          </cell>
          <cell r="N157">
            <v>3153225.8064516159</v>
          </cell>
          <cell r="O157">
            <v>22580.645161290322</v>
          </cell>
          <cell r="P157">
            <v>3153225.8064516159</v>
          </cell>
          <cell r="Q157">
            <v>199193.54838709679</v>
          </cell>
          <cell r="R157">
            <v>25488156.682027627</v>
          </cell>
          <cell r="S157">
            <v>16.051779516380076</v>
          </cell>
          <cell r="T157">
            <v>2527.2144500771669</v>
          </cell>
          <cell r="U157">
            <v>5.3555913978951768</v>
          </cell>
          <cell r="V157">
            <v>797.55910036554837</v>
          </cell>
          <cell r="W157">
            <v>0</v>
          </cell>
          <cell r="X157">
            <v>0</v>
          </cell>
          <cell r="Y157">
            <v>17354.83870967742</v>
          </cell>
          <cell r="Z157">
            <v>2013193.5483871002</v>
          </cell>
          <cell r="AA157">
            <v>6129.0322580645161</v>
          </cell>
          <cell r="AB157">
            <v>765161.29032258142</v>
          </cell>
          <cell r="AC157">
            <v>0</v>
          </cell>
          <cell r="AD157">
            <v>0</v>
          </cell>
          <cell r="AE157">
            <v>150000</v>
          </cell>
          <cell r="AF157">
            <v>18600000.000000026</v>
          </cell>
          <cell r="AG157">
            <v>49193.548387096773</v>
          </cell>
          <cell r="AH157">
            <v>6862741.9354838785</v>
          </cell>
        </row>
        <row r="158">
          <cell r="B158">
            <v>46152</v>
          </cell>
          <cell r="C158">
            <v>16935.483870967742</v>
          </cell>
          <cell r="D158">
            <v>2114354.8387096785</v>
          </cell>
          <cell r="E158">
            <v>6548.3870967741932</v>
          </cell>
          <cell r="F158">
            <v>687483.87096774089</v>
          </cell>
          <cell r="G158">
            <v>23483.870967741936</v>
          </cell>
          <cell r="H158">
            <v>2801838.7096774215</v>
          </cell>
          <cell r="I158">
            <v>17741.935483870966</v>
          </cell>
          <cell r="J158">
            <v>2527419.3548387089</v>
          </cell>
          <cell r="K158">
            <v>4838.7096774193551</v>
          </cell>
          <cell r="L158">
            <v>648387.09677419334</v>
          </cell>
          <cell r="M158">
            <v>22580.645161290322</v>
          </cell>
          <cell r="N158">
            <v>3175806.4516129061</v>
          </cell>
          <cell r="O158">
            <v>22580.645161290322</v>
          </cell>
          <cell r="P158">
            <v>3175806.4516129061</v>
          </cell>
          <cell r="Q158">
            <v>199193.54838709679</v>
          </cell>
          <cell r="R158">
            <v>25687350.230414722</v>
          </cell>
          <cell r="S158">
            <v>16.051779516380076</v>
          </cell>
          <cell r="T158">
            <v>2543.266229593547</v>
          </cell>
          <cell r="U158">
            <v>5.3555913978951768</v>
          </cell>
          <cell r="V158">
            <v>802.91469176344356</v>
          </cell>
          <cell r="W158">
            <v>0</v>
          </cell>
          <cell r="X158">
            <v>0</v>
          </cell>
          <cell r="Y158">
            <v>17354.83870967742</v>
          </cell>
          <cell r="Z158">
            <v>2030548.3870967776</v>
          </cell>
          <cell r="AA158">
            <v>6129.0322580645161</v>
          </cell>
          <cell r="AB158">
            <v>771290.32258064591</v>
          </cell>
          <cell r="AC158">
            <v>0</v>
          </cell>
          <cell r="AD158">
            <v>0</v>
          </cell>
          <cell r="AE158">
            <v>150000</v>
          </cell>
          <cell r="AF158">
            <v>18750000.000000026</v>
          </cell>
          <cell r="AG158">
            <v>49193.548387096773</v>
          </cell>
          <cell r="AH158">
            <v>6911935.4838709757</v>
          </cell>
        </row>
        <row r="159">
          <cell r="B159">
            <v>46153</v>
          </cell>
          <cell r="C159">
            <v>16935.483870967742</v>
          </cell>
          <cell r="D159">
            <v>2131290.3225806463</v>
          </cell>
          <cell r="E159">
            <v>6548.3870967741932</v>
          </cell>
          <cell r="F159">
            <v>694032.25806451507</v>
          </cell>
          <cell r="G159">
            <v>23483.870967741936</v>
          </cell>
          <cell r="H159">
            <v>2825322.5806451635</v>
          </cell>
          <cell r="I159">
            <v>17741.935483870966</v>
          </cell>
          <cell r="J159">
            <v>2545161.2903225799</v>
          </cell>
          <cell r="K159">
            <v>4838.7096774193551</v>
          </cell>
          <cell r="L159">
            <v>653225.80645161273</v>
          </cell>
          <cell r="M159">
            <v>22580.645161290322</v>
          </cell>
          <cell r="N159">
            <v>3198387.0967741963</v>
          </cell>
          <cell r="O159">
            <v>22580.645161290322</v>
          </cell>
          <cell r="P159">
            <v>3198387.0967741963</v>
          </cell>
          <cell r="Q159">
            <v>199193.54838709679</v>
          </cell>
          <cell r="R159">
            <v>25886543.778801817</v>
          </cell>
          <cell r="S159">
            <v>16.051779516380076</v>
          </cell>
          <cell r="T159">
            <v>2559.3180091099271</v>
          </cell>
          <cell r="U159">
            <v>5.3555913978951768</v>
          </cell>
          <cell r="V159">
            <v>808.27028316133874</v>
          </cell>
          <cell r="W159">
            <v>0</v>
          </cell>
          <cell r="X159">
            <v>0</v>
          </cell>
          <cell r="Y159">
            <v>17354.83870967742</v>
          </cell>
          <cell r="Z159">
            <v>2047903.2258064549</v>
          </cell>
          <cell r="AA159">
            <v>6129.0322580645161</v>
          </cell>
          <cell r="AB159">
            <v>777419.35483871039</v>
          </cell>
          <cell r="AC159">
            <v>0</v>
          </cell>
          <cell r="AD159">
            <v>0</v>
          </cell>
          <cell r="AE159">
            <v>150000</v>
          </cell>
          <cell r="AF159">
            <v>18900000.000000026</v>
          </cell>
          <cell r="AG159">
            <v>49193.548387096773</v>
          </cell>
          <cell r="AH159">
            <v>6961129.0322580729</v>
          </cell>
        </row>
        <row r="160">
          <cell r="B160">
            <v>46154</v>
          </cell>
          <cell r="C160">
            <v>16935.483870967742</v>
          </cell>
          <cell r="D160">
            <v>2148225.806451614</v>
          </cell>
          <cell r="E160">
            <v>6548.3870967741932</v>
          </cell>
          <cell r="F160">
            <v>700580.64516128926</v>
          </cell>
          <cell r="G160">
            <v>23483.870967741936</v>
          </cell>
          <cell r="H160">
            <v>2848806.4516129056</v>
          </cell>
          <cell r="I160">
            <v>17741.935483870966</v>
          </cell>
          <cell r="J160">
            <v>2562903.2258064509</v>
          </cell>
          <cell r="K160">
            <v>4838.7096774193551</v>
          </cell>
          <cell r="L160">
            <v>658064.51612903213</v>
          </cell>
          <cell r="M160">
            <v>22580.645161290322</v>
          </cell>
          <cell r="N160">
            <v>3220967.7419354864</v>
          </cell>
          <cell r="O160">
            <v>22580.645161290322</v>
          </cell>
          <cell r="P160">
            <v>3220967.7419354864</v>
          </cell>
          <cell r="Q160">
            <v>199193.54838709679</v>
          </cell>
          <cell r="R160">
            <v>26085737.327188913</v>
          </cell>
          <cell r="S160">
            <v>16.051779516380076</v>
          </cell>
          <cell r="T160">
            <v>2575.3697886263071</v>
          </cell>
          <cell r="U160">
            <v>5.3555913978951768</v>
          </cell>
          <cell r="V160">
            <v>813.62587455923392</v>
          </cell>
          <cell r="W160">
            <v>0</v>
          </cell>
          <cell r="X160">
            <v>0</v>
          </cell>
          <cell r="Y160">
            <v>17354.83870967742</v>
          </cell>
          <cell r="Z160">
            <v>2065258.0645161322</v>
          </cell>
          <cell r="AA160">
            <v>6129.0322580645161</v>
          </cell>
          <cell r="AB160">
            <v>783548.38709677488</v>
          </cell>
          <cell r="AC160">
            <v>0</v>
          </cell>
          <cell r="AD160">
            <v>0</v>
          </cell>
          <cell r="AE160">
            <v>150000</v>
          </cell>
          <cell r="AF160">
            <v>19050000.000000026</v>
          </cell>
          <cell r="AG160">
            <v>49193.548387096773</v>
          </cell>
          <cell r="AH160">
            <v>7010322.5806451701</v>
          </cell>
        </row>
        <row r="161">
          <cell r="B161">
            <v>46155</v>
          </cell>
          <cell r="C161">
            <v>16935.483870967742</v>
          </cell>
          <cell r="D161">
            <v>2165161.2903225818</v>
          </cell>
          <cell r="E161">
            <v>6548.3870967741932</v>
          </cell>
          <cell r="F161">
            <v>707129.03225806344</v>
          </cell>
          <cell r="G161">
            <v>23483.870967741936</v>
          </cell>
          <cell r="H161">
            <v>2872290.3225806477</v>
          </cell>
          <cell r="I161">
            <v>17741.935483870966</v>
          </cell>
          <cell r="J161">
            <v>2580645.161290322</v>
          </cell>
          <cell r="K161">
            <v>4838.7096774193551</v>
          </cell>
          <cell r="L161">
            <v>662903.22580645152</v>
          </cell>
          <cell r="M161">
            <v>22580.645161290322</v>
          </cell>
          <cell r="N161">
            <v>3243548.3870967766</v>
          </cell>
          <cell r="O161">
            <v>22580.645161290322</v>
          </cell>
          <cell r="P161">
            <v>3243548.3870967766</v>
          </cell>
          <cell r="Q161">
            <v>199193.54838709679</v>
          </cell>
          <cell r="R161">
            <v>26284930.875576008</v>
          </cell>
          <cell r="S161">
            <v>16.051779516380076</v>
          </cell>
          <cell r="T161">
            <v>2591.4215681426872</v>
          </cell>
          <cell r="U161">
            <v>5.3555913978951768</v>
          </cell>
          <cell r="V161">
            <v>818.9814659571291</v>
          </cell>
          <cell r="W161">
            <v>0</v>
          </cell>
          <cell r="X161">
            <v>0</v>
          </cell>
          <cell r="Y161">
            <v>17354.83870967742</v>
          </cell>
          <cell r="Z161">
            <v>2082612.9032258096</v>
          </cell>
          <cell r="AA161">
            <v>6129.0322580645161</v>
          </cell>
          <cell r="AB161">
            <v>789677.41935483937</v>
          </cell>
          <cell r="AC161">
            <v>0</v>
          </cell>
          <cell r="AD161">
            <v>0</v>
          </cell>
          <cell r="AE161">
            <v>150000</v>
          </cell>
          <cell r="AF161">
            <v>19200000.000000026</v>
          </cell>
          <cell r="AG161">
            <v>49193.548387096773</v>
          </cell>
          <cell r="AH161">
            <v>7059516.1290322673</v>
          </cell>
        </row>
        <row r="162">
          <cell r="B162">
            <v>46156</v>
          </cell>
          <cell r="C162">
            <v>16935.483870967742</v>
          </cell>
          <cell r="D162">
            <v>2182096.7741935495</v>
          </cell>
          <cell r="E162">
            <v>6548.3870967741932</v>
          </cell>
          <cell r="F162">
            <v>713677.41935483762</v>
          </cell>
          <cell r="G162">
            <v>23483.870967741936</v>
          </cell>
          <cell r="H162">
            <v>2895774.1935483897</v>
          </cell>
          <cell r="I162">
            <v>17741.935483870966</v>
          </cell>
          <cell r="J162">
            <v>2598387.096774193</v>
          </cell>
          <cell r="K162">
            <v>4838.7096774193551</v>
          </cell>
          <cell r="L162">
            <v>667741.93548387091</v>
          </cell>
          <cell r="M162">
            <v>22580.645161290322</v>
          </cell>
          <cell r="N162">
            <v>3266129.0322580668</v>
          </cell>
          <cell r="O162">
            <v>22580.645161290322</v>
          </cell>
          <cell r="P162">
            <v>3266129.0322580668</v>
          </cell>
          <cell r="Q162">
            <v>199193.54838709679</v>
          </cell>
          <cell r="R162">
            <v>26484124.423963103</v>
          </cell>
          <cell r="S162">
            <v>16.051779516380076</v>
          </cell>
          <cell r="T162">
            <v>2607.4733476590673</v>
          </cell>
          <cell r="U162">
            <v>5.3555913978951768</v>
          </cell>
          <cell r="V162">
            <v>824.33705735502429</v>
          </cell>
          <cell r="W162">
            <v>0</v>
          </cell>
          <cell r="X162">
            <v>0</v>
          </cell>
          <cell r="Y162">
            <v>17354.83870967742</v>
          </cell>
          <cell r="Z162">
            <v>2099967.7419354869</v>
          </cell>
          <cell r="AA162">
            <v>6129.0322580645161</v>
          </cell>
          <cell r="AB162">
            <v>795806.45161290385</v>
          </cell>
          <cell r="AC162">
            <v>0</v>
          </cell>
          <cell r="AD162">
            <v>0</v>
          </cell>
          <cell r="AE162">
            <v>150000</v>
          </cell>
          <cell r="AF162">
            <v>19350000.000000026</v>
          </cell>
          <cell r="AG162">
            <v>49193.548387096773</v>
          </cell>
          <cell r="AH162">
            <v>7108709.6774193645</v>
          </cell>
        </row>
        <row r="163">
          <cell r="B163">
            <v>46157</v>
          </cell>
          <cell r="C163">
            <v>16935.483870967742</v>
          </cell>
          <cell r="D163">
            <v>2199032.2580645173</v>
          </cell>
          <cell r="E163">
            <v>6548.3870967741932</v>
          </cell>
          <cell r="F163">
            <v>720225.8064516118</v>
          </cell>
          <cell r="G163">
            <v>23483.870967741936</v>
          </cell>
          <cell r="H163">
            <v>2919258.0645161318</v>
          </cell>
          <cell r="I163">
            <v>17741.935483870966</v>
          </cell>
          <cell r="J163">
            <v>2616129.032258064</v>
          </cell>
          <cell r="K163">
            <v>4838.7096774193551</v>
          </cell>
          <cell r="L163">
            <v>672580.6451612903</v>
          </cell>
          <cell r="M163">
            <v>22580.645161290322</v>
          </cell>
          <cell r="N163">
            <v>3288709.677419357</v>
          </cell>
          <cell r="O163">
            <v>22580.645161290322</v>
          </cell>
          <cell r="P163">
            <v>3288709.677419357</v>
          </cell>
          <cell r="Q163">
            <v>199193.54838709679</v>
          </cell>
          <cell r="R163">
            <v>26683317.972350199</v>
          </cell>
          <cell r="S163">
            <v>16.051779516380076</v>
          </cell>
          <cell r="T163">
            <v>2623.5251271754473</v>
          </cell>
          <cell r="U163">
            <v>5.3555913978951768</v>
          </cell>
          <cell r="V163">
            <v>829.69264875291947</v>
          </cell>
          <cell r="W163">
            <v>0</v>
          </cell>
          <cell r="X163">
            <v>0</v>
          </cell>
          <cell r="Y163">
            <v>17354.83870967742</v>
          </cell>
          <cell r="Z163">
            <v>2117322.5806451645</v>
          </cell>
          <cell r="AA163">
            <v>6129.0322580645161</v>
          </cell>
          <cell r="AB163">
            <v>801935.48387096834</v>
          </cell>
          <cell r="AC163">
            <v>0</v>
          </cell>
          <cell r="AD163">
            <v>0</v>
          </cell>
          <cell r="AE163">
            <v>150000</v>
          </cell>
          <cell r="AF163">
            <v>19500000.000000026</v>
          </cell>
          <cell r="AG163">
            <v>49193.548387096773</v>
          </cell>
          <cell r="AH163">
            <v>7157903.2258064616</v>
          </cell>
        </row>
        <row r="164">
          <cell r="B164">
            <v>46158</v>
          </cell>
          <cell r="C164">
            <v>16935.483870967742</v>
          </cell>
          <cell r="D164">
            <v>2215967.741935485</v>
          </cell>
          <cell r="E164">
            <v>6548.3870967741932</v>
          </cell>
          <cell r="F164">
            <v>726774.19354838599</v>
          </cell>
          <cell r="G164">
            <v>23483.870967741936</v>
          </cell>
          <cell r="H164">
            <v>2942741.9354838738</v>
          </cell>
          <cell r="I164">
            <v>17741.935483870966</v>
          </cell>
          <cell r="J164">
            <v>2633870.967741935</v>
          </cell>
          <cell r="K164">
            <v>4838.7096774193551</v>
          </cell>
          <cell r="L164">
            <v>677419.3548387097</v>
          </cell>
          <cell r="M164">
            <v>22580.645161290322</v>
          </cell>
          <cell r="N164">
            <v>3311290.3225806472</v>
          </cell>
          <cell r="O164">
            <v>22580.645161290322</v>
          </cell>
          <cell r="P164">
            <v>3311290.3225806472</v>
          </cell>
          <cell r="Q164">
            <v>199193.54838709679</v>
          </cell>
          <cell r="R164">
            <v>26882511.520737294</v>
          </cell>
          <cell r="S164">
            <v>16.051779516380076</v>
          </cell>
          <cell r="T164">
            <v>2639.5769066918274</v>
          </cell>
          <cell r="U164">
            <v>5.3555913978951768</v>
          </cell>
          <cell r="V164">
            <v>835.04824015081465</v>
          </cell>
          <cell r="W164">
            <v>0</v>
          </cell>
          <cell r="X164">
            <v>0</v>
          </cell>
          <cell r="Y164">
            <v>17354.83870967742</v>
          </cell>
          <cell r="Z164">
            <v>2134677.419354842</v>
          </cell>
          <cell r="AA164">
            <v>6129.0322580645161</v>
          </cell>
          <cell r="AB164">
            <v>808064.51612903283</v>
          </cell>
          <cell r="AC164">
            <v>0</v>
          </cell>
          <cell r="AD164">
            <v>0</v>
          </cell>
          <cell r="AE164">
            <v>150000</v>
          </cell>
          <cell r="AF164">
            <v>19650000.000000026</v>
          </cell>
          <cell r="AG164">
            <v>49193.548387096773</v>
          </cell>
          <cell r="AH164">
            <v>7207096.7741935588</v>
          </cell>
        </row>
        <row r="165">
          <cell r="B165">
            <v>46159</v>
          </cell>
          <cell r="C165">
            <v>16935.483870967742</v>
          </cell>
          <cell r="D165">
            <v>2232903.2258064528</v>
          </cell>
          <cell r="E165">
            <v>6548.3870967741932</v>
          </cell>
          <cell r="F165">
            <v>733322.58064516017</v>
          </cell>
          <cell r="G165">
            <v>23483.870967741936</v>
          </cell>
          <cell r="H165">
            <v>2966225.8064516159</v>
          </cell>
          <cell r="I165">
            <v>17741.935483870966</v>
          </cell>
          <cell r="J165">
            <v>2651612.9032258061</v>
          </cell>
          <cell r="K165">
            <v>4838.7096774193551</v>
          </cell>
          <cell r="L165">
            <v>682258.06451612909</v>
          </cell>
          <cell r="M165">
            <v>22580.645161290322</v>
          </cell>
          <cell r="N165">
            <v>3333870.9677419374</v>
          </cell>
          <cell r="O165">
            <v>22580.645161290322</v>
          </cell>
          <cell r="P165">
            <v>3333870.9677419374</v>
          </cell>
          <cell r="Q165">
            <v>199193.54838709679</v>
          </cell>
          <cell r="R165">
            <v>27081705.069124389</v>
          </cell>
          <cell r="S165">
            <v>16.051779516380076</v>
          </cell>
          <cell r="T165">
            <v>2655.6286862082075</v>
          </cell>
          <cell r="U165">
            <v>5.3555913978951768</v>
          </cell>
          <cell r="V165">
            <v>840.40383154870983</v>
          </cell>
          <cell r="W165">
            <v>0</v>
          </cell>
          <cell r="X165">
            <v>0</v>
          </cell>
          <cell r="Y165">
            <v>17354.83870967742</v>
          </cell>
          <cell r="Z165">
            <v>2152032.2580645196</v>
          </cell>
          <cell r="AA165">
            <v>6129.0322580645161</v>
          </cell>
          <cell r="AB165">
            <v>814193.54838709731</v>
          </cell>
          <cell r="AC165">
            <v>0</v>
          </cell>
          <cell r="AD165">
            <v>0</v>
          </cell>
          <cell r="AE165">
            <v>150000</v>
          </cell>
          <cell r="AF165">
            <v>19800000.000000026</v>
          </cell>
          <cell r="AG165">
            <v>49193.548387096773</v>
          </cell>
          <cell r="AH165">
            <v>7256290.322580656</v>
          </cell>
        </row>
        <row r="166">
          <cell r="B166">
            <v>46160</v>
          </cell>
          <cell r="C166">
            <v>16935.483870967742</v>
          </cell>
          <cell r="D166">
            <v>2249838.7096774206</v>
          </cell>
          <cell r="E166">
            <v>6548.3870967741932</v>
          </cell>
          <cell r="F166">
            <v>739870.96774193435</v>
          </cell>
          <cell r="G166">
            <v>23483.870967741936</v>
          </cell>
          <cell r="H166">
            <v>2989709.6774193579</v>
          </cell>
          <cell r="I166">
            <v>17741.935483870966</v>
          </cell>
          <cell r="J166">
            <v>2669354.8387096771</v>
          </cell>
          <cell r="K166">
            <v>4838.7096774193551</v>
          </cell>
          <cell r="L166">
            <v>687096.77419354848</v>
          </cell>
          <cell r="M166">
            <v>22580.645161290322</v>
          </cell>
          <cell r="N166">
            <v>3356451.6129032276</v>
          </cell>
          <cell r="O166">
            <v>22580.645161290322</v>
          </cell>
          <cell r="P166">
            <v>3356451.6129032276</v>
          </cell>
          <cell r="Q166">
            <v>199193.54838709679</v>
          </cell>
          <cell r="R166">
            <v>27280898.617511485</v>
          </cell>
          <cell r="S166">
            <v>16.051779516380076</v>
          </cell>
          <cell r="T166">
            <v>2671.6804657245875</v>
          </cell>
          <cell r="U166">
            <v>5.3555913978951768</v>
          </cell>
          <cell r="V166">
            <v>845.75942294660501</v>
          </cell>
          <cell r="W166">
            <v>0</v>
          </cell>
          <cell r="X166">
            <v>0</v>
          </cell>
          <cell r="Y166">
            <v>17354.83870967742</v>
          </cell>
          <cell r="Z166">
            <v>2169387.0967741972</v>
          </cell>
          <cell r="AA166">
            <v>6129.0322580645161</v>
          </cell>
          <cell r="AB166">
            <v>820322.5806451618</v>
          </cell>
          <cell r="AC166">
            <v>0</v>
          </cell>
          <cell r="AD166">
            <v>0</v>
          </cell>
          <cell r="AE166">
            <v>150000</v>
          </cell>
          <cell r="AF166">
            <v>19950000.000000026</v>
          </cell>
          <cell r="AG166">
            <v>49193.548387096773</v>
          </cell>
          <cell r="AH166">
            <v>7305483.8709677532</v>
          </cell>
        </row>
        <row r="167">
          <cell r="B167">
            <v>46161</v>
          </cell>
          <cell r="C167">
            <v>16935.483870967742</v>
          </cell>
          <cell r="D167">
            <v>2266774.1935483883</v>
          </cell>
          <cell r="E167">
            <v>6548.3870967741932</v>
          </cell>
          <cell r="F167">
            <v>746419.35483870853</v>
          </cell>
          <cell r="G167">
            <v>23483.870967741936</v>
          </cell>
          <cell r="H167">
            <v>3013193.5483871</v>
          </cell>
          <cell r="I167">
            <v>17741.935483870966</v>
          </cell>
          <cell r="J167">
            <v>2687096.7741935481</v>
          </cell>
          <cell r="K167">
            <v>4838.7096774193551</v>
          </cell>
          <cell r="L167">
            <v>691935.48387096787</v>
          </cell>
          <cell r="M167">
            <v>22580.645161290322</v>
          </cell>
          <cell r="N167">
            <v>3379032.2580645178</v>
          </cell>
          <cell r="O167">
            <v>22580.645161290322</v>
          </cell>
          <cell r="P167">
            <v>3379032.2580645178</v>
          </cell>
          <cell r="Q167">
            <v>199193.54838709679</v>
          </cell>
          <cell r="R167">
            <v>27480092.16589858</v>
          </cell>
          <cell r="S167">
            <v>16.051779516380076</v>
          </cell>
          <cell r="T167">
            <v>2687.7322452409676</v>
          </cell>
          <cell r="U167">
            <v>5.3555913978951768</v>
          </cell>
          <cell r="V167">
            <v>851.1150143445002</v>
          </cell>
          <cell r="W167">
            <v>0</v>
          </cell>
          <cell r="X167">
            <v>0</v>
          </cell>
          <cell r="Y167">
            <v>17354.83870967742</v>
          </cell>
          <cell r="Z167">
            <v>2186741.9354838748</v>
          </cell>
          <cell r="AA167">
            <v>6129.0322580645161</v>
          </cell>
          <cell r="AB167">
            <v>826451.61290322628</v>
          </cell>
          <cell r="AC167">
            <v>0</v>
          </cell>
          <cell r="AD167">
            <v>0</v>
          </cell>
          <cell r="AE167">
            <v>150000</v>
          </cell>
          <cell r="AF167">
            <v>20100000.000000026</v>
          </cell>
          <cell r="AG167">
            <v>49193.548387096773</v>
          </cell>
          <cell r="AH167">
            <v>7354677.4193548504</v>
          </cell>
        </row>
        <row r="168">
          <cell r="B168">
            <v>46162</v>
          </cell>
          <cell r="C168">
            <v>16935.483870967742</v>
          </cell>
          <cell r="D168">
            <v>2283709.6774193561</v>
          </cell>
          <cell r="E168">
            <v>6548.3870967741932</v>
          </cell>
          <cell r="F168">
            <v>752967.74193548271</v>
          </cell>
          <cell r="G168">
            <v>23483.870967741936</v>
          </cell>
          <cell r="H168">
            <v>3036677.419354842</v>
          </cell>
          <cell r="I168">
            <v>17741.935483870966</v>
          </cell>
          <cell r="J168">
            <v>2704838.7096774192</v>
          </cell>
          <cell r="K168">
            <v>4838.7096774193551</v>
          </cell>
          <cell r="L168">
            <v>696774.19354838727</v>
          </cell>
          <cell r="M168">
            <v>22580.645161290322</v>
          </cell>
          <cell r="N168">
            <v>3401612.9032258079</v>
          </cell>
          <cell r="O168">
            <v>22580.645161290322</v>
          </cell>
          <cell r="P168">
            <v>3401612.9032258079</v>
          </cell>
          <cell r="Q168">
            <v>199193.54838709679</v>
          </cell>
          <cell r="R168">
            <v>27679285.714285675</v>
          </cell>
          <cell r="S168">
            <v>16.051779516380076</v>
          </cell>
          <cell r="T168">
            <v>2703.7840247573477</v>
          </cell>
          <cell r="U168">
            <v>5.3555913978951768</v>
          </cell>
          <cell r="V168">
            <v>856.47060574239538</v>
          </cell>
          <cell r="W168">
            <v>0</v>
          </cell>
          <cell r="X168">
            <v>0</v>
          </cell>
          <cell r="Y168">
            <v>17354.83870967742</v>
          </cell>
          <cell r="Z168">
            <v>2204096.7741935523</v>
          </cell>
          <cell r="AA168">
            <v>6129.0322580645161</v>
          </cell>
          <cell r="AB168">
            <v>832580.64516129077</v>
          </cell>
          <cell r="AC168">
            <v>0</v>
          </cell>
          <cell r="AD168">
            <v>0</v>
          </cell>
          <cell r="AE168">
            <v>150000</v>
          </cell>
          <cell r="AF168">
            <v>20250000.000000026</v>
          </cell>
          <cell r="AG168">
            <v>49193.548387096773</v>
          </cell>
          <cell r="AH168">
            <v>7403870.9677419476</v>
          </cell>
        </row>
        <row r="169">
          <cell r="B169">
            <v>46163</v>
          </cell>
          <cell r="C169">
            <v>16935.483870967742</v>
          </cell>
          <cell r="D169">
            <v>2300645.1612903238</v>
          </cell>
          <cell r="E169">
            <v>6548.3870967741932</v>
          </cell>
          <cell r="F169">
            <v>759516.1290322569</v>
          </cell>
          <cell r="G169">
            <v>23483.870967741936</v>
          </cell>
          <cell r="H169">
            <v>3060161.2903225841</v>
          </cell>
          <cell r="I169">
            <v>17741.935483870966</v>
          </cell>
          <cell r="J169">
            <v>2722580.6451612902</v>
          </cell>
          <cell r="K169">
            <v>4838.7096774193551</v>
          </cell>
          <cell r="L169">
            <v>701612.90322580666</v>
          </cell>
          <cell r="M169">
            <v>22580.645161290322</v>
          </cell>
          <cell r="N169">
            <v>3424193.5483870981</v>
          </cell>
          <cell r="O169">
            <v>22580.645161290322</v>
          </cell>
          <cell r="P169">
            <v>3424193.5483870981</v>
          </cell>
          <cell r="Q169">
            <v>199193.54838709679</v>
          </cell>
          <cell r="R169">
            <v>27878479.262672771</v>
          </cell>
          <cell r="S169">
            <v>16.051779516380076</v>
          </cell>
          <cell r="T169">
            <v>2719.8358042737277</v>
          </cell>
          <cell r="U169">
            <v>5.3555913978951768</v>
          </cell>
          <cell r="V169">
            <v>861.82619714029056</v>
          </cell>
          <cell r="W169">
            <v>0</v>
          </cell>
          <cell r="X169">
            <v>0</v>
          </cell>
          <cell r="Y169">
            <v>17354.83870967742</v>
          </cell>
          <cell r="Z169">
            <v>2221451.6129032299</v>
          </cell>
          <cell r="AA169">
            <v>6129.0322580645161</v>
          </cell>
          <cell r="AB169">
            <v>838709.67741935526</v>
          </cell>
          <cell r="AC169">
            <v>0</v>
          </cell>
          <cell r="AD169">
            <v>0</v>
          </cell>
          <cell r="AE169">
            <v>150000</v>
          </cell>
          <cell r="AF169">
            <v>20400000.000000026</v>
          </cell>
          <cell r="AG169">
            <v>49193.548387096773</v>
          </cell>
          <cell r="AH169">
            <v>7453064.5161290448</v>
          </cell>
        </row>
        <row r="170">
          <cell r="B170">
            <v>46164</v>
          </cell>
          <cell r="C170">
            <v>16935.483870967742</v>
          </cell>
          <cell r="D170">
            <v>2317580.6451612916</v>
          </cell>
          <cell r="E170">
            <v>6548.3870967741932</v>
          </cell>
          <cell r="F170">
            <v>766064.51612903108</v>
          </cell>
          <cell r="G170">
            <v>23483.870967741936</v>
          </cell>
          <cell r="H170">
            <v>3083645.1612903262</v>
          </cell>
          <cell r="I170">
            <v>17741.935483870966</v>
          </cell>
          <cell r="J170">
            <v>2740322.5806451612</v>
          </cell>
          <cell r="K170">
            <v>4838.7096774193551</v>
          </cell>
          <cell r="L170">
            <v>706451.61290322605</v>
          </cell>
          <cell r="M170">
            <v>22580.645161290322</v>
          </cell>
          <cell r="N170">
            <v>3446774.1935483883</v>
          </cell>
          <cell r="O170">
            <v>22580.645161290322</v>
          </cell>
          <cell r="P170">
            <v>3446774.1935483883</v>
          </cell>
          <cell r="Q170">
            <v>199193.54838709679</v>
          </cell>
          <cell r="R170">
            <v>28077672.811059866</v>
          </cell>
          <cell r="S170">
            <v>16.051779516380076</v>
          </cell>
          <cell r="T170">
            <v>2735.8875837901078</v>
          </cell>
          <cell r="U170">
            <v>5.3555913978951768</v>
          </cell>
          <cell r="V170">
            <v>867.18178853818574</v>
          </cell>
          <cell r="W170">
            <v>0</v>
          </cell>
          <cell r="X170">
            <v>0</v>
          </cell>
          <cell r="Y170">
            <v>17354.83870967742</v>
          </cell>
          <cell r="Z170">
            <v>2238806.4516129075</v>
          </cell>
          <cell r="AA170">
            <v>6129.0322580645161</v>
          </cell>
          <cell r="AB170">
            <v>844838.70967741974</v>
          </cell>
          <cell r="AC170">
            <v>0</v>
          </cell>
          <cell r="AD170">
            <v>0</v>
          </cell>
          <cell r="AE170">
            <v>150000</v>
          </cell>
          <cell r="AF170">
            <v>20550000.000000026</v>
          </cell>
          <cell r="AG170">
            <v>49193.548387096773</v>
          </cell>
          <cell r="AH170">
            <v>7502258.064516142</v>
          </cell>
        </row>
        <row r="171">
          <cell r="B171">
            <v>46165</v>
          </cell>
          <cell r="C171">
            <v>16935.483870967742</v>
          </cell>
          <cell r="D171">
            <v>2334516.1290322593</v>
          </cell>
          <cell r="E171">
            <v>6548.3870967741932</v>
          </cell>
          <cell r="F171">
            <v>772612.90322580526</v>
          </cell>
          <cell r="G171">
            <v>23483.870967741936</v>
          </cell>
          <cell r="H171">
            <v>3107129.0322580682</v>
          </cell>
          <cell r="I171">
            <v>17741.935483870966</v>
          </cell>
          <cell r="J171">
            <v>2758064.5161290322</v>
          </cell>
          <cell r="K171">
            <v>4838.7096774193551</v>
          </cell>
          <cell r="L171">
            <v>711290.32258064544</v>
          </cell>
          <cell r="M171">
            <v>22580.645161290322</v>
          </cell>
          <cell r="N171">
            <v>3469354.8387096785</v>
          </cell>
          <cell r="O171">
            <v>22580.645161290322</v>
          </cell>
          <cell r="P171">
            <v>3469354.8387096785</v>
          </cell>
          <cell r="Q171">
            <v>199193.54838709679</v>
          </cell>
          <cell r="R171">
            <v>28276866.359446961</v>
          </cell>
          <cell r="S171">
            <v>16.051779516380076</v>
          </cell>
          <cell r="T171">
            <v>2751.9393633064878</v>
          </cell>
          <cell r="U171">
            <v>5.3555913978951768</v>
          </cell>
          <cell r="V171">
            <v>872.53737993608092</v>
          </cell>
          <cell r="W171">
            <v>0</v>
          </cell>
          <cell r="X171">
            <v>0</v>
          </cell>
          <cell r="Y171">
            <v>17354.83870967742</v>
          </cell>
          <cell r="Z171">
            <v>2256161.290322585</v>
          </cell>
          <cell r="AA171">
            <v>6129.0322580645161</v>
          </cell>
          <cell r="AB171">
            <v>850967.74193548423</v>
          </cell>
          <cell r="AC171">
            <v>0</v>
          </cell>
          <cell r="AD171">
            <v>0</v>
          </cell>
          <cell r="AE171">
            <v>150000</v>
          </cell>
          <cell r="AF171">
            <v>20700000.000000026</v>
          </cell>
          <cell r="AG171">
            <v>49193.548387096773</v>
          </cell>
          <cell r="AH171">
            <v>7551451.6129032392</v>
          </cell>
        </row>
        <row r="172">
          <cell r="B172">
            <v>46166</v>
          </cell>
          <cell r="C172">
            <v>16935.483870967742</v>
          </cell>
          <cell r="D172">
            <v>2351451.6129032271</v>
          </cell>
          <cell r="E172">
            <v>6548.3870967741932</v>
          </cell>
          <cell r="F172">
            <v>779161.29032257944</v>
          </cell>
          <cell r="G172">
            <v>23483.870967741936</v>
          </cell>
          <cell r="H172">
            <v>3130612.9032258103</v>
          </cell>
          <cell r="I172">
            <v>17741.935483870966</v>
          </cell>
          <cell r="J172">
            <v>2775806.4516129033</v>
          </cell>
          <cell r="K172">
            <v>4838.7096774193551</v>
          </cell>
          <cell r="L172">
            <v>716129.03225806484</v>
          </cell>
          <cell r="M172">
            <v>22580.645161290322</v>
          </cell>
          <cell r="N172">
            <v>3491935.4838709687</v>
          </cell>
          <cell r="O172">
            <v>22580.645161290322</v>
          </cell>
          <cell r="P172">
            <v>3491935.4838709687</v>
          </cell>
          <cell r="Q172">
            <v>199193.54838709679</v>
          </cell>
          <cell r="R172">
            <v>28476059.907834057</v>
          </cell>
          <cell r="S172">
            <v>16.051779516380076</v>
          </cell>
          <cell r="T172">
            <v>2767.9911428228679</v>
          </cell>
          <cell r="U172">
            <v>5.3555913978951768</v>
          </cell>
          <cell r="V172">
            <v>877.89297133397611</v>
          </cell>
          <cell r="W172">
            <v>0</v>
          </cell>
          <cell r="X172">
            <v>0</v>
          </cell>
          <cell r="Y172">
            <v>17354.83870967742</v>
          </cell>
          <cell r="Z172">
            <v>2273516.1290322626</v>
          </cell>
          <cell r="AA172">
            <v>6129.0322580645161</v>
          </cell>
          <cell r="AB172">
            <v>857096.77419354871</v>
          </cell>
          <cell r="AC172">
            <v>0</v>
          </cell>
          <cell r="AD172">
            <v>0</v>
          </cell>
          <cell r="AE172">
            <v>150000</v>
          </cell>
          <cell r="AF172">
            <v>20850000.000000026</v>
          </cell>
          <cell r="AG172">
            <v>49193.548387096773</v>
          </cell>
          <cell r="AH172">
            <v>7600645.1612903364</v>
          </cell>
        </row>
        <row r="173">
          <cell r="B173">
            <v>46167</v>
          </cell>
          <cell r="C173">
            <v>16935.483870967742</v>
          </cell>
          <cell r="D173">
            <v>2368387.0967741949</v>
          </cell>
          <cell r="E173">
            <v>6548.3870967741932</v>
          </cell>
          <cell r="F173">
            <v>785709.67741935363</v>
          </cell>
          <cell r="G173">
            <v>23483.870967741936</v>
          </cell>
          <cell r="H173">
            <v>3154096.7741935523</v>
          </cell>
          <cell r="I173">
            <v>17741.935483870966</v>
          </cell>
          <cell r="J173">
            <v>2793548.3870967743</v>
          </cell>
          <cell r="K173">
            <v>4838.7096774193551</v>
          </cell>
          <cell r="L173">
            <v>720967.74193548423</v>
          </cell>
          <cell r="M173">
            <v>22580.645161290322</v>
          </cell>
          <cell r="N173">
            <v>3514516.1290322589</v>
          </cell>
          <cell r="O173">
            <v>22580.645161290322</v>
          </cell>
          <cell r="P173">
            <v>3514516.1290322589</v>
          </cell>
          <cell r="Q173">
            <v>199193.54838709679</v>
          </cell>
          <cell r="R173">
            <v>28675253.456221152</v>
          </cell>
          <cell r="S173">
            <v>16.051779516380076</v>
          </cell>
          <cell r="T173">
            <v>2784.042922339248</v>
          </cell>
          <cell r="U173">
            <v>5.3555913978951768</v>
          </cell>
          <cell r="V173">
            <v>883.24856273187129</v>
          </cell>
          <cell r="W173">
            <v>0</v>
          </cell>
          <cell r="X173">
            <v>0</v>
          </cell>
          <cell r="Y173">
            <v>17354.83870967742</v>
          </cell>
          <cell r="Z173">
            <v>2290870.9677419402</v>
          </cell>
          <cell r="AA173">
            <v>6129.0322580645161</v>
          </cell>
          <cell r="AB173">
            <v>863225.8064516132</v>
          </cell>
          <cell r="AC173">
            <v>0</v>
          </cell>
          <cell r="AD173">
            <v>0</v>
          </cell>
          <cell r="AE173">
            <v>150000</v>
          </cell>
          <cell r="AF173">
            <v>21000000.000000026</v>
          </cell>
          <cell r="AG173">
            <v>49193.548387096773</v>
          </cell>
          <cell r="AH173">
            <v>7649838.7096774336</v>
          </cell>
        </row>
        <row r="174">
          <cell r="B174">
            <v>46168</v>
          </cell>
          <cell r="C174">
            <v>16935.483870967742</v>
          </cell>
          <cell r="D174">
            <v>2385322.5806451626</v>
          </cell>
          <cell r="E174">
            <v>6548.3870967741932</v>
          </cell>
          <cell r="F174">
            <v>792258.06451612781</v>
          </cell>
          <cell r="G174">
            <v>23483.870967741936</v>
          </cell>
          <cell r="H174">
            <v>3177580.6451612944</v>
          </cell>
          <cell r="I174">
            <v>17741.935483870966</v>
          </cell>
          <cell r="J174">
            <v>2811290.3225806453</v>
          </cell>
          <cell r="K174">
            <v>4838.7096774193551</v>
          </cell>
          <cell r="L174">
            <v>725806.45161290362</v>
          </cell>
          <cell r="M174">
            <v>22580.645161290322</v>
          </cell>
          <cell r="N174">
            <v>3537096.7741935491</v>
          </cell>
          <cell r="O174">
            <v>22580.645161290322</v>
          </cell>
          <cell r="P174">
            <v>3537096.7741935491</v>
          </cell>
          <cell r="Q174">
            <v>199193.54838709679</v>
          </cell>
          <cell r="R174">
            <v>28874447.004608247</v>
          </cell>
          <cell r="S174">
            <v>16.051779516380076</v>
          </cell>
          <cell r="T174">
            <v>2800.094701855628</v>
          </cell>
          <cell r="U174">
            <v>5.3555913978951768</v>
          </cell>
          <cell r="V174">
            <v>888.60415412976647</v>
          </cell>
          <cell r="W174">
            <v>0</v>
          </cell>
          <cell r="X174">
            <v>0</v>
          </cell>
          <cell r="Y174">
            <v>17354.83870967742</v>
          </cell>
          <cell r="Z174">
            <v>2308225.8064516177</v>
          </cell>
          <cell r="AA174">
            <v>6129.0322580645161</v>
          </cell>
          <cell r="AB174">
            <v>869354.83870967769</v>
          </cell>
          <cell r="AC174">
            <v>0</v>
          </cell>
          <cell r="AD174">
            <v>0</v>
          </cell>
          <cell r="AE174">
            <v>150000</v>
          </cell>
          <cell r="AF174">
            <v>21150000.000000026</v>
          </cell>
          <cell r="AG174">
            <v>49193.548387096773</v>
          </cell>
          <cell r="AH174">
            <v>7699032.2580645308</v>
          </cell>
        </row>
        <row r="175">
          <cell r="B175">
            <v>46169</v>
          </cell>
          <cell r="C175">
            <v>16935.483870967742</v>
          </cell>
          <cell r="D175">
            <v>2402258.0645161304</v>
          </cell>
          <cell r="E175">
            <v>6548.3870967741932</v>
          </cell>
          <cell r="F175">
            <v>798806.45161290199</v>
          </cell>
          <cell r="G175">
            <v>23483.870967741936</v>
          </cell>
          <cell r="H175">
            <v>3201064.5161290364</v>
          </cell>
          <cell r="I175">
            <v>17741.935483870966</v>
          </cell>
          <cell r="J175">
            <v>2829032.2580645164</v>
          </cell>
          <cell r="K175">
            <v>4838.7096774193551</v>
          </cell>
          <cell r="L175">
            <v>730645.16129032301</v>
          </cell>
          <cell r="M175">
            <v>22580.645161290322</v>
          </cell>
          <cell r="N175">
            <v>3559677.4193548393</v>
          </cell>
          <cell r="O175">
            <v>22580.645161290322</v>
          </cell>
          <cell r="P175">
            <v>3559677.4193548393</v>
          </cell>
          <cell r="Q175">
            <v>199193.54838709679</v>
          </cell>
          <cell r="R175">
            <v>29073640.552995343</v>
          </cell>
          <cell r="S175">
            <v>16.051779516380076</v>
          </cell>
          <cell r="T175">
            <v>2816.1464813720081</v>
          </cell>
          <cell r="U175">
            <v>5.3555913978951768</v>
          </cell>
          <cell r="V175">
            <v>893.95974552766165</v>
          </cell>
          <cell r="W175">
            <v>0</v>
          </cell>
          <cell r="X175">
            <v>0</v>
          </cell>
          <cell r="Y175">
            <v>17354.83870967742</v>
          </cell>
          <cell r="Z175">
            <v>2325580.6451612953</v>
          </cell>
          <cell r="AA175">
            <v>6129.0322580645161</v>
          </cell>
          <cell r="AB175">
            <v>875483.87096774217</v>
          </cell>
          <cell r="AC175">
            <v>0</v>
          </cell>
          <cell r="AD175">
            <v>0</v>
          </cell>
          <cell r="AE175">
            <v>150000</v>
          </cell>
          <cell r="AF175">
            <v>21300000.000000026</v>
          </cell>
          <cell r="AG175">
            <v>49193.548387096773</v>
          </cell>
          <cell r="AH175">
            <v>7748225.806451628</v>
          </cell>
        </row>
        <row r="176">
          <cell r="B176">
            <v>46170</v>
          </cell>
          <cell r="C176">
            <v>16935.483870967742</v>
          </cell>
          <cell r="D176">
            <v>2419193.5483870981</v>
          </cell>
          <cell r="E176">
            <v>6548.3870967741932</v>
          </cell>
          <cell r="F176">
            <v>805354.83870967617</v>
          </cell>
          <cell r="G176">
            <v>23483.870967741936</v>
          </cell>
          <cell r="H176">
            <v>3224548.3870967785</v>
          </cell>
          <cell r="I176">
            <v>17741.935483870966</v>
          </cell>
          <cell r="J176">
            <v>2846774.1935483874</v>
          </cell>
          <cell r="K176">
            <v>4838.7096774193551</v>
          </cell>
          <cell r="L176">
            <v>735483.8709677424</v>
          </cell>
          <cell r="M176">
            <v>22580.645161290322</v>
          </cell>
          <cell r="N176">
            <v>3582258.0645161294</v>
          </cell>
          <cell r="O176">
            <v>22580.645161290322</v>
          </cell>
          <cell r="P176">
            <v>3582258.0645161294</v>
          </cell>
          <cell r="Q176">
            <v>199193.54838709679</v>
          </cell>
          <cell r="R176">
            <v>29272834.101382438</v>
          </cell>
          <cell r="S176">
            <v>16.051779516380076</v>
          </cell>
          <cell r="T176">
            <v>2832.1982608883882</v>
          </cell>
          <cell r="U176">
            <v>5.3555913978951768</v>
          </cell>
          <cell r="V176">
            <v>899.31533692555684</v>
          </cell>
          <cell r="W176">
            <v>0</v>
          </cell>
          <cell r="X176">
            <v>0</v>
          </cell>
          <cell r="Y176">
            <v>17354.83870967742</v>
          </cell>
          <cell r="Z176">
            <v>2342935.4838709729</v>
          </cell>
          <cell r="AA176">
            <v>6129.0322580645161</v>
          </cell>
          <cell r="AB176">
            <v>881612.90322580666</v>
          </cell>
          <cell r="AC176">
            <v>0</v>
          </cell>
          <cell r="AD176">
            <v>0</v>
          </cell>
          <cell r="AE176">
            <v>150000</v>
          </cell>
          <cell r="AF176">
            <v>21450000.000000026</v>
          </cell>
          <cell r="AG176">
            <v>49193.548387096773</v>
          </cell>
          <cell r="AH176">
            <v>7797419.3548387252</v>
          </cell>
        </row>
        <row r="177">
          <cell r="B177">
            <v>46171</v>
          </cell>
          <cell r="C177">
            <v>16935.483870967742</v>
          </cell>
          <cell r="D177">
            <v>2436129.0322580659</v>
          </cell>
          <cell r="E177">
            <v>6548.3870967741932</v>
          </cell>
          <cell r="F177">
            <v>811903.22580645035</v>
          </cell>
          <cell r="G177">
            <v>23483.870967741936</v>
          </cell>
          <cell r="H177">
            <v>3248032.2580645205</v>
          </cell>
          <cell r="I177">
            <v>17741.935483870966</v>
          </cell>
          <cell r="J177">
            <v>2864516.1290322584</v>
          </cell>
          <cell r="K177">
            <v>4838.7096774193551</v>
          </cell>
          <cell r="L177">
            <v>740322.5806451618</v>
          </cell>
          <cell r="M177">
            <v>22580.645161290322</v>
          </cell>
          <cell r="N177">
            <v>3604838.7096774196</v>
          </cell>
          <cell r="O177">
            <v>22580.645161290322</v>
          </cell>
          <cell r="P177">
            <v>3604838.7096774196</v>
          </cell>
          <cell r="Q177">
            <v>199193.54838709679</v>
          </cell>
          <cell r="R177">
            <v>29472027.649769533</v>
          </cell>
          <cell r="S177">
            <v>16.051779516380076</v>
          </cell>
          <cell r="T177">
            <v>2848.2500404047682</v>
          </cell>
          <cell r="U177">
            <v>5.3555913978951768</v>
          </cell>
          <cell r="V177">
            <v>904.67092832345202</v>
          </cell>
          <cell r="W177">
            <v>0</v>
          </cell>
          <cell r="X177">
            <v>0</v>
          </cell>
          <cell r="Y177">
            <v>17354.83870967742</v>
          </cell>
          <cell r="Z177">
            <v>2360290.3225806504</v>
          </cell>
          <cell r="AA177">
            <v>6129.0322580645161</v>
          </cell>
          <cell r="AB177">
            <v>887741.93548387114</v>
          </cell>
          <cell r="AC177">
            <v>0</v>
          </cell>
          <cell r="AD177">
            <v>0</v>
          </cell>
          <cell r="AE177">
            <v>150000</v>
          </cell>
          <cell r="AF177">
            <v>21600000.000000026</v>
          </cell>
          <cell r="AG177">
            <v>49193.548387096773</v>
          </cell>
          <cell r="AH177">
            <v>7846612.9032258224</v>
          </cell>
        </row>
        <row r="178">
          <cell r="B178">
            <v>46172</v>
          </cell>
          <cell r="C178">
            <v>16935.483870967742</v>
          </cell>
          <cell r="D178">
            <v>2453064.5161290336</v>
          </cell>
          <cell r="E178">
            <v>6548.3870967741932</v>
          </cell>
          <cell r="F178">
            <v>818451.61290322454</v>
          </cell>
          <cell r="G178">
            <v>23483.870967741936</v>
          </cell>
          <cell r="H178">
            <v>3271516.1290322626</v>
          </cell>
          <cell r="I178">
            <v>17741.935483870966</v>
          </cell>
          <cell r="J178">
            <v>2882258.0645161294</v>
          </cell>
          <cell r="K178">
            <v>4838.7096774193551</v>
          </cell>
          <cell r="L178">
            <v>745161.29032258119</v>
          </cell>
          <cell r="M178">
            <v>22580.645161290322</v>
          </cell>
          <cell r="N178">
            <v>3627419.3548387098</v>
          </cell>
          <cell r="O178">
            <v>22580.645161290322</v>
          </cell>
          <cell r="P178">
            <v>3627419.3548387098</v>
          </cell>
          <cell r="Q178">
            <v>199193.54838709679</v>
          </cell>
          <cell r="R178">
            <v>29671221.198156629</v>
          </cell>
          <cell r="S178">
            <v>16.051779516380076</v>
          </cell>
          <cell r="T178">
            <v>2864.3018199211483</v>
          </cell>
          <cell r="U178">
            <v>5.3555913978951768</v>
          </cell>
          <cell r="V178">
            <v>910.0265197213472</v>
          </cell>
          <cell r="W178">
            <v>0</v>
          </cell>
          <cell r="X178">
            <v>0</v>
          </cell>
          <cell r="Y178">
            <v>17354.83870967742</v>
          </cell>
          <cell r="Z178">
            <v>2377645.161290328</v>
          </cell>
          <cell r="AA178">
            <v>6129.0322580645161</v>
          </cell>
          <cell r="AB178">
            <v>893870.96774193563</v>
          </cell>
          <cell r="AC178">
            <v>0</v>
          </cell>
          <cell r="AD178">
            <v>0</v>
          </cell>
          <cell r="AE178">
            <v>150000</v>
          </cell>
          <cell r="AF178">
            <v>21750000.000000026</v>
          </cell>
          <cell r="AG178">
            <v>49193.548387096773</v>
          </cell>
          <cell r="AH178">
            <v>7895806.4516129196</v>
          </cell>
        </row>
        <row r="179">
          <cell r="B179">
            <v>46173</v>
          </cell>
          <cell r="C179">
            <v>16935.483870967742</v>
          </cell>
          <cell r="D179">
            <v>2470000.0000000014</v>
          </cell>
          <cell r="E179">
            <v>6548.3870967741932</v>
          </cell>
          <cell r="F179">
            <v>824999.99999999872</v>
          </cell>
          <cell r="G179">
            <v>23483.870967741936</v>
          </cell>
          <cell r="H179">
            <v>3295000.0000000047</v>
          </cell>
          <cell r="I179">
            <v>17741.935483870966</v>
          </cell>
          <cell r="J179">
            <v>2900000.0000000005</v>
          </cell>
          <cell r="K179">
            <v>4838.7096774193551</v>
          </cell>
          <cell r="L179">
            <v>750000.00000000058</v>
          </cell>
          <cell r="M179">
            <v>22580.645161290322</v>
          </cell>
          <cell r="N179">
            <v>3650000</v>
          </cell>
          <cell r="O179">
            <v>22580.645161290322</v>
          </cell>
          <cell r="P179">
            <v>3650000</v>
          </cell>
          <cell r="Q179">
            <v>199193.54838709679</v>
          </cell>
          <cell r="R179">
            <v>29870414.746543724</v>
          </cell>
          <cell r="S179">
            <v>16.051779516380076</v>
          </cell>
          <cell r="T179">
            <v>2880.3535994375284</v>
          </cell>
          <cell r="U179">
            <v>5.3555913978951768</v>
          </cell>
          <cell r="V179">
            <v>915.38211111924238</v>
          </cell>
          <cell r="W179">
            <v>0</v>
          </cell>
          <cell r="X179">
            <v>0</v>
          </cell>
          <cell r="Y179">
            <v>17354.83870967742</v>
          </cell>
          <cell r="Z179">
            <v>2395000.0000000056</v>
          </cell>
          <cell r="AA179">
            <v>6129.0322580645161</v>
          </cell>
          <cell r="AB179">
            <v>900000.00000000012</v>
          </cell>
          <cell r="AC179">
            <v>0</v>
          </cell>
          <cell r="AD179">
            <v>0</v>
          </cell>
          <cell r="AE179">
            <v>150000</v>
          </cell>
          <cell r="AF179">
            <v>21900000.000000026</v>
          </cell>
          <cell r="AG179">
            <v>49193.548387096773</v>
          </cell>
          <cell r="AH179">
            <v>7945000.0000000168</v>
          </cell>
        </row>
        <row r="180">
          <cell r="B180">
            <v>46174</v>
          </cell>
          <cell r="C180">
            <v>16700</v>
          </cell>
          <cell r="D180">
            <v>2486700.0000000014</v>
          </cell>
          <cell r="E180">
            <v>6333.333333333333</v>
          </cell>
          <cell r="F180">
            <v>831333.33333333209</v>
          </cell>
          <cell r="G180">
            <v>23033.333333333332</v>
          </cell>
          <cell r="H180">
            <v>3318033.3333333381</v>
          </cell>
          <cell r="I180">
            <v>18333.333333333332</v>
          </cell>
          <cell r="J180">
            <v>2918333.333333334</v>
          </cell>
          <cell r="K180">
            <v>5000</v>
          </cell>
          <cell r="L180">
            <v>755000.00000000058</v>
          </cell>
          <cell r="M180">
            <v>23333.333333333332</v>
          </cell>
          <cell r="N180">
            <v>3673333.3333333335</v>
          </cell>
          <cell r="O180">
            <v>23333.333333333332</v>
          </cell>
          <cell r="P180">
            <v>3673333.3333333335</v>
          </cell>
          <cell r="Q180">
            <v>217166.66666666666</v>
          </cell>
          <cell r="R180">
            <v>30087581.413210392</v>
          </cell>
          <cell r="S180">
            <v>10.976487493256487</v>
          </cell>
          <cell r="T180">
            <v>2891.330086930785</v>
          </cell>
          <cell r="U180">
            <v>4.2564444444478582</v>
          </cell>
          <cell r="V180">
            <v>919.63855556369026</v>
          </cell>
          <cell r="W180">
            <v>0</v>
          </cell>
          <cell r="X180">
            <v>0</v>
          </cell>
          <cell r="Y180">
            <v>17700</v>
          </cell>
          <cell r="Z180">
            <v>2412700.0000000056</v>
          </cell>
          <cell r="AA180">
            <v>5333.333333333333</v>
          </cell>
          <cell r="AB180">
            <v>905333.33333333349</v>
          </cell>
          <cell r="AC180">
            <v>0</v>
          </cell>
          <cell r="AD180">
            <v>0</v>
          </cell>
          <cell r="AE180">
            <v>165000</v>
          </cell>
          <cell r="AF180">
            <v>22065000.000000026</v>
          </cell>
          <cell r="AG180">
            <v>52166.666666666664</v>
          </cell>
          <cell r="AH180">
            <v>7997166.6666666837</v>
          </cell>
        </row>
        <row r="181">
          <cell r="B181">
            <v>46175</v>
          </cell>
          <cell r="C181">
            <v>16700</v>
          </cell>
          <cell r="D181">
            <v>2503400.0000000014</v>
          </cell>
          <cell r="E181">
            <v>6333.333333333333</v>
          </cell>
          <cell r="F181">
            <v>837666.66666666546</v>
          </cell>
          <cell r="G181">
            <v>23033.333333333332</v>
          </cell>
          <cell r="H181">
            <v>3341066.6666666716</v>
          </cell>
          <cell r="I181">
            <v>18333.333333333332</v>
          </cell>
          <cell r="J181">
            <v>2936666.6666666674</v>
          </cell>
          <cell r="K181">
            <v>5000</v>
          </cell>
          <cell r="L181">
            <v>760000.00000000058</v>
          </cell>
          <cell r="M181">
            <v>23333.333333333332</v>
          </cell>
          <cell r="N181">
            <v>3696666.666666667</v>
          </cell>
          <cell r="O181">
            <v>23333.333333333332</v>
          </cell>
          <cell r="P181">
            <v>3696666.666666667</v>
          </cell>
          <cell r="Q181">
            <v>217166.66666666666</v>
          </cell>
          <cell r="R181">
            <v>30304748.07987706</v>
          </cell>
          <cell r="S181">
            <v>10.976487493256487</v>
          </cell>
          <cell r="T181">
            <v>2902.3065744240416</v>
          </cell>
          <cell r="U181">
            <v>4.2564444444478582</v>
          </cell>
          <cell r="V181">
            <v>923.89500000813814</v>
          </cell>
          <cell r="W181">
            <v>0</v>
          </cell>
          <cell r="X181">
            <v>0</v>
          </cell>
          <cell r="Y181">
            <v>17700</v>
          </cell>
          <cell r="Z181">
            <v>2430400.0000000056</v>
          </cell>
          <cell r="AA181">
            <v>5333.333333333333</v>
          </cell>
          <cell r="AB181">
            <v>910666.66666666686</v>
          </cell>
          <cell r="AC181">
            <v>0</v>
          </cell>
          <cell r="AD181">
            <v>0</v>
          </cell>
          <cell r="AE181">
            <v>165000</v>
          </cell>
          <cell r="AF181">
            <v>22230000.000000026</v>
          </cell>
          <cell r="AG181">
            <v>52166.666666666664</v>
          </cell>
          <cell r="AH181">
            <v>8049333.3333333507</v>
          </cell>
        </row>
        <row r="182">
          <cell r="B182">
            <v>46176</v>
          </cell>
          <cell r="C182">
            <v>16700</v>
          </cell>
          <cell r="D182">
            <v>2520100.0000000014</v>
          </cell>
          <cell r="E182">
            <v>6333.333333333333</v>
          </cell>
          <cell r="F182">
            <v>843999.99999999884</v>
          </cell>
          <cell r="G182">
            <v>23033.333333333332</v>
          </cell>
          <cell r="H182">
            <v>3364100.0000000051</v>
          </cell>
          <cell r="I182">
            <v>18333.333333333332</v>
          </cell>
          <cell r="J182">
            <v>2955000.0000000009</v>
          </cell>
          <cell r="K182">
            <v>5000</v>
          </cell>
          <cell r="L182">
            <v>765000.00000000058</v>
          </cell>
          <cell r="M182">
            <v>23333.333333333332</v>
          </cell>
          <cell r="N182">
            <v>3720000.0000000005</v>
          </cell>
          <cell r="O182">
            <v>23333.333333333332</v>
          </cell>
          <cell r="P182">
            <v>3720000.0000000005</v>
          </cell>
          <cell r="Q182">
            <v>217166.66666666666</v>
          </cell>
          <cell r="R182">
            <v>30521914.746543728</v>
          </cell>
          <cell r="S182">
            <v>10.976487493256487</v>
          </cell>
          <cell r="T182">
            <v>2913.2830619172983</v>
          </cell>
          <cell r="U182">
            <v>4.2564444444478582</v>
          </cell>
          <cell r="V182">
            <v>928.15144445258602</v>
          </cell>
          <cell r="W182">
            <v>0</v>
          </cell>
          <cell r="X182">
            <v>0</v>
          </cell>
          <cell r="Y182">
            <v>17700</v>
          </cell>
          <cell r="Z182">
            <v>2448100.0000000056</v>
          </cell>
          <cell r="AA182">
            <v>5333.333333333333</v>
          </cell>
          <cell r="AB182">
            <v>916000.00000000023</v>
          </cell>
          <cell r="AC182">
            <v>0</v>
          </cell>
          <cell r="AD182">
            <v>0</v>
          </cell>
          <cell r="AE182">
            <v>165000</v>
          </cell>
          <cell r="AF182">
            <v>22395000.000000026</v>
          </cell>
          <cell r="AG182">
            <v>52166.666666666664</v>
          </cell>
          <cell r="AH182">
            <v>8101500.0000000177</v>
          </cell>
        </row>
        <row r="183">
          <cell r="B183">
            <v>46177</v>
          </cell>
          <cell r="C183">
            <v>16700</v>
          </cell>
          <cell r="D183">
            <v>2536800.0000000014</v>
          </cell>
          <cell r="E183">
            <v>6333.333333333333</v>
          </cell>
          <cell r="F183">
            <v>850333.33333333221</v>
          </cell>
          <cell r="G183">
            <v>23033.333333333332</v>
          </cell>
          <cell r="H183">
            <v>3387133.3333333386</v>
          </cell>
          <cell r="I183">
            <v>18333.333333333332</v>
          </cell>
          <cell r="J183">
            <v>2973333.3333333344</v>
          </cell>
          <cell r="K183">
            <v>5000</v>
          </cell>
          <cell r="L183">
            <v>770000.00000000058</v>
          </cell>
          <cell r="M183">
            <v>23333.333333333332</v>
          </cell>
          <cell r="N183">
            <v>3743333.333333334</v>
          </cell>
          <cell r="O183">
            <v>23333.333333333332</v>
          </cell>
          <cell r="P183">
            <v>3743333.333333334</v>
          </cell>
          <cell r="Q183">
            <v>217166.66666666666</v>
          </cell>
          <cell r="R183">
            <v>30739081.413210396</v>
          </cell>
          <cell r="S183">
            <v>10.976487493256487</v>
          </cell>
          <cell r="T183">
            <v>2924.2595494105549</v>
          </cell>
          <cell r="U183">
            <v>4.2564444444478582</v>
          </cell>
          <cell r="V183">
            <v>932.4078888970339</v>
          </cell>
          <cell r="W183">
            <v>0</v>
          </cell>
          <cell r="X183">
            <v>0</v>
          </cell>
          <cell r="Y183">
            <v>17700</v>
          </cell>
          <cell r="Z183">
            <v>2465800.0000000056</v>
          </cell>
          <cell r="AA183">
            <v>5333.333333333333</v>
          </cell>
          <cell r="AB183">
            <v>921333.3333333336</v>
          </cell>
          <cell r="AC183">
            <v>0</v>
          </cell>
          <cell r="AD183">
            <v>0</v>
          </cell>
          <cell r="AE183">
            <v>165000</v>
          </cell>
          <cell r="AF183">
            <v>22560000.000000026</v>
          </cell>
          <cell r="AG183">
            <v>52166.666666666664</v>
          </cell>
          <cell r="AH183">
            <v>8153666.6666666847</v>
          </cell>
        </row>
        <row r="184">
          <cell r="B184">
            <v>46178</v>
          </cell>
          <cell r="C184">
            <v>16700</v>
          </cell>
          <cell r="D184">
            <v>2553500.0000000014</v>
          </cell>
          <cell r="E184">
            <v>6333.333333333333</v>
          </cell>
          <cell r="F184">
            <v>856666.66666666558</v>
          </cell>
          <cell r="G184">
            <v>23033.333333333332</v>
          </cell>
          <cell r="H184">
            <v>3410166.6666666721</v>
          </cell>
          <cell r="I184">
            <v>18333.333333333332</v>
          </cell>
          <cell r="J184">
            <v>2991666.6666666679</v>
          </cell>
          <cell r="K184">
            <v>5000</v>
          </cell>
          <cell r="L184">
            <v>775000.00000000058</v>
          </cell>
          <cell r="M184">
            <v>23333.333333333332</v>
          </cell>
          <cell r="N184">
            <v>3766666.6666666674</v>
          </cell>
          <cell r="O184">
            <v>23333.333333333332</v>
          </cell>
          <cell r="P184">
            <v>3766666.6666666674</v>
          </cell>
          <cell r="Q184">
            <v>217166.66666666666</v>
          </cell>
          <cell r="R184">
            <v>30956248.079877064</v>
          </cell>
          <cell r="S184">
            <v>10.976487493256487</v>
          </cell>
          <cell r="T184">
            <v>2935.2360369038115</v>
          </cell>
          <cell r="U184">
            <v>4.2564444444478582</v>
          </cell>
          <cell r="V184">
            <v>936.66433334148178</v>
          </cell>
          <cell r="W184">
            <v>0</v>
          </cell>
          <cell r="X184">
            <v>0</v>
          </cell>
          <cell r="Y184">
            <v>17700</v>
          </cell>
          <cell r="Z184">
            <v>2483500.0000000056</v>
          </cell>
          <cell r="AA184">
            <v>5333.333333333333</v>
          </cell>
          <cell r="AB184">
            <v>926666.66666666698</v>
          </cell>
          <cell r="AC184">
            <v>0</v>
          </cell>
          <cell r="AD184">
            <v>0</v>
          </cell>
          <cell r="AE184">
            <v>165000</v>
          </cell>
          <cell r="AF184">
            <v>22725000.000000026</v>
          </cell>
          <cell r="AG184">
            <v>52166.666666666664</v>
          </cell>
          <cell r="AH184">
            <v>8205833.3333333516</v>
          </cell>
        </row>
        <row r="185">
          <cell r="B185">
            <v>46179</v>
          </cell>
          <cell r="C185">
            <v>16700</v>
          </cell>
          <cell r="D185">
            <v>2570200.0000000014</v>
          </cell>
          <cell r="E185">
            <v>6333.333333333333</v>
          </cell>
          <cell r="F185">
            <v>862999.99999999895</v>
          </cell>
          <cell r="G185">
            <v>23033.333333333332</v>
          </cell>
          <cell r="H185">
            <v>3433200.0000000056</v>
          </cell>
          <cell r="I185">
            <v>18333.333333333332</v>
          </cell>
          <cell r="J185">
            <v>3010000.0000000014</v>
          </cell>
          <cell r="K185">
            <v>5000</v>
          </cell>
          <cell r="L185">
            <v>780000.00000000058</v>
          </cell>
          <cell r="M185">
            <v>23333.333333333332</v>
          </cell>
          <cell r="N185">
            <v>3790000.0000000009</v>
          </cell>
          <cell r="O185">
            <v>23333.333333333332</v>
          </cell>
          <cell r="P185">
            <v>3790000.0000000009</v>
          </cell>
          <cell r="Q185">
            <v>217166.66666666666</v>
          </cell>
          <cell r="R185">
            <v>31173414.746543732</v>
          </cell>
          <cell r="S185">
            <v>10.976487493256487</v>
          </cell>
          <cell r="T185">
            <v>2946.2125243970681</v>
          </cell>
          <cell r="U185">
            <v>4.2564444444478582</v>
          </cell>
          <cell r="V185">
            <v>940.92077778592966</v>
          </cell>
          <cell r="W185">
            <v>0</v>
          </cell>
          <cell r="X185">
            <v>0</v>
          </cell>
          <cell r="Y185">
            <v>17700</v>
          </cell>
          <cell r="Z185">
            <v>2501200.0000000056</v>
          </cell>
          <cell r="AA185">
            <v>5333.333333333333</v>
          </cell>
          <cell r="AB185">
            <v>932000.00000000035</v>
          </cell>
          <cell r="AC185">
            <v>0</v>
          </cell>
          <cell r="AD185">
            <v>0</v>
          </cell>
          <cell r="AE185">
            <v>165000</v>
          </cell>
          <cell r="AF185">
            <v>22890000.000000026</v>
          </cell>
          <cell r="AG185">
            <v>52166.666666666664</v>
          </cell>
          <cell r="AH185">
            <v>8258000.0000000186</v>
          </cell>
        </row>
        <row r="186">
          <cell r="B186">
            <v>46180</v>
          </cell>
          <cell r="C186">
            <v>16700</v>
          </cell>
          <cell r="D186">
            <v>2586900.0000000014</v>
          </cell>
          <cell r="E186">
            <v>6333.333333333333</v>
          </cell>
          <cell r="F186">
            <v>869333.33333333232</v>
          </cell>
          <cell r="G186">
            <v>23033.333333333332</v>
          </cell>
          <cell r="H186">
            <v>3456233.3333333391</v>
          </cell>
          <cell r="I186">
            <v>18333.333333333332</v>
          </cell>
          <cell r="J186">
            <v>3028333.3333333349</v>
          </cell>
          <cell r="K186">
            <v>5000</v>
          </cell>
          <cell r="L186">
            <v>785000.00000000058</v>
          </cell>
          <cell r="M186">
            <v>23333.333333333332</v>
          </cell>
          <cell r="N186">
            <v>3813333.3333333344</v>
          </cell>
          <cell r="O186">
            <v>23333.333333333332</v>
          </cell>
          <cell r="P186">
            <v>3813333.3333333344</v>
          </cell>
          <cell r="Q186">
            <v>217166.66666666666</v>
          </cell>
          <cell r="R186">
            <v>31390581.413210399</v>
          </cell>
          <cell r="S186">
            <v>10.976487493256487</v>
          </cell>
          <cell r="T186">
            <v>2957.1890118903248</v>
          </cell>
          <cell r="U186">
            <v>4.2564444444478582</v>
          </cell>
          <cell r="V186">
            <v>945.17722223037754</v>
          </cell>
          <cell r="W186">
            <v>0</v>
          </cell>
          <cell r="X186">
            <v>0</v>
          </cell>
          <cell r="Y186">
            <v>17700</v>
          </cell>
          <cell r="Z186">
            <v>2518900.0000000056</v>
          </cell>
          <cell r="AA186">
            <v>5333.333333333333</v>
          </cell>
          <cell r="AB186">
            <v>937333.33333333372</v>
          </cell>
          <cell r="AC186">
            <v>0</v>
          </cell>
          <cell r="AD186">
            <v>0</v>
          </cell>
          <cell r="AE186">
            <v>165000</v>
          </cell>
          <cell r="AF186">
            <v>23055000.000000026</v>
          </cell>
          <cell r="AG186">
            <v>52166.666666666664</v>
          </cell>
          <cell r="AH186">
            <v>8310166.6666666856</v>
          </cell>
        </row>
        <row r="187">
          <cell r="B187">
            <v>46181</v>
          </cell>
          <cell r="C187">
            <v>16700</v>
          </cell>
          <cell r="D187">
            <v>2603600.0000000014</v>
          </cell>
          <cell r="E187">
            <v>6333.333333333333</v>
          </cell>
          <cell r="F187">
            <v>875666.6666666657</v>
          </cell>
          <cell r="G187">
            <v>23033.333333333332</v>
          </cell>
          <cell r="H187">
            <v>3479266.6666666726</v>
          </cell>
          <cell r="I187">
            <v>18333.333333333332</v>
          </cell>
          <cell r="J187">
            <v>3046666.6666666684</v>
          </cell>
          <cell r="K187">
            <v>5000</v>
          </cell>
          <cell r="L187">
            <v>790000.00000000058</v>
          </cell>
          <cell r="M187">
            <v>23333.333333333332</v>
          </cell>
          <cell r="N187">
            <v>3836666.6666666679</v>
          </cell>
          <cell r="O187">
            <v>23333.333333333332</v>
          </cell>
          <cell r="P187">
            <v>3836666.6666666679</v>
          </cell>
          <cell r="Q187">
            <v>217166.66666666666</v>
          </cell>
          <cell r="R187">
            <v>31607748.079877067</v>
          </cell>
          <cell r="S187">
            <v>10.976487493256487</v>
          </cell>
          <cell r="T187">
            <v>2968.1654993835814</v>
          </cell>
          <cell r="U187">
            <v>4.2564444444478582</v>
          </cell>
          <cell r="V187">
            <v>949.43366667482542</v>
          </cell>
          <cell r="W187">
            <v>0</v>
          </cell>
          <cell r="X187">
            <v>0</v>
          </cell>
          <cell r="Y187">
            <v>17700</v>
          </cell>
          <cell r="Z187">
            <v>2536600.0000000056</v>
          </cell>
          <cell r="AA187">
            <v>5333.333333333333</v>
          </cell>
          <cell r="AB187">
            <v>942666.66666666709</v>
          </cell>
          <cell r="AC187">
            <v>0</v>
          </cell>
          <cell r="AD187">
            <v>0</v>
          </cell>
          <cell r="AE187">
            <v>165000</v>
          </cell>
          <cell r="AF187">
            <v>23220000.000000026</v>
          </cell>
          <cell r="AG187">
            <v>52166.666666666664</v>
          </cell>
          <cell r="AH187">
            <v>8362333.3333333526</v>
          </cell>
        </row>
        <row r="188">
          <cell r="B188">
            <v>46182</v>
          </cell>
          <cell r="C188">
            <v>16700</v>
          </cell>
          <cell r="D188">
            <v>2620300.0000000014</v>
          </cell>
          <cell r="E188">
            <v>6333.333333333333</v>
          </cell>
          <cell r="F188">
            <v>881999.99999999907</v>
          </cell>
          <cell r="G188">
            <v>23033.333333333332</v>
          </cell>
          <cell r="H188">
            <v>3502300.0000000061</v>
          </cell>
          <cell r="I188">
            <v>18333.333333333332</v>
          </cell>
          <cell r="J188">
            <v>3065000.0000000019</v>
          </cell>
          <cell r="K188">
            <v>5000</v>
          </cell>
          <cell r="L188">
            <v>795000.00000000058</v>
          </cell>
          <cell r="M188">
            <v>23333.333333333332</v>
          </cell>
          <cell r="N188">
            <v>3860000.0000000014</v>
          </cell>
          <cell r="O188">
            <v>23333.333333333332</v>
          </cell>
          <cell r="P188">
            <v>3860000.0000000014</v>
          </cell>
          <cell r="Q188">
            <v>217166.66666666666</v>
          </cell>
          <cell r="R188">
            <v>31824914.746543735</v>
          </cell>
          <cell r="S188">
            <v>10.976487493256487</v>
          </cell>
          <cell r="T188">
            <v>2979.141986876838</v>
          </cell>
          <cell r="U188">
            <v>4.2564444444478582</v>
          </cell>
          <cell r="V188">
            <v>953.6901111192733</v>
          </cell>
          <cell r="W188">
            <v>0</v>
          </cell>
          <cell r="X188">
            <v>0</v>
          </cell>
          <cell r="Y188">
            <v>17700</v>
          </cell>
          <cell r="Z188">
            <v>2554300.0000000056</v>
          </cell>
          <cell r="AA188">
            <v>5333.333333333333</v>
          </cell>
          <cell r="AB188">
            <v>948000.00000000047</v>
          </cell>
          <cell r="AC188">
            <v>0</v>
          </cell>
          <cell r="AD188">
            <v>0</v>
          </cell>
          <cell r="AE188">
            <v>165000</v>
          </cell>
          <cell r="AF188">
            <v>23385000.000000026</v>
          </cell>
          <cell r="AG188">
            <v>52166.666666666664</v>
          </cell>
          <cell r="AH188">
            <v>8414500.0000000186</v>
          </cell>
        </row>
        <row r="189">
          <cell r="B189">
            <v>46183</v>
          </cell>
          <cell r="C189">
            <v>16700</v>
          </cell>
          <cell r="D189">
            <v>2637000.0000000014</v>
          </cell>
          <cell r="E189">
            <v>6333.333333333333</v>
          </cell>
          <cell r="F189">
            <v>888333.33333333244</v>
          </cell>
          <cell r="G189">
            <v>23033.333333333332</v>
          </cell>
          <cell r="H189">
            <v>3525333.3333333395</v>
          </cell>
          <cell r="I189">
            <v>18333.333333333332</v>
          </cell>
          <cell r="J189">
            <v>3083333.3333333354</v>
          </cell>
          <cell r="K189">
            <v>5000</v>
          </cell>
          <cell r="L189">
            <v>800000.00000000058</v>
          </cell>
          <cell r="M189">
            <v>23333.333333333332</v>
          </cell>
          <cell r="N189">
            <v>3883333.3333333349</v>
          </cell>
          <cell r="O189">
            <v>23333.333333333332</v>
          </cell>
          <cell r="P189">
            <v>3883333.3333333349</v>
          </cell>
          <cell r="Q189">
            <v>217166.66666666666</v>
          </cell>
          <cell r="R189">
            <v>32042081.413210403</v>
          </cell>
          <cell r="S189">
            <v>10.976487493256487</v>
          </cell>
          <cell r="T189">
            <v>2990.1184743700946</v>
          </cell>
          <cell r="U189">
            <v>4.2564444444478582</v>
          </cell>
          <cell r="V189">
            <v>957.94655556372118</v>
          </cell>
          <cell r="W189">
            <v>0</v>
          </cell>
          <cell r="X189">
            <v>0</v>
          </cell>
          <cell r="Y189">
            <v>17700</v>
          </cell>
          <cell r="Z189">
            <v>2572000.0000000056</v>
          </cell>
          <cell r="AA189">
            <v>5333.333333333333</v>
          </cell>
          <cell r="AB189">
            <v>953333.33333333384</v>
          </cell>
          <cell r="AC189">
            <v>0</v>
          </cell>
          <cell r="AD189">
            <v>0</v>
          </cell>
          <cell r="AE189">
            <v>165000</v>
          </cell>
          <cell r="AF189">
            <v>23550000.000000026</v>
          </cell>
          <cell r="AG189">
            <v>52166.666666666664</v>
          </cell>
          <cell r="AH189">
            <v>8466666.6666666847</v>
          </cell>
        </row>
        <row r="190">
          <cell r="B190">
            <v>46184</v>
          </cell>
          <cell r="C190">
            <v>16700</v>
          </cell>
          <cell r="D190">
            <v>2653700.0000000014</v>
          </cell>
          <cell r="E190">
            <v>6333.333333333333</v>
          </cell>
          <cell r="F190">
            <v>894666.66666666581</v>
          </cell>
          <cell r="G190">
            <v>23033.333333333332</v>
          </cell>
          <cell r="H190">
            <v>3548366.666666673</v>
          </cell>
          <cell r="I190">
            <v>18333.333333333332</v>
          </cell>
          <cell r="J190">
            <v>3101666.6666666688</v>
          </cell>
          <cell r="K190">
            <v>5000</v>
          </cell>
          <cell r="L190">
            <v>805000.00000000058</v>
          </cell>
          <cell r="M190">
            <v>23333.333333333332</v>
          </cell>
          <cell r="N190">
            <v>3906666.6666666684</v>
          </cell>
          <cell r="O190">
            <v>23333.333333333332</v>
          </cell>
          <cell r="P190">
            <v>3906666.6666666684</v>
          </cell>
          <cell r="Q190">
            <v>217166.66666666666</v>
          </cell>
          <cell r="R190">
            <v>32259248.079877071</v>
          </cell>
          <cell r="S190">
            <v>10.976487493256487</v>
          </cell>
          <cell r="T190">
            <v>3001.0949618633513</v>
          </cell>
          <cell r="U190">
            <v>4.2564444444478582</v>
          </cell>
          <cell r="V190">
            <v>962.20300000816906</v>
          </cell>
          <cell r="W190">
            <v>0</v>
          </cell>
          <cell r="X190">
            <v>0</v>
          </cell>
          <cell r="Y190">
            <v>17700</v>
          </cell>
          <cell r="Z190">
            <v>2589700.0000000056</v>
          </cell>
          <cell r="AA190">
            <v>5333.333333333333</v>
          </cell>
          <cell r="AB190">
            <v>958666.66666666721</v>
          </cell>
          <cell r="AC190">
            <v>0</v>
          </cell>
          <cell r="AD190">
            <v>0</v>
          </cell>
          <cell r="AE190">
            <v>165000</v>
          </cell>
          <cell r="AF190">
            <v>23715000.000000026</v>
          </cell>
          <cell r="AG190">
            <v>52166.666666666664</v>
          </cell>
          <cell r="AH190">
            <v>8518833.3333333507</v>
          </cell>
        </row>
        <row r="191">
          <cell r="B191">
            <v>46185</v>
          </cell>
          <cell r="C191">
            <v>16700</v>
          </cell>
          <cell r="D191">
            <v>2670400.0000000014</v>
          </cell>
          <cell r="E191">
            <v>6333.333333333333</v>
          </cell>
          <cell r="F191">
            <v>900999.99999999919</v>
          </cell>
          <cell r="G191">
            <v>23033.333333333332</v>
          </cell>
          <cell r="H191">
            <v>3571400.0000000065</v>
          </cell>
          <cell r="I191">
            <v>18333.333333333332</v>
          </cell>
          <cell r="J191">
            <v>3120000.0000000023</v>
          </cell>
          <cell r="K191">
            <v>5000</v>
          </cell>
          <cell r="L191">
            <v>810000.00000000058</v>
          </cell>
          <cell r="M191">
            <v>23333.333333333332</v>
          </cell>
          <cell r="N191">
            <v>3930000.0000000019</v>
          </cell>
          <cell r="O191">
            <v>23333.333333333332</v>
          </cell>
          <cell r="P191">
            <v>3930000.0000000019</v>
          </cell>
          <cell r="Q191">
            <v>217166.66666666666</v>
          </cell>
          <cell r="R191">
            <v>32476414.746543739</v>
          </cell>
          <cell r="S191">
            <v>10.976487493256487</v>
          </cell>
          <cell r="T191">
            <v>3012.0714493566079</v>
          </cell>
          <cell r="U191">
            <v>4.2564444444478582</v>
          </cell>
          <cell r="V191">
            <v>966.45944445261694</v>
          </cell>
          <cell r="W191">
            <v>0</v>
          </cell>
          <cell r="X191">
            <v>0</v>
          </cell>
          <cell r="Y191">
            <v>17700</v>
          </cell>
          <cell r="Z191">
            <v>2607400.0000000056</v>
          </cell>
          <cell r="AA191">
            <v>5333.333333333333</v>
          </cell>
          <cell r="AB191">
            <v>964000.00000000058</v>
          </cell>
          <cell r="AC191">
            <v>0</v>
          </cell>
          <cell r="AD191">
            <v>0</v>
          </cell>
          <cell r="AE191">
            <v>165000</v>
          </cell>
          <cell r="AF191">
            <v>23880000.000000026</v>
          </cell>
          <cell r="AG191">
            <v>52166.666666666664</v>
          </cell>
          <cell r="AH191">
            <v>8571000.0000000168</v>
          </cell>
        </row>
        <row r="192">
          <cell r="B192">
            <v>46186</v>
          </cell>
          <cell r="C192">
            <v>16700</v>
          </cell>
          <cell r="D192">
            <v>2687100.0000000014</v>
          </cell>
          <cell r="E192">
            <v>6333.333333333333</v>
          </cell>
          <cell r="F192">
            <v>907333.33333333256</v>
          </cell>
          <cell r="G192">
            <v>23033.333333333332</v>
          </cell>
          <cell r="H192">
            <v>3594433.33333334</v>
          </cell>
          <cell r="I192">
            <v>18333.333333333332</v>
          </cell>
          <cell r="J192">
            <v>3138333.3333333358</v>
          </cell>
          <cell r="K192">
            <v>5000</v>
          </cell>
          <cell r="L192">
            <v>815000.00000000058</v>
          </cell>
          <cell r="M192">
            <v>23333.333333333332</v>
          </cell>
          <cell r="N192">
            <v>3953333.3333333354</v>
          </cell>
          <cell r="O192">
            <v>23333.333333333332</v>
          </cell>
          <cell r="P192">
            <v>3953333.3333333354</v>
          </cell>
          <cell r="Q192">
            <v>217166.66666666666</v>
          </cell>
          <cell r="R192">
            <v>32693581.413210407</v>
          </cell>
          <cell r="S192">
            <v>10.976487493256487</v>
          </cell>
          <cell r="T192">
            <v>3023.0479368498645</v>
          </cell>
          <cell r="U192">
            <v>4.2564444444478582</v>
          </cell>
          <cell r="V192">
            <v>970.71588889706481</v>
          </cell>
          <cell r="W192">
            <v>0</v>
          </cell>
          <cell r="X192">
            <v>0</v>
          </cell>
          <cell r="Y192">
            <v>17700</v>
          </cell>
          <cell r="Z192">
            <v>2625100.0000000056</v>
          </cell>
          <cell r="AA192">
            <v>5333.333333333333</v>
          </cell>
          <cell r="AB192">
            <v>969333.33333333395</v>
          </cell>
          <cell r="AC192">
            <v>0</v>
          </cell>
          <cell r="AD192">
            <v>0</v>
          </cell>
          <cell r="AE192">
            <v>165000</v>
          </cell>
          <cell r="AF192">
            <v>24045000.000000026</v>
          </cell>
          <cell r="AG192">
            <v>52166.666666666664</v>
          </cell>
          <cell r="AH192">
            <v>8623166.6666666828</v>
          </cell>
        </row>
        <row r="193">
          <cell r="B193">
            <v>46187</v>
          </cell>
          <cell r="C193">
            <v>16700</v>
          </cell>
          <cell r="D193">
            <v>2703800.0000000014</v>
          </cell>
          <cell r="E193">
            <v>6333.333333333333</v>
          </cell>
          <cell r="F193">
            <v>913666.66666666593</v>
          </cell>
          <cell r="G193">
            <v>23033.333333333332</v>
          </cell>
          <cell r="H193">
            <v>3617466.6666666735</v>
          </cell>
          <cell r="I193">
            <v>18333.333333333332</v>
          </cell>
          <cell r="J193">
            <v>3156666.6666666693</v>
          </cell>
          <cell r="K193">
            <v>5000</v>
          </cell>
          <cell r="L193">
            <v>820000.00000000058</v>
          </cell>
          <cell r="M193">
            <v>23333.333333333332</v>
          </cell>
          <cell r="N193">
            <v>3976666.6666666688</v>
          </cell>
          <cell r="O193">
            <v>23333.333333333332</v>
          </cell>
          <cell r="P193">
            <v>3976666.6666666688</v>
          </cell>
          <cell r="Q193">
            <v>217166.66666666666</v>
          </cell>
          <cell r="R193">
            <v>32910748.079877075</v>
          </cell>
          <cell r="S193">
            <v>10.976487493256487</v>
          </cell>
          <cell r="T193">
            <v>3034.0244243431212</v>
          </cell>
          <cell r="U193">
            <v>4.2564444444478582</v>
          </cell>
          <cell r="V193">
            <v>974.97233334151269</v>
          </cell>
          <cell r="W193">
            <v>0</v>
          </cell>
          <cell r="X193">
            <v>0</v>
          </cell>
          <cell r="Y193">
            <v>17700</v>
          </cell>
          <cell r="Z193">
            <v>2642800.0000000056</v>
          </cell>
          <cell r="AA193">
            <v>5333.333333333333</v>
          </cell>
          <cell r="AB193">
            <v>974666.66666666733</v>
          </cell>
          <cell r="AC193">
            <v>0</v>
          </cell>
          <cell r="AD193">
            <v>0</v>
          </cell>
          <cell r="AE193">
            <v>165000</v>
          </cell>
          <cell r="AF193">
            <v>24210000.000000026</v>
          </cell>
          <cell r="AG193">
            <v>52166.666666666664</v>
          </cell>
          <cell r="AH193">
            <v>8675333.3333333489</v>
          </cell>
        </row>
        <row r="194">
          <cell r="B194">
            <v>46188</v>
          </cell>
          <cell r="C194">
            <v>16700</v>
          </cell>
          <cell r="D194">
            <v>2720500.0000000014</v>
          </cell>
          <cell r="E194">
            <v>6333.333333333333</v>
          </cell>
          <cell r="F194">
            <v>919999.9999999993</v>
          </cell>
          <cell r="G194">
            <v>23033.333333333332</v>
          </cell>
          <cell r="H194">
            <v>3640500.000000007</v>
          </cell>
          <cell r="I194">
            <v>18333.333333333332</v>
          </cell>
          <cell r="J194">
            <v>3175000.0000000028</v>
          </cell>
          <cell r="K194">
            <v>5000</v>
          </cell>
          <cell r="L194">
            <v>825000.00000000058</v>
          </cell>
          <cell r="M194">
            <v>23333.333333333332</v>
          </cell>
          <cell r="N194">
            <v>4000000.0000000023</v>
          </cell>
          <cell r="O194">
            <v>23333.333333333332</v>
          </cell>
          <cell r="P194">
            <v>4000000.0000000023</v>
          </cell>
          <cell r="Q194">
            <v>217166.66666666666</v>
          </cell>
          <cell r="R194">
            <v>33127914.746543743</v>
          </cell>
          <cell r="S194">
            <v>10.976487493256487</v>
          </cell>
          <cell r="T194">
            <v>3045.0009118363778</v>
          </cell>
          <cell r="U194">
            <v>4.2564444444478582</v>
          </cell>
          <cell r="V194">
            <v>979.22877778596057</v>
          </cell>
          <cell r="W194">
            <v>0</v>
          </cell>
          <cell r="X194">
            <v>0</v>
          </cell>
          <cell r="Y194">
            <v>17700</v>
          </cell>
          <cell r="Z194">
            <v>2660500.0000000056</v>
          </cell>
          <cell r="AA194">
            <v>5333.333333333333</v>
          </cell>
          <cell r="AB194">
            <v>980000.0000000007</v>
          </cell>
          <cell r="AC194">
            <v>0</v>
          </cell>
          <cell r="AD194">
            <v>0</v>
          </cell>
          <cell r="AE194">
            <v>165000</v>
          </cell>
          <cell r="AF194">
            <v>24375000.000000026</v>
          </cell>
          <cell r="AG194">
            <v>52166.666666666664</v>
          </cell>
          <cell r="AH194">
            <v>8727500.0000000149</v>
          </cell>
        </row>
        <row r="195">
          <cell r="B195">
            <v>46189</v>
          </cell>
          <cell r="C195">
            <v>16700</v>
          </cell>
          <cell r="D195">
            <v>2737200.0000000014</v>
          </cell>
          <cell r="E195">
            <v>6333.333333333333</v>
          </cell>
          <cell r="F195">
            <v>926333.33333333267</v>
          </cell>
          <cell r="G195">
            <v>23033.333333333332</v>
          </cell>
          <cell r="H195">
            <v>3663533.3333333405</v>
          </cell>
          <cell r="I195">
            <v>18333.333333333332</v>
          </cell>
          <cell r="J195">
            <v>3193333.3333333363</v>
          </cell>
          <cell r="K195">
            <v>5000</v>
          </cell>
          <cell r="L195">
            <v>830000.00000000058</v>
          </cell>
          <cell r="M195">
            <v>23333.333333333332</v>
          </cell>
          <cell r="N195">
            <v>4023333.3333333358</v>
          </cell>
          <cell r="O195">
            <v>23333.333333333332</v>
          </cell>
          <cell r="P195">
            <v>4023333.3333333358</v>
          </cell>
          <cell r="Q195">
            <v>217166.66666666666</v>
          </cell>
          <cell r="R195">
            <v>33345081.413210411</v>
          </cell>
          <cell r="S195">
            <v>10.976487493256487</v>
          </cell>
          <cell r="T195">
            <v>3055.9773993296344</v>
          </cell>
          <cell r="U195">
            <v>4.2564444444478582</v>
          </cell>
          <cell r="V195">
            <v>983.48522223040845</v>
          </cell>
          <cell r="W195">
            <v>0</v>
          </cell>
          <cell r="X195">
            <v>0</v>
          </cell>
          <cell r="Y195">
            <v>17700</v>
          </cell>
          <cell r="Z195">
            <v>2678200.0000000056</v>
          </cell>
          <cell r="AA195">
            <v>5333.333333333333</v>
          </cell>
          <cell r="AB195">
            <v>985333.33333333407</v>
          </cell>
          <cell r="AC195">
            <v>0</v>
          </cell>
          <cell r="AD195">
            <v>0</v>
          </cell>
          <cell r="AE195">
            <v>165000</v>
          </cell>
          <cell r="AF195">
            <v>24540000.000000026</v>
          </cell>
          <cell r="AG195">
            <v>52166.666666666664</v>
          </cell>
          <cell r="AH195">
            <v>8779666.6666666809</v>
          </cell>
        </row>
        <row r="196">
          <cell r="B196">
            <v>46190</v>
          </cell>
          <cell r="C196">
            <v>16700</v>
          </cell>
          <cell r="D196">
            <v>2753900.0000000014</v>
          </cell>
          <cell r="E196">
            <v>6333.333333333333</v>
          </cell>
          <cell r="F196">
            <v>932666.66666666605</v>
          </cell>
          <cell r="G196">
            <v>23033.333333333332</v>
          </cell>
          <cell r="H196">
            <v>3686566.666666674</v>
          </cell>
          <cell r="I196">
            <v>18333.333333333332</v>
          </cell>
          <cell r="J196">
            <v>3211666.6666666698</v>
          </cell>
          <cell r="K196">
            <v>5000</v>
          </cell>
          <cell r="L196">
            <v>835000.00000000058</v>
          </cell>
          <cell r="M196">
            <v>23333.333333333332</v>
          </cell>
          <cell r="N196">
            <v>4046666.6666666693</v>
          </cell>
          <cell r="O196">
            <v>23333.333333333332</v>
          </cell>
          <cell r="P196">
            <v>4046666.6666666693</v>
          </cell>
          <cell r="Q196">
            <v>217166.66666666666</v>
          </cell>
          <cell r="R196">
            <v>33562248.079877079</v>
          </cell>
          <cell r="S196">
            <v>10.976487493256487</v>
          </cell>
          <cell r="T196">
            <v>3066.953886822891</v>
          </cell>
          <cell r="U196">
            <v>4.2564444444478582</v>
          </cell>
          <cell r="V196">
            <v>987.74166667485633</v>
          </cell>
          <cell r="W196">
            <v>0</v>
          </cell>
          <cell r="X196">
            <v>0</v>
          </cell>
          <cell r="Y196">
            <v>17700</v>
          </cell>
          <cell r="Z196">
            <v>2695900.0000000056</v>
          </cell>
          <cell r="AA196">
            <v>5333.333333333333</v>
          </cell>
          <cell r="AB196">
            <v>990666.66666666744</v>
          </cell>
          <cell r="AC196">
            <v>0</v>
          </cell>
          <cell r="AD196">
            <v>0</v>
          </cell>
          <cell r="AE196">
            <v>165000</v>
          </cell>
          <cell r="AF196">
            <v>24705000.000000026</v>
          </cell>
          <cell r="AG196">
            <v>52166.666666666664</v>
          </cell>
          <cell r="AH196">
            <v>8831833.333333347</v>
          </cell>
        </row>
        <row r="197">
          <cell r="B197">
            <v>46191</v>
          </cell>
          <cell r="C197">
            <v>16700</v>
          </cell>
          <cell r="D197">
            <v>2770600.0000000014</v>
          </cell>
          <cell r="E197">
            <v>6333.333333333333</v>
          </cell>
          <cell r="F197">
            <v>938999.99999999942</v>
          </cell>
          <cell r="G197">
            <v>23033.333333333332</v>
          </cell>
          <cell r="H197">
            <v>3709600.0000000075</v>
          </cell>
          <cell r="I197">
            <v>18333.333333333332</v>
          </cell>
          <cell r="J197">
            <v>3230000.0000000033</v>
          </cell>
          <cell r="K197">
            <v>5000</v>
          </cell>
          <cell r="L197">
            <v>840000.00000000058</v>
          </cell>
          <cell r="M197">
            <v>23333.333333333332</v>
          </cell>
          <cell r="N197">
            <v>4070000.0000000028</v>
          </cell>
          <cell r="O197">
            <v>23333.333333333332</v>
          </cell>
          <cell r="P197">
            <v>4070000.0000000028</v>
          </cell>
          <cell r="Q197">
            <v>217166.66666666666</v>
          </cell>
          <cell r="R197">
            <v>33779414.746543743</v>
          </cell>
          <cell r="S197">
            <v>10.976487493256487</v>
          </cell>
          <cell r="T197">
            <v>3077.9303743161477</v>
          </cell>
          <cell r="U197">
            <v>4.2564444444478582</v>
          </cell>
          <cell r="V197">
            <v>991.99811111930421</v>
          </cell>
          <cell r="W197">
            <v>0</v>
          </cell>
          <cell r="X197">
            <v>0</v>
          </cell>
          <cell r="Y197">
            <v>17700</v>
          </cell>
          <cell r="Z197">
            <v>2713600.0000000056</v>
          </cell>
          <cell r="AA197">
            <v>5333.333333333333</v>
          </cell>
          <cell r="AB197">
            <v>996000.00000000081</v>
          </cell>
          <cell r="AC197">
            <v>0</v>
          </cell>
          <cell r="AD197">
            <v>0</v>
          </cell>
          <cell r="AE197">
            <v>165000</v>
          </cell>
          <cell r="AF197">
            <v>24870000.000000026</v>
          </cell>
          <cell r="AG197">
            <v>52166.666666666664</v>
          </cell>
          <cell r="AH197">
            <v>8884000.000000013</v>
          </cell>
        </row>
        <row r="198">
          <cell r="B198">
            <v>46192</v>
          </cell>
          <cell r="C198">
            <v>16700</v>
          </cell>
          <cell r="D198">
            <v>2787300.0000000014</v>
          </cell>
          <cell r="E198">
            <v>6333.333333333333</v>
          </cell>
          <cell r="F198">
            <v>945333.33333333279</v>
          </cell>
          <cell r="G198">
            <v>23033.333333333332</v>
          </cell>
          <cell r="H198">
            <v>3732633.3333333409</v>
          </cell>
          <cell r="I198">
            <v>18333.333333333332</v>
          </cell>
          <cell r="J198">
            <v>3248333.3333333367</v>
          </cell>
          <cell r="K198">
            <v>5000</v>
          </cell>
          <cell r="L198">
            <v>845000.00000000058</v>
          </cell>
          <cell r="M198">
            <v>23333.333333333332</v>
          </cell>
          <cell r="N198">
            <v>4093333.3333333363</v>
          </cell>
          <cell r="O198">
            <v>23333.333333333332</v>
          </cell>
          <cell r="P198">
            <v>4093333.3333333363</v>
          </cell>
          <cell r="Q198">
            <v>217166.66666666666</v>
          </cell>
          <cell r="R198">
            <v>33996581.413210407</v>
          </cell>
          <cell r="S198">
            <v>10.976487493256487</v>
          </cell>
          <cell r="T198">
            <v>3088.9068618094043</v>
          </cell>
          <cell r="U198">
            <v>4.2564444444478582</v>
          </cell>
          <cell r="V198">
            <v>996.25455556375209</v>
          </cell>
          <cell r="W198">
            <v>0</v>
          </cell>
          <cell r="X198">
            <v>0</v>
          </cell>
          <cell r="Y198">
            <v>17700</v>
          </cell>
          <cell r="Z198">
            <v>2731300.0000000056</v>
          </cell>
          <cell r="AA198">
            <v>5333.333333333333</v>
          </cell>
          <cell r="AB198">
            <v>1001333.3333333342</v>
          </cell>
          <cell r="AC198">
            <v>0</v>
          </cell>
          <cell r="AD198">
            <v>0</v>
          </cell>
          <cell r="AE198">
            <v>165000</v>
          </cell>
          <cell r="AF198">
            <v>25035000.000000026</v>
          </cell>
          <cell r="AG198">
            <v>52166.666666666664</v>
          </cell>
          <cell r="AH198">
            <v>8936166.6666666791</v>
          </cell>
        </row>
        <row r="199">
          <cell r="B199">
            <v>46193</v>
          </cell>
          <cell r="C199">
            <v>16700</v>
          </cell>
          <cell r="D199">
            <v>2804000.0000000014</v>
          </cell>
          <cell r="E199">
            <v>6333.333333333333</v>
          </cell>
          <cell r="F199">
            <v>951666.66666666616</v>
          </cell>
          <cell r="G199">
            <v>23033.333333333332</v>
          </cell>
          <cell r="H199">
            <v>3755666.6666666744</v>
          </cell>
          <cell r="I199">
            <v>18333.333333333332</v>
          </cell>
          <cell r="J199">
            <v>3266666.6666666702</v>
          </cell>
          <cell r="K199">
            <v>5000</v>
          </cell>
          <cell r="L199">
            <v>850000.00000000058</v>
          </cell>
          <cell r="M199">
            <v>23333.333333333332</v>
          </cell>
          <cell r="N199">
            <v>4116666.6666666698</v>
          </cell>
          <cell r="O199">
            <v>23333.333333333332</v>
          </cell>
          <cell r="P199">
            <v>4116666.6666666698</v>
          </cell>
          <cell r="Q199">
            <v>217166.66666666666</v>
          </cell>
          <cell r="R199">
            <v>34213748.079877071</v>
          </cell>
          <cell r="S199">
            <v>10.976487493256487</v>
          </cell>
          <cell r="T199">
            <v>3099.8833493026609</v>
          </cell>
          <cell r="U199">
            <v>4.2564444444478582</v>
          </cell>
          <cell r="V199">
            <v>1000.5110000082</v>
          </cell>
          <cell r="W199">
            <v>0</v>
          </cell>
          <cell r="X199">
            <v>0</v>
          </cell>
          <cell r="Y199">
            <v>17700</v>
          </cell>
          <cell r="Z199">
            <v>2749000.0000000056</v>
          </cell>
          <cell r="AA199">
            <v>5333.333333333333</v>
          </cell>
          <cell r="AB199">
            <v>1006666.6666666676</v>
          </cell>
          <cell r="AC199">
            <v>0</v>
          </cell>
          <cell r="AD199">
            <v>0</v>
          </cell>
          <cell r="AE199">
            <v>165000</v>
          </cell>
          <cell r="AF199">
            <v>25200000.000000026</v>
          </cell>
          <cell r="AG199">
            <v>52166.666666666664</v>
          </cell>
          <cell r="AH199">
            <v>8988333.3333333451</v>
          </cell>
        </row>
        <row r="200">
          <cell r="B200">
            <v>46194</v>
          </cell>
          <cell r="C200">
            <v>16700</v>
          </cell>
          <cell r="D200">
            <v>2820700.0000000014</v>
          </cell>
          <cell r="E200">
            <v>6333.333333333333</v>
          </cell>
          <cell r="F200">
            <v>957999.99999999953</v>
          </cell>
          <cell r="G200">
            <v>23033.333333333332</v>
          </cell>
          <cell r="H200">
            <v>3778700.0000000079</v>
          </cell>
          <cell r="I200">
            <v>18333.333333333332</v>
          </cell>
          <cell r="J200">
            <v>3285000.0000000037</v>
          </cell>
          <cell r="K200">
            <v>5000</v>
          </cell>
          <cell r="L200">
            <v>855000.00000000058</v>
          </cell>
          <cell r="M200">
            <v>23333.333333333332</v>
          </cell>
          <cell r="N200">
            <v>4140000.0000000033</v>
          </cell>
          <cell r="O200">
            <v>23333.333333333332</v>
          </cell>
          <cell r="P200">
            <v>4140000.0000000033</v>
          </cell>
          <cell r="Q200">
            <v>217166.66666666666</v>
          </cell>
          <cell r="R200">
            <v>34430914.746543735</v>
          </cell>
          <cell r="S200">
            <v>10.976487493256487</v>
          </cell>
          <cell r="T200">
            <v>3110.8598367959175</v>
          </cell>
          <cell r="U200">
            <v>4.2564444444478582</v>
          </cell>
          <cell r="V200">
            <v>1004.7674444526479</v>
          </cell>
          <cell r="W200">
            <v>0</v>
          </cell>
          <cell r="X200">
            <v>0</v>
          </cell>
          <cell r="Y200">
            <v>17700</v>
          </cell>
          <cell r="Z200">
            <v>2766700.0000000056</v>
          </cell>
          <cell r="AA200">
            <v>5333.333333333333</v>
          </cell>
          <cell r="AB200">
            <v>1012000.0000000009</v>
          </cell>
          <cell r="AC200">
            <v>0</v>
          </cell>
          <cell r="AD200">
            <v>0</v>
          </cell>
          <cell r="AE200">
            <v>165000</v>
          </cell>
          <cell r="AF200">
            <v>25365000.000000026</v>
          </cell>
          <cell r="AG200">
            <v>52166.666666666664</v>
          </cell>
          <cell r="AH200">
            <v>9040500.0000000112</v>
          </cell>
        </row>
        <row r="201">
          <cell r="B201">
            <v>46195</v>
          </cell>
          <cell r="C201">
            <v>16700</v>
          </cell>
          <cell r="D201">
            <v>2837400.0000000014</v>
          </cell>
          <cell r="E201">
            <v>6333.333333333333</v>
          </cell>
          <cell r="F201">
            <v>964333.33333333291</v>
          </cell>
          <cell r="G201">
            <v>23033.333333333332</v>
          </cell>
          <cell r="H201">
            <v>3801733.3333333414</v>
          </cell>
          <cell r="I201">
            <v>18333.333333333332</v>
          </cell>
          <cell r="J201">
            <v>3303333.3333333372</v>
          </cell>
          <cell r="K201">
            <v>5000</v>
          </cell>
          <cell r="L201">
            <v>860000.00000000058</v>
          </cell>
          <cell r="M201">
            <v>23333.333333333332</v>
          </cell>
          <cell r="N201">
            <v>4163333.3333333367</v>
          </cell>
          <cell r="O201">
            <v>23333.333333333332</v>
          </cell>
          <cell r="P201">
            <v>4163333.3333333367</v>
          </cell>
          <cell r="Q201">
            <v>217166.66666666666</v>
          </cell>
          <cell r="R201">
            <v>34648081.413210399</v>
          </cell>
          <cell r="S201">
            <v>10.976487493256487</v>
          </cell>
          <cell r="T201">
            <v>3121.8363242891742</v>
          </cell>
          <cell r="U201">
            <v>4.2564444444478582</v>
          </cell>
          <cell r="V201">
            <v>1009.0238888970957</v>
          </cell>
          <cell r="W201">
            <v>0</v>
          </cell>
          <cell r="X201">
            <v>0</v>
          </cell>
          <cell r="Y201">
            <v>17700</v>
          </cell>
          <cell r="Z201">
            <v>2784400.0000000056</v>
          </cell>
          <cell r="AA201">
            <v>5333.333333333333</v>
          </cell>
          <cell r="AB201">
            <v>1017333.3333333343</v>
          </cell>
          <cell r="AC201">
            <v>0</v>
          </cell>
          <cell r="AD201">
            <v>0</v>
          </cell>
          <cell r="AE201">
            <v>165000</v>
          </cell>
          <cell r="AF201">
            <v>25530000.000000026</v>
          </cell>
          <cell r="AG201">
            <v>52166.666666666664</v>
          </cell>
          <cell r="AH201">
            <v>9092666.6666666772</v>
          </cell>
        </row>
        <row r="202">
          <cell r="B202">
            <v>46196</v>
          </cell>
          <cell r="C202">
            <v>16700</v>
          </cell>
          <cell r="D202">
            <v>2854100.0000000014</v>
          </cell>
          <cell r="E202">
            <v>6333.333333333333</v>
          </cell>
          <cell r="F202">
            <v>970666.66666666628</v>
          </cell>
          <cell r="G202">
            <v>23033.333333333332</v>
          </cell>
          <cell r="H202">
            <v>3824766.6666666749</v>
          </cell>
          <cell r="I202">
            <v>18333.333333333332</v>
          </cell>
          <cell r="J202">
            <v>3321666.6666666707</v>
          </cell>
          <cell r="K202">
            <v>5000</v>
          </cell>
          <cell r="L202">
            <v>865000.00000000058</v>
          </cell>
          <cell r="M202">
            <v>23333.333333333332</v>
          </cell>
          <cell r="N202">
            <v>4186666.6666666702</v>
          </cell>
          <cell r="O202">
            <v>23333.333333333332</v>
          </cell>
          <cell r="P202">
            <v>4186666.6666666702</v>
          </cell>
          <cell r="Q202">
            <v>217166.66666666666</v>
          </cell>
          <cell r="R202">
            <v>34865248.079877064</v>
          </cell>
          <cell r="S202">
            <v>10.976487493256487</v>
          </cell>
          <cell r="T202">
            <v>3132.8128117824308</v>
          </cell>
          <cell r="U202">
            <v>4.2564444444478582</v>
          </cell>
          <cell r="V202">
            <v>1013.2803333415436</v>
          </cell>
          <cell r="W202">
            <v>0</v>
          </cell>
          <cell r="X202">
            <v>0</v>
          </cell>
          <cell r="Y202">
            <v>17700</v>
          </cell>
          <cell r="Z202">
            <v>2802100.0000000056</v>
          </cell>
          <cell r="AA202">
            <v>5333.333333333333</v>
          </cell>
          <cell r="AB202">
            <v>1022666.6666666677</v>
          </cell>
          <cell r="AC202">
            <v>0</v>
          </cell>
          <cell r="AD202">
            <v>0</v>
          </cell>
          <cell r="AE202">
            <v>165000</v>
          </cell>
          <cell r="AF202">
            <v>25695000.000000026</v>
          </cell>
          <cell r="AG202">
            <v>52166.666666666664</v>
          </cell>
          <cell r="AH202">
            <v>9144833.3333333433</v>
          </cell>
        </row>
        <row r="203">
          <cell r="B203">
            <v>46197</v>
          </cell>
          <cell r="C203">
            <v>16700</v>
          </cell>
          <cell r="D203">
            <v>2870800.0000000014</v>
          </cell>
          <cell r="E203">
            <v>6333.333333333333</v>
          </cell>
          <cell r="F203">
            <v>976999.99999999965</v>
          </cell>
          <cell r="G203">
            <v>23033.333333333332</v>
          </cell>
          <cell r="H203">
            <v>3847800.0000000084</v>
          </cell>
          <cell r="I203">
            <v>18333.333333333332</v>
          </cell>
          <cell r="J203">
            <v>3340000.0000000042</v>
          </cell>
          <cell r="K203">
            <v>5000</v>
          </cell>
          <cell r="L203">
            <v>870000.00000000058</v>
          </cell>
          <cell r="M203">
            <v>23333.333333333332</v>
          </cell>
          <cell r="N203">
            <v>4210000.0000000037</v>
          </cell>
          <cell r="O203">
            <v>23333.333333333332</v>
          </cell>
          <cell r="P203">
            <v>4210000.0000000037</v>
          </cell>
          <cell r="Q203">
            <v>217166.66666666666</v>
          </cell>
          <cell r="R203">
            <v>35082414.746543728</v>
          </cell>
          <cell r="S203">
            <v>10.976487493256487</v>
          </cell>
          <cell r="T203">
            <v>3143.7892992756874</v>
          </cell>
          <cell r="U203">
            <v>4.2564444444478582</v>
          </cell>
          <cell r="V203">
            <v>1017.5367777859915</v>
          </cell>
          <cell r="W203">
            <v>0</v>
          </cell>
          <cell r="X203">
            <v>0</v>
          </cell>
          <cell r="Y203">
            <v>17700</v>
          </cell>
          <cell r="Z203">
            <v>2819800.0000000056</v>
          </cell>
          <cell r="AA203">
            <v>5333.333333333333</v>
          </cell>
          <cell r="AB203">
            <v>1028000.000000001</v>
          </cell>
          <cell r="AC203">
            <v>0</v>
          </cell>
          <cell r="AD203">
            <v>0</v>
          </cell>
          <cell r="AE203">
            <v>165000</v>
          </cell>
          <cell r="AF203">
            <v>25860000.000000026</v>
          </cell>
          <cell r="AG203">
            <v>52166.666666666664</v>
          </cell>
          <cell r="AH203">
            <v>9197000.0000000093</v>
          </cell>
        </row>
        <row r="204">
          <cell r="B204">
            <v>46198</v>
          </cell>
          <cell r="C204">
            <v>16700</v>
          </cell>
          <cell r="D204">
            <v>2887500.0000000014</v>
          </cell>
          <cell r="E204">
            <v>6333.333333333333</v>
          </cell>
          <cell r="F204">
            <v>983333.33333333302</v>
          </cell>
          <cell r="G204">
            <v>23033.333333333332</v>
          </cell>
          <cell r="H204">
            <v>3870833.3333333419</v>
          </cell>
          <cell r="I204">
            <v>18333.333333333332</v>
          </cell>
          <cell r="J204">
            <v>3358333.3333333377</v>
          </cell>
          <cell r="K204">
            <v>5000</v>
          </cell>
          <cell r="L204">
            <v>875000.00000000058</v>
          </cell>
          <cell r="M204">
            <v>23333.333333333332</v>
          </cell>
          <cell r="N204">
            <v>4233333.3333333367</v>
          </cell>
          <cell r="O204">
            <v>23333.333333333332</v>
          </cell>
          <cell r="P204">
            <v>4233333.3333333367</v>
          </cell>
          <cell r="Q204">
            <v>217166.66666666666</v>
          </cell>
          <cell r="R204">
            <v>35299581.413210392</v>
          </cell>
          <cell r="S204">
            <v>10.976487493256487</v>
          </cell>
          <cell r="T204">
            <v>3154.7657867689441</v>
          </cell>
          <cell r="U204">
            <v>4.2564444444478582</v>
          </cell>
          <cell r="V204">
            <v>1021.7932222304394</v>
          </cell>
          <cell r="W204">
            <v>0</v>
          </cell>
          <cell r="X204">
            <v>0</v>
          </cell>
          <cell r="Y204">
            <v>17700</v>
          </cell>
          <cell r="Z204">
            <v>2837500.0000000056</v>
          </cell>
          <cell r="AA204">
            <v>5333.333333333333</v>
          </cell>
          <cell r="AB204">
            <v>1033333.3333333344</v>
          </cell>
          <cell r="AC204">
            <v>0</v>
          </cell>
          <cell r="AD204">
            <v>0</v>
          </cell>
          <cell r="AE204">
            <v>165000</v>
          </cell>
          <cell r="AF204">
            <v>26025000.000000026</v>
          </cell>
          <cell r="AG204">
            <v>52166.666666666664</v>
          </cell>
          <cell r="AH204">
            <v>9249166.6666666754</v>
          </cell>
        </row>
        <row r="205">
          <cell r="B205">
            <v>46199</v>
          </cell>
          <cell r="C205">
            <v>16700</v>
          </cell>
          <cell r="D205">
            <v>2904200.0000000014</v>
          </cell>
          <cell r="E205">
            <v>6333.333333333333</v>
          </cell>
          <cell r="F205">
            <v>989666.6666666664</v>
          </cell>
          <cell r="G205">
            <v>23033.333333333332</v>
          </cell>
          <cell r="H205">
            <v>3893866.6666666754</v>
          </cell>
          <cell r="I205">
            <v>18333.333333333332</v>
          </cell>
          <cell r="J205">
            <v>3376666.6666666712</v>
          </cell>
          <cell r="K205">
            <v>5000</v>
          </cell>
          <cell r="L205">
            <v>880000.00000000058</v>
          </cell>
          <cell r="M205">
            <v>23333.333333333332</v>
          </cell>
          <cell r="N205">
            <v>4256666.6666666698</v>
          </cell>
          <cell r="O205">
            <v>23333.333333333332</v>
          </cell>
          <cell r="P205">
            <v>4256666.6666666698</v>
          </cell>
          <cell r="Q205">
            <v>217166.66666666666</v>
          </cell>
          <cell r="R205">
            <v>35516748.079877056</v>
          </cell>
          <cell r="S205">
            <v>10.976487493256487</v>
          </cell>
          <cell r="T205">
            <v>3165.7422742622007</v>
          </cell>
          <cell r="U205">
            <v>4.2564444444478582</v>
          </cell>
          <cell r="V205">
            <v>1026.0496666748872</v>
          </cell>
          <cell r="W205">
            <v>0</v>
          </cell>
          <cell r="X205">
            <v>0</v>
          </cell>
          <cell r="Y205">
            <v>17700</v>
          </cell>
          <cell r="Z205">
            <v>2855200.0000000056</v>
          </cell>
          <cell r="AA205">
            <v>5333.333333333333</v>
          </cell>
          <cell r="AB205">
            <v>1038666.6666666678</v>
          </cell>
          <cell r="AC205">
            <v>0</v>
          </cell>
          <cell r="AD205">
            <v>0</v>
          </cell>
          <cell r="AE205">
            <v>165000</v>
          </cell>
          <cell r="AF205">
            <v>26190000.000000026</v>
          </cell>
          <cell r="AG205">
            <v>52166.666666666664</v>
          </cell>
          <cell r="AH205">
            <v>9301333.3333333414</v>
          </cell>
        </row>
        <row r="206">
          <cell r="B206">
            <v>46200</v>
          </cell>
          <cell r="C206">
            <v>16700</v>
          </cell>
          <cell r="D206">
            <v>2920900.0000000014</v>
          </cell>
          <cell r="E206">
            <v>6333.333333333333</v>
          </cell>
          <cell r="F206">
            <v>995999.99999999977</v>
          </cell>
          <cell r="G206">
            <v>23033.333333333332</v>
          </cell>
          <cell r="H206">
            <v>3916900.0000000088</v>
          </cell>
          <cell r="I206">
            <v>18333.333333333332</v>
          </cell>
          <cell r="J206">
            <v>3395000.0000000047</v>
          </cell>
          <cell r="K206">
            <v>5000</v>
          </cell>
          <cell r="L206">
            <v>885000.00000000058</v>
          </cell>
          <cell r="M206">
            <v>23333.333333333332</v>
          </cell>
          <cell r="N206">
            <v>4280000.0000000028</v>
          </cell>
          <cell r="O206">
            <v>23333.333333333332</v>
          </cell>
          <cell r="P206">
            <v>4280000.0000000028</v>
          </cell>
          <cell r="Q206">
            <v>217166.66666666666</v>
          </cell>
          <cell r="R206">
            <v>35733914.74654372</v>
          </cell>
          <cell r="S206">
            <v>10.976487493256487</v>
          </cell>
          <cell r="T206">
            <v>3176.7187617554573</v>
          </cell>
          <cell r="U206">
            <v>4.2564444444478582</v>
          </cell>
          <cell r="V206">
            <v>1030.3061111193351</v>
          </cell>
          <cell r="W206">
            <v>0</v>
          </cell>
          <cell r="X206">
            <v>0</v>
          </cell>
          <cell r="Y206">
            <v>17700</v>
          </cell>
          <cell r="Z206">
            <v>2872900.0000000056</v>
          </cell>
          <cell r="AA206">
            <v>5333.333333333333</v>
          </cell>
          <cell r="AB206">
            <v>1044000.0000000012</v>
          </cell>
          <cell r="AC206">
            <v>0</v>
          </cell>
          <cell r="AD206">
            <v>0</v>
          </cell>
          <cell r="AE206">
            <v>165000</v>
          </cell>
          <cell r="AF206">
            <v>26355000.000000026</v>
          </cell>
          <cell r="AG206">
            <v>52166.666666666664</v>
          </cell>
          <cell r="AH206">
            <v>9353500.0000000075</v>
          </cell>
        </row>
        <row r="207">
          <cell r="B207">
            <v>46201</v>
          </cell>
          <cell r="C207">
            <v>16700</v>
          </cell>
          <cell r="D207">
            <v>2937600.0000000014</v>
          </cell>
          <cell r="E207">
            <v>6333.333333333333</v>
          </cell>
          <cell r="F207">
            <v>1002333.3333333331</v>
          </cell>
          <cell r="G207">
            <v>23033.333333333332</v>
          </cell>
          <cell r="H207">
            <v>3939933.3333333423</v>
          </cell>
          <cell r="I207">
            <v>18333.333333333332</v>
          </cell>
          <cell r="J207">
            <v>3413333.3333333381</v>
          </cell>
          <cell r="K207">
            <v>5000</v>
          </cell>
          <cell r="L207">
            <v>890000.00000000058</v>
          </cell>
          <cell r="M207">
            <v>23333.333333333332</v>
          </cell>
          <cell r="N207">
            <v>4303333.3333333358</v>
          </cell>
          <cell r="O207">
            <v>23333.333333333332</v>
          </cell>
          <cell r="P207">
            <v>4303333.3333333358</v>
          </cell>
          <cell r="Q207">
            <v>217166.66666666666</v>
          </cell>
          <cell r="R207">
            <v>35951081.413210385</v>
          </cell>
          <cell r="S207">
            <v>10.976487493256487</v>
          </cell>
          <cell r="T207">
            <v>3187.6952492487139</v>
          </cell>
          <cell r="U207">
            <v>4.2564444444478582</v>
          </cell>
          <cell r="V207">
            <v>1034.562555563783</v>
          </cell>
          <cell r="W207">
            <v>0</v>
          </cell>
          <cell r="X207">
            <v>0</v>
          </cell>
          <cell r="Y207">
            <v>17700</v>
          </cell>
          <cell r="Z207">
            <v>2890600.0000000056</v>
          </cell>
          <cell r="AA207">
            <v>5333.333333333333</v>
          </cell>
          <cell r="AB207">
            <v>1049333.3333333344</v>
          </cell>
          <cell r="AC207">
            <v>0</v>
          </cell>
          <cell r="AD207">
            <v>0</v>
          </cell>
          <cell r="AE207">
            <v>165000</v>
          </cell>
          <cell r="AF207">
            <v>26520000.000000026</v>
          </cell>
          <cell r="AG207">
            <v>52166.666666666664</v>
          </cell>
          <cell r="AH207">
            <v>9405666.6666666735</v>
          </cell>
        </row>
        <row r="208">
          <cell r="B208">
            <v>46202</v>
          </cell>
          <cell r="C208">
            <v>16700</v>
          </cell>
          <cell r="D208">
            <v>2954300.0000000014</v>
          </cell>
          <cell r="E208">
            <v>6333.333333333333</v>
          </cell>
          <cell r="F208">
            <v>1008666.6666666665</v>
          </cell>
          <cell r="G208">
            <v>23033.333333333332</v>
          </cell>
          <cell r="H208">
            <v>3962966.6666666758</v>
          </cell>
          <cell r="I208">
            <v>18333.333333333332</v>
          </cell>
          <cell r="J208">
            <v>3431666.6666666716</v>
          </cell>
          <cell r="K208">
            <v>5000</v>
          </cell>
          <cell r="L208">
            <v>895000.00000000058</v>
          </cell>
          <cell r="M208">
            <v>23333.333333333332</v>
          </cell>
          <cell r="N208">
            <v>4326666.6666666688</v>
          </cell>
          <cell r="O208">
            <v>23333.333333333332</v>
          </cell>
          <cell r="P208">
            <v>4326666.6666666688</v>
          </cell>
          <cell r="Q208">
            <v>217166.66666666666</v>
          </cell>
          <cell r="R208">
            <v>36168248.079877049</v>
          </cell>
          <cell r="S208">
            <v>10.976487493256487</v>
          </cell>
          <cell r="T208">
            <v>3198.6717367419706</v>
          </cell>
          <cell r="U208">
            <v>4.2564444444478582</v>
          </cell>
          <cell r="V208">
            <v>1038.8190000082309</v>
          </cell>
          <cell r="W208">
            <v>0</v>
          </cell>
          <cell r="X208">
            <v>0</v>
          </cell>
          <cell r="Y208">
            <v>17700</v>
          </cell>
          <cell r="Z208">
            <v>2908300.0000000056</v>
          </cell>
          <cell r="AA208">
            <v>5333.333333333333</v>
          </cell>
          <cell r="AB208">
            <v>1054666.6666666677</v>
          </cell>
          <cell r="AC208">
            <v>0</v>
          </cell>
          <cell r="AD208">
            <v>0</v>
          </cell>
          <cell r="AE208">
            <v>165000</v>
          </cell>
          <cell r="AF208">
            <v>26685000.000000026</v>
          </cell>
          <cell r="AG208">
            <v>52166.666666666664</v>
          </cell>
          <cell r="AH208">
            <v>9457833.3333333395</v>
          </cell>
        </row>
        <row r="209">
          <cell r="B209">
            <v>46203</v>
          </cell>
          <cell r="C209">
            <v>16700</v>
          </cell>
          <cell r="D209">
            <v>2971000.0000000014</v>
          </cell>
          <cell r="E209">
            <v>6333.333333333333</v>
          </cell>
          <cell r="F209">
            <v>1014999.9999999999</v>
          </cell>
          <cell r="G209">
            <v>23033.333333333332</v>
          </cell>
          <cell r="H209">
            <v>3986000.0000000093</v>
          </cell>
          <cell r="I209">
            <v>18333.333333333332</v>
          </cell>
          <cell r="J209">
            <v>3450000.0000000051</v>
          </cell>
          <cell r="K209">
            <v>5000</v>
          </cell>
          <cell r="L209">
            <v>900000.00000000058</v>
          </cell>
          <cell r="M209">
            <v>23333.333333333332</v>
          </cell>
          <cell r="N209">
            <v>4350000.0000000019</v>
          </cell>
          <cell r="O209">
            <v>23333.333333333332</v>
          </cell>
          <cell r="P209">
            <v>4350000.0000000019</v>
          </cell>
          <cell r="Q209">
            <v>217166.66666666666</v>
          </cell>
          <cell r="R209">
            <v>36385414.746543713</v>
          </cell>
          <cell r="S209">
            <v>10.976487493256487</v>
          </cell>
          <cell r="T209">
            <v>3209.6482242352272</v>
          </cell>
          <cell r="U209">
            <v>4.2564444444478582</v>
          </cell>
          <cell r="V209">
            <v>1043.0754444526788</v>
          </cell>
          <cell r="W209">
            <v>0</v>
          </cell>
          <cell r="X209">
            <v>0</v>
          </cell>
          <cell r="Y209">
            <v>17700</v>
          </cell>
          <cell r="Z209">
            <v>2926000.0000000056</v>
          </cell>
          <cell r="AA209">
            <v>5333.333333333333</v>
          </cell>
          <cell r="AB209">
            <v>1060000.0000000009</v>
          </cell>
          <cell r="AC209">
            <v>0</v>
          </cell>
          <cell r="AD209">
            <v>0</v>
          </cell>
          <cell r="AE209">
            <v>165000</v>
          </cell>
          <cell r="AF209">
            <v>26850000.000000026</v>
          </cell>
          <cell r="AG209">
            <v>52166.666666666664</v>
          </cell>
          <cell r="AH209">
            <v>9510000.0000000056</v>
          </cell>
        </row>
        <row r="210">
          <cell r="B210">
            <v>46204</v>
          </cell>
          <cell r="C210">
            <v>16354.838709677419</v>
          </cell>
          <cell r="D210">
            <v>2987354.838709679</v>
          </cell>
          <cell r="E210">
            <v>6032.2580645161288</v>
          </cell>
          <cell r="F210">
            <v>1021032.258064516</v>
          </cell>
          <cell r="G210">
            <v>22387.096774193546</v>
          </cell>
          <cell r="H210">
            <v>4008387.0967742028</v>
          </cell>
          <cell r="I210">
            <v>17741.935483870966</v>
          </cell>
          <cell r="J210">
            <v>3467741.9354838762</v>
          </cell>
          <cell r="K210">
            <v>4838.7096774193551</v>
          </cell>
          <cell r="L210">
            <v>904838.70967741997</v>
          </cell>
          <cell r="M210">
            <v>22580.645161290322</v>
          </cell>
          <cell r="N210">
            <v>4372580.6451612925</v>
          </cell>
          <cell r="O210">
            <v>22580.645161290322</v>
          </cell>
          <cell r="P210">
            <v>4372580.6451612925</v>
          </cell>
          <cell r="Q210">
            <v>208709.67741935485</v>
          </cell>
          <cell r="R210">
            <v>36594124.42396307</v>
          </cell>
          <cell r="S210">
            <v>10.330487775220011</v>
          </cell>
          <cell r="T210">
            <v>3219.978712010447</v>
          </cell>
          <cell r="U210">
            <v>4.4749852278557487</v>
          </cell>
          <cell r="V210">
            <v>1047.5504296805345</v>
          </cell>
          <cell r="W210">
            <v>0</v>
          </cell>
          <cell r="X210">
            <v>0</v>
          </cell>
          <cell r="Y210">
            <v>17096.774193548386</v>
          </cell>
          <cell r="Z210">
            <v>2943096.7741935542</v>
          </cell>
          <cell r="AA210">
            <v>5290.322580645161</v>
          </cell>
          <cell r="AB210">
            <v>1065290.322580646</v>
          </cell>
          <cell r="AC210">
            <v>0</v>
          </cell>
          <cell r="AD210">
            <v>0</v>
          </cell>
          <cell r="AE210">
            <v>159677.4193548387</v>
          </cell>
          <cell r="AF210">
            <v>27009677.419354863</v>
          </cell>
          <cell r="AG210">
            <v>49032.258064516129</v>
          </cell>
          <cell r="AH210">
            <v>9559032.2580645215</v>
          </cell>
        </row>
        <row r="211">
          <cell r="B211">
            <v>46205</v>
          </cell>
          <cell r="C211">
            <v>16354.838709677419</v>
          </cell>
          <cell r="D211">
            <v>3003709.6774193565</v>
          </cell>
          <cell r="E211">
            <v>6032.2580645161288</v>
          </cell>
          <cell r="F211">
            <v>1027064.5161290321</v>
          </cell>
          <cell r="G211">
            <v>22387.096774193546</v>
          </cell>
          <cell r="H211">
            <v>4030774.1935483962</v>
          </cell>
          <cell r="I211">
            <v>17741.935483870966</v>
          </cell>
          <cell r="J211">
            <v>3485483.8709677472</v>
          </cell>
          <cell r="K211">
            <v>4838.7096774193551</v>
          </cell>
          <cell r="L211">
            <v>909677.41935483937</v>
          </cell>
          <cell r="M211">
            <v>22580.645161290322</v>
          </cell>
          <cell r="N211">
            <v>4395161.2903225832</v>
          </cell>
          <cell r="O211">
            <v>22580.645161290322</v>
          </cell>
          <cell r="P211">
            <v>4395161.2903225832</v>
          </cell>
          <cell r="Q211">
            <v>208709.67741935485</v>
          </cell>
          <cell r="R211">
            <v>36802834.101382427</v>
          </cell>
          <cell r="S211">
            <v>10.330487775220011</v>
          </cell>
          <cell r="T211">
            <v>3230.3091997856668</v>
          </cell>
          <cell r="U211">
            <v>4.4749852278557487</v>
          </cell>
          <cell r="V211">
            <v>1052.0254149083903</v>
          </cell>
          <cell r="W211">
            <v>0</v>
          </cell>
          <cell r="X211">
            <v>0</v>
          </cell>
          <cell r="Y211">
            <v>17096.774193548386</v>
          </cell>
          <cell r="Z211">
            <v>2960193.5483871028</v>
          </cell>
          <cell r="AA211">
            <v>5290.322580645161</v>
          </cell>
          <cell r="AB211">
            <v>1070580.6451612911</v>
          </cell>
          <cell r="AC211">
            <v>0</v>
          </cell>
          <cell r="AD211">
            <v>0</v>
          </cell>
          <cell r="AE211">
            <v>159677.4193548387</v>
          </cell>
          <cell r="AF211">
            <v>27169354.838709701</v>
          </cell>
          <cell r="AG211">
            <v>49032.258064516129</v>
          </cell>
          <cell r="AH211">
            <v>9608064.5161290374</v>
          </cell>
        </row>
        <row r="212">
          <cell r="B212">
            <v>46206</v>
          </cell>
          <cell r="C212">
            <v>16354.838709677419</v>
          </cell>
          <cell r="D212">
            <v>3020064.5161290341</v>
          </cell>
          <cell r="E212">
            <v>6032.2580645161288</v>
          </cell>
          <cell r="F212">
            <v>1033096.7741935482</v>
          </cell>
          <cell r="G212">
            <v>22387.096774193546</v>
          </cell>
          <cell r="H212">
            <v>4053161.2903225897</v>
          </cell>
          <cell r="I212">
            <v>17741.935483870966</v>
          </cell>
          <cell r="J212">
            <v>3503225.8064516182</v>
          </cell>
          <cell r="K212">
            <v>4838.7096774193551</v>
          </cell>
          <cell r="L212">
            <v>914516.12903225876</v>
          </cell>
          <cell r="M212">
            <v>22580.645161290322</v>
          </cell>
          <cell r="N212">
            <v>4417741.9354838738</v>
          </cell>
          <cell r="O212">
            <v>22580.645161290322</v>
          </cell>
          <cell r="P212">
            <v>4417741.9354838738</v>
          </cell>
          <cell r="Q212">
            <v>208709.67741935485</v>
          </cell>
          <cell r="R212">
            <v>37011543.778801784</v>
          </cell>
          <cell r="S212">
            <v>10.330487775220011</v>
          </cell>
          <cell r="T212">
            <v>3240.6396875608866</v>
          </cell>
          <cell r="U212">
            <v>4.4749852278557487</v>
          </cell>
          <cell r="V212">
            <v>1056.5004001362461</v>
          </cell>
          <cell r="W212">
            <v>0</v>
          </cell>
          <cell r="X212">
            <v>0</v>
          </cell>
          <cell r="Y212">
            <v>17096.774193548386</v>
          </cell>
          <cell r="Z212">
            <v>2977290.3225806514</v>
          </cell>
          <cell r="AA212">
            <v>5290.322580645161</v>
          </cell>
          <cell r="AB212">
            <v>1075870.9677419362</v>
          </cell>
          <cell r="AC212">
            <v>0</v>
          </cell>
          <cell r="AD212">
            <v>0</v>
          </cell>
          <cell r="AE212">
            <v>159677.4193548387</v>
          </cell>
          <cell r="AF212">
            <v>27329032.258064538</v>
          </cell>
          <cell r="AG212">
            <v>49032.258064516129</v>
          </cell>
          <cell r="AH212">
            <v>9657096.7741935533</v>
          </cell>
        </row>
        <row r="213">
          <cell r="B213">
            <v>46207</v>
          </cell>
          <cell r="C213">
            <v>16354.838709677419</v>
          </cell>
          <cell r="D213">
            <v>3036419.3548387117</v>
          </cell>
          <cell r="E213">
            <v>6032.2580645161288</v>
          </cell>
          <cell r="F213">
            <v>1039129.0322580644</v>
          </cell>
          <cell r="G213">
            <v>22387.096774193546</v>
          </cell>
          <cell r="H213">
            <v>4075548.3870967831</v>
          </cell>
          <cell r="I213">
            <v>17741.935483870966</v>
          </cell>
          <cell r="J213">
            <v>3520967.7419354892</v>
          </cell>
          <cell r="K213">
            <v>4838.7096774193551</v>
          </cell>
          <cell r="L213">
            <v>919354.83870967815</v>
          </cell>
          <cell r="M213">
            <v>22580.645161290322</v>
          </cell>
          <cell r="N213">
            <v>4440322.5806451645</v>
          </cell>
          <cell r="O213">
            <v>22580.645161290322</v>
          </cell>
          <cell r="P213">
            <v>4440322.5806451645</v>
          </cell>
          <cell r="Q213">
            <v>208709.67741935485</v>
          </cell>
          <cell r="R213">
            <v>37220253.456221141</v>
          </cell>
          <cell r="S213">
            <v>10.330487775220011</v>
          </cell>
          <cell r="T213">
            <v>3250.9701753361064</v>
          </cell>
          <cell r="U213">
            <v>4.4749852278557487</v>
          </cell>
          <cell r="V213">
            <v>1060.9753853641018</v>
          </cell>
          <cell r="W213">
            <v>0</v>
          </cell>
          <cell r="X213">
            <v>0</v>
          </cell>
          <cell r="Y213">
            <v>17096.774193548386</v>
          </cell>
          <cell r="Z213">
            <v>2994387.0967742</v>
          </cell>
          <cell r="AA213">
            <v>5290.322580645161</v>
          </cell>
          <cell r="AB213">
            <v>1081161.2903225813</v>
          </cell>
          <cell r="AC213">
            <v>0</v>
          </cell>
          <cell r="AD213">
            <v>0</v>
          </cell>
          <cell r="AE213">
            <v>159677.4193548387</v>
          </cell>
          <cell r="AF213">
            <v>27488709.677419376</v>
          </cell>
          <cell r="AG213">
            <v>49032.258064516129</v>
          </cell>
          <cell r="AH213">
            <v>9706129.0322580691</v>
          </cell>
        </row>
        <row r="214">
          <cell r="B214">
            <v>46208</v>
          </cell>
          <cell r="C214">
            <v>16354.838709677419</v>
          </cell>
          <cell r="D214">
            <v>3052774.1935483892</v>
          </cell>
          <cell r="E214">
            <v>6032.2580645161288</v>
          </cell>
          <cell r="F214">
            <v>1045161.2903225805</v>
          </cell>
          <cell r="G214">
            <v>22387.096774193546</v>
          </cell>
          <cell r="H214">
            <v>4097935.4838709766</v>
          </cell>
          <cell r="I214">
            <v>17741.935483870966</v>
          </cell>
          <cell r="J214">
            <v>3538709.6774193603</v>
          </cell>
          <cell r="K214">
            <v>4838.7096774193551</v>
          </cell>
          <cell r="L214">
            <v>924193.54838709754</v>
          </cell>
          <cell r="M214">
            <v>22580.645161290322</v>
          </cell>
          <cell r="N214">
            <v>4462903.2258064551</v>
          </cell>
          <cell r="O214">
            <v>22580.645161290322</v>
          </cell>
          <cell r="P214">
            <v>4462903.2258064551</v>
          </cell>
          <cell r="Q214">
            <v>208709.67741935485</v>
          </cell>
          <cell r="R214">
            <v>37428963.133640498</v>
          </cell>
          <cell r="S214">
            <v>10.330487775220011</v>
          </cell>
          <cell r="T214">
            <v>3261.3006631113262</v>
          </cell>
          <cell r="U214">
            <v>4.4749852278557487</v>
          </cell>
          <cell r="V214">
            <v>1065.4503705919576</v>
          </cell>
          <cell r="W214">
            <v>0</v>
          </cell>
          <cell r="X214">
            <v>0</v>
          </cell>
          <cell r="Y214">
            <v>17096.774193548386</v>
          </cell>
          <cell r="Z214">
            <v>3011483.8709677486</v>
          </cell>
          <cell r="AA214">
            <v>5290.322580645161</v>
          </cell>
          <cell r="AB214">
            <v>1086451.6129032264</v>
          </cell>
          <cell r="AC214">
            <v>0</v>
          </cell>
          <cell r="AD214">
            <v>0</v>
          </cell>
          <cell r="AE214">
            <v>159677.4193548387</v>
          </cell>
          <cell r="AF214">
            <v>27648387.096774213</v>
          </cell>
          <cell r="AG214">
            <v>49032.258064516129</v>
          </cell>
          <cell r="AH214">
            <v>9755161.290322585</v>
          </cell>
        </row>
        <row r="215">
          <cell r="B215">
            <v>46209</v>
          </cell>
          <cell r="C215">
            <v>16354.838709677419</v>
          </cell>
          <cell r="D215">
            <v>3069129.0322580668</v>
          </cell>
          <cell r="E215">
            <v>6032.2580645161288</v>
          </cell>
          <cell r="F215">
            <v>1051193.5483870967</v>
          </cell>
          <cell r="G215">
            <v>22387.096774193546</v>
          </cell>
          <cell r="H215">
            <v>4120322.5806451701</v>
          </cell>
          <cell r="I215">
            <v>17741.935483870966</v>
          </cell>
          <cell r="J215">
            <v>3556451.6129032313</v>
          </cell>
          <cell r="K215">
            <v>4838.7096774193551</v>
          </cell>
          <cell r="L215">
            <v>929032.25806451694</v>
          </cell>
          <cell r="M215">
            <v>22580.645161290322</v>
          </cell>
          <cell r="N215">
            <v>4485483.8709677458</v>
          </cell>
          <cell r="O215">
            <v>22580.645161290322</v>
          </cell>
          <cell r="P215">
            <v>4485483.8709677458</v>
          </cell>
          <cell r="Q215">
            <v>208709.67741935485</v>
          </cell>
          <cell r="R215">
            <v>37637672.811059855</v>
          </cell>
          <cell r="S215">
            <v>10.330487775220011</v>
          </cell>
          <cell r="T215">
            <v>3271.631150886546</v>
          </cell>
          <cell r="U215">
            <v>4.4749852278557487</v>
          </cell>
          <cell r="V215">
            <v>1069.9253558198134</v>
          </cell>
          <cell r="W215">
            <v>0</v>
          </cell>
          <cell r="X215">
            <v>0</v>
          </cell>
          <cell r="Y215">
            <v>17096.774193548386</v>
          </cell>
          <cell r="Z215">
            <v>3028580.6451612972</v>
          </cell>
          <cell r="AA215">
            <v>5290.322580645161</v>
          </cell>
          <cell r="AB215">
            <v>1091741.9354838715</v>
          </cell>
          <cell r="AC215">
            <v>0</v>
          </cell>
          <cell r="AD215">
            <v>0</v>
          </cell>
          <cell r="AE215">
            <v>159677.4193548387</v>
          </cell>
          <cell r="AF215">
            <v>27808064.51612905</v>
          </cell>
          <cell r="AG215">
            <v>49032.258064516129</v>
          </cell>
          <cell r="AH215">
            <v>9804193.5483871009</v>
          </cell>
        </row>
        <row r="216">
          <cell r="B216">
            <v>46210</v>
          </cell>
          <cell r="C216">
            <v>16354.838709677419</v>
          </cell>
          <cell r="D216">
            <v>3085483.8709677444</v>
          </cell>
          <cell r="E216">
            <v>6032.2580645161288</v>
          </cell>
          <cell r="F216">
            <v>1057225.8064516129</v>
          </cell>
          <cell r="G216">
            <v>22387.096774193546</v>
          </cell>
          <cell r="H216">
            <v>4142709.6774193635</v>
          </cell>
          <cell r="I216">
            <v>17741.935483870966</v>
          </cell>
          <cell r="J216">
            <v>3574193.5483871023</v>
          </cell>
          <cell r="K216">
            <v>4838.7096774193551</v>
          </cell>
          <cell r="L216">
            <v>933870.96774193633</v>
          </cell>
          <cell r="M216">
            <v>22580.645161290322</v>
          </cell>
          <cell r="N216">
            <v>4508064.5161290364</v>
          </cell>
          <cell r="O216">
            <v>22580.645161290322</v>
          </cell>
          <cell r="P216">
            <v>4508064.5161290364</v>
          </cell>
          <cell r="Q216">
            <v>208709.67741935485</v>
          </cell>
          <cell r="R216">
            <v>37846382.488479212</v>
          </cell>
          <cell r="S216">
            <v>10.330487775220011</v>
          </cell>
          <cell r="T216">
            <v>3281.9616386617658</v>
          </cell>
          <cell r="U216">
            <v>4.4749852278557487</v>
          </cell>
          <cell r="V216">
            <v>1074.4003410476691</v>
          </cell>
          <cell r="W216">
            <v>0</v>
          </cell>
          <cell r="X216">
            <v>0</v>
          </cell>
          <cell r="Y216">
            <v>17096.774193548386</v>
          </cell>
          <cell r="Z216">
            <v>3045677.4193548458</v>
          </cell>
          <cell r="AA216">
            <v>5290.322580645161</v>
          </cell>
          <cell r="AB216">
            <v>1097032.2580645166</v>
          </cell>
          <cell r="AC216">
            <v>0</v>
          </cell>
          <cell r="AD216">
            <v>0</v>
          </cell>
          <cell r="AE216">
            <v>159677.4193548387</v>
          </cell>
          <cell r="AF216">
            <v>27967741.935483888</v>
          </cell>
          <cell r="AG216">
            <v>49032.258064516129</v>
          </cell>
          <cell r="AH216">
            <v>9853225.8064516168</v>
          </cell>
        </row>
        <row r="217">
          <cell r="B217">
            <v>46211</v>
          </cell>
          <cell r="C217">
            <v>16354.838709677419</v>
          </cell>
          <cell r="D217">
            <v>3101838.709677422</v>
          </cell>
          <cell r="E217">
            <v>6032.2580645161288</v>
          </cell>
          <cell r="F217">
            <v>1063258.064516129</v>
          </cell>
          <cell r="G217">
            <v>22387.096774193546</v>
          </cell>
          <cell r="H217">
            <v>4165096.774193557</v>
          </cell>
          <cell r="I217">
            <v>17741.935483870966</v>
          </cell>
          <cell r="J217">
            <v>3591935.4838709733</v>
          </cell>
          <cell r="K217">
            <v>4838.7096774193551</v>
          </cell>
          <cell r="L217">
            <v>938709.67741935572</v>
          </cell>
          <cell r="M217">
            <v>22580.645161290322</v>
          </cell>
          <cell r="N217">
            <v>4530645.1612903271</v>
          </cell>
          <cell r="O217">
            <v>22580.645161290322</v>
          </cell>
          <cell r="P217">
            <v>4530645.1612903271</v>
          </cell>
          <cell r="Q217">
            <v>208709.67741935485</v>
          </cell>
          <cell r="R217">
            <v>38055092.165898569</v>
          </cell>
          <cell r="S217">
            <v>10.330487775220011</v>
          </cell>
          <cell r="T217">
            <v>3292.2921264369857</v>
          </cell>
          <cell r="U217">
            <v>4.4749852278557487</v>
          </cell>
          <cell r="V217">
            <v>1078.8753262755249</v>
          </cell>
          <cell r="W217">
            <v>0</v>
          </cell>
          <cell r="X217">
            <v>0</v>
          </cell>
          <cell r="Y217">
            <v>17096.774193548386</v>
          </cell>
          <cell r="Z217">
            <v>3062774.1935483944</v>
          </cell>
          <cell r="AA217">
            <v>5290.322580645161</v>
          </cell>
          <cell r="AB217">
            <v>1102322.5806451617</v>
          </cell>
          <cell r="AC217">
            <v>0</v>
          </cell>
          <cell r="AD217">
            <v>0</v>
          </cell>
          <cell r="AE217">
            <v>159677.4193548387</v>
          </cell>
          <cell r="AF217">
            <v>28127419.354838725</v>
          </cell>
          <cell r="AG217">
            <v>49032.258064516129</v>
          </cell>
          <cell r="AH217">
            <v>9902258.0645161327</v>
          </cell>
        </row>
        <row r="218">
          <cell r="B218">
            <v>46212</v>
          </cell>
          <cell r="C218">
            <v>16354.838709677419</v>
          </cell>
          <cell r="D218">
            <v>3118193.5483870995</v>
          </cell>
          <cell r="E218">
            <v>6032.2580645161288</v>
          </cell>
          <cell r="F218">
            <v>1069290.3225806451</v>
          </cell>
          <cell r="G218">
            <v>22387.096774193546</v>
          </cell>
          <cell r="H218">
            <v>4187483.8709677504</v>
          </cell>
          <cell r="I218">
            <v>17741.935483870966</v>
          </cell>
          <cell r="J218">
            <v>3609677.4193548444</v>
          </cell>
          <cell r="K218">
            <v>4838.7096774193551</v>
          </cell>
          <cell r="L218">
            <v>943548.38709677511</v>
          </cell>
          <cell r="M218">
            <v>22580.645161290322</v>
          </cell>
          <cell r="N218">
            <v>4553225.8064516177</v>
          </cell>
          <cell r="O218">
            <v>22580.645161290322</v>
          </cell>
          <cell r="P218">
            <v>4553225.8064516177</v>
          </cell>
          <cell r="Q218">
            <v>208709.67741935485</v>
          </cell>
          <cell r="R218">
            <v>38263801.843317926</v>
          </cell>
          <cell r="S218">
            <v>10.330487775220011</v>
          </cell>
          <cell r="T218">
            <v>3302.6226142122055</v>
          </cell>
          <cell r="U218">
            <v>4.4749852278557487</v>
          </cell>
          <cell r="V218">
            <v>1083.3503115033807</v>
          </cell>
          <cell r="W218">
            <v>0</v>
          </cell>
          <cell r="X218">
            <v>0</v>
          </cell>
          <cell r="Y218">
            <v>17096.774193548386</v>
          </cell>
          <cell r="Z218">
            <v>3079870.967741943</v>
          </cell>
          <cell r="AA218">
            <v>5290.322580645161</v>
          </cell>
          <cell r="AB218">
            <v>1107612.9032258068</v>
          </cell>
          <cell r="AC218">
            <v>0</v>
          </cell>
          <cell r="AD218">
            <v>0</v>
          </cell>
          <cell r="AE218">
            <v>159677.4193548387</v>
          </cell>
          <cell r="AF218">
            <v>28287096.774193563</v>
          </cell>
          <cell r="AG218">
            <v>49032.258064516129</v>
          </cell>
          <cell r="AH218">
            <v>9951290.3225806486</v>
          </cell>
        </row>
        <row r="219">
          <cell r="B219">
            <v>46213</v>
          </cell>
          <cell r="C219">
            <v>16354.838709677419</v>
          </cell>
          <cell r="D219">
            <v>3134548.3870967771</v>
          </cell>
          <cell r="E219">
            <v>6032.2580645161288</v>
          </cell>
          <cell r="F219">
            <v>1075322.5806451612</v>
          </cell>
          <cell r="G219">
            <v>22387.096774193546</v>
          </cell>
          <cell r="H219">
            <v>4209870.9677419439</v>
          </cell>
          <cell r="I219">
            <v>17741.935483870966</v>
          </cell>
          <cell r="J219">
            <v>3627419.3548387154</v>
          </cell>
          <cell r="K219">
            <v>4838.7096774193551</v>
          </cell>
          <cell r="L219">
            <v>948387.09677419451</v>
          </cell>
          <cell r="M219">
            <v>22580.645161290322</v>
          </cell>
          <cell r="N219">
            <v>4575806.4516129084</v>
          </cell>
          <cell r="O219">
            <v>22580.645161290322</v>
          </cell>
          <cell r="P219">
            <v>4575806.4516129084</v>
          </cell>
          <cell r="Q219">
            <v>208709.67741935485</v>
          </cell>
          <cell r="R219">
            <v>38472511.520737283</v>
          </cell>
          <cell r="S219">
            <v>10.330487775220011</v>
          </cell>
          <cell r="T219">
            <v>3312.9531019874253</v>
          </cell>
          <cell r="U219">
            <v>4.4749852278557487</v>
          </cell>
          <cell r="V219">
            <v>1087.8252967312364</v>
          </cell>
          <cell r="W219">
            <v>0</v>
          </cell>
          <cell r="X219">
            <v>0</v>
          </cell>
          <cell r="Y219">
            <v>17096.774193548386</v>
          </cell>
          <cell r="Z219">
            <v>3096967.7419354916</v>
          </cell>
          <cell r="AA219">
            <v>5290.322580645161</v>
          </cell>
          <cell r="AB219">
            <v>1112903.2258064519</v>
          </cell>
          <cell r="AC219">
            <v>0</v>
          </cell>
          <cell r="AD219">
            <v>0</v>
          </cell>
          <cell r="AE219">
            <v>159677.4193548387</v>
          </cell>
          <cell r="AF219">
            <v>28446774.1935484</v>
          </cell>
          <cell r="AG219">
            <v>49032.258064516129</v>
          </cell>
          <cell r="AH219">
            <v>10000322.580645164</v>
          </cell>
        </row>
        <row r="220">
          <cell r="B220">
            <v>46214</v>
          </cell>
          <cell r="C220">
            <v>16354.838709677419</v>
          </cell>
          <cell r="D220">
            <v>3150903.2258064547</v>
          </cell>
          <cell r="E220">
            <v>6032.2580645161288</v>
          </cell>
          <cell r="F220">
            <v>1081354.8387096773</v>
          </cell>
          <cell r="G220">
            <v>22387.096774193546</v>
          </cell>
          <cell r="H220">
            <v>4232258.0645161374</v>
          </cell>
          <cell r="I220">
            <v>17741.935483870966</v>
          </cell>
          <cell r="J220">
            <v>3645161.2903225864</v>
          </cell>
          <cell r="K220">
            <v>4838.7096774193551</v>
          </cell>
          <cell r="L220">
            <v>953225.8064516139</v>
          </cell>
          <cell r="M220">
            <v>22580.645161290322</v>
          </cell>
          <cell r="N220">
            <v>4598387.096774199</v>
          </cell>
          <cell r="O220">
            <v>22580.645161290322</v>
          </cell>
          <cell r="P220">
            <v>4598387.096774199</v>
          </cell>
          <cell r="Q220">
            <v>208709.67741935485</v>
          </cell>
          <cell r="R220">
            <v>38681221.19815664</v>
          </cell>
          <cell r="S220">
            <v>10.330487775220011</v>
          </cell>
          <cell r="T220">
            <v>3323.2835897626451</v>
          </cell>
          <cell r="U220">
            <v>4.4749852278557487</v>
          </cell>
          <cell r="V220">
            <v>1092.3002819590922</v>
          </cell>
          <cell r="W220">
            <v>0</v>
          </cell>
          <cell r="X220">
            <v>0</v>
          </cell>
          <cell r="Y220">
            <v>17096.774193548386</v>
          </cell>
          <cell r="Z220">
            <v>3114064.5161290402</v>
          </cell>
          <cell r="AA220">
            <v>5290.322580645161</v>
          </cell>
          <cell r="AB220">
            <v>1118193.548387097</v>
          </cell>
          <cell r="AC220">
            <v>0</v>
          </cell>
          <cell r="AD220">
            <v>0</v>
          </cell>
          <cell r="AE220">
            <v>159677.4193548387</v>
          </cell>
          <cell r="AF220">
            <v>28606451.612903237</v>
          </cell>
          <cell r="AG220">
            <v>49032.258064516129</v>
          </cell>
          <cell r="AH220">
            <v>10049354.83870968</v>
          </cell>
        </row>
        <row r="221">
          <cell r="B221">
            <v>46215</v>
          </cell>
          <cell r="C221">
            <v>16354.838709677419</v>
          </cell>
          <cell r="D221">
            <v>3167258.0645161322</v>
          </cell>
          <cell r="E221">
            <v>6032.2580645161288</v>
          </cell>
          <cell r="F221">
            <v>1087387.0967741935</v>
          </cell>
          <cell r="G221">
            <v>22387.096774193546</v>
          </cell>
          <cell r="H221">
            <v>4254645.1612903308</v>
          </cell>
          <cell r="I221">
            <v>17741.935483870966</v>
          </cell>
          <cell r="J221">
            <v>3662903.2258064575</v>
          </cell>
          <cell r="K221">
            <v>4838.7096774193551</v>
          </cell>
          <cell r="L221">
            <v>958064.51612903329</v>
          </cell>
          <cell r="M221">
            <v>22580.645161290322</v>
          </cell>
          <cell r="N221">
            <v>4620967.7419354897</v>
          </cell>
          <cell r="O221">
            <v>22580.645161290322</v>
          </cell>
          <cell r="P221">
            <v>4620967.7419354897</v>
          </cell>
          <cell r="Q221">
            <v>208709.67741935485</v>
          </cell>
          <cell r="R221">
            <v>38889930.875575997</v>
          </cell>
          <cell r="S221">
            <v>10.330487775220011</v>
          </cell>
          <cell r="T221">
            <v>3333.6140775378649</v>
          </cell>
          <cell r="U221">
            <v>4.4749852278557487</v>
          </cell>
          <cell r="V221">
            <v>1096.775267186948</v>
          </cell>
          <cell r="W221">
            <v>0</v>
          </cell>
          <cell r="X221">
            <v>0</v>
          </cell>
          <cell r="Y221">
            <v>17096.774193548386</v>
          </cell>
          <cell r="Z221">
            <v>3131161.2903225888</v>
          </cell>
          <cell r="AA221">
            <v>5290.322580645161</v>
          </cell>
          <cell r="AB221">
            <v>1123483.8709677421</v>
          </cell>
          <cell r="AC221">
            <v>0</v>
          </cell>
          <cell r="AD221">
            <v>0</v>
          </cell>
          <cell r="AE221">
            <v>159677.4193548387</v>
          </cell>
          <cell r="AF221">
            <v>28766129.032258075</v>
          </cell>
          <cell r="AG221">
            <v>49032.258064516129</v>
          </cell>
          <cell r="AH221">
            <v>10098387.096774196</v>
          </cell>
        </row>
        <row r="222">
          <cell r="B222">
            <v>46216</v>
          </cell>
          <cell r="C222">
            <v>16354.838709677419</v>
          </cell>
          <cell r="D222">
            <v>3183612.9032258098</v>
          </cell>
          <cell r="E222">
            <v>6032.2580645161288</v>
          </cell>
          <cell r="F222">
            <v>1093419.3548387096</v>
          </cell>
          <cell r="G222">
            <v>22387.096774193546</v>
          </cell>
          <cell r="H222">
            <v>4277032.2580645243</v>
          </cell>
          <cell r="I222">
            <v>17741.935483870966</v>
          </cell>
          <cell r="J222">
            <v>3680645.1612903285</v>
          </cell>
          <cell r="K222">
            <v>4838.7096774193551</v>
          </cell>
          <cell r="L222">
            <v>962903.22580645268</v>
          </cell>
          <cell r="M222">
            <v>22580.645161290322</v>
          </cell>
          <cell r="N222">
            <v>4643548.3870967804</v>
          </cell>
          <cell r="O222">
            <v>22580.645161290322</v>
          </cell>
          <cell r="P222">
            <v>4643548.3870967804</v>
          </cell>
          <cell r="Q222">
            <v>208709.67741935485</v>
          </cell>
          <cell r="R222">
            <v>39098640.552995354</v>
          </cell>
          <cell r="S222">
            <v>10.330487775220011</v>
          </cell>
          <cell r="T222">
            <v>3343.9445653130847</v>
          </cell>
          <cell r="U222">
            <v>4.4749852278557487</v>
          </cell>
          <cell r="V222">
            <v>1101.2502524148038</v>
          </cell>
          <cell r="W222">
            <v>0</v>
          </cell>
          <cell r="X222">
            <v>0</v>
          </cell>
          <cell r="Y222">
            <v>17096.774193548386</v>
          </cell>
          <cell r="Z222">
            <v>3148258.0645161374</v>
          </cell>
          <cell r="AA222">
            <v>5290.322580645161</v>
          </cell>
          <cell r="AB222">
            <v>1128774.1935483871</v>
          </cell>
          <cell r="AC222">
            <v>0</v>
          </cell>
          <cell r="AD222">
            <v>0</v>
          </cell>
          <cell r="AE222">
            <v>159677.4193548387</v>
          </cell>
          <cell r="AF222">
            <v>28925806.451612912</v>
          </cell>
          <cell r="AG222">
            <v>49032.258064516129</v>
          </cell>
          <cell r="AH222">
            <v>10147419.354838712</v>
          </cell>
        </row>
        <row r="223">
          <cell r="B223">
            <v>46217</v>
          </cell>
          <cell r="C223">
            <v>16354.838709677419</v>
          </cell>
          <cell r="D223">
            <v>3199967.7419354874</v>
          </cell>
          <cell r="E223">
            <v>6032.2580645161288</v>
          </cell>
          <cell r="F223">
            <v>1099451.6129032257</v>
          </cell>
          <cell r="G223">
            <v>22387.096774193546</v>
          </cell>
          <cell r="H223">
            <v>4299419.3548387177</v>
          </cell>
          <cell r="I223">
            <v>17741.935483870966</v>
          </cell>
          <cell r="J223">
            <v>3698387.0967741995</v>
          </cell>
          <cell r="K223">
            <v>4838.7096774193551</v>
          </cell>
          <cell r="L223">
            <v>967741.93548387208</v>
          </cell>
          <cell r="M223">
            <v>22580.645161290322</v>
          </cell>
          <cell r="N223">
            <v>4666129.032258071</v>
          </cell>
          <cell r="O223">
            <v>22580.645161290322</v>
          </cell>
          <cell r="P223">
            <v>4666129.032258071</v>
          </cell>
          <cell r="Q223">
            <v>208709.67741935485</v>
          </cell>
          <cell r="R223">
            <v>39307350.230414711</v>
          </cell>
          <cell r="S223">
            <v>10.330487775220011</v>
          </cell>
          <cell r="T223">
            <v>3354.2750530883045</v>
          </cell>
          <cell r="U223">
            <v>4.4749852278557487</v>
          </cell>
          <cell r="V223">
            <v>1105.7252376426595</v>
          </cell>
          <cell r="W223">
            <v>0</v>
          </cell>
          <cell r="X223">
            <v>0</v>
          </cell>
          <cell r="Y223">
            <v>17096.774193548386</v>
          </cell>
          <cell r="Z223">
            <v>3165354.838709686</v>
          </cell>
          <cell r="AA223">
            <v>5290.322580645161</v>
          </cell>
          <cell r="AB223">
            <v>1134064.5161290322</v>
          </cell>
          <cell r="AC223">
            <v>0</v>
          </cell>
          <cell r="AD223">
            <v>0</v>
          </cell>
          <cell r="AE223">
            <v>159677.4193548387</v>
          </cell>
          <cell r="AF223">
            <v>29085483.87096775</v>
          </cell>
          <cell r="AG223">
            <v>49032.258064516129</v>
          </cell>
          <cell r="AH223">
            <v>10196451.612903228</v>
          </cell>
        </row>
        <row r="224">
          <cell r="B224">
            <v>46218</v>
          </cell>
          <cell r="C224">
            <v>16354.838709677419</v>
          </cell>
          <cell r="D224">
            <v>3216322.5806451649</v>
          </cell>
          <cell r="E224">
            <v>6032.2580645161288</v>
          </cell>
          <cell r="F224">
            <v>1105483.8709677418</v>
          </cell>
          <cell r="G224">
            <v>22387.096774193546</v>
          </cell>
          <cell r="H224">
            <v>4321806.4516129112</v>
          </cell>
          <cell r="I224">
            <v>17741.935483870966</v>
          </cell>
          <cell r="J224">
            <v>3716129.0322580705</v>
          </cell>
          <cell r="K224">
            <v>4838.7096774193551</v>
          </cell>
          <cell r="L224">
            <v>972580.64516129147</v>
          </cell>
          <cell r="M224">
            <v>22580.645161290322</v>
          </cell>
          <cell r="N224">
            <v>4688709.6774193617</v>
          </cell>
          <cell r="O224">
            <v>22580.645161290322</v>
          </cell>
          <cell r="P224">
            <v>4688709.6774193617</v>
          </cell>
          <cell r="Q224">
            <v>208709.67741935485</v>
          </cell>
          <cell r="R224">
            <v>39516059.907834068</v>
          </cell>
          <cell r="S224">
            <v>10.330487775220011</v>
          </cell>
          <cell r="T224">
            <v>3364.6055408635243</v>
          </cell>
          <cell r="U224">
            <v>4.4749852278557487</v>
          </cell>
          <cell r="V224">
            <v>1110.2002228705153</v>
          </cell>
          <cell r="W224">
            <v>0</v>
          </cell>
          <cell r="X224">
            <v>0</v>
          </cell>
          <cell r="Y224">
            <v>17096.774193548386</v>
          </cell>
          <cell r="Z224">
            <v>3182451.6129032345</v>
          </cell>
          <cell r="AA224">
            <v>5290.322580645161</v>
          </cell>
          <cell r="AB224">
            <v>1139354.8387096773</v>
          </cell>
          <cell r="AC224">
            <v>0</v>
          </cell>
          <cell r="AD224">
            <v>0</v>
          </cell>
          <cell r="AE224">
            <v>159677.4193548387</v>
          </cell>
          <cell r="AF224">
            <v>29245161.290322587</v>
          </cell>
          <cell r="AG224">
            <v>49032.258064516129</v>
          </cell>
          <cell r="AH224">
            <v>10245483.870967744</v>
          </cell>
        </row>
        <row r="225">
          <cell r="B225">
            <v>46219</v>
          </cell>
          <cell r="C225">
            <v>16354.838709677419</v>
          </cell>
          <cell r="D225">
            <v>3232677.4193548425</v>
          </cell>
          <cell r="E225">
            <v>6032.2580645161288</v>
          </cell>
          <cell r="F225">
            <v>1111516.1290322579</v>
          </cell>
          <cell r="G225">
            <v>22387.096774193546</v>
          </cell>
          <cell r="H225">
            <v>4344193.5483871046</v>
          </cell>
          <cell r="I225">
            <v>17741.935483870966</v>
          </cell>
          <cell r="J225">
            <v>3733870.9677419416</v>
          </cell>
          <cell r="K225">
            <v>4838.7096774193551</v>
          </cell>
          <cell r="L225">
            <v>977419.35483871086</v>
          </cell>
          <cell r="M225">
            <v>22580.645161290322</v>
          </cell>
          <cell r="N225">
            <v>4711290.3225806523</v>
          </cell>
          <cell r="O225">
            <v>22580.645161290322</v>
          </cell>
          <cell r="P225">
            <v>4711290.3225806523</v>
          </cell>
          <cell r="Q225">
            <v>208709.67741935485</v>
          </cell>
          <cell r="R225">
            <v>39724769.585253425</v>
          </cell>
          <cell r="S225">
            <v>10.330487775220011</v>
          </cell>
          <cell r="T225">
            <v>3374.9360286387441</v>
          </cell>
          <cell r="U225">
            <v>4.4749852278557487</v>
          </cell>
          <cell r="V225">
            <v>1114.6752080983711</v>
          </cell>
          <cell r="W225">
            <v>0</v>
          </cell>
          <cell r="X225">
            <v>0</v>
          </cell>
          <cell r="Y225">
            <v>17096.774193548386</v>
          </cell>
          <cell r="Z225">
            <v>3199548.3870967831</v>
          </cell>
          <cell r="AA225">
            <v>5290.322580645161</v>
          </cell>
          <cell r="AB225">
            <v>1144645.1612903224</v>
          </cell>
          <cell r="AC225">
            <v>0</v>
          </cell>
          <cell r="AD225">
            <v>0</v>
          </cell>
          <cell r="AE225">
            <v>159677.4193548387</v>
          </cell>
          <cell r="AF225">
            <v>29404838.709677424</v>
          </cell>
          <cell r="AG225">
            <v>49032.258064516129</v>
          </cell>
          <cell r="AH225">
            <v>10294516.12903226</v>
          </cell>
        </row>
        <row r="226">
          <cell r="B226">
            <v>46220</v>
          </cell>
          <cell r="C226">
            <v>16354.838709677419</v>
          </cell>
          <cell r="D226">
            <v>3249032.2580645201</v>
          </cell>
          <cell r="E226">
            <v>6032.2580645161288</v>
          </cell>
          <cell r="F226">
            <v>1117548.3870967741</v>
          </cell>
          <cell r="G226">
            <v>22387.096774193546</v>
          </cell>
          <cell r="H226">
            <v>4366580.6451612981</v>
          </cell>
          <cell r="I226">
            <v>17741.935483870966</v>
          </cell>
          <cell r="J226">
            <v>3751612.9032258126</v>
          </cell>
          <cell r="K226">
            <v>4838.7096774193551</v>
          </cell>
          <cell r="L226">
            <v>982258.06451613025</v>
          </cell>
          <cell r="M226">
            <v>22580.645161290322</v>
          </cell>
          <cell r="N226">
            <v>4733870.967741943</v>
          </cell>
          <cell r="O226">
            <v>22580.645161290322</v>
          </cell>
          <cell r="P226">
            <v>4733870.967741943</v>
          </cell>
          <cell r="Q226">
            <v>208709.67741935485</v>
          </cell>
          <cell r="R226">
            <v>39933479.262672782</v>
          </cell>
          <cell r="S226">
            <v>10.330487775220011</v>
          </cell>
          <cell r="T226">
            <v>3385.2665164139639</v>
          </cell>
          <cell r="U226">
            <v>4.4749852278557487</v>
          </cell>
          <cell r="V226">
            <v>1119.1501933262268</v>
          </cell>
          <cell r="W226">
            <v>0</v>
          </cell>
          <cell r="X226">
            <v>0</v>
          </cell>
          <cell r="Y226">
            <v>17096.774193548386</v>
          </cell>
          <cell r="Z226">
            <v>3216645.1612903317</v>
          </cell>
          <cell r="AA226">
            <v>5290.322580645161</v>
          </cell>
          <cell r="AB226">
            <v>1149935.4838709675</v>
          </cell>
          <cell r="AC226">
            <v>0</v>
          </cell>
          <cell r="AD226">
            <v>0</v>
          </cell>
          <cell r="AE226">
            <v>159677.4193548387</v>
          </cell>
          <cell r="AF226">
            <v>29564516.129032262</v>
          </cell>
          <cell r="AG226">
            <v>49032.258064516129</v>
          </cell>
          <cell r="AH226">
            <v>10343548.387096776</v>
          </cell>
        </row>
        <row r="227">
          <cell r="B227">
            <v>46221</v>
          </cell>
          <cell r="C227">
            <v>16354.838709677419</v>
          </cell>
          <cell r="D227">
            <v>3265387.0967741976</v>
          </cell>
          <cell r="E227">
            <v>6032.2580645161288</v>
          </cell>
          <cell r="F227">
            <v>1123580.6451612902</v>
          </cell>
          <cell r="G227">
            <v>22387.096774193546</v>
          </cell>
          <cell r="H227">
            <v>4388967.7419354916</v>
          </cell>
          <cell r="I227">
            <v>17741.935483870966</v>
          </cell>
          <cell r="J227">
            <v>3769354.8387096836</v>
          </cell>
          <cell r="K227">
            <v>4838.7096774193551</v>
          </cell>
          <cell r="L227">
            <v>987096.77419354965</v>
          </cell>
          <cell r="M227">
            <v>22580.645161290322</v>
          </cell>
          <cell r="N227">
            <v>4756451.6129032336</v>
          </cell>
          <cell r="O227">
            <v>22580.645161290322</v>
          </cell>
          <cell r="P227">
            <v>4756451.6129032336</v>
          </cell>
          <cell r="Q227">
            <v>208709.67741935485</v>
          </cell>
          <cell r="R227">
            <v>40142188.940092139</v>
          </cell>
          <cell r="S227">
            <v>10.330487775220011</v>
          </cell>
          <cell r="T227">
            <v>3395.5970041891837</v>
          </cell>
          <cell r="U227">
            <v>4.4749852278557487</v>
          </cell>
          <cell r="V227">
            <v>1123.6251785540826</v>
          </cell>
          <cell r="W227">
            <v>0</v>
          </cell>
          <cell r="X227">
            <v>0</v>
          </cell>
          <cell r="Y227">
            <v>17096.774193548386</v>
          </cell>
          <cell r="Z227">
            <v>3233741.9354838803</v>
          </cell>
          <cell r="AA227">
            <v>5290.322580645161</v>
          </cell>
          <cell r="AB227">
            <v>1155225.8064516126</v>
          </cell>
          <cell r="AC227">
            <v>0</v>
          </cell>
          <cell r="AD227">
            <v>0</v>
          </cell>
          <cell r="AE227">
            <v>159677.4193548387</v>
          </cell>
          <cell r="AF227">
            <v>29724193.548387099</v>
          </cell>
          <cell r="AG227">
            <v>49032.258064516129</v>
          </cell>
          <cell r="AH227">
            <v>10392580.645161292</v>
          </cell>
        </row>
        <row r="228">
          <cell r="B228">
            <v>46222</v>
          </cell>
          <cell r="C228">
            <v>16354.838709677419</v>
          </cell>
          <cell r="D228">
            <v>3281741.9354838752</v>
          </cell>
          <cell r="E228">
            <v>6032.2580645161288</v>
          </cell>
          <cell r="F228">
            <v>1129612.9032258063</v>
          </cell>
          <cell r="G228">
            <v>22387.096774193546</v>
          </cell>
          <cell r="H228">
            <v>4411354.838709685</v>
          </cell>
          <cell r="I228">
            <v>17741.935483870966</v>
          </cell>
          <cell r="J228">
            <v>3787096.7741935547</v>
          </cell>
          <cell r="K228">
            <v>4838.7096774193551</v>
          </cell>
          <cell r="L228">
            <v>991935.48387096904</v>
          </cell>
          <cell r="M228">
            <v>22580.645161290322</v>
          </cell>
          <cell r="N228">
            <v>4779032.2580645243</v>
          </cell>
          <cell r="O228">
            <v>22580.645161290322</v>
          </cell>
          <cell r="P228">
            <v>4779032.2580645243</v>
          </cell>
          <cell r="Q228">
            <v>208709.67741935485</v>
          </cell>
          <cell r="R228">
            <v>40350898.617511496</v>
          </cell>
          <cell r="S228">
            <v>10.330487775220011</v>
          </cell>
          <cell r="T228">
            <v>3405.9274919644035</v>
          </cell>
          <cell r="U228">
            <v>4.4749852278557487</v>
          </cell>
          <cell r="V228">
            <v>1128.1001637819384</v>
          </cell>
          <cell r="W228">
            <v>0</v>
          </cell>
          <cell r="X228">
            <v>0</v>
          </cell>
          <cell r="Y228">
            <v>17096.774193548386</v>
          </cell>
          <cell r="Z228">
            <v>3250838.7096774289</v>
          </cell>
          <cell r="AA228">
            <v>5290.322580645161</v>
          </cell>
          <cell r="AB228">
            <v>1160516.1290322577</v>
          </cell>
          <cell r="AC228">
            <v>0</v>
          </cell>
          <cell r="AD228">
            <v>0</v>
          </cell>
          <cell r="AE228">
            <v>159677.4193548387</v>
          </cell>
          <cell r="AF228">
            <v>29883870.967741936</v>
          </cell>
          <cell r="AG228">
            <v>49032.258064516129</v>
          </cell>
          <cell r="AH228">
            <v>10441612.903225807</v>
          </cell>
        </row>
        <row r="229">
          <cell r="B229">
            <v>46223</v>
          </cell>
          <cell r="C229">
            <v>16354.838709677419</v>
          </cell>
          <cell r="D229">
            <v>3298096.7741935528</v>
          </cell>
          <cell r="E229">
            <v>6032.2580645161288</v>
          </cell>
          <cell r="F229">
            <v>1135645.1612903224</v>
          </cell>
          <cell r="G229">
            <v>22387.096774193546</v>
          </cell>
          <cell r="H229">
            <v>4433741.9354838785</v>
          </cell>
          <cell r="I229">
            <v>17741.935483870966</v>
          </cell>
          <cell r="J229">
            <v>3804838.7096774257</v>
          </cell>
          <cell r="K229">
            <v>4838.7096774193551</v>
          </cell>
          <cell r="L229">
            <v>996774.19354838843</v>
          </cell>
          <cell r="M229">
            <v>22580.645161290322</v>
          </cell>
          <cell r="N229">
            <v>4801612.9032258149</v>
          </cell>
          <cell r="O229">
            <v>22580.645161290322</v>
          </cell>
          <cell r="P229">
            <v>4801612.9032258149</v>
          </cell>
          <cell r="Q229">
            <v>208709.67741935485</v>
          </cell>
          <cell r="R229">
            <v>40559608.294930853</v>
          </cell>
          <cell r="S229">
            <v>10.330487775220011</v>
          </cell>
          <cell r="T229">
            <v>3416.2579797396234</v>
          </cell>
          <cell r="U229">
            <v>4.4749852278557487</v>
          </cell>
          <cell r="V229">
            <v>1132.5751490097941</v>
          </cell>
          <cell r="W229">
            <v>0</v>
          </cell>
          <cell r="X229">
            <v>0</v>
          </cell>
          <cell r="Y229">
            <v>17096.774193548386</v>
          </cell>
          <cell r="Z229">
            <v>3267935.4838709775</v>
          </cell>
          <cell r="AA229">
            <v>5290.322580645161</v>
          </cell>
          <cell r="AB229">
            <v>1165806.4516129028</v>
          </cell>
          <cell r="AC229">
            <v>0</v>
          </cell>
          <cell r="AD229">
            <v>0</v>
          </cell>
          <cell r="AE229">
            <v>159677.4193548387</v>
          </cell>
          <cell r="AF229">
            <v>30043548.387096774</v>
          </cell>
          <cell r="AG229">
            <v>49032.258064516129</v>
          </cell>
          <cell r="AH229">
            <v>10490645.161290323</v>
          </cell>
        </row>
        <row r="230">
          <cell r="B230">
            <v>46224</v>
          </cell>
          <cell r="C230">
            <v>16354.838709677419</v>
          </cell>
          <cell r="D230">
            <v>3314451.6129032304</v>
          </cell>
          <cell r="E230">
            <v>6032.2580645161288</v>
          </cell>
          <cell r="F230">
            <v>1141677.4193548386</v>
          </cell>
          <cell r="G230">
            <v>22387.096774193546</v>
          </cell>
          <cell r="H230">
            <v>4456129.0322580719</v>
          </cell>
          <cell r="I230">
            <v>17741.935483870966</v>
          </cell>
          <cell r="J230">
            <v>3822580.6451612967</v>
          </cell>
          <cell r="K230">
            <v>4838.7096774193551</v>
          </cell>
          <cell r="L230">
            <v>1001612.9032258078</v>
          </cell>
          <cell r="M230">
            <v>22580.645161290322</v>
          </cell>
          <cell r="N230">
            <v>4824193.5483871056</v>
          </cell>
          <cell r="O230">
            <v>22580.645161290322</v>
          </cell>
          <cell r="P230">
            <v>4824193.5483871056</v>
          </cell>
          <cell r="Q230">
            <v>208709.67741935485</v>
          </cell>
          <cell r="R230">
            <v>40768317.97235021</v>
          </cell>
          <cell r="S230">
            <v>10.330487775220011</v>
          </cell>
          <cell r="T230">
            <v>3426.5884675148432</v>
          </cell>
          <cell r="U230">
            <v>4.4749852278557487</v>
          </cell>
          <cell r="V230">
            <v>1137.0501342376499</v>
          </cell>
          <cell r="W230">
            <v>0</v>
          </cell>
          <cell r="X230">
            <v>0</v>
          </cell>
          <cell r="Y230">
            <v>17096.774193548386</v>
          </cell>
          <cell r="Z230">
            <v>3285032.2580645261</v>
          </cell>
          <cell r="AA230">
            <v>5290.322580645161</v>
          </cell>
          <cell r="AB230">
            <v>1171096.7741935479</v>
          </cell>
          <cell r="AC230">
            <v>0</v>
          </cell>
          <cell r="AD230">
            <v>0</v>
          </cell>
          <cell r="AE230">
            <v>159677.4193548387</v>
          </cell>
          <cell r="AF230">
            <v>30203225.806451611</v>
          </cell>
          <cell r="AG230">
            <v>49032.258064516129</v>
          </cell>
          <cell r="AH230">
            <v>10539677.419354839</v>
          </cell>
        </row>
        <row r="231">
          <cell r="B231">
            <v>46225</v>
          </cell>
          <cell r="C231">
            <v>16354.838709677419</v>
          </cell>
          <cell r="D231">
            <v>3330806.4516129079</v>
          </cell>
          <cell r="E231">
            <v>6032.2580645161288</v>
          </cell>
          <cell r="F231">
            <v>1147709.6774193547</v>
          </cell>
          <cell r="G231">
            <v>22387.096774193546</v>
          </cell>
          <cell r="H231">
            <v>4478516.1290322654</v>
          </cell>
          <cell r="I231">
            <v>17741.935483870966</v>
          </cell>
          <cell r="J231">
            <v>3840322.5806451677</v>
          </cell>
          <cell r="K231">
            <v>4838.7096774193551</v>
          </cell>
          <cell r="L231">
            <v>1006451.6129032272</v>
          </cell>
          <cell r="M231">
            <v>22580.645161290322</v>
          </cell>
          <cell r="N231">
            <v>4846774.1935483962</v>
          </cell>
          <cell r="O231">
            <v>22580.645161290322</v>
          </cell>
          <cell r="P231">
            <v>4846774.1935483962</v>
          </cell>
          <cell r="Q231">
            <v>208709.67741935485</v>
          </cell>
          <cell r="R231">
            <v>40977027.649769567</v>
          </cell>
          <cell r="S231">
            <v>10.330487775220011</v>
          </cell>
          <cell r="T231">
            <v>3436.918955290063</v>
          </cell>
          <cell r="U231">
            <v>4.4749852278557487</v>
          </cell>
          <cell r="V231">
            <v>1141.5251194655057</v>
          </cell>
          <cell r="W231">
            <v>0</v>
          </cell>
          <cell r="X231">
            <v>0</v>
          </cell>
          <cell r="Y231">
            <v>17096.774193548386</v>
          </cell>
          <cell r="Z231">
            <v>3302129.0322580747</v>
          </cell>
          <cell r="AA231">
            <v>5290.322580645161</v>
          </cell>
          <cell r="AB231">
            <v>1176387.096774193</v>
          </cell>
          <cell r="AC231">
            <v>0</v>
          </cell>
          <cell r="AD231">
            <v>0</v>
          </cell>
          <cell r="AE231">
            <v>159677.4193548387</v>
          </cell>
          <cell r="AF231">
            <v>30362903.225806449</v>
          </cell>
          <cell r="AG231">
            <v>49032.258064516129</v>
          </cell>
          <cell r="AH231">
            <v>10588709.677419355</v>
          </cell>
        </row>
        <row r="232">
          <cell r="B232">
            <v>46226</v>
          </cell>
          <cell r="C232">
            <v>16354.838709677419</v>
          </cell>
          <cell r="D232">
            <v>3347161.2903225855</v>
          </cell>
          <cell r="E232">
            <v>6032.2580645161288</v>
          </cell>
          <cell r="F232">
            <v>1153741.9354838708</v>
          </cell>
          <cell r="G232">
            <v>22387.096774193546</v>
          </cell>
          <cell r="H232">
            <v>4500903.2258064589</v>
          </cell>
          <cell r="I232">
            <v>17741.935483870966</v>
          </cell>
          <cell r="J232">
            <v>3858064.5161290388</v>
          </cell>
          <cell r="K232">
            <v>4838.7096774193551</v>
          </cell>
          <cell r="L232">
            <v>1011290.3225806466</v>
          </cell>
          <cell r="M232">
            <v>22580.645161290322</v>
          </cell>
          <cell r="N232">
            <v>4869354.8387096869</v>
          </cell>
          <cell r="O232">
            <v>22580.645161290322</v>
          </cell>
          <cell r="P232">
            <v>4869354.8387096869</v>
          </cell>
          <cell r="Q232">
            <v>208709.67741935485</v>
          </cell>
          <cell r="R232">
            <v>41185737.327188924</v>
          </cell>
          <cell r="S232">
            <v>10.330487775220011</v>
          </cell>
          <cell r="T232">
            <v>3447.2494430652828</v>
          </cell>
          <cell r="U232">
            <v>4.4749852278557487</v>
          </cell>
          <cell r="V232">
            <v>1146.0001046933614</v>
          </cell>
          <cell r="W232">
            <v>0</v>
          </cell>
          <cell r="X232">
            <v>0</v>
          </cell>
          <cell r="Y232">
            <v>17096.774193548386</v>
          </cell>
          <cell r="Z232">
            <v>3319225.8064516233</v>
          </cell>
          <cell r="AA232">
            <v>5290.322580645161</v>
          </cell>
          <cell r="AB232">
            <v>1181677.4193548381</v>
          </cell>
          <cell r="AC232">
            <v>0</v>
          </cell>
          <cell r="AD232">
            <v>0</v>
          </cell>
          <cell r="AE232">
            <v>159677.4193548387</v>
          </cell>
          <cell r="AF232">
            <v>30522580.645161286</v>
          </cell>
          <cell r="AG232">
            <v>49032.258064516129</v>
          </cell>
          <cell r="AH232">
            <v>10637741.935483871</v>
          </cell>
        </row>
        <row r="233">
          <cell r="B233">
            <v>46227</v>
          </cell>
          <cell r="C233">
            <v>16354.838709677419</v>
          </cell>
          <cell r="D233">
            <v>3363516.1290322631</v>
          </cell>
          <cell r="E233">
            <v>6032.2580645161288</v>
          </cell>
          <cell r="F233">
            <v>1159774.1935483869</v>
          </cell>
          <cell r="G233">
            <v>22387.096774193546</v>
          </cell>
          <cell r="H233">
            <v>4523290.3225806523</v>
          </cell>
          <cell r="I233">
            <v>17741.935483870966</v>
          </cell>
          <cell r="J233">
            <v>3875806.4516129098</v>
          </cell>
          <cell r="K233">
            <v>4838.7096774193551</v>
          </cell>
          <cell r="L233">
            <v>1016129.032258066</v>
          </cell>
          <cell r="M233">
            <v>22580.645161290322</v>
          </cell>
          <cell r="N233">
            <v>4891935.4838709775</v>
          </cell>
          <cell r="O233">
            <v>22580.645161290322</v>
          </cell>
          <cell r="P233">
            <v>4891935.4838709775</v>
          </cell>
          <cell r="Q233">
            <v>208709.67741935485</v>
          </cell>
          <cell r="R233">
            <v>41394447.004608281</v>
          </cell>
          <cell r="S233">
            <v>10.330487775220011</v>
          </cell>
          <cell r="T233">
            <v>3457.5799308405026</v>
          </cell>
          <cell r="U233">
            <v>4.4749852278557487</v>
          </cell>
          <cell r="V233">
            <v>1150.4750899212172</v>
          </cell>
          <cell r="W233">
            <v>0</v>
          </cell>
          <cell r="X233">
            <v>0</v>
          </cell>
          <cell r="Y233">
            <v>17096.774193548386</v>
          </cell>
          <cell r="Z233">
            <v>3336322.5806451719</v>
          </cell>
          <cell r="AA233">
            <v>5290.322580645161</v>
          </cell>
          <cell r="AB233">
            <v>1186967.7419354832</v>
          </cell>
          <cell r="AC233">
            <v>0</v>
          </cell>
          <cell r="AD233">
            <v>0</v>
          </cell>
          <cell r="AE233">
            <v>159677.4193548387</v>
          </cell>
          <cell r="AF233">
            <v>30682258.064516123</v>
          </cell>
          <cell r="AG233">
            <v>49032.258064516129</v>
          </cell>
          <cell r="AH233">
            <v>10686774.193548387</v>
          </cell>
        </row>
        <row r="234">
          <cell r="B234">
            <v>46228</v>
          </cell>
          <cell r="C234">
            <v>16354.838709677419</v>
          </cell>
          <cell r="D234">
            <v>3379870.9677419406</v>
          </cell>
          <cell r="E234">
            <v>6032.2580645161288</v>
          </cell>
          <cell r="F234">
            <v>1165806.451612903</v>
          </cell>
          <cell r="G234">
            <v>22387.096774193546</v>
          </cell>
          <cell r="H234">
            <v>4545677.4193548458</v>
          </cell>
          <cell r="I234">
            <v>17741.935483870966</v>
          </cell>
          <cell r="J234">
            <v>3893548.3870967808</v>
          </cell>
          <cell r="K234">
            <v>4838.7096774193551</v>
          </cell>
          <cell r="L234">
            <v>1020967.7419354854</v>
          </cell>
          <cell r="M234">
            <v>22580.645161290322</v>
          </cell>
          <cell r="N234">
            <v>4914516.1290322682</v>
          </cell>
          <cell r="O234">
            <v>22580.645161290322</v>
          </cell>
          <cell r="P234">
            <v>4914516.1290322682</v>
          </cell>
          <cell r="Q234">
            <v>208709.67741935485</v>
          </cell>
          <cell r="R234">
            <v>41603156.682027638</v>
          </cell>
          <cell r="S234">
            <v>10.330487775220011</v>
          </cell>
          <cell r="T234">
            <v>3467.9104186157224</v>
          </cell>
          <cell r="U234">
            <v>4.4749852278557487</v>
          </cell>
          <cell r="V234">
            <v>1154.950075149073</v>
          </cell>
          <cell r="W234">
            <v>0</v>
          </cell>
          <cell r="X234">
            <v>0</v>
          </cell>
          <cell r="Y234">
            <v>17096.774193548386</v>
          </cell>
          <cell r="Z234">
            <v>3353419.3548387205</v>
          </cell>
          <cell r="AA234">
            <v>5290.322580645161</v>
          </cell>
          <cell r="AB234">
            <v>1192258.0645161283</v>
          </cell>
          <cell r="AC234">
            <v>0</v>
          </cell>
          <cell r="AD234">
            <v>0</v>
          </cell>
          <cell r="AE234">
            <v>159677.4193548387</v>
          </cell>
          <cell r="AF234">
            <v>30841935.483870961</v>
          </cell>
          <cell r="AG234">
            <v>49032.258064516129</v>
          </cell>
          <cell r="AH234">
            <v>10735806.451612903</v>
          </cell>
        </row>
        <row r="235">
          <cell r="B235">
            <v>46229</v>
          </cell>
          <cell r="C235">
            <v>16354.838709677419</v>
          </cell>
          <cell r="D235">
            <v>3396225.8064516182</v>
          </cell>
          <cell r="E235">
            <v>6032.2580645161288</v>
          </cell>
          <cell r="F235">
            <v>1171838.7096774192</v>
          </cell>
          <cell r="G235">
            <v>22387.096774193546</v>
          </cell>
          <cell r="H235">
            <v>4568064.5161290392</v>
          </cell>
          <cell r="I235">
            <v>17741.935483870966</v>
          </cell>
          <cell r="J235">
            <v>3911290.3225806518</v>
          </cell>
          <cell r="K235">
            <v>4838.7096774193551</v>
          </cell>
          <cell r="L235">
            <v>1025806.4516129048</v>
          </cell>
          <cell r="M235">
            <v>22580.645161290322</v>
          </cell>
          <cell r="N235">
            <v>4937096.7741935588</v>
          </cell>
          <cell r="O235">
            <v>22580.645161290322</v>
          </cell>
          <cell r="P235">
            <v>4937096.7741935588</v>
          </cell>
          <cell r="Q235">
            <v>208709.67741935485</v>
          </cell>
          <cell r="R235">
            <v>41811866.359446995</v>
          </cell>
          <cell r="S235">
            <v>10.330487775220011</v>
          </cell>
          <cell r="T235">
            <v>3478.2409063909422</v>
          </cell>
          <cell r="U235">
            <v>4.4749852278557487</v>
          </cell>
          <cell r="V235">
            <v>1159.4250603769287</v>
          </cell>
          <cell r="W235">
            <v>0</v>
          </cell>
          <cell r="X235">
            <v>0</v>
          </cell>
          <cell r="Y235">
            <v>17096.774193548386</v>
          </cell>
          <cell r="Z235">
            <v>3370516.1290322691</v>
          </cell>
          <cell r="AA235">
            <v>5290.322580645161</v>
          </cell>
          <cell r="AB235">
            <v>1197548.3870967734</v>
          </cell>
          <cell r="AC235">
            <v>0</v>
          </cell>
          <cell r="AD235">
            <v>0</v>
          </cell>
          <cell r="AE235">
            <v>159677.4193548387</v>
          </cell>
          <cell r="AF235">
            <v>31001612.903225798</v>
          </cell>
          <cell r="AG235">
            <v>49032.258064516129</v>
          </cell>
          <cell r="AH235">
            <v>10784838.709677419</v>
          </cell>
        </row>
        <row r="236">
          <cell r="B236">
            <v>46230</v>
          </cell>
          <cell r="C236">
            <v>16354.838709677419</v>
          </cell>
          <cell r="D236">
            <v>3412580.6451612958</v>
          </cell>
          <cell r="E236">
            <v>6032.2580645161288</v>
          </cell>
          <cell r="F236">
            <v>1177870.9677419353</v>
          </cell>
          <cell r="G236">
            <v>22387.096774193546</v>
          </cell>
          <cell r="H236">
            <v>4590451.6129032327</v>
          </cell>
          <cell r="I236">
            <v>17741.935483870966</v>
          </cell>
          <cell r="J236">
            <v>3929032.2580645229</v>
          </cell>
          <cell r="K236">
            <v>4838.7096774193551</v>
          </cell>
          <cell r="L236">
            <v>1030645.1612903242</v>
          </cell>
          <cell r="M236">
            <v>22580.645161290322</v>
          </cell>
          <cell r="N236">
            <v>4959677.4193548495</v>
          </cell>
          <cell r="O236">
            <v>22580.645161290322</v>
          </cell>
          <cell r="P236">
            <v>4959677.4193548495</v>
          </cell>
          <cell r="Q236">
            <v>208709.67741935485</v>
          </cell>
          <cell r="R236">
            <v>42020576.036866352</v>
          </cell>
          <cell r="S236">
            <v>10.330487775220011</v>
          </cell>
          <cell r="T236">
            <v>3488.571394166162</v>
          </cell>
          <cell r="U236">
            <v>4.4749852278557487</v>
          </cell>
          <cell r="V236">
            <v>1163.9000456047845</v>
          </cell>
          <cell r="W236">
            <v>0</v>
          </cell>
          <cell r="X236">
            <v>0</v>
          </cell>
          <cell r="Y236">
            <v>17096.774193548386</v>
          </cell>
          <cell r="Z236">
            <v>3387612.9032258177</v>
          </cell>
          <cell r="AA236">
            <v>5290.322580645161</v>
          </cell>
          <cell r="AB236">
            <v>1202838.7096774185</v>
          </cell>
          <cell r="AC236">
            <v>0</v>
          </cell>
          <cell r="AD236">
            <v>0</v>
          </cell>
          <cell r="AE236">
            <v>159677.4193548387</v>
          </cell>
          <cell r="AF236">
            <v>31161290.322580636</v>
          </cell>
          <cell r="AG236">
            <v>49032.258064516129</v>
          </cell>
          <cell r="AH236">
            <v>10833870.967741935</v>
          </cell>
        </row>
        <row r="237">
          <cell r="B237">
            <v>46231</v>
          </cell>
          <cell r="C237">
            <v>16354.838709677419</v>
          </cell>
          <cell r="D237">
            <v>3428935.4838709733</v>
          </cell>
          <cell r="E237">
            <v>6032.2580645161288</v>
          </cell>
          <cell r="F237">
            <v>1183903.2258064514</v>
          </cell>
          <cell r="G237">
            <v>22387.096774193546</v>
          </cell>
          <cell r="H237">
            <v>4612838.7096774261</v>
          </cell>
          <cell r="I237">
            <v>17741.935483870966</v>
          </cell>
          <cell r="J237">
            <v>3946774.1935483939</v>
          </cell>
          <cell r="K237">
            <v>4838.7096774193551</v>
          </cell>
          <cell r="L237">
            <v>1035483.8709677436</v>
          </cell>
          <cell r="M237">
            <v>22580.645161290322</v>
          </cell>
          <cell r="N237">
            <v>4982258.0645161401</v>
          </cell>
          <cell r="O237">
            <v>22580.645161290322</v>
          </cell>
          <cell r="P237">
            <v>4982258.0645161401</v>
          </cell>
          <cell r="Q237">
            <v>208709.67741935485</v>
          </cell>
          <cell r="R237">
            <v>42229285.714285709</v>
          </cell>
          <cell r="S237">
            <v>10.330487775220011</v>
          </cell>
          <cell r="T237">
            <v>3498.9018819413818</v>
          </cell>
          <cell r="U237">
            <v>4.4749852278557487</v>
          </cell>
          <cell r="V237">
            <v>1168.3750308326403</v>
          </cell>
          <cell r="W237">
            <v>0</v>
          </cell>
          <cell r="X237">
            <v>0</v>
          </cell>
          <cell r="Y237">
            <v>17096.774193548386</v>
          </cell>
          <cell r="Z237">
            <v>3404709.6774193663</v>
          </cell>
          <cell r="AA237">
            <v>5290.322580645161</v>
          </cell>
          <cell r="AB237">
            <v>1208129.0322580636</v>
          </cell>
          <cell r="AC237">
            <v>0</v>
          </cell>
          <cell r="AD237">
            <v>0</v>
          </cell>
          <cell r="AE237">
            <v>159677.4193548387</v>
          </cell>
          <cell r="AF237">
            <v>31320967.741935473</v>
          </cell>
          <cell r="AG237">
            <v>49032.258064516129</v>
          </cell>
          <cell r="AH237">
            <v>10882903.22580645</v>
          </cell>
        </row>
        <row r="238">
          <cell r="B238">
            <v>46232</v>
          </cell>
          <cell r="C238">
            <v>16354.838709677419</v>
          </cell>
          <cell r="D238">
            <v>3445290.3225806509</v>
          </cell>
          <cell r="E238">
            <v>6032.2580645161288</v>
          </cell>
          <cell r="F238">
            <v>1189935.4838709675</v>
          </cell>
          <cell r="G238">
            <v>22387.096774193546</v>
          </cell>
          <cell r="H238">
            <v>4635225.8064516196</v>
          </cell>
          <cell r="I238">
            <v>17741.935483870966</v>
          </cell>
          <cell r="J238">
            <v>3964516.1290322649</v>
          </cell>
          <cell r="K238">
            <v>4838.7096774193551</v>
          </cell>
          <cell r="L238">
            <v>1040322.580645163</v>
          </cell>
          <cell r="M238">
            <v>22580.645161290322</v>
          </cell>
          <cell r="N238">
            <v>5004838.7096774308</v>
          </cell>
          <cell r="O238">
            <v>22580.645161290322</v>
          </cell>
          <cell r="P238">
            <v>5004838.7096774308</v>
          </cell>
          <cell r="Q238">
            <v>208709.67741935485</v>
          </cell>
          <cell r="R238">
            <v>42437995.391705066</v>
          </cell>
          <cell r="S238">
            <v>10.330487775220011</v>
          </cell>
          <cell r="T238">
            <v>3509.2323697166016</v>
          </cell>
          <cell r="U238">
            <v>4.4749852278557487</v>
          </cell>
          <cell r="V238">
            <v>1172.850016060496</v>
          </cell>
          <cell r="W238">
            <v>0</v>
          </cell>
          <cell r="X238">
            <v>0</v>
          </cell>
          <cell r="Y238">
            <v>17096.774193548386</v>
          </cell>
          <cell r="Z238">
            <v>3421806.4516129149</v>
          </cell>
          <cell r="AA238">
            <v>5290.322580645161</v>
          </cell>
          <cell r="AB238">
            <v>1213419.3548387086</v>
          </cell>
          <cell r="AC238">
            <v>0</v>
          </cell>
          <cell r="AD238">
            <v>0</v>
          </cell>
          <cell r="AE238">
            <v>159677.4193548387</v>
          </cell>
          <cell r="AF238">
            <v>31480645.16129031</v>
          </cell>
          <cell r="AG238">
            <v>49032.258064516129</v>
          </cell>
          <cell r="AH238">
            <v>10931935.483870966</v>
          </cell>
        </row>
        <row r="239">
          <cell r="B239">
            <v>46233</v>
          </cell>
          <cell r="C239">
            <v>16354.838709677419</v>
          </cell>
          <cell r="D239">
            <v>3461645.1612903285</v>
          </cell>
          <cell r="E239">
            <v>6032.2580645161288</v>
          </cell>
          <cell r="F239">
            <v>1195967.7419354836</v>
          </cell>
          <cell r="G239">
            <v>22387.096774193546</v>
          </cell>
          <cell r="H239">
            <v>4657612.9032258131</v>
          </cell>
          <cell r="I239">
            <v>17741.935483870966</v>
          </cell>
          <cell r="J239">
            <v>3982258.064516136</v>
          </cell>
          <cell r="K239">
            <v>4838.7096774193551</v>
          </cell>
          <cell r="L239">
            <v>1045161.2903225824</v>
          </cell>
          <cell r="M239">
            <v>22580.645161290322</v>
          </cell>
          <cell r="N239">
            <v>5027419.3548387215</v>
          </cell>
          <cell r="O239">
            <v>22580.645161290322</v>
          </cell>
          <cell r="P239">
            <v>5027419.3548387215</v>
          </cell>
          <cell r="Q239">
            <v>208709.67741935485</v>
          </cell>
          <cell r="R239">
            <v>42646705.069124423</v>
          </cell>
          <cell r="S239">
            <v>10.330487775220011</v>
          </cell>
          <cell r="T239">
            <v>3519.5628574918214</v>
          </cell>
          <cell r="U239">
            <v>4.4749852278557487</v>
          </cell>
          <cell r="V239">
            <v>1177.3250012883518</v>
          </cell>
          <cell r="W239">
            <v>0</v>
          </cell>
          <cell r="X239">
            <v>0</v>
          </cell>
          <cell r="Y239">
            <v>17096.774193548386</v>
          </cell>
          <cell r="Z239">
            <v>3438903.2258064635</v>
          </cell>
          <cell r="AA239">
            <v>5290.322580645161</v>
          </cell>
          <cell r="AB239">
            <v>1218709.6774193537</v>
          </cell>
          <cell r="AC239">
            <v>0</v>
          </cell>
          <cell r="AD239">
            <v>0</v>
          </cell>
          <cell r="AE239">
            <v>159677.4193548387</v>
          </cell>
          <cell r="AF239">
            <v>31640322.580645148</v>
          </cell>
          <cell r="AG239">
            <v>49032.258064516129</v>
          </cell>
          <cell r="AH239">
            <v>10980967.741935482</v>
          </cell>
        </row>
        <row r="240">
          <cell r="B240">
            <v>46234</v>
          </cell>
          <cell r="C240">
            <v>16354.838709677419</v>
          </cell>
          <cell r="D240">
            <v>3478000.0000000061</v>
          </cell>
          <cell r="E240">
            <v>6032.2580645161288</v>
          </cell>
          <cell r="F240">
            <v>1201999.9999999998</v>
          </cell>
          <cell r="G240">
            <v>22387.096774193546</v>
          </cell>
          <cell r="H240">
            <v>4680000.0000000065</v>
          </cell>
          <cell r="I240">
            <v>17741.935483870966</v>
          </cell>
          <cell r="J240">
            <v>4000000.000000007</v>
          </cell>
          <cell r="K240">
            <v>4838.7096774193551</v>
          </cell>
          <cell r="L240">
            <v>1050000.0000000016</v>
          </cell>
          <cell r="M240">
            <v>22580.645161290322</v>
          </cell>
          <cell r="N240">
            <v>5050000.0000000121</v>
          </cell>
          <cell r="O240">
            <v>22580.645161290322</v>
          </cell>
          <cell r="P240">
            <v>5050000.0000000121</v>
          </cell>
          <cell r="Q240">
            <v>208709.67741935485</v>
          </cell>
          <cell r="R240">
            <v>42855414.74654378</v>
          </cell>
          <cell r="S240">
            <v>10.330487775220011</v>
          </cell>
          <cell r="T240">
            <v>3529.8933452670412</v>
          </cell>
          <cell r="U240">
            <v>4.4749852278557487</v>
          </cell>
          <cell r="V240">
            <v>1181.7999865162076</v>
          </cell>
          <cell r="W240">
            <v>0</v>
          </cell>
          <cell r="X240">
            <v>0</v>
          </cell>
          <cell r="Y240">
            <v>17096.774193548386</v>
          </cell>
          <cell r="Z240">
            <v>3456000.0000000121</v>
          </cell>
          <cell r="AA240">
            <v>5290.322580645161</v>
          </cell>
          <cell r="AB240">
            <v>1223999.9999999988</v>
          </cell>
          <cell r="AC240">
            <v>0</v>
          </cell>
          <cell r="AD240">
            <v>0</v>
          </cell>
          <cell r="AE240">
            <v>159677.4193548387</v>
          </cell>
          <cell r="AF240">
            <v>31799999.999999985</v>
          </cell>
          <cell r="AG240">
            <v>49032.258064516129</v>
          </cell>
          <cell r="AH240">
            <v>11029999.999999998</v>
          </cell>
        </row>
        <row r="241">
          <cell r="B241">
            <v>46235</v>
          </cell>
          <cell r="C241">
            <v>16580.645161290322</v>
          </cell>
          <cell r="D241">
            <v>3494580.6451612962</v>
          </cell>
          <cell r="E241">
            <v>5483.8709677419356</v>
          </cell>
          <cell r="F241">
            <v>1207483.8709677416</v>
          </cell>
          <cell r="G241">
            <v>22064.516129032258</v>
          </cell>
          <cell r="H241">
            <v>4702064.5161290392</v>
          </cell>
          <cell r="I241">
            <v>17741.935483870966</v>
          </cell>
          <cell r="J241">
            <v>4017741.935483878</v>
          </cell>
          <cell r="K241">
            <v>4838.7096774193551</v>
          </cell>
          <cell r="L241">
            <v>1054838.709677421</v>
          </cell>
          <cell r="M241">
            <v>22580.645161290322</v>
          </cell>
          <cell r="N241">
            <v>5072580.6451613028</v>
          </cell>
          <cell r="O241">
            <v>22580.645161290322</v>
          </cell>
          <cell r="P241">
            <v>5072580.6451613028</v>
          </cell>
          <cell r="Q241">
            <v>210322.5806451613</v>
          </cell>
          <cell r="R241">
            <v>43065737.327188939</v>
          </cell>
          <cell r="S241">
            <v>7.0377271100580856</v>
          </cell>
          <cell r="T241">
            <v>3536.9310723770996</v>
          </cell>
          <cell r="U241">
            <v>3.4977442866706272</v>
          </cell>
          <cell r="V241">
            <v>1185.2977308028783</v>
          </cell>
          <cell r="W241">
            <v>0</v>
          </cell>
          <cell r="X241">
            <v>0</v>
          </cell>
          <cell r="Y241">
            <v>16741.935483870966</v>
          </cell>
          <cell r="Z241">
            <v>3472741.9354838831</v>
          </cell>
          <cell r="AA241">
            <v>5322.5806451612907</v>
          </cell>
          <cell r="AB241">
            <v>1229322.5806451601</v>
          </cell>
          <cell r="AC241">
            <v>0</v>
          </cell>
          <cell r="AD241">
            <v>0</v>
          </cell>
          <cell r="AE241">
            <v>159677.4193548387</v>
          </cell>
          <cell r="AF241">
            <v>31959677.419354822</v>
          </cell>
          <cell r="AG241">
            <v>50645.161290322583</v>
          </cell>
          <cell r="AH241">
            <v>11080645.161290321</v>
          </cell>
        </row>
        <row r="242">
          <cell r="B242">
            <v>46236</v>
          </cell>
          <cell r="C242">
            <v>16580.645161290322</v>
          </cell>
          <cell r="D242">
            <v>3511161.2903225864</v>
          </cell>
          <cell r="E242">
            <v>5483.8709677419356</v>
          </cell>
          <cell r="F242">
            <v>1212967.7419354834</v>
          </cell>
          <cell r="G242">
            <v>22064.516129032258</v>
          </cell>
          <cell r="H242">
            <v>4724129.0322580719</v>
          </cell>
          <cell r="I242">
            <v>17741.935483870966</v>
          </cell>
          <cell r="J242">
            <v>4035483.870967749</v>
          </cell>
          <cell r="K242">
            <v>4838.7096774193551</v>
          </cell>
          <cell r="L242">
            <v>1059677.4193548404</v>
          </cell>
          <cell r="M242">
            <v>22580.645161290322</v>
          </cell>
          <cell r="N242">
            <v>5095161.2903225934</v>
          </cell>
          <cell r="O242">
            <v>22580.645161290322</v>
          </cell>
          <cell r="P242">
            <v>5095161.2903225934</v>
          </cell>
          <cell r="Q242">
            <v>210322.5806451613</v>
          </cell>
          <cell r="R242">
            <v>43276059.907834098</v>
          </cell>
          <cell r="S242">
            <v>7.0377271100580856</v>
          </cell>
          <cell r="T242">
            <v>3543.9687994871574</v>
          </cell>
          <cell r="U242">
            <v>3.4977442866706272</v>
          </cell>
          <cell r="V242">
            <v>1188.795475089549</v>
          </cell>
          <cell r="W242">
            <v>0</v>
          </cell>
          <cell r="X242">
            <v>0</v>
          </cell>
          <cell r="Y242">
            <v>16741.935483870966</v>
          </cell>
          <cell r="Z242">
            <v>3489483.8709677542</v>
          </cell>
          <cell r="AA242">
            <v>5322.5806451612907</v>
          </cell>
          <cell r="AB242">
            <v>1234645.1612903213</v>
          </cell>
          <cell r="AC242">
            <v>0</v>
          </cell>
          <cell r="AD242">
            <v>0</v>
          </cell>
          <cell r="AE242">
            <v>159677.4193548387</v>
          </cell>
          <cell r="AF242">
            <v>32119354.83870966</v>
          </cell>
          <cell r="AG242">
            <v>50645.161290322583</v>
          </cell>
          <cell r="AH242">
            <v>11131290.322580645</v>
          </cell>
        </row>
        <row r="243">
          <cell r="B243">
            <v>46237</v>
          </cell>
          <cell r="C243">
            <v>16580.645161290322</v>
          </cell>
          <cell r="D243">
            <v>3527741.9354838766</v>
          </cell>
          <cell r="E243">
            <v>5483.8709677419356</v>
          </cell>
          <cell r="F243">
            <v>1218451.6129032252</v>
          </cell>
          <cell r="G243">
            <v>22064.516129032258</v>
          </cell>
          <cell r="H243">
            <v>4746193.5483871046</v>
          </cell>
          <cell r="I243">
            <v>17741.935483870966</v>
          </cell>
          <cell r="J243">
            <v>4053225.8064516201</v>
          </cell>
          <cell r="K243">
            <v>4838.7096774193551</v>
          </cell>
          <cell r="L243">
            <v>1064516.1290322598</v>
          </cell>
          <cell r="M243">
            <v>22580.645161290322</v>
          </cell>
          <cell r="N243">
            <v>5117741.9354838841</v>
          </cell>
          <cell r="O243">
            <v>22580.645161290322</v>
          </cell>
          <cell r="P243">
            <v>5117741.9354838841</v>
          </cell>
          <cell r="Q243">
            <v>210322.5806451613</v>
          </cell>
          <cell r="R243">
            <v>43486382.488479257</v>
          </cell>
          <cell r="S243">
            <v>7.0377271100580856</v>
          </cell>
          <cell r="T243">
            <v>3551.0065265972153</v>
          </cell>
          <cell r="U243">
            <v>3.4977442866706272</v>
          </cell>
          <cell r="V243">
            <v>1192.2932193762197</v>
          </cell>
          <cell r="W243">
            <v>0</v>
          </cell>
          <cell r="X243">
            <v>0</v>
          </cell>
          <cell r="Y243">
            <v>16741.935483870966</v>
          </cell>
          <cell r="Z243">
            <v>3506225.8064516252</v>
          </cell>
          <cell r="AA243">
            <v>5322.5806451612907</v>
          </cell>
          <cell r="AB243">
            <v>1239967.7419354825</v>
          </cell>
          <cell r="AC243">
            <v>0</v>
          </cell>
          <cell r="AD243">
            <v>0</v>
          </cell>
          <cell r="AE243">
            <v>159677.4193548387</v>
          </cell>
          <cell r="AF243">
            <v>32279032.258064497</v>
          </cell>
          <cell r="AG243">
            <v>50645.161290322583</v>
          </cell>
          <cell r="AH243">
            <v>11181935.483870968</v>
          </cell>
        </row>
        <row r="244">
          <cell r="B244">
            <v>46238</v>
          </cell>
          <cell r="C244">
            <v>16580.645161290322</v>
          </cell>
          <cell r="D244">
            <v>3544322.5806451668</v>
          </cell>
          <cell r="E244">
            <v>5483.8709677419356</v>
          </cell>
          <cell r="F244">
            <v>1223935.4838709671</v>
          </cell>
          <cell r="G244">
            <v>22064.516129032258</v>
          </cell>
          <cell r="H244">
            <v>4768258.0645161374</v>
          </cell>
          <cell r="I244">
            <v>17741.935483870966</v>
          </cell>
          <cell r="J244">
            <v>4070967.7419354911</v>
          </cell>
          <cell r="K244">
            <v>4838.7096774193551</v>
          </cell>
          <cell r="L244">
            <v>1069354.8387096792</v>
          </cell>
          <cell r="M244">
            <v>22580.645161290322</v>
          </cell>
          <cell r="N244">
            <v>5140322.5806451747</v>
          </cell>
          <cell r="O244">
            <v>22580.645161290322</v>
          </cell>
          <cell r="P244">
            <v>5140322.5806451747</v>
          </cell>
          <cell r="Q244">
            <v>210322.5806451613</v>
          </cell>
          <cell r="R244">
            <v>43696705.069124416</v>
          </cell>
          <cell r="S244">
            <v>7.0377271100580856</v>
          </cell>
          <cell r="T244">
            <v>3558.0442537072731</v>
          </cell>
          <cell r="U244">
            <v>3.4977442866706272</v>
          </cell>
          <cell r="V244">
            <v>1195.7909636628904</v>
          </cell>
          <cell r="W244">
            <v>0</v>
          </cell>
          <cell r="X244">
            <v>0</v>
          </cell>
          <cell r="Y244">
            <v>16741.935483870966</v>
          </cell>
          <cell r="Z244">
            <v>3522967.7419354962</v>
          </cell>
          <cell r="AA244">
            <v>5322.5806451612907</v>
          </cell>
          <cell r="AB244">
            <v>1245290.3225806437</v>
          </cell>
          <cell r="AC244">
            <v>0</v>
          </cell>
          <cell r="AD244">
            <v>0</v>
          </cell>
          <cell r="AE244">
            <v>159677.4193548387</v>
          </cell>
          <cell r="AF244">
            <v>32438709.677419335</v>
          </cell>
          <cell r="AG244">
            <v>50645.161290322583</v>
          </cell>
          <cell r="AH244">
            <v>11232580.645161292</v>
          </cell>
        </row>
        <row r="245">
          <cell r="B245">
            <v>46239</v>
          </cell>
          <cell r="C245">
            <v>16580.645161290322</v>
          </cell>
          <cell r="D245">
            <v>3560903.225806457</v>
          </cell>
          <cell r="E245">
            <v>5483.8709677419356</v>
          </cell>
          <cell r="F245">
            <v>1229419.3548387089</v>
          </cell>
          <cell r="G245">
            <v>22064.516129032258</v>
          </cell>
          <cell r="H245">
            <v>4790322.5806451701</v>
          </cell>
          <cell r="I245">
            <v>17741.935483870966</v>
          </cell>
          <cell r="J245">
            <v>4088709.6774193621</v>
          </cell>
          <cell r="K245">
            <v>4838.7096774193551</v>
          </cell>
          <cell r="L245">
            <v>1074193.5483870986</v>
          </cell>
          <cell r="M245">
            <v>22580.645161290322</v>
          </cell>
          <cell r="N245">
            <v>5162903.2258064654</v>
          </cell>
          <cell r="O245">
            <v>22580.645161290322</v>
          </cell>
          <cell r="P245">
            <v>5162903.2258064654</v>
          </cell>
          <cell r="Q245">
            <v>210322.5806451613</v>
          </cell>
          <cell r="R245">
            <v>43907027.649769574</v>
          </cell>
          <cell r="S245">
            <v>7.0377271100580856</v>
          </cell>
          <cell r="T245">
            <v>3565.081980817331</v>
          </cell>
          <cell r="U245">
            <v>3.4977442866706272</v>
          </cell>
          <cell r="V245">
            <v>1199.2887079495611</v>
          </cell>
          <cell r="W245">
            <v>0</v>
          </cell>
          <cell r="X245">
            <v>0</v>
          </cell>
          <cell r="Y245">
            <v>16741.935483870966</v>
          </cell>
          <cell r="Z245">
            <v>3539709.6774193672</v>
          </cell>
          <cell r="AA245">
            <v>5322.5806451612907</v>
          </cell>
          <cell r="AB245">
            <v>1250612.9032258049</v>
          </cell>
          <cell r="AC245">
            <v>0</v>
          </cell>
          <cell r="AD245">
            <v>0</v>
          </cell>
          <cell r="AE245">
            <v>159677.4193548387</v>
          </cell>
          <cell r="AF245">
            <v>32598387.096774172</v>
          </cell>
          <cell r="AG245">
            <v>50645.161290322583</v>
          </cell>
          <cell r="AH245">
            <v>11283225.806451615</v>
          </cell>
        </row>
        <row r="246">
          <cell r="B246">
            <v>46240</v>
          </cell>
          <cell r="C246">
            <v>16580.645161290322</v>
          </cell>
          <cell r="D246">
            <v>3577483.8709677472</v>
          </cell>
          <cell r="E246">
            <v>5483.8709677419356</v>
          </cell>
          <cell r="F246">
            <v>1234903.2258064507</v>
          </cell>
          <cell r="G246">
            <v>22064.516129032258</v>
          </cell>
          <cell r="H246">
            <v>4812387.0967742028</v>
          </cell>
          <cell r="I246">
            <v>17741.935483870966</v>
          </cell>
          <cell r="J246">
            <v>4106451.6129032332</v>
          </cell>
          <cell r="K246">
            <v>4838.7096774193551</v>
          </cell>
          <cell r="L246">
            <v>1079032.258064518</v>
          </cell>
          <cell r="M246">
            <v>22580.645161290322</v>
          </cell>
          <cell r="N246">
            <v>5185483.870967756</v>
          </cell>
          <cell r="O246">
            <v>22580.645161290322</v>
          </cell>
          <cell r="P246">
            <v>5185483.870967756</v>
          </cell>
          <cell r="Q246">
            <v>210322.5806451613</v>
          </cell>
          <cell r="R246">
            <v>44117350.230414733</v>
          </cell>
          <cell r="S246">
            <v>7.0377271100580856</v>
          </cell>
          <cell r="T246">
            <v>3572.1197079273888</v>
          </cell>
          <cell r="U246">
            <v>3.4977442866706272</v>
          </cell>
          <cell r="V246">
            <v>1202.7864522362318</v>
          </cell>
          <cell r="W246">
            <v>0</v>
          </cell>
          <cell r="X246">
            <v>0</v>
          </cell>
          <cell r="Y246">
            <v>16741.935483870966</v>
          </cell>
          <cell r="Z246">
            <v>3556451.6129032383</v>
          </cell>
          <cell r="AA246">
            <v>5322.5806451612907</v>
          </cell>
          <cell r="AB246">
            <v>1255935.4838709661</v>
          </cell>
          <cell r="AC246">
            <v>0</v>
          </cell>
          <cell r="AD246">
            <v>0</v>
          </cell>
          <cell r="AE246">
            <v>159677.4193548387</v>
          </cell>
          <cell r="AF246">
            <v>32758064.516129009</v>
          </cell>
          <cell r="AG246">
            <v>50645.161290322583</v>
          </cell>
          <cell r="AH246">
            <v>11333870.967741938</v>
          </cell>
        </row>
        <row r="247">
          <cell r="B247">
            <v>46241</v>
          </cell>
          <cell r="C247">
            <v>16580.645161290322</v>
          </cell>
          <cell r="D247">
            <v>3594064.5161290374</v>
          </cell>
          <cell r="E247">
            <v>5483.8709677419356</v>
          </cell>
          <cell r="F247">
            <v>1240387.0967741925</v>
          </cell>
          <cell r="G247">
            <v>22064.516129032258</v>
          </cell>
          <cell r="H247">
            <v>4834451.6129032355</v>
          </cell>
          <cell r="I247">
            <v>17741.935483870966</v>
          </cell>
          <cell r="J247">
            <v>4124193.5483871042</v>
          </cell>
          <cell r="K247">
            <v>4838.7096774193551</v>
          </cell>
          <cell r="L247">
            <v>1083870.9677419374</v>
          </cell>
          <cell r="M247">
            <v>22580.645161290322</v>
          </cell>
          <cell r="N247">
            <v>5208064.5161290467</v>
          </cell>
          <cell r="O247">
            <v>22580.645161290322</v>
          </cell>
          <cell r="P247">
            <v>5208064.5161290467</v>
          </cell>
          <cell r="Q247">
            <v>210322.5806451613</v>
          </cell>
          <cell r="R247">
            <v>44327672.811059892</v>
          </cell>
          <cell r="S247">
            <v>7.0377271100580856</v>
          </cell>
          <cell r="T247">
            <v>3579.1574350374467</v>
          </cell>
          <cell r="U247">
            <v>3.4977442866706272</v>
          </cell>
          <cell r="V247">
            <v>1206.2841965229024</v>
          </cell>
          <cell r="W247">
            <v>0</v>
          </cell>
          <cell r="X247">
            <v>0</v>
          </cell>
          <cell r="Y247">
            <v>16741.935483870966</v>
          </cell>
          <cell r="Z247">
            <v>3573193.5483871093</v>
          </cell>
          <cell r="AA247">
            <v>5322.5806451612907</v>
          </cell>
          <cell r="AB247">
            <v>1261258.0645161273</v>
          </cell>
          <cell r="AC247">
            <v>0</v>
          </cell>
          <cell r="AD247">
            <v>0</v>
          </cell>
          <cell r="AE247">
            <v>159677.4193548387</v>
          </cell>
          <cell r="AF247">
            <v>32917741.935483847</v>
          </cell>
          <cell r="AG247">
            <v>50645.161290322583</v>
          </cell>
          <cell r="AH247">
            <v>11384516.129032262</v>
          </cell>
        </row>
        <row r="248">
          <cell r="B248">
            <v>46242</v>
          </cell>
          <cell r="C248">
            <v>16580.645161290322</v>
          </cell>
          <cell r="D248">
            <v>3610645.1612903276</v>
          </cell>
          <cell r="E248">
            <v>5483.8709677419356</v>
          </cell>
          <cell r="F248">
            <v>1245870.9677419343</v>
          </cell>
          <cell r="G248">
            <v>22064.516129032258</v>
          </cell>
          <cell r="H248">
            <v>4856516.1290322682</v>
          </cell>
          <cell r="I248">
            <v>17741.935483870966</v>
          </cell>
          <cell r="J248">
            <v>4141935.4838709752</v>
          </cell>
          <cell r="K248">
            <v>4838.7096774193551</v>
          </cell>
          <cell r="L248">
            <v>1088709.6774193568</v>
          </cell>
          <cell r="M248">
            <v>22580.645161290322</v>
          </cell>
          <cell r="N248">
            <v>5230645.1612903373</v>
          </cell>
          <cell r="O248">
            <v>22580.645161290322</v>
          </cell>
          <cell r="P248">
            <v>5230645.1612903373</v>
          </cell>
          <cell r="Q248">
            <v>210322.5806451613</v>
          </cell>
          <cell r="R248">
            <v>44537995.391705051</v>
          </cell>
          <cell r="S248">
            <v>7.0377271100580856</v>
          </cell>
          <cell r="T248">
            <v>3586.1951621475046</v>
          </cell>
          <cell r="U248">
            <v>3.4977442866706272</v>
          </cell>
          <cell r="V248">
            <v>1209.7819408095731</v>
          </cell>
          <cell r="W248">
            <v>0</v>
          </cell>
          <cell r="X248">
            <v>0</v>
          </cell>
          <cell r="Y248">
            <v>16741.935483870966</v>
          </cell>
          <cell r="Z248">
            <v>3589935.4838709803</v>
          </cell>
          <cell r="AA248">
            <v>5322.5806451612907</v>
          </cell>
          <cell r="AB248">
            <v>1266580.6451612886</v>
          </cell>
          <cell r="AC248">
            <v>0</v>
          </cell>
          <cell r="AD248">
            <v>0</v>
          </cell>
          <cell r="AE248">
            <v>159677.4193548387</v>
          </cell>
          <cell r="AF248">
            <v>33077419.354838684</v>
          </cell>
          <cell r="AG248">
            <v>50645.161290322583</v>
          </cell>
          <cell r="AH248">
            <v>11435161.290322585</v>
          </cell>
        </row>
        <row r="249">
          <cell r="B249">
            <v>46243</v>
          </cell>
          <cell r="C249">
            <v>16580.645161290322</v>
          </cell>
          <cell r="D249">
            <v>3627225.8064516177</v>
          </cell>
          <cell r="E249">
            <v>5483.8709677419356</v>
          </cell>
          <cell r="F249">
            <v>1251354.8387096762</v>
          </cell>
          <cell r="G249">
            <v>22064.516129032258</v>
          </cell>
          <cell r="H249">
            <v>4878580.6451613009</v>
          </cell>
          <cell r="I249">
            <v>17741.935483870966</v>
          </cell>
          <cell r="J249">
            <v>4159677.4193548462</v>
          </cell>
          <cell r="K249">
            <v>4838.7096774193551</v>
          </cell>
          <cell r="L249">
            <v>1093548.3870967762</v>
          </cell>
          <cell r="M249">
            <v>22580.645161290322</v>
          </cell>
          <cell r="N249">
            <v>5253225.806451628</v>
          </cell>
          <cell r="O249">
            <v>22580.645161290322</v>
          </cell>
          <cell r="P249">
            <v>5253225.806451628</v>
          </cell>
          <cell r="Q249">
            <v>210322.5806451613</v>
          </cell>
          <cell r="R249">
            <v>44748317.97235021</v>
          </cell>
          <cell r="S249">
            <v>7.0377271100580856</v>
          </cell>
          <cell r="T249">
            <v>3593.2328892575624</v>
          </cell>
          <cell r="U249">
            <v>3.4977442866706272</v>
          </cell>
          <cell r="V249">
            <v>1213.2796850962438</v>
          </cell>
          <cell r="W249">
            <v>0</v>
          </cell>
          <cell r="X249">
            <v>0</v>
          </cell>
          <cell r="Y249">
            <v>16741.935483870966</v>
          </cell>
          <cell r="Z249">
            <v>3606677.4193548514</v>
          </cell>
          <cell r="AA249">
            <v>5322.5806451612907</v>
          </cell>
          <cell r="AB249">
            <v>1271903.2258064498</v>
          </cell>
          <cell r="AC249">
            <v>0</v>
          </cell>
          <cell r="AD249">
            <v>0</v>
          </cell>
          <cell r="AE249">
            <v>159677.4193548387</v>
          </cell>
          <cell r="AF249">
            <v>33237096.774193522</v>
          </cell>
          <cell r="AG249">
            <v>50645.161290322583</v>
          </cell>
          <cell r="AH249">
            <v>11485806.451612908</v>
          </cell>
        </row>
        <row r="250">
          <cell r="B250">
            <v>46244</v>
          </cell>
          <cell r="C250">
            <v>16580.645161290322</v>
          </cell>
          <cell r="D250">
            <v>3643806.4516129079</v>
          </cell>
          <cell r="E250">
            <v>5483.8709677419356</v>
          </cell>
          <cell r="F250">
            <v>1256838.709677418</v>
          </cell>
          <cell r="G250">
            <v>22064.516129032258</v>
          </cell>
          <cell r="H250">
            <v>4900645.1612903336</v>
          </cell>
          <cell r="I250">
            <v>17741.935483870966</v>
          </cell>
          <cell r="J250">
            <v>4177419.3548387173</v>
          </cell>
          <cell r="K250">
            <v>4838.7096774193551</v>
          </cell>
          <cell r="L250">
            <v>1098387.0967741956</v>
          </cell>
          <cell r="M250">
            <v>22580.645161290322</v>
          </cell>
          <cell r="N250">
            <v>5275806.4516129186</v>
          </cell>
          <cell r="O250">
            <v>22580.645161290322</v>
          </cell>
          <cell r="P250">
            <v>5275806.4516129186</v>
          </cell>
          <cell r="Q250">
            <v>210322.5806451613</v>
          </cell>
          <cell r="R250">
            <v>44958640.552995369</v>
          </cell>
          <cell r="S250">
            <v>7.0377271100580856</v>
          </cell>
          <cell r="T250">
            <v>3600.2706163676203</v>
          </cell>
          <cell r="U250">
            <v>3.4977442866706272</v>
          </cell>
          <cell r="V250">
            <v>1216.7774293829145</v>
          </cell>
          <cell r="W250">
            <v>0</v>
          </cell>
          <cell r="X250">
            <v>0</v>
          </cell>
          <cell r="Y250">
            <v>16741.935483870966</v>
          </cell>
          <cell r="Z250">
            <v>3623419.3548387224</v>
          </cell>
          <cell r="AA250">
            <v>5322.5806451612907</v>
          </cell>
          <cell r="AB250">
            <v>1277225.806451611</v>
          </cell>
          <cell r="AC250">
            <v>0</v>
          </cell>
          <cell r="AD250">
            <v>0</v>
          </cell>
          <cell r="AE250">
            <v>159677.4193548387</v>
          </cell>
          <cell r="AF250">
            <v>33396774.193548359</v>
          </cell>
          <cell r="AG250">
            <v>50645.161290322583</v>
          </cell>
          <cell r="AH250">
            <v>11536451.612903232</v>
          </cell>
        </row>
        <row r="251">
          <cell r="B251">
            <v>46245</v>
          </cell>
          <cell r="C251">
            <v>16580.645161290322</v>
          </cell>
          <cell r="D251">
            <v>3660387.0967741981</v>
          </cell>
          <cell r="E251">
            <v>5483.8709677419356</v>
          </cell>
          <cell r="F251">
            <v>1262322.5806451598</v>
          </cell>
          <cell r="G251">
            <v>22064.516129032258</v>
          </cell>
          <cell r="H251">
            <v>4922709.6774193663</v>
          </cell>
          <cell r="I251">
            <v>17741.935483870966</v>
          </cell>
          <cell r="J251">
            <v>4195161.2903225878</v>
          </cell>
          <cell r="K251">
            <v>4838.7096774193551</v>
          </cell>
          <cell r="L251">
            <v>1103225.8064516149</v>
          </cell>
          <cell r="M251">
            <v>22580.645161290322</v>
          </cell>
          <cell r="N251">
            <v>5298387.0967742093</v>
          </cell>
          <cell r="O251">
            <v>22580.645161290322</v>
          </cell>
          <cell r="P251">
            <v>5298387.0967742093</v>
          </cell>
          <cell r="Q251">
            <v>210322.5806451613</v>
          </cell>
          <cell r="R251">
            <v>45168963.133640528</v>
          </cell>
          <cell r="S251">
            <v>7.0377271100580856</v>
          </cell>
          <cell r="T251">
            <v>3607.3083434776781</v>
          </cell>
          <cell r="U251">
            <v>3.4977442866706272</v>
          </cell>
          <cell r="V251">
            <v>1220.2751736695852</v>
          </cell>
          <cell r="W251">
            <v>0</v>
          </cell>
          <cell r="X251">
            <v>0</v>
          </cell>
          <cell r="Y251">
            <v>16741.935483870966</v>
          </cell>
          <cell r="Z251">
            <v>3640161.2903225934</v>
          </cell>
          <cell r="AA251">
            <v>5322.5806451612907</v>
          </cell>
          <cell r="AB251">
            <v>1282548.3870967722</v>
          </cell>
          <cell r="AC251">
            <v>0</v>
          </cell>
          <cell r="AD251">
            <v>0</v>
          </cell>
          <cell r="AE251">
            <v>159677.4193548387</v>
          </cell>
          <cell r="AF251">
            <v>33556451.6129032</v>
          </cell>
          <cell r="AG251">
            <v>50645.161290322583</v>
          </cell>
          <cell r="AH251">
            <v>11587096.774193555</v>
          </cell>
        </row>
        <row r="252">
          <cell r="B252">
            <v>46246</v>
          </cell>
          <cell r="C252">
            <v>16580.645161290322</v>
          </cell>
          <cell r="D252">
            <v>3676967.7419354883</v>
          </cell>
          <cell r="E252">
            <v>5483.8709677419356</v>
          </cell>
          <cell r="F252">
            <v>1267806.4516129016</v>
          </cell>
          <cell r="G252">
            <v>22064.516129032258</v>
          </cell>
          <cell r="H252">
            <v>4944774.193548399</v>
          </cell>
          <cell r="I252">
            <v>17741.935483870966</v>
          </cell>
          <cell r="J252">
            <v>4212903.2258064589</v>
          </cell>
          <cell r="K252">
            <v>4838.7096774193551</v>
          </cell>
          <cell r="L252">
            <v>1108064.5161290343</v>
          </cell>
          <cell r="M252">
            <v>22580.645161290322</v>
          </cell>
          <cell r="N252">
            <v>5320967.7419354999</v>
          </cell>
          <cell r="O252">
            <v>22580.645161290322</v>
          </cell>
          <cell r="P252">
            <v>5320967.7419354999</v>
          </cell>
          <cell r="Q252">
            <v>210322.5806451613</v>
          </cell>
          <cell r="R252">
            <v>45379285.714285687</v>
          </cell>
          <cell r="S252">
            <v>7.0377271100580856</v>
          </cell>
          <cell r="T252">
            <v>3614.346070587736</v>
          </cell>
          <cell r="U252">
            <v>3.4977442866706272</v>
          </cell>
          <cell r="V252">
            <v>1223.7729179562559</v>
          </cell>
          <cell r="W252">
            <v>0</v>
          </cell>
          <cell r="X252">
            <v>0</v>
          </cell>
          <cell r="Y252">
            <v>16741.935483870966</v>
          </cell>
          <cell r="Z252">
            <v>3656903.2258064644</v>
          </cell>
          <cell r="AA252">
            <v>5322.5806451612907</v>
          </cell>
          <cell r="AB252">
            <v>1287870.9677419334</v>
          </cell>
          <cell r="AC252">
            <v>0</v>
          </cell>
          <cell r="AD252">
            <v>0</v>
          </cell>
          <cell r="AE252">
            <v>159677.4193548387</v>
          </cell>
          <cell r="AF252">
            <v>33716129.032258041</v>
          </cell>
          <cell r="AG252">
            <v>50645.161290322583</v>
          </cell>
          <cell r="AH252">
            <v>11637741.935483878</v>
          </cell>
        </row>
        <row r="253">
          <cell r="B253">
            <v>46247</v>
          </cell>
          <cell r="C253">
            <v>16580.645161290322</v>
          </cell>
          <cell r="D253">
            <v>3693548.3870967785</v>
          </cell>
          <cell r="E253">
            <v>5483.8709677419356</v>
          </cell>
          <cell r="F253">
            <v>1273290.3225806435</v>
          </cell>
          <cell r="G253">
            <v>22064.516129032258</v>
          </cell>
          <cell r="H253">
            <v>4966838.7096774317</v>
          </cell>
          <cell r="I253">
            <v>17741.935483870966</v>
          </cell>
          <cell r="J253">
            <v>4230645.1612903299</v>
          </cell>
          <cell r="K253">
            <v>4838.7096774193551</v>
          </cell>
          <cell r="L253">
            <v>1112903.2258064537</v>
          </cell>
          <cell r="M253">
            <v>22580.645161290322</v>
          </cell>
          <cell r="N253">
            <v>5343548.3870967906</v>
          </cell>
          <cell r="O253">
            <v>22580.645161290322</v>
          </cell>
          <cell r="P253">
            <v>5343548.3870967906</v>
          </cell>
          <cell r="Q253">
            <v>210322.5806451613</v>
          </cell>
          <cell r="R253">
            <v>45589608.294930845</v>
          </cell>
          <cell r="S253">
            <v>7.0377271100580856</v>
          </cell>
          <cell r="T253">
            <v>3621.3837976977939</v>
          </cell>
          <cell r="U253">
            <v>3.4977442866706272</v>
          </cell>
          <cell r="V253">
            <v>1227.2706622429266</v>
          </cell>
          <cell r="W253">
            <v>0</v>
          </cell>
          <cell r="X253">
            <v>0</v>
          </cell>
          <cell r="Y253">
            <v>16741.935483870966</v>
          </cell>
          <cell r="Z253">
            <v>3673645.1612903355</v>
          </cell>
          <cell r="AA253">
            <v>5322.5806451612907</v>
          </cell>
          <cell r="AB253">
            <v>1293193.5483870946</v>
          </cell>
          <cell r="AC253">
            <v>0</v>
          </cell>
          <cell r="AD253">
            <v>0</v>
          </cell>
          <cell r="AE253">
            <v>159677.4193548387</v>
          </cell>
          <cell r="AF253">
            <v>33875806.451612882</v>
          </cell>
          <cell r="AG253">
            <v>50645.161290322583</v>
          </cell>
          <cell r="AH253">
            <v>11688387.096774202</v>
          </cell>
        </row>
        <row r="254">
          <cell r="B254">
            <v>46248</v>
          </cell>
          <cell r="C254">
            <v>16580.645161290322</v>
          </cell>
          <cell r="D254">
            <v>3710129.0322580687</v>
          </cell>
          <cell r="E254">
            <v>5483.8709677419356</v>
          </cell>
          <cell r="F254">
            <v>1278774.1935483853</v>
          </cell>
          <cell r="G254">
            <v>22064.516129032258</v>
          </cell>
          <cell r="H254">
            <v>4988903.2258064644</v>
          </cell>
          <cell r="I254">
            <v>17741.935483870966</v>
          </cell>
          <cell r="J254">
            <v>4248387.0967742009</v>
          </cell>
          <cell r="K254">
            <v>4838.7096774193551</v>
          </cell>
          <cell r="L254">
            <v>1117741.9354838731</v>
          </cell>
          <cell r="M254">
            <v>22580.645161290322</v>
          </cell>
          <cell r="N254">
            <v>5366129.0322580812</v>
          </cell>
          <cell r="O254">
            <v>22580.645161290322</v>
          </cell>
          <cell r="P254">
            <v>5366129.0322580812</v>
          </cell>
          <cell r="Q254">
            <v>210322.5806451613</v>
          </cell>
          <cell r="R254">
            <v>45799930.875576004</v>
          </cell>
          <cell r="S254">
            <v>7.0377271100580856</v>
          </cell>
          <cell r="T254">
            <v>3628.4215248078517</v>
          </cell>
          <cell r="U254">
            <v>3.4977442866706272</v>
          </cell>
          <cell r="V254">
            <v>1230.7684065295973</v>
          </cell>
          <cell r="W254">
            <v>0</v>
          </cell>
          <cell r="X254">
            <v>0</v>
          </cell>
          <cell r="Y254">
            <v>16741.935483870966</v>
          </cell>
          <cell r="Z254">
            <v>3690387.0967742065</v>
          </cell>
          <cell r="AA254">
            <v>5322.5806451612907</v>
          </cell>
          <cell r="AB254">
            <v>1298516.1290322558</v>
          </cell>
          <cell r="AC254">
            <v>0</v>
          </cell>
          <cell r="AD254">
            <v>0</v>
          </cell>
          <cell r="AE254">
            <v>159677.4193548387</v>
          </cell>
          <cell r="AF254">
            <v>34035483.870967723</v>
          </cell>
          <cell r="AG254">
            <v>50645.161290322583</v>
          </cell>
          <cell r="AH254">
            <v>11739032.258064525</v>
          </cell>
        </row>
        <row r="255">
          <cell r="B255">
            <v>46249</v>
          </cell>
          <cell r="C255">
            <v>16580.645161290322</v>
          </cell>
          <cell r="D255">
            <v>3726709.6774193589</v>
          </cell>
          <cell r="E255">
            <v>5483.8709677419356</v>
          </cell>
          <cell r="F255">
            <v>1284258.0645161271</v>
          </cell>
          <cell r="G255">
            <v>22064.516129032258</v>
          </cell>
          <cell r="H255">
            <v>5010967.7419354971</v>
          </cell>
          <cell r="I255">
            <v>17741.935483870966</v>
          </cell>
          <cell r="J255">
            <v>4266129.0322580719</v>
          </cell>
          <cell r="K255">
            <v>4838.7096774193551</v>
          </cell>
          <cell r="L255">
            <v>1122580.6451612925</v>
          </cell>
          <cell r="M255">
            <v>22580.645161290322</v>
          </cell>
          <cell r="N255">
            <v>5388709.6774193719</v>
          </cell>
          <cell r="O255">
            <v>22580.645161290322</v>
          </cell>
          <cell r="P255">
            <v>5388709.6774193719</v>
          </cell>
          <cell r="Q255">
            <v>210322.5806451613</v>
          </cell>
          <cell r="R255">
            <v>46010253.456221163</v>
          </cell>
          <cell r="S255">
            <v>7.0377271100580856</v>
          </cell>
          <cell r="T255">
            <v>3635.4592519179096</v>
          </cell>
          <cell r="U255">
            <v>3.4977442866706272</v>
          </cell>
          <cell r="V255">
            <v>1234.266150816268</v>
          </cell>
          <cell r="W255">
            <v>0</v>
          </cell>
          <cell r="X255">
            <v>0</v>
          </cell>
          <cell r="Y255">
            <v>16741.935483870966</v>
          </cell>
          <cell r="Z255">
            <v>3707129.0322580775</v>
          </cell>
          <cell r="AA255">
            <v>5322.5806451612907</v>
          </cell>
          <cell r="AB255">
            <v>1303838.7096774171</v>
          </cell>
          <cell r="AC255">
            <v>0</v>
          </cell>
          <cell r="AD255">
            <v>0</v>
          </cell>
          <cell r="AE255">
            <v>159677.4193548387</v>
          </cell>
          <cell r="AF255">
            <v>34195161.290322565</v>
          </cell>
          <cell r="AG255">
            <v>50645.161290322583</v>
          </cell>
          <cell r="AH255">
            <v>11789677.419354849</v>
          </cell>
        </row>
        <row r="256">
          <cell r="B256">
            <v>46250</v>
          </cell>
          <cell r="C256">
            <v>16580.645161290322</v>
          </cell>
          <cell r="D256">
            <v>3743290.3225806491</v>
          </cell>
          <cell r="E256">
            <v>5483.8709677419356</v>
          </cell>
          <cell r="F256">
            <v>1289741.9354838689</v>
          </cell>
          <cell r="G256">
            <v>22064.516129032258</v>
          </cell>
          <cell r="H256">
            <v>5033032.2580645299</v>
          </cell>
          <cell r="I256">
            <v>17741.935483870966</v>
          </cell>
          <cell r="J256">
            <v>4283870.967741943</v>
          </cell>
          <cell r="K256">
            <v>4838.7096774193551</v>
          </cell>
          <cell r="L256">
            <v>1127419.3548387119</v>
          </cell>
          <cell r="M256">
            <v>22580.645161290322</v>
          </cell>
          <cell r="N256">
            <v>5411290.3225806626</v>
          </cell>
          <cell r="O256">
            <v>22580.645161290322</v>
          </cell>
          <cell r="P256">
            <v>5411290.3225806626</v>
          </cell>
          <cell r="Q256">
            <v>210322.5806451613</v>
          </cell>
          <cell r="R256">
            <v>46220576.036866322</v>
          </cell>
          <cell r="S256">
            <v>7.0377271100580856</v>
          </cell>
          <cell r="T256">
            <v>3642.4969790279674</v>
          </cell>
          <cell r="U256">
            <v>3.4977442866706272</v>
          </cell>
          <cell r="V256">
            <v>1237.7638951029387</v>
          </cell>
          <cell r="W256">
            <v>0</v>
          </cell>
          <cell r="X256">
            <v>0</v>
          </cell>
          <cell r="Y256">
            <v>16741.935483870966</v>
          </cell>
          <cell r="Z256">
            <v>3723870.9677419486</v>
          </cell>
          <cell r="AA256">
            <v>5322.5806451612907</v>
          </cell>
          <cell r="AB256">
            <v>1309161.2903225783</v>
          </cell>
          <cell r="AC256">
            <v>0</v>
          </cell>
          <cell r="AD256">
            <v>0</v>
          </cell>
          <cell r="AE256">
            <v>159677.4193548387</v>
          </cell>
          <cell r="AF256">
            <v>34354838.709677406</v>
          </cell>
          <cell r="AG256">
            <v>50645.161290322583</v>
          </cell>
          <cell r="AH256">
            <v>11840322.580645172</v>
          </cell>
        </row>
        <row r="257">
          <cell r="B257">
            <v>46251</v>
          </cell>
          <cell r="C257">
            <v>16580.645161290322</v>
          </cell>
          <cell r="D257">
            <v>3759870.9677419392</v>
          </cell>
          <cell r="E257">
            <v>5483.8709677419356</v>
          </cell>
          <cell r="F257">
            <v>1295225.8064516108</v>
          </cell>
          <cell r="G257">
            <v>22064.516129032258</v>
          </cell>
          <cell r="H257">
            <v>5055096.7741935626</v>
          </cell>
          <cell r="I257">
            <v>17741.935483870966</v>
          </cell>
          <cell r="J257">
            <v>4301612.903225814</v>
          </cell>
          <cell r="K257">
            <v>4838.7096774193551</v>
          </cell>
          <cell r="L257">
            <v>1132258.0645161313</v>
          </cell>
          <cell r="M257">
            <v>22580.645161290322</v>
          </cell>
          <cell r="N257">
            <v>5433870.9677419532</v>
          </cell>
          <cell r="O257">
            <v>22580.645161290322</v>
          </cell>
          <cell r="P257">
            <v>5433870.9677419532</v>
          </cell>
          <cell r="Q257">
            <v>210322.5806451613</v>
          </cell>
          <cell r="R257">
            <v>46430898.617511481</v>
          </cell>
          <cell r="S257">
            <v>7.0377271100580856</v>
          </cell>
          <cell r="T257">
            <v>3649.5347061380253</v>
          </cell>
          <cell r="U257">
            <v>3.4977442866706272</v>
          </cell>
          <cell r="V257">
            <v>1241.2616393896094</v>
          </cell>
          <cell r="W257">
            <v>0</v>
          </cell>
          <cell r="X257">
            <v>0</v>
          </cell>
          <cell r="Y257">
            <v>16741.935483870966</v>
          </cell>
          <cell r="Z257">
            <v>3740612.9032258196</v>
          </cell>
          <cell r="AA257">
            <v>5322.5806451612907</v>
          </cell>
          <cell r="AB257">
            <v>1314483.8709677395</v>
          </cell>
          <cell r="AC257">
            <v>0</v>
          </cell>
          <cell r="AD257">
            <v>0</v>
          </cell>
          <cell r="AE257">
            <v>159677.4193548387</v>
          </cell>
          <cell r="AF257">
            <v>34514516.129032247</v>
          </cell>
          <cell r="AG257">
            <v>50645.161290322583</v>
          </cell>
          <cell r="AH257">
            <v>11890967.741935495</v>
          </cell>
        </row>
        <row r="258">
          <cell r="B258">
            <v>46252</v>
          </cell>
          <cell r="C258">
            <v>16580.645161290322</v>
          </cell>
          <cell r="D258">
            <v>3776451.6129032294</v>
          </cell>
          <cell r="E258">
            <v>5483.8709677419356</v>
          </cell>
          <cell r="F258">
            <v>1300709.6774193526</v>
          </cell>
          <cell r="G258">
            <v>22064.516129032258</v>
          </cell>
          <cell r="H258">
            <v>5077161.2903225953</v>
          </cell>
          <cell r="I258">
            <v>17741.935483870966</v>
          </cell>
          <cell r="J258">
            <v>4319354.838709685</v>
          </cell>
          <cell r="K258">
            <v>4838.7096774193551</v>
          </cell>
          <cell r="L258">
            <v>1137096.7741935507</v>
          </cell>
          <cell r="M258">
            <v>22580.645161290322</v>
          </cell>
          <cell r="N258">
            <v>5456451.6129032439</v>
          </cell>
          <cell r="O258">
            <v>22580.645161290322</v>
          </cell>
          <cell r="P258">
            <v>5456451.6129032439</v>
          </cell>
          <cell r="Q258">
            <v>210322.5806451613</v>
          </cell>
          <cell r="R258">
            <v>46641221.19815664</v>
          </cell>
          <cell r="S258">
            <v>7.0377271100580856</v>
          </cell>
          <cell r="T258">
            <v>3656.5724332480831</v>
          </cell>
          <cell r="U258">
            <v>3.4977442866706272</v>
          </cell>
          <cell r="V258">
            <v>1244.7593836762801</v>
          </cell>
          <cell r="W258">
            <v>0</v>
          </cell>
          <cell r="X258">
            <v>0</v>
          </cell>
          <cell r="Y258">
            <v>16741.935483870966</v>
          </cell>
          <cell r="Z258">
            <v>3757354.8387096906</v>
          </cell>
          <cell r="AA258">
            <v>5322.5806451612907</v>
          </cell>
          <cell r="AB258">
            <v>1319806.4516129007</v>
          </cell>
          <cell r="AC258">
            <v>0</v>
          </cell>
          <cell r="AD258">
            <v>0</v>
          </cell>
          <cell r="AE258">
            <v>159677.4193548387</v>
          </cell>
          <cell r="AF258">
            <v>34674193.548387088</v>
          </cell>
          <cell r="AG258">
            <v>50645.161290322583</v>
          </cell>
          <cell r="AH258">
            <v>11941612.903225819</v>
          </cell>
        </row>
        <row r="259">
          <cell r="B259">
            <v>46253</v>
          </cell>
          <cell r="C259">
            <v>16580.645161290322</v>
          </cell>
          <cell r="D259">
            <v>3793032.2580645196</v>
          </cell>
          <cell r="E259">
            <v>5483.8709677419356</v>
          </cell>
          <cell r="F259">
            <v>1306193.5483870944</v>
          </cell>
          <cell r="G259">
            <v>22064.516129032258</v>
          </cell>
          <cell r="H259">
            <v>5099225.806451628</v>
          </cell>
          <cell r="I259">
            <v>17741.935483870966</v>
          </cell>
          <cell r="J259">
            <v>4337096.774193556</v>
          </cell>
          <cell r="K259">
            <v>4838.7096774193551</v>
          </cell>
          <cell r="L259">
            <v>1141935.4838709701</v>
          </cell>
          <cell r="M259">
            <v>22580.645161290322</v>
          </cell>
          <cell r="N259">
            <v>5479032.2580645345</v>
          </cell>
          <cell r="O259">
            <v>22580.645161290322</v>
          </cell>
          <cell r="P259">
            <v>5479032.2580645345</v>
          </cell>
          <cell r="Q259">
            <v>210322.5806451613</v>
          </cell>
          <cell r="R259">
            <v>46851543.778801799</v>
          </cell>
          <cell r="S259">
            <v>7.0377271100580856</v>
          </cell>
          <cell r="T259">
            <v>3663.610160358141</v>
          </cell>
          <cell r="U259">
            <v>3.4977442866706272</v>
          </cell>
          <cell r="V259">
            <v>1248.2571279629508</v>
          </cell>
          <cell r="W259">
            <v>0</v>
          </cell>
          <cell r="X259">
            <v>0</v>
          </cell>
          <cell r="Y259">
            <v>16741.935483870966</v>
          </cell>
          <cell r="Z259">
            <v>3774096.7741935616</v>
          </cell>
          <cell r="AA259">
            <v>5322.5806451612907</v>
          </cell>
          <cell r="AB259">
            <v>1325129.0322580619</v>
          </cell>
          <cell r="AC259">
            <v>0</v>
          </cell>
          <cell r="AD259">
            <v>0</v>
          </cell>
          <cell r="AE259">
            <v>159677.4193548387</v>
          </cell>
          <cell r="AF259">
            <v>34833870.967741929</v>
          </cell>
          <cell r="AG259">
            <v>50645.161290322583</v>
          </cell>
          <cell r="AH259">
            <v>11992258.064516142</v>
          </cell>
        </row>
        <row r="260">
          <cell r="B260">
            <v>46254</v>
          </cell>
          <cell r="C260">
            <v>16580.645161290322</v>
          </cell>
          <cell r="D260">
            <v>3809612.9032258098</v>
          </cell>
          <cell r="E260">
            <v>5483.8709677419356</v>
          </cell>
          <cell r="F260">
            <v>1311677.4193548362</v>
          </cell>
          <cell r="G260">
            <v>22064.516129032258</v>
          </cell>
          <cell r="H260">
            <v>5121290.3225806607</v>
          </cell>
          <cell r="I260">
            <v>17741.935483870966</v>
          </cell>
          <cell r="J260">
            <v>4354838.7096774271</v>
          </cell>
          <cell r="K260">
            <v>4838.7096774193551</v>
          </cell>
          <cell r="L260">
            <v>1146774.1935483895</v>
          </cell>
          <cell r="M260">
            <v>22580.645161290322</v>
          </cell>
          <cell r="N260">
            <v>5501612.9032258252</v>
          </cell>
          <cell r="O260">
            <v>22580.645161290322</v>
          </cell>
          <cell r="P260">
            <v>5501612.9032258252</v>
          </cell>
          <cell r="Q260">
            <v>210322.5806451613</v>
          </cell>
          <cell r="R260">
            <v>47061866.359446958</v>
          </cell>
          <cell r="S260">
            <v>7.0377271100580856</v>
          </cell>
          <cell r="T260">
            <v>3670.6478874681989</v>
          </cell>
          <cell r="U260">
            <v>3.4977442866706272</v>
          </cell>
          <cell r="V260">
            <v>1251.7548722496215</v>
          </cell>
          <cell r="W260">
            <v>0</v>
          </cell>
          <cell r="X260">
            <v>0</v>
          </cell>
          <cell r="Y260">
            <v>16741.935483870966</v>
          </cell>
          <cell r="Z260">
            <v>3790838.7096774327</v>
          </cell>
          <cell r="AA260">
            <v>5322.5806451612907</v>
          </cell>
          <cell r="AB260">
            <v>1330451.6129032231</v>
          </cell>
          <cell r="AC260">
            <v>0</v>
          </cell>
          <cell r="AD260">
            <v>0</v>
          </cell>
          <cell r="AE260">
            <v>159677.4193548387</v>
          </cell>
          <cell r="AF260">
            <v>34993548.38709677</v>
          </cell>
          <cell r="AG260">
            <v>50645.161290322583</v>
          </cell>
          <cell r="AH260">
            <v>12042903.225806465</v>
          </cell>
        </row>
        <row r="261">
          <cell r="B261">
            <v>46255</v>
          </cell>
          <cell r="C261">
            <v>16580.645161290322</v>
          </cell>
          <cell r="D261">
            <v>3826193.5483871</v>
          </cell>
          <cell r="E261">
            <v>5483.8709677419356</v>
          </cell>
          <cell r="F261">
            <v>1317161.290322578</v>
          </cell>
          <cell r="G261">
            <v>22064.516129032258</v>
          </cell>
          <cell r="H261">
            <v>5143354.8387096934</v>
          </cell>
          <cell r="I261">
            <v>17741.935483870966</v>
          </cell>
          <cell r="J261">
            <v>4372580.6451612981</v>
          </cell>
          <cell r="K261">
            <v>4838.7096774193551</v>
          </cell>
          <cell r="L261">
            <v>1151612.9032258089</v>
          </cell>
          <cell r="M261">
            <v>22580.645161290322</v>
          </cell>
          <cell r="N261">
            <v>5524193.5483871158</v>
          </cell>
          <cell r="O261">
            <v>22580.645161290322</v>
          </cell>
          <cell r="P261">
            <v>5524193.5483871158</v>
          </cell>
          <cell r="Q261">
            <v>210322.5806451613</v>
          </cell>
          <cell r="R261">
            <v>47272188.940092117</v>
          </cell>
          <cell r="S261">
            <v>7.0377271100580856</v>
          </cell>
          <cell r="T261">
            <v>3677.6856145782567</v>
          </cell>
          <cell r="U261">
            <v>3.4977442866706272</v>
          </cell>
          <cell r="V261">
            <v>1255.2526165362922</v>
          </cell>
          <cell r="W261">
            <v>0</v>
          </cell>
          <cell r="X261">
            <v>0</v>
          </cell>
          <cell r="Y261">
            <v>16741.935483870966</v>
          </cell>
          <cell r="Z261">
            <v>3807580.6451613037</v>
          </cell>
          <cell r="AA261">
            <v>5322.5806451612907</v>
          </cell>
          <cell r="AB261">
            <v>1335774.1935483844</v>
          </cell>
          <cell r="AC261">
            <v>0</v>
          </cell>
          <cell r="AD261">
            <v>0</v>
          </cell>
          <cell r="AE261">
            <v>159677.4193548387</v>
          </cell>
          <cell r="AF261">
            <v>35153225.806451611</v>
          </cell>
          <cell r="AG261">
            <v>50645.161290322583</v>
          </cell>
          <cell r="AH261">
            <v>12093548.387096789</v>
          </cell>
        </row>
        <row r="262">
          <cell r="B262">
            <v>46256</v>
          </cell>
          <cell r="C262">
            <v>16580.645161290322</v>
          </cell>
          <cell r="D262">
            <v>3842774.1935483902</v>
          </cell>
          <cell r="E262">
            <v>5483.8709677419356</v>
          </cell>
          <cell r="F262">
            <v>1322645.1612903199</v>
          </cell>
          <cell r="G262">
            <v>22064.516129032258</v>
          </cell>
          <cell r="H262">
            <v>5165419.3548387261</v>
          </cell>
          <cell r="I262">
            <v>17741.935483870966</v>
          </cell>
          <cell r="J262">
            <v>4390322.5806451691</v>
          </cell>
          <cell r="K262">
            <v>4838.7096774193551</v>
          </cell>
          <cell r="L262">
            <v>1156451.6129032283</v>
          </cell>
          <cell r="M262">
            <v>22580.645161290322</v>
          </cell>
          <cell r="N262">
            <v>5546774.1935484065</v>
          </cell>
          <cell r="O262">
            <v>22580.645161290322</v>
          </cell>
          <cell r="P262">
            <v>5546774.1935484065</v>
          </cell>
          <cell r="Q262">
            <v>210322.5806451613</v>
          </cell>
          <cell r="R262">
            <v>47482511.520737275</v>
          </cell>
          <cell r="S262">
            <v>7.0377271100580856</v>
          </cell>
          <cell r="T262">
            <v>3684.7233416883146</v>
          </cell>
          <cell r="U262">
            <v>3.4977442866706272</v>
          </cell>
          <cell r="V262">
            <v>1258.7503608229629</v>
          </cell>
          <cell r="W262">
            <v>0</v>
          </cell>
          <cell r="X262">
            <v>0</v>
          </cell>
          <cell r="Y262">
            <v>16741.935483870966</v>
          </cell>
          <cell r="Z262">
            <v>3824322.5806451747</v>
          </cell>
          <cell r="AA262">
            <v>5322.5806451612907</v>
          </cell>
          <cell r="AB262">
            <v>1341096.7741935456</v>
          </cell>
          <cell r="AC262">
            <v>0</v>
          </cell>
          <cell r="AD262">
            <v>0</v>
          </cell>
          <cell r="AE262">
            <v>159677.4193548387</v>
          </cell>
          <cell r="AF262">
            <v>35312903.225806452</v>
          </cell>
          <cell r="AG262">
            <v>50645.161290322583</v>
          </cell>
          <cell r="AH262">
            <v>12144193.548387112</v>
          </cell>
        </row>
        <row r="263">
          <cell r="B263">
            <v>46257</v>
          </cell>
          <cell r="C263">
            <v>16580.645161290322</v>
          </cell>
          <cell r="D263">
            <v>3859354.8387096804</v>
          </cell>
          <cell r="E263">
            <v>5483.8709677419356</v>
          </cell>
          <cell r="F263">
            <v>1328129.0322580617</v>
          </cell>
          <cell r="G263">
            <v>22064.516129032258</v>
          </cell>
          <cell r="H263">
            <v>5187483.8709677588</v>
          </cell>
          <cell r="I263">
            <v>17741.935483870966</v>
          </cell>
          <cell r="J263">
            <v>4408064.5161290402</v>
          </cell>
          <cell r="K263">
            <v>4838.7096774193551</v>
          </cell>
          <cell r="L263">
            <v>1161290.3225806477</v>
          </cell>
          <cell r="M263">
            <v>22580.645161290322</v>
          </cell>
          <cell r="N263">
            <v>5569354.8387096971</v>
          </cell>
          <cell r="O263">
            <v>22580.645161290322</v>
          </cell>
          <cell r="P263">
            <v>5569354.8387096971</v>
          </cell>
          <cell r="Q263">
            <v>210322.5806451613</v>
          </cell>
          <cell r="R263">
            <v>47692834.101382434</v>
          </cell>
          <cell r="S263">
            <v>7.0377271100580856</v>
          </cell>
          <cell r="T263">
            <v>3691.7610687983724</v>
          </cell>
          <cell r="U263">
            <v>3.4977442866706272</v>
          </cell>
          <cell r="V263">
            <v>1262.2481051096336</v>
          </cell>
          <cell r="W263">
            <v>0</v>
          </cell>
          <cell r="X263">
            <v>0</v>
          </cell>
          <cell r="Y263">
            <v>16741.935483870966</v>
          </cell>
          <cell r="Z263">
            <v>3841064.5161290457</v>
          </cell>
          <cell r="AA263">
            <v>5322.5806451612907</v>
          </cell>
          <cell r="AB263">
            <v>1346419.3548387068</v>
          </cell>
          <cell r="AC263">
            <v>0</v>
          </cell>
          <cell r="AD263">
            <v>0</v>
          </cell>
          <cell r="AE263">
            <v>159677.4193548387</v>
          </cell>
          <cell r="AF263">
            <v>35472580.645161293</v>
          </cell>
          <cell r="AG263">
            <v>50645.161290322583</v>
          </cell>
          <cell r="AH263">
            <v>12194838.709677435</v>
          </cell>
        </row>
        <row r="264">
          <cell r="B264">
            <v>46258</v>
          </cell>
          <cell r="C264">
            <v>16580.645161290322</v>
          </cell>
          <cell r="D264">
            <v>3875935.4838709706</v>
          </cell>
          <cell r="E264">
            <v>5483.8709677419356</v>
          </cell>
          <cell r="F264">
            <v>1333612.9032258035</v>
          </cell>
          <cell r="G264">
            <v>22064.516129032258</v>
          </cell>
          <cell r="H264">
            <v>5209548.3870967915</v>
          </cell>
          <cell r="I264">
            <v>17741.935483870966</v>
          </cell>
          <cell r="J264">
            <v>4425806.4516129112</v>
          </cell>
          <cell r="K264">
            <v>4838.7096774193551</v>
          </cell>
          <cell r="L264">
            <v>1166129.032258067</v>
          </cell>
          <cell r="M264">
            <v>22580.645161290322</v>
          </cell>
          <cell r="N264">
            <v>5591935.4838709878</v>
          </cell>
          <cell r="O264">
            <v>22580.645161290322</v>
          </cell>
          <cell r="P264">
            <v>5591935.4838709878</v>
          </cell>
          <cell r="Q264">
            <v>210322.5806451613</v>
          </cell>
          <cell r="R264">
            <v>47903156.682027593</v>
          </cell>
          <cell r="S264">
            <v>7.0377271100580856</v>
          </cell>
          <cell r="T264">
            <v>3698.7987959084303</v>
          </cell>
          <cell r="U264">
            <v>3.4977442866706272</v>
          </cell>
          <cell r="V264">
            <v>1265.7458493963043</v>
          </cell>
          <cell r="W264">
            <v>0</v>
          </cell>
          <cell r="X264">
            <v>0</v>
          </cell>
          <cell r="Y264">
            <v>16741.935483870966</v>
          </cell>
          <cell r="Z264">
            <v>3857806.4516129168</v>
          </cell>
          <cell r="AA264">
            <v>5322.5806451612907</v>
          </cell>
          <cell r="AB264">
            <v>1351741.935483868</v>
          </cell>
          <cell r="AC264">
            <v>0</v>
          </cell>
          <cell r="AD264">
            <v>0</v>
          </cell>
          <cell r="AE264">
            <v>159677.4193548387</v>
          </cell>
          <cell r="AF264">
            <v>35632258.064516135</v>
          </cell>
          <cell r="AG264">
            <v>50645.161290322583</v>
          </cell>
          <cell r="AH264">
            <v>12245483.870967759</v>
          </cell>
        </row>
        <row r="265">
          <cell r="B265">
            <v>46259</v>
          </cell>
          <cell r="C265">
            <v>16580.645161290322</v>
          </cell>
          <cell r="D265">
            <v>3892516.1290322607</v>
          </cell>
          <cell r="E265">
            <v>5483.8709677419356</v>
          </cell>
          <cell r="F265">
            <v>1339096.7741935453</v>
          </cell>
          <cell r="G265">
            <v>22064.516129032258</v>
          </cell>
          <cell r="H265">
            <v>5231612.9032258242</v>
          </cell>
          <cell r="I265">
            <v>17741.935483870966</v>
          </cell>
          <cell r="J265">
            <v>4443548.3870967822</v>
          </cell>
          <cell r="K265">
            <v>4838.7096774193551</v>
          </cell>
          <cell r="L265">
            <v>1170967.7419354864</v>
          </cell>
          <cell r="M265">
            <v>22580.645161290322</v>
          </cell>
          <cell r="N265">
            <v>5614516.1290322784</v>
          </cell>
          <cell r="O265">
            <v>22580.645161290322</v>
          </cell>
          <cell r="P265">
            <v>5614516.1290322784</v>
          </cell>
          <cell r="Q265">
            <v>210322.5806451613</v>
          </cell>
          <cell r="R265">
            <v>48113479.262672752</v>
          </cell>
          <cell r="S265">
            <v>7.0377271100580856</v>
          </cell>
          <cell r="T265">
            <v>3705.8365230184882</v>
          </cell>
          <cell r="U265">
            <v>3.4977442866706272</v>
          </cell>
          <cell r="V265">
            <v>1269.243593682975</v>
          </cell>
          <cell r="W265">
            <v>0</v>
          </cell>
          <cell r="X265">
            <v>0</v>
          </cell>
          <cell r="Y265">
            <v>16741.935483870966</v>
          </cell>
          <cell r="Z265">
            <v>3874548.3870967878</v>
          </cell>
          <cell r="AA265">
            <v>5322.5806451612907</v>
          </cell>
          <cell r="AB265">
            <v>1357064.5161290292</v>
          </cell>
          <cell r="AC265">
            <v>0</v>
          </cell>
          <cell r="AD265">
            <v>0</v>
          </cell>
          <cell r="AE265">
            <v>159677.4193548387</v>
          </cell>
          <cell r="AF265">
            <v>35791935.483870976</v>
          </cell>
          <cell r="AG265">
            <v>50645.161290322583</v>
          </cell>
          <cell r="AH265">
            <v>12296129.032258082</v>
          </cell>
        </row>
        <row r="266">
          <cell r="B266">
            <v>46260</v>
          </cell>
          <cell r="C266">
            <v>16580.645161290322</v>
          </cell>
          <cell r="D266">
            <v>3909096.7741935509</v>
          </cell>
          <cell r="E266">
            <v>5483.8709677419356</v>
          </cell>
          <cell r="F266">
            <v>1344580.6451612872</v>
          </cell>
          <cell r="G266">
            <v>22064.516129032258</v>
          </cell>
          <cell r="H266">
            <v>5253677.4193548569</v>
          </cell>
          <cell r="I266">
            <v>17741.935483870966</v>
          </cell>
          <cell r="J266">
            <v>4461290.3225806532</v>
          </cell>
          <cell r="K266">
            <v>4838.7096774193551</v>
          </cell>
          <cell r="L266">
            <v>1175806.4516129058</v>
          </cell>
          <cell r="M266">
            <v>22580.645161290322</v>
          </cell>
          <cell r="N266">
            <v>5637096.7741935691</v>
          </cell>
          <cell r="O266">
            <v>22580.645161290322</v>
          </cell>
          <cell r="P266">
            <v>5637096.7741935691</v>
          </cell>
          <cell r="Q266">
            <v>210322.5806451613</v>
          </cell>
          <cell r="R266">
            <v>48323801.843317911</v>
          </cell>
          <cell r="S266">
            <v>7.0377271100580856</v>
          </cell>
          <cell r="T266">
            <v>3712.874250128546</v>
          </cell>
          <cell r="U266">
            <v>3.4977442866706272</v>
          </cell>
          <cell r="V266">
            <v>1272.7413379696457</v>
          </cell>
          <cell r="W266">
            <v>0</v>
          </cell>
          <cell r="X266">
            <v>0</v>
          </cell>
          <cell r="Y266">
            <v>16741.935483870966</v>
          </cell>
          <cell r="Z266">
            <v>3891290.3225806588</v>
          </cell>
          <cell r="AA266">
            <v>5322.5806451612907</v>
          </cell>
          <cell r="AB266">
            <v>1362387.0967741904</v>
          </cell>
          <cell r="AC266">
            <v>0</v>
          </cell>
          <cell r="AD266">
            <v>0</v>
          </cell>
          <cell r="AE266">
            <v>159677.4193548387</v>
          </cell>
          <cell r="AF266">
            <v>35951612.903225817</v>
          </cell>
          <cell r="AG266">
            <v>50645.161290322583</v>
          </cell>
          <cell r="AH266">
            <v>12346774.193548406</v>
          </cell>
        </row>
        <row r="267">
          <cell r="B267">
            <v>46261</v>
          </cell>
          <cell r="C267">
            <v>16580.645161290322</v>
          </cell>
          <cell r="D267">
            <v>3925677.4193548411</v>
          </cell>
          <cell r="E267">
            <v>5483.8709677419356</v>
          </cell>
          <cell r="F267">
            <v>1350064.516129029</v>
          </cell>
          <cell r="G267">
            <v>22064.516129032258</v>
          </cell>
          <cell r="H267">
            <v>5275741.9354838897</v>
          </cell>
          <cell r="I267">
            <v>17741.935483870966</v>
          </cell>
          <cell r="J267">
            <v>4479032.2580645243</v>
          </cell>
          <cell r="K267">
            <v>4838.7096774193551</v>
          </cell>
          <cell r="L267">
            <v>1180645.1612903252</v>
          </cell>
          <cell r="M267">
            <v>22580.645161290322</v>
          </cell>
          <cell r="N267">
            <v>5659677.4193548597</v>
          </cell>
          <cell r="O267">
            <v>22580.645161290322</v>
          </cell>
          <cell r="P267">
            <v>5659677.4193548597</v>
          </cell>
          <cell r="Q267">
            <v>210322.5806451613</v>
          </cell>
          <cell r="R267">
            <v>48534124.42396307</v>
          </cell>
          <cell r="S267">
            <v>7.0377271100580856</v>
          </cell>
          <cell r="T267">
            <v>3719.9119772386039</v>
          </cell>
          <cell r="U267">
            <v>3.4977442866706272</v>
          </cell>
          <cell r="V267">
            <v>1276.2390822563164</v>
          </cell>
          <cell r="W267">
            <v>0</v>
          </cell>
          <cell r="X267">
            <v>0</v>
          </cell>
          <cell r="Y267">
            <v>16741.935483870966</v>
          </cell>
          <cell r="Z267">
            <v>3908032.2580645299</v>
          </cell>
          <cell r="AA267">
            <v>5322.5806451612907</v>
          </cell>
          <cell r="AB267">
            <v>1367709.6774193516</v>
          </cell>
          <cell r="AC267">
            <v>0</v>
          </cell>
          <cell r="AD267">
            <v>0</v>
          </cell>
          <cell r="AE267">
            <v>159677.4193548387</v>
          </cell>
          <cell r="AF267">
            <v>36111290.322580658</v>
          </cell>
          <cell r="AG267">
            <v>50645.161290322583</v>
          </cell>
          <cell r="AH267">
            <v>12397419.354838729</v>
          </cell>
        </row>
        <row r="268">
          <cell r="B268">
            <v>46262</v>
          </cell>
          <cell r="C268">
            <v>16580.645161290322</v>
          </cell>
          <cell r="D268">
            <v>3942258.0645161313</v>
          </cell>
          <cell r="E268">
            <v>5483.8709677419356</v>
          </cell>
          <cell r="F268">
            <v>1355548.3870967708</v>
          </cell>
          <cell r="G268">
            <v>22064.516129032258</v>
          </cell>
          <cell r="H268">
            <v>5297806.4516129224</v>
          </cell>
          <cell r="I268">
            <v>17741.935483870966</v>
          </cell>
          <cell r="J268">
            <v>4496774.1935483953</v>
          </cell>
          <cell r="K268">
            <v>4838.7096774193551</v>
          </cell>
          <cell r="L268">
            <v>1185483.8709677446</v>
          </cell>
          <cell r="M268">
            <v>22580.645161290322</v>
          </cell>
          <cell r="N268">
            <v>5682258.0645161504</v>
          </cell>
          <cell r="O268">
            <v>22580.645161290322</v>
          </cell>
          <cell r="P268">
            <v>5682258.0645161504</v>
          </cell>
          <cell r="Q268">
            <v>210322.5806451613</v>
          </cell>
          <cell r="R268">
            <v>48744447.004608229</v>
          </cell>
          <cell r="S268">
            <v>7.0377271100580856</v>
          </cell>
          <cell r="T268">
            <v>3726.9497043486617</v>
          </cell>
          <cell r="U268">
            <v>3.4977442866706272</v>
          </cell>
          <cell r="V268">
            <v>1279.736826542987</v>
          </cell>
          <cell r="W268">
            <v>0</v>
          </cell>
          <cell r="X268">
            <v>0</v>
          </cell>
          <cell r="Y268">
            <v>16741.935483870966</v>
          </cell>
          <cell r="Z268">
            <v>3924774.1935484009</v>
          </cell>
          <cell r="AA268">
            <v>5322.5806451612907</v>
          </cell>
          <cell r="AB268">
            <v>1373032.2580645129</v>
          </cell>
          <cell r="AC268">
            <v>0</v>
          </cell>
          <cell r="AD268">
            <v>0</v>
          </cell>
          <cell r="AE268">
            <v>159677.4193548387</v>
          </cell>
          <cell r="AF268">
            <v>36270967.741935499</v>
          </cell>
          <cell r="AG268">
            <v>50645.161290322583</v>
          </cell>
          <cell r="AH268">
            <v>12448064.516129052</v>
          </cell>
        </row>
        <row r="269">
          <cell r="B269">
            <v>46263</v>
          </cell>
          <cell r="C269">
            <v>16580.645161290322</v>
          </cell>
          <cell r="D269">
            <v>3958838.7096774215</v>
          </cell>
          <cell r="E269">
            <v>5483.8709677419356</v>
          </cell>
          <cell r="F269">
            <v>1361032.2580645126</v>
          </cell>
          <cell r="G269">
            <v>22064.516129032258</v>
          </cell>
          <cell r="H269">
            <v>5319870.9677419551</v>
          </cell>
          <cell r="I269">
            <v>17741.935483870966</v>
          </cell>
          <cell r="J269">
            <v>4514516.1290322663</v>
          </cell>
          <cell r="K269">
            <v>4838.7096774193551</v>
          </cell>
          <cell r="L269">
            <v>1190322.580645164</v>
          </cell>
          <cell r="M269">
            <v>22580.645161290322</v>
          </cell>
          <cell r="N269">
            <v>5704838.709677441</v>
          </cell>
          <cell r="O269">
            <v>22580.645161290322</v>
          </cell>
          <cell r="P269">
            <v>5704838.709677441</v>
          </cell>
          <cell r="Q269">
            <v>210322.5806451613</v>
          </cell>
          <cell r="R269">
            <v>48954769.585253388</v>
          </cell>
          <cell r="S269">
            <v>7.0377271100580856</v>
          </cell>
          <cell r="T269">
            <v>3733.9874314587196</v>
          </cell>
          <cell r="U269">
            <v>3.4977442866706272</v>
          </cell>
          <cell r="V269">
            <v>1283.2345708296577</v>
          </cell>
          <cell r="W269">
            <v>0</v>
          </cell>
          <cell r="X269">
            <v>0</v>
          </cell>
          <cell r="Y269">
            <v>16741.935483870966</v>
          </cell>
          <cell r="Z269">
            <v>3941516.1290322719</v>
          </cell>
          <cell r="AA269">
            <v>5322.5806451612907</v>
          </cell>
          <cell r="AB269">
            <v>1378354.8387096741</v>
          </cell>
          <cell r="AC269">
            <v>0</v>
          </cell>
          <cell r="AD269">
            <v>0</v>
          </cell>
          <cell r="AE269">
            <v>159677.4193548387</v>
          </cell>
          <cell r="AF269">
            <v>36430645.16129034</v>
          </cell>
          <cell r="AG269">
            <v>50645.161290322583</v>
          </cell>
          <cell r="AH269">
            <v>12498709.677419376</v>
          </cell>
        </row>
        <row r="270">
          <cell r="B270">
            <v>46264</v>
          </cell>
          <cell r="C270">
            <v>16580.645161290322</v>
          </cell>
          <cell r="D270">
            <v>3975419.3548387117</v>
          </cell>
          <cell r="E270">
            <v>5483.8709677419356</v>
          </cell>
          <cell r="F270">
            <v>1366516.1290322545</v>
          </cell>
          <cell r="G270">
            <v>22064.516129032258</v>
          </cell>
          <cell r="H270">
            <v>5341935.4838709878</v>
          </cell>
          <cell r="I270">
            <v>17741.935483870966</v>
          </cell>
          <cell r="J270">
            <v>4532258.0645161374</v>
          </cell>
          <cell r="K270">
            <v>4838.7096774193551</v>
          </cell>
          <cell r="L270">
            <v>1195161.2903225834</v>
          </cell>
          <cell r="M270">
            <v>22580.645161290322</v>
          </cell>
          <cell r="N270">
            <v>5727419.3548387317</v>
          </cell>
          <cell r="O270">
            <v>22580.645161290322</v>
          </cell>
          <cell r="P270">
            <v>5727419.3548387317</v>
          </cell>
          <cell r="Q270">
            <v>210322.5806451613</v>
          </cell>
          <cell r="R270">
            <v>49165092.165898547</v>
          </cell>
          <cell r="S270">
            <v>7.0377271100580856</v>
          </cell>
          <cell r="T270">
            <v>3741.0251585687774</v>
          </cell>
          <cell r="U270">
            <v>3.4977442866706272</v>
          </cell>
          <cell r="V270">
            <v>1286.7323151163284</v>
          </cell>
          <cell r="W270">
            <v>0</v>
          </cell>
          <cell r="X270">
            <v>0</v>
          </cell>
          <cell r="Y270">
            <v>16741.935483870966</v>
          </cell>
          <cell r="Z270">
            <v>3958258.0645161429</v>
          </cell>
          <cell r="AA270">
            <v>5322.5806451612907</v>
          </cell>
          <cell r="AB270">
            <v>1383677.4193548353</v>
          </cell>
          <cell r="AC270">
            <v>0</v>
          </cell>
          <cell r="AD270">
            <v>0</v>
          </cell>
          <cell r="AE270">
            <v>159677.4193548387</v>
          </cell>
          <cell r="AF270">
            <v>36590322.580645181</v>
          </cell>
          <cell r="AG270">
            <v>50645.161290322583</v>
          </cell>
          <cell r="AH270">
            <v>12549354.838709699</v>
          </cell>
        </row>
        <row r="271">
          <cell r="B271">
            <v>46265</v>
          </cell>
          <cell r="C271">
            <v>16580.645161290322</v>
          </cell>
          <cell r="D271">
            <v>3992000.0000000019</v>
          </cell>
          <cell r="E271">
            <v>5483.8709677419356</v>
          </cell>
          <cell r="F271">
            <v>1371999.9999999963</v>
          </cell>
          <cell r="G271">
            <v>22064.516129032258</v>
          </cell>
          <cell r="H271">
            <v>5364000.0000000205</v>
          </cell>
          <cell r="I271">
            <v>17741.935483870966</v>
          </cell>
          <cell r="J271">
            <v>4550000.0000000084</v>
          </cell>
          <cell r="K271">
            <v>4838.7096774193551</v>
          </cell>
          <cell r="L271">
            <v>1200000.0000000028</v>
          </cell>
          <cell r="M271">
            <v>22580.645161290322</v>
          </cell>
          <cell r="N271">
            <v>5750000.0000000224</v>
          </cell>
          <cell r="O271">
            <v>22580.645161290322</v>
          </cell>
          <cell r="P271">
            <v>5750000.0000000224</v>
          </cell>
          <cell r="Q271">
            <v>210322.5806451613</v>
          </cell>
          <cell r="R271">
            <v>49375414.746543705</v>
          </cell>
          <cell r="S271">
            <v>7.0377271100580856</v>
          </cell>
          <cell r="T271">
            <v>3748.0628856788353</v>
          </cell>
          <cell r="U271">
            <v>3.4977442866706272</v>
          </cell>
          <cell r="V271">
            <v>1290.2300594029991</v>
          </cell>
          <cell r="W271">
            <v>0</v>
          </cell>
          <cell r="X271">
            <v>0</v>
          </cell>
          <cell r="Y271">
            <v>16741.935483870966</v>
          </cell>
          <cell r="Z271">
            <v>3975000.000000014</v>
          </cell>
          <cell r="AA271">
            <v>5322.5806451612907</v>
          </cell>
          <cell r="AB271">
            <v>1388999.9999999965</v>
          </cell>
          <cell r="AC271">
            <v>0</v>
          </cell>
          <cell r="AD271">
            <v>0</v>
          </cell>
          <cell r="AE271">
            <v>159677.4193548387</v>
          </cell>
          <cell r="AF271">
            <v>36750000.000000022</v>
          </cell>
          <cell r="AG271">
            <v>50645.161290322583</v>
          </cell>
          <cell r="AH271">
            <v>12600000.000000022</v>
          </cell>
        </row>
        <row r="272">
          <cell r="B272">
            <v>46266</v>
          </cell>
          <cell r="C272">
            <v>17166.666666666668</v>
          </cell>
          <cell r="D272">
            <v>4009166.6666666684</v>
          </cell>
          <cell r="E272">
            <v>5333.333333333333</v>
          </cell>
          <cell r="F272">
            <v>1377333.3333333295</v>
          </cell>
          <cell r="G272">
            <v>22500</v>
          </cell>
          <cell r="H272">
            <v>5386500.0000000205</v>
          </cell>
          <cell r="I272">
            <v>20000</v>
          </cell>
          <cell r="J272">
            <v>4570000.0000000084</v>
          </cell>
          <cell r="K272">
            <v>3333.3333333333335</v>
          </cell>
          <cell r="L272">
            <v>1203333.333333336</v>
          </cell>
          <cell r="M272">
            <v>23333.333333333332</v>
          </cell>
          <cell r="N272">
            <v>5773333.3333333554</v>
          </cell>
          <cell r="O272">
            <v>23333.333333333332</v>
          </cell>
          <cell r="P272">
            <v>5773333.3333333554</v>
          </cell>
          <cell r="Q272">
            <v>214333.33333333334</v>
          </cell>
          <cell r="R272">
            <v>49589748.079877041</v>
          </cell>
          <cell r="S272">
            <v>11.930353934583078</v>
          </cell>
          <cell r="T272">
            <v>3759.9932396134182</v>
          </cell>
          <cell r="U272">
            <v>5.0017253819289316</v>
          </cell>
          <cell r="V272">
            <v>1295.2317847849281</v>
          </cell>
          <cell r="W272">
            <v>0</v>
          </cell>
          <cell r="X272">
            <v>0</v>
          </cell>
          <cell r="Y272">
            <v>17000</v>
          </cell>
          <cell r="Z272">
            <v>3992000.000000014</v>
          </cell>
          <cell r="AA272">
            <v>5500</v>
          </cell>
          <cell r="AB272">
            <v>1394499.9999999965</v>
          </cell>
          <cell r="AC272">
            <v>0</v>
          </cell>
          <cell r="AD272">
            <v>0</v>
          </cell>
          <cell r="AE272">
            <v>164333.33333333334</v>
          </cell>
          <cell r="AF272">
            <v>36914333.333333358</v>
          </cell>
          <cell r="AG272">
            <v>50000</v>
          </cell>
          <cell r="AH272">
            <v>12650000.000000022</v>
          </cell>
        </row>
        <row r="273">
          <cell r="B273">
            <v>46267</v>
          </cell>
          <cell r="C273">
            <v>17166.666666666668</v>
          </cell>
          <cell r="D273">
            <v>4026333.3333333349</v>
          </cell>
          <cell r="E273">
            <v>5333.333333333333</v>
          </cell>
          <cell r="F273">
            <v>1382666.6666666628</v>
          </cell>
          <cell r="G273">
            <v>22500</v>
          </cell>
          <cell r="H273">
            <v>5409000.0000000205</v>
          </cell>
          <cell r="I273">
            <v>20000</v>
          </cell>
          <cell r="J273">
            <v>4590000.0000000084</v>
          </cell>
          <cell r="K273">
            <v>3333.3333333333335</v>
          </cell>
          <cell r="L273">
            <v>1206666.6666666693</v>
          </cell>
          <cell r="M273">
            <v>23333.333333333332</v>
          </cell>
          <cell r="N273">
            <v>5796666.6666666884</v>
          </cell>
          <cell r="O273">
            <v>23333.333333333332</v>
          </cell>
          <cell r="P273">
            <v>5796666.6666666884</v>
          </cell>
          <cell r="Q273">
            <v>214333.33333333334</v>
          </cell>
          <cell r="R273">
            <v>49804081.413210377</v>
          </cell>
          <cell r="S273">
            <v>11.930353934583078</v>
          </cell>
          <cell r="T273">
            <v>3771.923593548001</v>
          </cell>
          <cell r="U273">
            <v>5.0017253819289316</v>
          </cell>
          <cell r="V273">
            <v>1300.2335101668571</v>
          </cell>
          <cell r="W273">
            <v>0</v>
          </cell>
          <cell r="X273">
            <v>0</v>
          </cell>
          <cell r="Y273">
            <v>17000</v>
          </cell>
          <cell r="Z273">
            <v>4009000.000000014</v>
          </cell>
          <cell r="AA273">
            <v>5500</v>
          </cell>
          <cell r="AB273">
            <v>1399999.9999999965</v>
          </cell>
          <cell r="AC273">
            <v>0</v>
          </cell>
          <cell r="AD273">
            <v>0</v>
          </cell>
          <cell r="AE273">
            <v>164333.33333333334</v>
          </cell>
          <cell r="AF273">
            <v>37078666.666666694</v>
          </cell>
          <cell r="AG273">
            <v>50000</v>
          </cell>
          <cell r="AH273">
            <v>12700000.000000022</v>
          </cell>
        </row>
        <row r="274">
          <cell r="B274">
            <v>46268</v>
          </cell>
          <cell r="C274">
            <v>17166.666666666668</v>
          </cell>
          <cell r="D274">
            <v>4043500.0000000014</v>
          </cell>
          <cell r="E274">
            <v>5333.333333333333</v>
          </cell>
          <cell r="F274">
            <v>1387999.999999996</v>
          </cell>
          <cell r="G274">
            <v>22500</v>
          </cell>
          <cell r="H274">
            <v>5431500.0000000205</v>
          </cell>
          <cell r="I274">
            <v>20000</v>
          </cell>
          <cell r="J274">
            <v>4610000.0000000084</v>
          </cell>
          <cell r="K274">
            <v>3333.3333333333335</v>
          </cell>
          <cell r="L274">
            <v>1210000.0000000026</v>
          </cell>
          <cell r="M274">
            <v>23333.333333333332</v>
          </cell>
          <cell r="N274">
            <v>5820000.0000000214</v>
          </cell>
          <cell r="O274">
            <v>23333.333333333332</v>
          </cell>
          <cell r="P274">
            <v>5820000.0000000214</v>
          </cell>
          <cell r="Q274">
            <v>214333.33333333334</v>
          </cell>
          <cell r="R274">
            <v>50018414.746543713</v>
          </cell>
          <cell r="S274">
            <v>11.930353934583078</v>
          </cell>
          <cell r="T274">
            <v>3783.8539474825839</v>
          </cell>
          <cell r="U274">
            <v>5.0017253819289316</v>
          </cell>
          <cell r="V274">
            <v>1305.235235548786</v>
          </cell>
          <cell r="W274">
            <v>0</v>
          </cell>
          <cell r="X274">
            <v>0</v>
          </cell>
          <cell r="Y274">
            <v>17000</v>
          </cell>
          <cell r="Z274">
            <v>4026000.000000014</v>
          </cell>
          <cell r="AA274">
            <v>5500</v>
          </cell>
          <cell r="AB274">
            <v>1405499.9999999965</v>
          </cell>
          <cell r="AC274">
            <v>0</v>
          </cell>
          <cell r="AD274">
            <v>0</v>
          </cell>
          <cell r="AE274">
            <v>164333.33333333334</v>
          </cell>
          <cell r="AF274">
            <v>37243000.00000003</v>
          </cell>
          <cell r="AG274">
            <v>50000</v>
          </cell>
          <cell r="AH274">
            <v>12750000.000000022</v>
          </cell>
        </row>
        <row r="275">
          <cell r="B275">
            <v>46269</v>
          </cell>
          <cell r="C275">
            <v>17166.666666666668</v>
          </cell>
          <cell r="D275">
            <v>4060666.6666666679</v>
          </cell>
          <cell r="E275">
            <v>5333.333333333333</v>
          </cell>
          <cell r="F275">
            <v>1393333.3333333293</v>
          </cell>
          <cell r="G275">
            <v>22500</v>
          </cell>
          <cell r="H275">
            <v>5454000.0000000205</v>
          </cell>
          <cell r="I275">
            <v>20000</v>
          </cell>
          <cell r="J275">
            <v>4630000.0000000084</v>
          </cell>
          <cell r="K275">
            <v>3333.3333333333335</v>
          </cell>
          <cell r="L275">
            <v>1213333.3333333358</v>
          </cell>
          <cell r="M275">
            <v>23333.333333333332</v>
          </cell>
          <cell r="N275">
            <v>5843333.3333333544</v>
          </cell>
          <cell r="O275">
            <v>23333.333333333332</v>
          </cell>
          <cell r="P275">
            <v>5843333.3333333544</v>
          </cell>
          <cell r="Q275">
            <v>214333.33333333334</v>
          </cell>
          <cell r="R275">
            <v>50232748.079877049</v>
          </cell>
          <cell r="S275">
            <v>11.930353934583078</v>
          </cell>
          <cell r="T275">
            <v>3795.7843014171667</v>
          </cell>
          <cell r="U275">
            <v>5.0017253819289316</v>
          </cell>
          <cell r="V275">
            <v>1310.236960930715</v>
          </cell>
          <cell r="W275">
            <v>0</v>
          </cell>
          <cell r="X275">
            <v>0</v>
          </cell>
          <cell r="Y275">
            <v>17000</v>
          </cell>
          <cell r="Z275">
            <v>4043000.000000014</v>
          </cell>
          <cell r="AA275">
            <v>5500</v>
          </cell>
          <cell r="AB275">
            <v>1410999.9999999965</v>
          </cell>
          <cell r="AC275">
            <v>0</v>
          </cell>
          <cell r="AD275">
            <v>0</v>
          </cell>
          <cell r="AE275">
            <v>164333.33333333334</v>
          </cell>
          <cell r="AF275">
            <v>37407333.333333366</v>
          </cell>
          <cell r="AG275">
            <v>50000</v>
          </cell>
          <cell r="AH275">
            <v>12800000.000000022</v>
          </cell>
        </row>
        <row r="276">
          <cell r="B276">
            <v>46270</v>
          </cell>
          <cell r="C276">
            <v>17166.666666666668</v>
          </cell>
          <cell r="D276">
            <v>4077833.3333333344</v>
          </cell>
          <cell r="E276">
            <v>5333.333333333333</v>
          </cell>
          <cell r="F276">
            <v>1398666.6666666626</v>
          </cell>
          <cell r="G276">
            <v>22500</v>
          </cell>
          <cell r="H276">
            <v>5476500.0000000205</v>
          </cell>
          <cell r="I276">
            <v>20000</v>
          </cell>
          <cell r="J276">
            <v>4650000.0000000084</v>
          </cell>
          <cell r="K276">
            <v>3333.3333333333335</v>
          </cell>
          <cell r="L276">
            <v>1216666.6666666691</v>
          </cell>
          <cell r="M276">
            <v>23333.333333333332</v>
          </cell>
          <cell r="N276">
            <v>5866666.6666666875</v>
          </cell>
          <cell r="O276">
            <v>23333.333333333332</v>
          </cell>
          <cell r="P276">
            <v>5866666.6666666875</v>
          </cell>
          <cell r="Q276">
            <v>214333.33333333334</v>
          </cell>
          <cell r="R276">
            <v>50447081.413210385</v>
          </cell>
          <cell r="S276">
            <v>11.930353934583078</v>
          </cell>
          <cell r="T276">
            <v>3807.7146553517496</v>
          </cell>
          <cell r="U276">
            <v>5.0017253819289316</v>
          </cell>
          <cell r="V276">
            <v>1315.2386863126439</v>
          </cell>
          <cell r="W276">
            <v>0</v>
          </cell>
          <cell r="X276">
            <v>0</v>
          </cell>
          <cell r="Y276">
            <v>17000</v>
          </cell>
          <cell r="Z276">
            <v>4060000.000000014</v>
          </cell>
          <cell r="AA276">
            <v>5500</v>
          </cell>
          <cell r="AB276">
            <v>1416499.9999999965</v>
          </cell>
          <cell r="AC276">
            <v>0</v>
          </cell>
          <cell r="AD276">
            <v>0</v>
          </cell>
          <cell r="AE276">
            <v>164333.33333333334</v>
          </cell>
          <cell r="AF276">
            <v>37571666.666666701</v>
          </cell>
          <cell r="AG276">
            <v>50000</v>
          </cell>
          <cell r="AH276">
            <v>12850000.000000022</v>
          </cell>
        </row>
        <row r="277">
          <cell r="B277">
            <v>46271</v>
          </cell>
          <cell r="C277">
            <v>17166.666666666668</v>
          </cell>
          <cell r="D277">
            <v>4095000.0000000009</v>
          </cell>
          <cell r="E277">
            <v>5333.333333333333</v>
          </cell>
          <cell r="F277">
            <v>1403999.9999999958</v>
          </cell>
          <cell r="G277">
            <v>22500</v>
          </cell>
          <cell r="H277">
            <v>5499000.0000000205</v>
          </cell>
          <cell r="I277">
            <v>20000</v>
          </cell>
          <cell r="J277">
            <v>4670000.0000000084</v>
          </cell>
          <cell r="K277">
            <v>3333.3333333333335</v>
          </cell>
          <cell r="L277">
            <v>1220000.0000000023</v>
          </cell>
          <cell r="M277">
            <v>23333.333333333332</v>
          </cell>
          <cell r="N277">
            <v>5890000.0000000205</v>
          </cell>
          <cell r="O277">
            <v>23333.333333333332</v>
          </cell>
          <cell r="P277">
            <v>5890000.0000000205</v>
          </cell>
          <cell r="Q277">
            <v>214333.33333333334</v>
          </cell>
          <cell r="R277">
            <v>50661414.74654372</v>
          </cell>
          <cell r="S277">
            <v>11.930353934583078</v>
          </cell>
          <cell r="T277">
            <v>3819.6450092863324</v>
          </cell>
          <cell r="U277">
            <v>5.0017253819289316</v>
          </cell>
          <cell r="V277">
            <v>1320.2404116945729</v>
          </cell>
          <cell r="W277">
            <v>0</v>
          </cell>
          <cell r="X277">
            <v>0</v>
          </cell>
          <cell r="Y277">
            <v>17000</v>
          </cell>
          <cell r="Z277">
            <v>4077000.000000014</v>
          </cell>
          <cell r="AA277">
            <v>5500</v>
          </cell>
          <cell r="AB277">
            <v>1421999.9999999965</v>
          </cell>
          <cell r="AC277">
            <v>0</v>
          </cell>
          <cell r="AD277">
            <v>0</v>
          </cell>
          <cell r="AE277">
            <v>164333.33333333334</v>
          </cell>
          <cell r="AF277">
            <v>37736000.000000037</v>
          </cell>
          <cell r="AG277">
            <v>50000</v>
          </cell>
          <cell r="AH277">
            <v>12900000.000000022</v>
          </cell>
        </row>
        <row r="278">
          <cell r="B278">
            <v>46272</v>
          </cell>
          <cell r="C278">
            <v>17166.666666666668</v>
          </cell>
          <cell r="D278">
            <v>4112166.6666666674</v>
          </cell>
          <cell r="E278">
            <v>5333.333333333333</v>
          </cell>
          <cell r="F278">
            <v>1409333.3333333291</v>
          </cell>
          <cell r="G278">
            <v>22500</v>
          </cell>
          <cell r="H278">
            <v>5521500.0000000205</v>
          </cell>
          <cell r="I278">
            <v>20000</v>
          </cell>
          <cell r="J278">
            <v>4690000.0000000084</v>
          </cell>
          <cell r="K278">
            <v>3333.3333333333335</v>
          </cell>
          <cell r="L278">
            <v>1223333.3333333356</v>
          </cell>
          <cell r="M278">
            <v>23333.333333333332</v>
          </cell>
          <cell r="N278">
            <v>5913333.3333333535</v>
          </cell>
          <cell r="O278">
            <v>23333.333333333332</v>
          </cell>
          <cell r="P278">
            <v>5913333.3333333535</v>
          </cell>
          <cell r="Q278">
            <v>214333.33333333334</v>
          </cell>
          <cell r="R278">
            <v>50875748.079877056</v>
          </cell>
          <cell r="S278">
            <v>11.930353934583078</v>
          </cell>
          <cell r="T278">
            <v>3831.5753632209153</v>
          </cell>
          <cell r="U278">
            <v>5.0017253819289316</v>
          </cell>
          <cell r="V278">
            <v>1325.2421370765019</v>
          </cell>
          <cell r="W278">
            <v>0</v>
          </cell>
          <cell r="X278">
            <v>0</v>
          </cell>
          <cell r="Y278">
            <v>17000</v>
          </cell>
          <cell r="Z278">
            <v>4094000.000000014</v>
          </cell>
          <cell r="AA278">
            <v>5500</v>
          </cell>
          <cell r="AB278">
            <v>1427499.9999999965</v>
          </cell>
          <cell r="AC278">
            <v>0</v>
          </cell>
          <cell r="AD278">
            <v>0</v>
          </cell>
          <cell r="AE278">
            <v>164333.33333333334</v>
          </cell>
          <cell r="AF278">
            <v>37900333.333333373</v>
          </cell>
          <cell r="AG278">
            <v>50000</v>
          </cell>
          <cell r="AH278">
            <v>12950000.000000022</v>
          </cell>
        </row>
        <row r="279">
          <cell r="B279">
            <v>46273</v>
          </cell>
          <cell r="C279">
            <v>17166.666666666668</v>
          </cell>
          <cell r="D279">
            <v>4129333.333333334</v>
          </cell>
          <cell r="E279">
            <v>5333.333333333333</v>
          </cell>
          <cell r="F279">
            <v>1414666.6666666623</v>
          </cell>
          <cell r="G279">
            <v>22500</v>
          </cell>
          <cell r="H279">
            <v>5544000.0000000205</v>
          </cell>
          <cell r="I279">
            <v>20000</v>
          </cell>
          <cell r="J279">
            <v>4710000.0000000084</v>
          </cell>
          <cell r="K279">
            <v>3333.3333333333335</v>
          </cell>
          <cell r="L279">
            <v>1226666.6666666688</v>
          </cell>
          <cell r="M279">
            <v>23333.333333333332</v>
          </cell>
          <cell r="N279">
            <v>5936666.6666666865</v>
          </cell>
          <cell r="O279">
            <v>23333.333333333332</v>
          </cell>
          <cell r="P279">
            <v>5936666.6666666865</v>
          </cell>
          <cell r="Q279">
            <v>214333.33333333334</v>
          </cell>
          <cell r="R279">
            <v>51090081.413210392</v>
          </cell>
          <cell r="S279">
            <v>11.930353934583078</v>
          </cell>
          <cell r="T279">
            <v>3843.5057171554981</v>
          </cell>
          <cell r="U279">
            <v>5.0017253819289316</v>
          </cell>
          <cell r="V279">
            <v>1330.2438624584308</v>
          </cell>
          <cell r="W279">
            <v>0</v>
          </cell>
          <cell r="X279">
            <v>0</v>
          </cell>
          <cell r="Y279">
            <v>17000</v>
          </cell>
          <cell r="Z279">
            <v>4111000.000000014</v>
          </cell>
          <cell r="AA279">
            <v>5500</v>
          </cell>
          <cell r="AB279">
            <v>1432999.9999999965</v>
          </cell>
          <cell r="AC279">
            <v>0</v>
          </cell>
          <cell r="AD279">
            <v>0</v>
          </cell>
          <cell r="AE279">
            <v>164333.33333333334</v>
          </cell>
          <cell r="AF279">
            <v>38064666.666666709</v>
          </cell>
          <cell r="AG279">
            <v>50000</v>
          </cell>
          <cell r="AH279">
            <v>13000000.000000022</v>
          </cell>
        </row>
        <row r="280">
          <cell r="B280">
            <v>46274</v>
          </cell>
          <cell r="C280">
            <v>17166.666666666668</v>
          </cell>
          <cell r="D280">
            <v>4146500.0000000005</v>
          </cell>
          <cell r="E280">
            <v>5333.333333333333</v>
          </cell>
          <cell r="F280">
            <v>1419999.9999999956</v>
          </cell>
          <cell r="G280">
            <v>22500</v>
          </cell>
          <cell r="H280">
            <v>5566500.0000000205</v>
          </cell>
          <cell r="I280">
            <v>20000</v>
          </cell>
          <cell r="J280">
            <v>4730000.0000000084</v>
          </cell>
          <cell r="K280">
            <v>3333.3333333333335</v>
          </cell>
          <cell r="L280">
            <v>1230000.0000000021</v>
          </cell>
          <cell r="M280">
            <v>23333.333333333332</v>
          </cell>
          <cell r="N280">
            <v>5960000.0000000196</v>
          </cell>
          <cell r="O280">
            <v>23333.333333333332</v>
          </cell>
          <cell r="P280">
            <v>5960000.0000000196</v>
          </cell>
          <cell r="Q280">
            <v>214333.33333333334</v>
          </cell>
          <cell r="R280">
            <v>51304414.746543728</v>
          </cell>
          <cell r="S280">
            <v>11.930353934583078</v>
          </cell>
          <cell r="T280">
            <v>3855.436071090081</v>
          </cell>
          <cell r="U280">
            <v>5.0017253819289316</v>
          </cell>
          <cell r="V280">
            <v>1335.2455878403598</v>
          </cell>
          <cell r="W280">
            <v>0</v>
          </cell>
          <cell r="X280">
            <v>0</v>
          </cell>
          <cell r="Y280">
            <v>17000</v>
          </cell>
          <cell r="Z280">
            <v>4128000.000000014</v>
          </cell>
          <cell r="AA280">
            <v>5500</v>
          </cell>
          <cell r="AB280">
            <v>1438499.9999999965</v>
          </cell>
          <cell r="AC280">
            <v>0</v>
          </cell>
          <cell r="AD280">
            <v>0</v>
          </cell>
          <cell r="AE280">
            <v>164333.33333333334</v>
          </cell>
          <cell r="AF280">
            <v>38229000.000000045</v>
          </cell>
          <cell r="AG280">
            <v>50000</v>
          </cell>
          <cell r="AH280">
            <v>13050000.000000022</v>
          </cell>
        </row>
        <row r="281">
          <cell r="B281">
            <v>46275</v>
          </cell>
          <cell r="C281">
            <v>17166.666666666668</v>
          </cell>
          <cell r="D281">
            <v>4163666.666666667</v>
          </cell>
          <cell r="E281">
            <v>5333.333333333333</v>
          </cell>
          <cell r="F281">
            <v>1425333.3333333288</v>
          </cell>
          <cell r="G281">
            <v>22500</v>
          </cell>
          <cell r="H281">
            <v>5589000.0000000205</v>
          </cell>
          <cell r="I281">
            <v>20000</v>
          </cell>
          <cell r="J281">
            <v>4750000.0000000084</v>
          </cell>
          <cell r="K281">
            <v>3333.3333333333335</v>
          </cell>
          <cell r="L281">
            <v>1233333.3333333354</v>
          </cell>
          <cell r="M281">
            <v>23333.333333333332</v>
          </cell>
          <cell r="N281">
            <v>5983333.3333333526</v>
          </cell>
          <cell r="O281">
            <v>23333.333333333332</v>
          </cell>
          <cell r="P281">
            <v>5983333.3333333526</v>
          </cell>
          <cell r="Q281">
            <v>214333.33333333334</v>
          </cell>
          <cell r="R281">
            <v>51518748.079877064</v>
          </cell>
          <cell r="S281">
            <v>11.930353934583078</v>
          </cell>
          <cell r="T281">
            <v>3867.3664250246638</v>
          </cell>
          <cell r="U281">
            <v>5.0017253819289316</v>
          </cell>
          <cell r="V281">
            <v>1340.2473132222888</v>
          </cell>
          <cell r="W281">
            <v>0</v>
          </cell>
          <cell r="X281">
            <v>0</v>
          </cell>
          <cell r="Y281">
            <v>17000</v>
          </cell>
          <cell r="Z281">
            <v>4145000.000000014</v>
          </cell>
          <cell r="AA281">
            <v>5500</v>
          </cell>
          <cell r="AB281">
            <v>1443999.9999999965</v>
          </cell>
          <cell r="AC281">
            <v>0</v>
          </cell>
          <cell r="AD281">
            <v>0</v>
          </cell>
          <cell r="AE281">
            <v>164333.33333333334</v>
          </cell>
          <cell r="AF281">
            <v>38393333.333333381</v>
          </cell>
          <cell r="AG281">
            <v>50000</v>
          </cell>
          <cell r="AH281">
            <v>13100000.000000022</v>
          </cell>
        </row>
        <row r="282">
          <cell r="B282">
            <v>46276</v>
          </cell>
          <cell r="C282">
            <v>17166.666666666668</v>
          </cell>
          <cell r="D282">
            <v>4180833.3333333335</v>
          </cell>
          <cell r="E282">
            <v>5333.333333333333</v>
          </cell>
          <cell r="F282">
            <v>1430666.6666666621</v>
          </cell>
          <cell r="G282">
            <v>22500</v>
          </cell>
          <cell r="H282">
            <v>5611500.0000000205</v>
          </cell>
          <cell r="I282">
            <v>20000</v>
          </cell>
          <cell r="J282">
            <v>4770000.0000000084</v>
          </cell>
          <cell r="K282">
            <v>3333.3333333333335</v>
          </cell>
          <cell r="L282">
            <v>1236666.6666666686</v>
          </cell>
          <cell r="M282">
            <v>23333.333333333332</v>
          </cell>
          <cell r="N282">
            <v>6006666.6666666856</v>
          </cell>
          <cell r="O282">
            <v>23333.333333333332</v>
          </cell>
          <cell r="P282">
            <v>6006666.6666666856</v>
          </cell>
          <cell r="Q282">
            <v>214333.33333333334</v>
          </cell>
          <cell r="R282">
            <v>51733081.413210399</v>
          </cell>
          <cell r="S282">
            <v>11.930353934583078</v>
          </cell>
          <cell r="T282">
            <v>3879.2967789592467</v>
          </cell>
          <cell r="U282">
            <v>5.0017253819289316</v>
          </cell>
          <cell r="V282">
            <v>1345.2490386042177</v>
          </cell>
          <cell r="W282">
            <v>0</v>
          </cell>
          <cell r="X282">
            <v>0</v>
          </cell>
          <cell r="Y282">
            <v>17000</v>
          </cell>
          <cell r="Z282">
            <v>4162000.000000014</v>
          </cell>
          <cell r="AA282">
            <v>5500</v>
          </cell>
          <cell r="AB282">
            <v>1449499.9999999965</v>
          </cell>
          <cell r="AC282">
            <v>0</v>
          </cell>
          <cell r="AD282">
            <v>0</v>
          </cell>
          <cell r="AE282">
            <v>164333.33333333334</v>
          </cell>
          <cell r="AF282">
            <v>38557666.666666716</v>
          </cell>
          <cell r="AG282">
            <v>50000</v>
          </cell>
          <cell r="AH282">
            <v>13150000.000000022</v>
          </cell>
        </row>
        <row r="283">
          <cell r="B283">
            <v>46277</v>
          </cell>
          <cell r="C283">
            <v>17166.666666666668</v>
          </cell>
          <cell r="D283">
            <v>4198000</v>
          </cell>
          <cell r="E283">
            <v>5333.333333333333</v>
          </cell>
          <cell r="F283">
            <v>1435999.9999999953</v>
          </cell>
          <cell r="G283">
            <v>22500</v>
          </cell>
          <cell r="H283">
            <v>5634000.0000000205</v>
          </cell>
          <cell r="I283">
            <v>20000</v>
          </cell>
          <cell r="J283">
            <v>4790000.0000000084</v>
          </cell>
          <cell r="K283">
            <v>3333.3333333333335</v>
          </cell>
          <cell r="L283">
            <v>1240000.0000000019</v>
          </cell>
          <cell r="M283">
            <v>23333.333333333332</v>
          </cell>
          <cell r="N283">
            <v>6030000.0000000186</v>
          </cell>
          <cell r="O283">
            <v>23333.333333333332</v>
          </cell>
          <cell r="P283">
            <v>6030000.0000000186</v>
          </cell>
          <cell r="Q283">
            <v>214333.33333333334</v>
          </cell>
          <cell r="R283">
            <v>51947414.746543735</v>
          </cell>
          <cell r="S283">
            <v>11.930353934583078</v>
          </cell>
          <cell r="T283">
            <v>3891.2271328938295</v>
          </cell>
          <cell r="U283">
            <v>5.0017253819289316</v>
          </cell>
          <cell r="V283">
            <v>1350.2507639861467</v>
          </cell>
          <cell r="W283">
            <v>0</v>
          </cell>
          <cell r="X283">
            <v>0</v>
          </cell>
          <cell r="Y283">
            <v>17000</v>
          </cell>
          <cell r="Z283">
            <v>4179000.000000014</v>
          </cell>
          <cell r="AA283">
            <v>5500</v>
          </cell>
          <cell r="AB283">
            <v>1454999.9999999965</v>
          </cell>
          <cell r="AC283">
            <v>0</v>
          </cell>
          <cell r="AD283">
            <v>0</v>
          </cell>
          <cell r="AE283">
            <v>164333.33333333334</v>
          </cell>
          <cell r="AF283">
            <v>38722000.000000052</v>
          </cell>
          <cell r="AG283">
            <v>50000</v>
          </cell>
          <cell r="AH283">
            <v>13200000.000000022</v>
          </cell>
        </row>
        <row r="284">
          <cell r="B284">
            <v>46278</v>
          </cell>
          <cell r="C284">
            <v>17166.666666666668</v>
          </cell>
          <cell r="D284">
            <v>4215166.666666667</v>
          </cell>
          <cell r="E284">
            <v>5333.333333333333</v>
          </cell>
          <cell r="F284">
            <v>1441333.3333333286</v>
          </cell>
          <cell r="G284">
            <v>22500</v>
          </cell>
          <cell r="H284">
            <v>5656500.0000000205</v>
          </cell>
          <cell r="I284">
            <v>20000</v>
          </cell>
          <cell r="J284">
            <v>4810000.0000000084</v>
          </cell>
          <cell r="K284">
            <v>3333.3333333333335</v>
          </cell>
          <cell r="L284">
            <v>1243333.3333333351</v>
          </cell>
          <cell r="M284">
            <v>23333.333333333332</v>
          </cell>
          <cell r="N284">
            <v>6053333.3333333516</v>
          </cell>
          <cell r="O284">
            <v>23333.333333333332</v>
          </cell>
          <cell r="P284">
            <v>6053333.3333333516</v>
          </cell>
          <cell r="Q284">
            <v>214333.33333333334</v>
          </cell>
          <cell r="R284">
            <v>52161748.079877071</v>
          </cell>
          <cell r="S284">
            <v>11.930353934583078</v>
          </cell>
          <cell r="T284">
            <v>3903.1574868284124</v>
          </cell>
          <cell r="U284">
            <v>5.0017253819289316</v>
          </cell>
          <cell r="V284">
            <v>1355.2524893680757</v>
          </cell>
          <cell r="W284">
            <v>0</v>
          </cell>
          <cell r="X284">
            <v>0</v>
          </cell>
          <cell r="Y284">
            <v>17000</v>
          </cell>
          <cell r="Z284">
            <v>4196000.000000014</v>
          </cell>
          <cell r="AA284">
            <v>5500</v>
          </cell>
          <cell r="AB284">
            <v>1460499.9999999965</v>
          </cell>
          <cell r="AC284">
            <v>0</v>
          </cell>
          <cell r="AD284">
            <v>0</v>
          </cell>
          <cell r="AE284">
            <v>164333.33333333334</v>
          </cell>
          <cell r="AF284">
            <v>38886333.333333388</v>
          </cell>
          <cell r="AG284">
            <v>50000</v>
          </cell>
          <cell r="AH284">
            <v>13250000.000000022</v>
          </cell>
        </row>
        <row r="285">
          <cell r="B285">
            <v>46279</v>
          </cell>
          <cell r="C285">
            <v>17166.666666666668</v>
          </cell>
          <cell r="D285">
            <v>4232333.333333334</v>
          </cell>
          <cell r="E285">
            <v>5333.333333333333</v>
          </cell>
          <cell r="F285">
            <v>1446666.6666666619</v>
          </cell>
          <cell r="G285">
            <v>22500</v>
          </cell>
          <cell r="H285">
            <v>5679000.0000000205</v>
          </cell>
          <cell r="I285">
            <v>20000</v>
          </cell>
          <cell r="J285">
            <v>4830000.0000000084</v>
          </cell>
          <cell r="K285">
            <v>3333.3333333333335</v>
          </cell>
          <cell r="L285">
            <v>1246666.6666666684</v>
          </cell>
          <cell r="M285">
            <v>23333.333333333332</v>
          </cell>
          <cell r="N285">
            <v>6076666.6666666847</v>
          </cell>
          <cell r="O285">
            <v>23333.333333333332</v>
          </cell>
          <cell r="P285">
            <v>6076666.6666666847</v>
          </cell>
          <cell r="Q285">
            <v>214333.33333333334</v>
          </cell>
          <cell r="R285">
            <v>52376081.413210407</v>
          </cell>
          <cell r="S285">
            <v>11.930353934583078</v>
          </cell>
          <cell r="T285">
            <v>3915.0878407629953</v>
          </cell>
          <cell r="U285">
            <v>5.0017253819289316</v>
          </cell>
          <cell r="V285">
            <v>1360.2542147500046</v>
          </cell>
          <cell r="W285">
            <v>0</v>
          </cell>
          <cell r="X285">
            <v>0</v>
          </cell>
          <cell r="Y285">
            <v>17000</v>
          </cell>
          <cell r="Z285">
            <v>4213000.000000014</v>
          </cell>
          <cell r="AA285">
            <v>5500</v>
          </cell>
          <cell r="AB285">
            <v>1465999.9999999965</v>
          </cell>
          <cell r="AC285">
            <v>0</v>
          </cell>
          <cell r="AD285">
            <v>0</v>
          </cell>
          <cell r="AE285">
            <v>164333.33333333334</v>
          </cell>
          <cell r="AF285">
            <v>39050666.666666724</v>
          </cell>
          <cell r="AG285">
            <v>50000</v>
          </cell>
          <cell r="AH285">
            <v>13300000.000000022</v>
          </cell>
        </row>
        <row r="286">
          <cell r="B286">
            <v>46280</v>
          </cell>
          <cell r="C286">
            <v>17166.666666666668</v>
          </cell>
          <cell r="D286">
            <v>4249500.0000000009</v>
          </cell>
          <cell r="E286">
            <v>5333.333333333333</v>
          </cell>
          <cell r="F286">
            <v>1451999.9999999951</v>
          </cell>
          <cell r="G286">
            <v>22500</v>
          </cell>
          <cell r="H286">
            <v>5701500.0000000205</v>
          </cell>
          <cell r="I286">
            <v>20000</v>
          </cell>
          <cell r="J286">
            <v>4850000.0000000084</v>
          </cell>
          <cell r="K286">
            <v>3333.3333333333335</v>
          </cell>
          <cell r="L286">
            <v>1250000.0000000016</v>
          </cell>
          <cell r="M286">
            <v>23333.333333333332</v>
          </cell>
          <cell r="N286">
            <v>6100000.0000000177</v>
          </cell>
          <cell r="O286">
            <v>23333.333333333332</v>
          </cell>
          <cell r="P286">
            <v>6100000.0000000177</v>
          </cell>
          <cell r="Q286">
            <v>214333.33333333334</v>
          </cell>
          <cell r="R286">
            <v>52590414.746543743</v>
          </cell>
          <cell r="S286">
            <v>11.930353934583078</v>
          </cell>
          <cell r="T286">
            <v>3927.0181946975781</v>
          </cell>
          <cell r="U286">
            <v>5.0017253819289316</v>
          </cell>
          <cell r="V286">
            <v>1365.2559401319336</v>
          </cell>
          <cell r="W286">
            <v>0</v>
          </cell>
          <cell r="X286">
            <v>0</v>
          </cell>
          <cell r="Y286">
            <v>17000</v>
          </cell>
          <cell r="Z286">
            <v>4230000.000000014</v>
          </cell>
          <cell r="AA286">
            <v>5500</v>
          </cell>
          <cell r="AB286">
            <v>1471499.9999999965</v>
          </cell>
          <cell r="AC286">
            <v>0</v>
          </cell>
          <cell r="AD286">
            <v>0</v>
          </cell>
          <cell r="AE286">
            <v>164333.33333333334</v>
          </cell>
          <cell r="AF286">
            <v>39215000.00000006</v>
          </cell>
          <cell r="AG286">
            <v>50000</v>
          </cell>
          <cell r="AH286">
            <v>13350000.000000022</v>
          </cell>
        </row>
        <row r="287">
          <cell r="B287">
            <v>46281</v>
          </cell>
          <cell r="C287">
            <v>17166.666666666668</v>
          </cell>
          <cell r="D287">
            <v>4266666.6666666679</v>
          </cell>
          <cell r="E287">
            <v>5333.333333333333</v>
          </cell>
          <cell r="F287">
            <v>1457333.3333333284</v>
          </cell>
          <cell r="G287">
            <v>22500</v>
          </cell>
          <cell r="H287">
            <v>5724000.0000000205</v>
          </cell>
          <cell r="I287">
            <v>20000</v>
          </cell>
          <cell r="J287">
            <v>4870000.0000000084</v>
          </cell>
          <cell r="K287">
            <v>3333.3333333333335</v>
          </cell>
          <cell r="L287">
            <v>1253333.3333333349</v>
          </cell>
          <cell r="M287">
            <v>23333.333333333332</v>
          </cell>
          <cell r="N287">
            <v>6123333.3333333507</v>
          </cell>
          <cell r="O287">
            <v>23333.333333333332</v>
          </cell>
          <cell r="P287">
            <v>6123333.3333333507</v>
          </cell>
          <cell r="Q287">
            <v>214333.33333333334</v>
          </cell>
          <cell r="R287">
            <v>52804748.079877079</v>
          </cell>
          <cell r="S287">
            <v>11.930353934583078</v>
          </cell>
          <cell r="T287">
            <v>3938.948548632161</v>
          </cell>
          <cell r="U287">
            <v>5.0017253819289316</v>
          </cell>
          <cell r="V287">
            <v>1370.2576655138625</v>
          </cell>
          <cell r="W287">
            <v>0</v>
          </cell>
          <cell r="X287">
            <v>0</v>
          </cell>
          <cell r="Y287">
            <v>17000</v>
          </cell>
          <cell r="Z287">
            <v>4247000.000000014</v>
          </cell>
          <cell r="AA287">
            <v>5500</v>
          </cell>
          <cell r="AB287">
            <v>1476999.9999999965</v>
          </cell>
          <cell r="AC287">
            <v>0</v>
          </cell>
          <cell r="AD287">
            <v>0</v>
          </cell>
          <cell r="AE287">
            <v>164333.33333333334</v>
          </cell>
          <cell r="AF287">
            <v>39379333.333333395</v>
          </cell>
          <cell r="AG287">
            <v>50000</v>
          </cell>
          <cell r="AH287">
            <v>13400000.000000022</v>
          </cell>
        </row>
        <row r="288">
          <cell r="B288">
            <v>46282</v>
          </cell>
          <cell r="C288">
            <v>17166.666666666668</v>
          </cell>
          <cell r="D288">
            <v>4283833.3333333349</v>
          </cell>
          <cell r="E288">
            <v>5333.333333333333</v>
          </cell>
          <cell r="F288">
            <v>1462666.6666666616</v>
          </cell>
          <cell r="G288">
            <v>22500</v>
          </cell>
          <cell r="H288">
            <v>5746500.0000000205</v>
          </cell>
          <cell r="I288">
            <v>20000</v>
          </cell>
          <cell r="J288">
            <v>4890000.0000000084</v>
          </cell>
          <cell r="K288">
            <v>3333.3333333333335</v>
          </cell>
          <cell r="L288">
            <v>1256666.6666666681</v>
          </cell>
          <cell r="M288">
            <v>23333.333333333332</v>
          </cell>
          <cell r="N288">
            <v>6146666.6666666837</v>
          </cell>
          <cell r="O288">
            <v>23333.333333333332</v>
          </cell>
          <cell r="P288">
            <v>6146666.6666666837</v>
          </cell>
          <cell r="Q288">
            <v>214333.33333333334</v>
          </cell>
          <cell r="R288">
            <v>53019081.413210414</v>
          </cell>
          <cell r="S288">
            <v>11.930353934583078</v>
          </cell>
          <cell r="T288">
            <v>3950.8789025667438</v>
          </cell>
          <cell r="U288">
            <v>5.0017253819289316</v>
          </cell>
          <cell r="V288">
            <v>1375.2593908957915</v>
          </cell>
          <cell r="W288">
            <v>0</v>
          </cell>
          <cell r="X288">
            <v>0</v>
          </cell>
          <cell r="Y288">
            <v>17000</v>
          </cell>
          <cell r="Z288">
            <v>4264000.000000014</v>
          </cell>
          <cell r="AA288">
            <v>5500</v>
          </cell>
          <cell r="AB288">
            <v>1482499.9999999965</v>
          </cell>
          <cell r="AC288">
            <v>0</v>
          </cell>
          <cell r="AD288">
            <v>0</v>
          </cell>
          <cell r="AE288">
            <v>164333.33333333334</v>
          </cell>
          <cell r="AF288">
            <v>39543666.666666731</v>
          </cell>
          <cell r="AG288">
            <v>50000</v>
          </cell>
          <cell r="AH288">
            <v>13450000.000000022</v>
          </cell>
        </row>
        <row r="289">
          <cell r="B289">
            <v>46283</v>
          </cell>
          <cell r="C289">
            <v>17166.666666666668</v>
          </cell>
          <cell r="D289">
            <v>4301000.0000000019</v>
          </cell>
          <cell r="E289">
            <v>5333.333333333333</v>
          </cell>
          <cell r="F289">
            <v>1467999.9999999949</v>
          </cell>
          <cell r="G289">
            <v>22500</v>
          </cell>
          <cell r="H289">
            <v>5769000.0000000205</v>
          </cell>
          <cell r="I289">
            <v>20000</v>
          </cell>
          <cell r="J289">
            <v>4910000.0000000084</v>
          </cell>
          <cell r="K289">
            <v>3333.3333333333335</v>
          </cell>
          <cell r="L289">
            <v>1260000.0000000014</v>
          </cell>
          <cell r="M289">
            <v>23333.333333333332</v>
          </cell>
          <cell r="N289">
            <v>6170000.0000000168</v>
          </cell>
          <cell r="O289">
            <v>23333.333333333332</v>
          </cell>
          <cell r="P289">
            <v>6170000.0000000168</v>
          </cell>
          <cell r="Q289">
            <v>214333.33333333334</v>
          </cell>
          <cell r="R289">
            <v>53233414.74654375</v>
          </cell>
          <cell r="S289">
            <v>11.930353934583078</v>
          </cell>
          <cell r="T289">
            <v>3962.8092565013267</v>
          </cell>
          <cell r="U289">
            <v>5.0017253819289316</v>
          </cell>
          <cell r="V289">
            <v>1380.2611162777205</v>
          </cell>
          <cell r="W289">
            <v>0</v>
          </cell>
          <cell r="X289">
            <v>0</v>
          </cell>
          <cell r="Y289">
            <v>17000</v>
          </cell>
          <cell r="Z289">
            <v>4281000.000000014</v>
          </cell>
          <cell r="AA289">
            <v>5500</v>
          </cell>
          <cell r="AB289">
            <v>1487999.9999999965</v>
          </cell>
          <cell r="AC289">
            <v>0</v>
          </cell>
          <cell r="AD289">
            <v>0</v>
          </cell>
          <cell r="AE289">
            <v>164333.33333333334</v>
          </cell>
          <cell r="AF289">
            <v>39708000.000000067</v>
          </cell>
          <cell r="AG289">
            <v>50000</v>
          </cell>
          <cell r="AH289">
            <v>13500000.000000022</v>
          </cell>
        </row>
        <row r="290">
          <cell r="B290">
            <v>46284</v>
          </cell>
          <cell r="C290">
            <v>17166.666666666668</v>
          </cell>
          <cell r="D290">
            <v>4318166.6666666688</v>
          </cell>
          <cell r="E290">
            <v>5333.333333333333</v>
          </cell>
          <cell r="F290">
            <v>1473333.3333333281</v>
          </cell>
          <cell r="G290">
            <v>22500</v>
          </cell>
          <cell r="H290">
            <v>5791500.0000000205</v>
          </cell>
          <cell r="I290">
            <v>20000</v>
          </cell>
          <cell r="J290">
            <v>4930000.0000000084</v>
          </cell>
          <cell r="K290">
            <v>3333.3333333333335</v>
          </cell>
          <cell r="L290">
            <v>1263333.3333333347</v>
          </cell>
          <cell r="M290">
            <v>23333.333333333332</v>
          </cell>
          <cell r="N290">
            <v>6193333.3333333498</v>
          </cell>
          <cell r="O290">
            <v>23333.333333333332</v>
          </cell>
          <cell r="P290">
            <v>6193333.3333333498</v>
          </cell>
          <cell r="Q290">
            <v>214333.33333333334</v>
          </cell>
          <cell r="R290">
            <v>53447748.079877086</v>
          </cell>
          <cell r="S290">
            <v>11.930353934583078</v>
          </cell>
          <cell r="T290">
            <v>3974.7396104359095</v>
          </cell>
          <cell r="U290">
            <v>5.0017253819289316</v>
          </cell>
          <cell r="V290">
            <v>1385.2628416596494</v>
          </cell>
          <cell r="W290">
            <v>0</v>
          </cell>
          <cell r="X290">
            <v>0</v>
          </cell>
          <cell r="Y290">
            <v>17000</v>
          </cell>
          <cell r="Z290">
            <v>4298000.000000014</v>
          </cell>
          <cell r="AA290">
            <v>5500</v>
          </cell>
          <cell r="AB290">
            <v>1493499.9999999965</v>
          </cell>
          <cell r="AC290">
            <v>0</v>
          </cell>
          <cell r="AD290">
            <v>0</v>
          </cell>
          <cell r="AE290">
            <v>164333.33333333334</v>
          </cell>
          <cell r="AF290">
            <v>39872333.333333403</v>
          </cell>
          <cell r="AG290">
            <v>50000</v>
          </cell>
          <cell r="AH290">
            <v>13550000.000000022</v>
          </cell>
        </row>
        <row r="291">
          <cell r="B291">
            <v>46285</v>
          </cell>
          <cell r="C291">
            <v>17166.666666666668</v>
          </cell>
          <cell r="D291">
            <v>4335333.3333333358</v>
          </cell>
          <cell r="E291">
            <v>5333.333333333333</v>
          </cell>
          <cell r="F291">
            <v>1478666.6666666614</v>
          </cell>
          <cell r="G291">
            <v>22500</v>
          </cell>
          <cell r="H291">
            <v>5814000.0000000205</v>
          </cell>
          <cell r="I291">
            <v>20000</v>
          </cell>
          <cell r="J291">
            <v>4950000.0000000084</v>
          </cell>
          <cell r="K291">
            <v>3333.3333333333335</v>
          </cell>
          <cell r="L291">
            <v>1266666.6666666679</v>
          </cell>
          <cell r="M291">
            <v>23333.333333333332</v>
          </cell>
          <cell r="N291">
            <v>6216666.6666666828</v>
          </cell>
          <cell r="O291">
            <v>23333.333333333332</v>
          </cell>
          <cell r="P291">
            <v>6216666.6666666828</v>
          </cell>
          <cell r="Q291">
            <v>214333.33333333334</v>
          </cell>
          <cell r="R291">
            <v>53662081.413210422</v>
          </cell>
          <cell r="S291">
            <v>11.930353934583078</v>
          </cell>
          <cell r="T291">
            <v>3986.6699643704924</v>
          </cell>
          <cell r="U291">
            <v>5.0017253819289316</v>
          </cell>
          <cell r="V291">
            <v>1390.2645670415784</v>
          </cell>
          <cell r="W291">
            <v>0</v>
          </cell>
          <cell r="X291">
            <v>0</v>
          </cell>
          <cell r="Y291">
            <v>17000</v>
          </cell>
          <cell r="Z291">
            <v>4315000.000000014</v>
          </cell>
          <cell r="AA291">
            <v>5500</v>
          </cell>
          <cell r="AB291">
            <v>1498999.9999999965</v>
          </cell>
          <cell r="AC291">
            <v>0</v>
          </cell>
          <cell r="AD291">
            <v>0</v>
          </cell>
          <cell r="AE291">
            <v>164333.33333333334</v>
          </cell>
          <cell r="AF291">
            <v>40036666.666666739</v>
          </cell>
          <cell r="AG291">
            <v>50000</v>
          </cell>
          <cell r="AH291">
            <v>13600000.000000022</v>
          </cell>
        </row>
        <row r="292">
          <cell r="B292">
            <v>46286</v>
          </cell>
          <cell r="C292">
            <v>17166.666666666668</v>
          </cell>
          <cell r="D292">
            <v>4352500.0000000028</v>
          </cell>
          <cell r="E292">
            <v>5333.333333333333</v>
          </cell>
          <cell r="F292">
            <v>1483999.9999999946</v>
          </cell>
          <cell r="G292">
            <v>22500</v>
          </cell>
          <cell r="H292">
            <v>5836500.0000000205</v>
          </cell>
          <cell r="I292">
            <v>20000</v>
          </cell>
          <cell r="J292">
            <v>4970000.0000000084</v>
          </cell>
          <cell r="K292">
            <v>3333.3333333333335</v>
          </cell>
          <cell r="L292">
            <v>1270000.0000000012</v>
          </cell>
          <cell r="M292">
            <v>23333.333333333332</v>
          </cell>
          <cell r="N292">
            <v>6240000.0000000158</v>
          </cell>
          <cell r="O292">
            <v>23333.333333333332</v>
          </cell>
          <cell r="P292">
            <v>6240000.0000000158</v>
          </cell>
          <cell r="Q292">
            <v>214333.33333333334</v>
          </cell>
          <cell r="R292">
            <v>53876414.746543758</v>
          </cell>
          <cell r="S292">
            <v>11.930353934583078</v>
          </cell>
          <cell r="T292">
            <v>3998.6003183050752</v>
          </cell>
          <cell r="U292">
            <v>5.0017253819289316</v>
          </cell>
          <cell r="V292">
            <v>1395.2662924235074</v>
          </cell>
          <cell r="W292">
            <v>0</v>
          </cell>
          <cell r="X292">
            <v>0</v>
          </cell>
          <cell r="Y292">
            <v>17000</v>
          </cell>
          <cell r="Z292">
            <v>4332000.000000014</v>
          </cell>
          <cell r="AA292">
            <v>5500</v>
          </cell>
          <cell r="AB292">
            <v>1504499.9999999965</v>
          </cell>
          <cell r="AC292">
            <v>0</v>
          </cell>
          <cell r="AD292">
            <v>0</v>
          </cell>
          <cell r="AE292">
            <v>164333.33333333334</v>
          </cell>
          <cell r="AF292">
            <v>40201000.000000075</v>
          </cell>
          <cell r="AG292">
            <v>50000</v>
          </cell>
          <cell r="AH292">
            <v>13650000.000000022</v>
          </cell>
        </row>
        <row r="293">
          <cell r="B293">
            <v>46287</v>
          </cell>
          <cell r="C293">
            <v>17166.666666666668</v>
          </cell>
          <cell r="D293">
            <v>4369666.6666666698</v>
          </cell>
          <cell r="E293">
            <v>5333.333333333333</v>
          </cell>
          <cell r="F293">
            <v>1489333.3333333279</v>
          </cell>
          <cell r="G293">
            <v>22500</v>
          </cell>
          <cell r="H293">
            <v>5859000.0000000205</v>
          </cell>
          <cell r="I293">
            <v>20000</v>
          </cell>
          <cell r="J293">
            <v>4990000.0000000084</v>
          </cell>
          <cell r="K293">
            <v>3333.3333333333335</v>
          </cell>
          <cell r="L293">
            <v>1273333.3333333344</v>
          </cell>
          <cell r="M293">
            <v>23333.333333333332</v>
          </cell>
          <cell r="N293">
            <v>6263333.3333333489</v>
          </cell>
          <cell r="O293">
            <v>23333.333333333332</v>
          </cell>
          <cell r="P293">
            <v>6263333.3333333489</v>
          </cell>
          <cell r="Q293">
            <v>214333.33333333334</v>
          </cell>
          <cell r="R293">
            <v>54090748.079877093</v>
          </cell>
          <cell r="S293">
            <v>11.930353934583078</v>
          </cell>
          <cell r="T293">
            <v>4010.5306722396581</v>
          </cell>
          <cell r="U293">
            <v>5.0017253819289316</v>
          </cell>
          <cell r="V293">
            <v>1400.2680178054363</v>
          </cell>
          <cell r="W293">
            <v>0</v>
          </cell>
          <cell r="X293">
            <v>0</v>
          </cell>
          <cell r="Y293">
            <v>17000</v>
          </cell>
          <cell r="Z293">
            <v>4349000.000000014</v>
          </cell>
          <cell r="AA293">
            <v>5500</v>
          </cell>
          <cell r="AB293">
            <v>1509999.9999999965</v>
          </cell>
          <cell r="AC293">
            <v>0</v>
          </cell>
          <cell r="AD293">
            <v>0</v>
          </cell>
          <cell r="AE293">
            <v>164333.33333333334</v>
          </cell>
          <cell r="AF293">
            <v>40365333.33333341</v>
          </cell>
          <cell r="AG293">
            <v>50000</v>
          </cell>
          <cell r="AH293">
            <v>13700000.000000022</v>
          </cell>
        </row>
        <row r="294">
          <cell r="B294">
            <v>46288</v>
          </cell>
          <cell r="C294">
            <v>17166.666666666668</v>
          </cell>
          <cell r="D294">
            <v>4386833.3333333367</v>
          </cell>
          <cell r="E294">
            <v>5333.333333333333</v>
          </cell>
          <cell r="F294">
            <v>1494666.6666666612</v>
          </cell>
          <cell r="G294">
            <v>22500</v>
          </cell>
          <cell r="H294">
            <v>5881500.0000000205</v>
          </cell>
          <cell r="I294">
            <v>20000</v>
          </cell>
          <cell r="J294">
            <v>5010000.0000000084</v>
          </cell>
          <cell r="K294">
            <v>3333.3333333333335</v>
          </cell>
          <cell r="L294">
            <v>1276666.6666666677</v>
          </cell>
          <cell r="M294">
            <v>23333.333333333332</v>
          </cell>
          <cell r="N294">
            <v>6286666.6666666819</v>
          </cell>
          <cell r="O294">
            <v>23333.333333333332</v>
          </cell>
          <cell r="P294">
            <v>6286666.6666666819</v>
          </cell>
          <cell r="Q294">
            <v>214333.33333333334</v>
          </cell>
          <cell r="R294">
            <v>54305081.413210429</v>
          </cell>
          <cell r="S294">
            <v>11.930353934583078</v>
          </cell>
          <cell r="T294">
            <v>4022.4610261742409</v>
          </cell>
          <cell r="U294">
            <v>5.0017253819289316</v>
          </cell>
          <cell r="V294">
            <v>1405.2697431873653</v>
          </cell>
          <cell r="W294">
            <v>0</v>
          </cell>
          <cell r="X294">
            <v>0</v>
          </cell>
          <cell r="Y294">
            <v>17000</v>
          </cell>
          <cell r="Z294">
            <v>4366000.000000014</v>
          </cell>
          <cell r="AA294">
            <v>5500</v>
          </cell>
          <cell r="AB294">
            <v>1515499.9999999965</v>
          </cell>
          <cell r="AC294">
            <v>0</v>
          </cell>
          <cell r="AD294">
            <v>0</v>
          </cell>
          <cell r="AE294">
            <v>164333.33333333334</v>
          </cell>
          <cell r="AF294">
            <v>40529666.666666746</v>
          </cell>
          <cell r="AG294">
            <v>50000</v>
          </cell>
          <cell r="AH294">
            <v>13750000.000000022</v>
          </cell>
        </row>
        <row r="295">
          <cell r="B295">
            <v>46289</v>
          </cell>
          <cell r="C295">
            <v>17166.666666666668</v>
          </cell>
          <cell r="D295">
            <v>4404000.0000000037</v>
          </cell>
          <cell r="E295">
            <v>5333.333333333333</v>
          </cell>
          <cell r="F295">
            <v>1499999.9999999944</v>
          </cell>
          <cell r="G295">
            <v>22500</v>
          </cell>
          <cell r="H295">
            <v>5904000.0000000205</v>
          </cell>
          <cell r="I295">
            <v>20000</v>
          </cell>
          <cell r="J295">
            <v>5030000.0000000084</v>
          </cell>
          <cell r="K295">
            <v>3333.3333333333335</v>
          </cell>
          <cell r="L295">
            <v>1280000.0000000009</v>
          </cell>
          <cell r="M295">
            <v>23333.333333333332</v>
          </cell>
          <cell r="N295">
            <v>6310000.0000000149</v>
          </cell>
          <cell r="O295">
            <v>23333.333333333332</v>
          </cell>
          <cell r="P295">
            <v>6310000.0000000149</v>
          </cell>
          <cell r="Q295">
            <v>214333.33333333334</v>
          </cell>
          <cell r="R295">
            <v>54519414.746543765</v>
          </cell>
          <cell r="S295">
            <v>11.930353934583078</v>
          </cell>
          <cell r="T295">
            <v>4034.3913801088238</v>
          </cell>
          <cell r="U295">
            <v>5.0017253819289316</v>
          </cell>
          <cell r="V295">
            <v>1410.2714685692943</v>
          </cell>
          <cell r="W295">
            <v>0</v>
          </cell>
          <cell r="X295">
            <v>0</v>
          </cell>
          <cell r="Y295">
            <v>17000</v>
          </cell>
          <cell r="Z295">
            <v>4383000.000000014</v>
          </cell>
          <cell r="AA295">
            <v>5500</v>
          </cell>
          <cell r="AB295">
            <v>1520999.9999999965</v>
          </cell>
          <cell r="AC295">
            <v>0</v>
          </cell>
          <cell r="AD295">
            <v>0</v>
          </cell>
          <cell r="AE295">
            <v>164333.33333333334</v>
          </cell>
          <cell r="AF295">
            <v>40694000.000000082</v>
          </cell>
          <cell r="AG295">
            <v>50000</v>
          </cell>
          <cell r="AH295">
            <v>13800000.000000022</v>
          </cell>
        </row>
        <row r="296">
          <cell r="B296">
            <v>46290</v>
          </cell>
          <cell r="C296">
            <v>17166.666666666668</v>
          </cell>
          <cell r="D296">
            <v>4421166.6666666707</v>
          </cell>
          <cell r="E296">
            <v>5333.333333333333</v>
          </cell>
          <cell r="F296">
            <v>1505333.3333333277</v>
          </cell>
          <cell r="G296">
            <v>22500</v>
          </cell>
          <cell r="H296">
            <v>5926500.0000000205</v>
          </cell>
          <cell r="I296">
            <v>20000</v>
          </cell>
          <cell r="J296">
            <v>5050000.0000000084</v>
          </cell>
          <cell r="K296">
            <v>3333.3333333333335</v>
          </cell>
          <cell r="L296">
            <v>1283333.3333333342</v>
          </cell>
          <cell r="M296">
            <v>23333.333333333332</v>
          </cell>
          <cell r="N296">
            <v>6333333.3333333479</v>
          </cell>
          <cell r="O296">
            <v>23333.333333333332</v>
          </cell>
          <cell r="P296">
            <v>6333333.3333333479</v>
          </cell>
          <cell r="Q296">
            <v>214333.33333333334</v>
          </cell>
          <cell r="R296">
            <v>54733748.079877101</v>
          </cell>
          <cell r="S296">
            <v>11.930353934583078</v>
          </cell>
          <cell r="T296">
            <v>4046.3217340434067</v>
          </cell>
          <cell r="U296">
            <v>5.0017253819289316</v>
          </cell>
          <cell r="V296">
            <v>1415.2731939512232</v>
          </cell>
          <cell r="W296">
            <v>0</v>
          </cell>
          <cell r="X296">
            <v>0</v>
          </cell>
          <cell r="Y296">
            <v>17000</v>
          </cell>
          <cell r="Z296">
            <v>4400000.000000014</v>
          </cell>
          <cell r="AA296">
            <v>5500</v>
          </cell>
          <cell r="AB296">
            <v>1526499.9999999965</v>
          </cell>
          <cell r="AC296">
            <v>0</v>
          </cell>
          <cell r="AD296">
            <v>0</v>
          </cell>
          <cell r="AE296">
            <v>164333.33333333334</v>
          </cell>
          <cell r="AF296">
            <v>40858333.333333418</v>
          </cell>
          <cell r="AG296">
            <v>50000</v>
          </cell>
          <cell r="AH296">
            <v>13850000.000000022</v>
          </cell>
        </row>
        <row r="297">
          <cell r="B297">
            <v>46291</v>
          </cell>
          <cell r="C297">
            <v>17166.666666666668</v>
          </cell>
          <cell r="D297">
            <v>4438333.3333333377</v>
          </cell>
          <cell r="E297">
            <v>5333.333333333333</v>
          </cell>
          <cell r="F297">
            <v>1510666.6666666609</v>
          </cell>
          <cell r="G297">
            <v>22500</v>
          </cell>
          <cell r="H297">
            <v>5949000.0000000205</v>
          </cell>
          <cell r="I297">
            <v>20000</v>
          </cell>
          <cell r="J297">
            <v>5070000.0000000084</v>
          </cell>
          <cell r="K297">
            <v>3333.3333333333335</v>
          </cell>
          <cell r="L297">
            <v>1286666.6666666674</v>
          </cell>
          <cell r="M297">
            <v>23333.333333333332</v>
          </cell>
          <cell r="N297">
            <v>6356666.6666666809</v>
          </cell>
          <cell r="O297">
            <v>23333.333333333332</v>
          </cell>
          <cell r="P297">
            <v>6356666.6666666809</v>
          </cell>
          <cell r="Q297">
            <v>214333.33333333334</v>
          </cell>
          <cell r="R297">
            <v>54948081.413210437</v>
          </cell>
          <cell r="S297">
            <v>11.930353934583078</v>
          </cell>
          <cell r="T297">
            <v>4058.2520879779895</v>
          </cell>
          <cell r="U297">
            <v>5.0017253819289316</v>
          </cell>
          <cell r="V297">
            <v>1420.2749193331522</v>
          </cell>
          <cell r="W297">
            <v>0</v>
          </cell>
          <cell r="X297">
            <v>0</v>
          </cell>
          <cell r="Y297">
            <v>17000</v>
          </cell>
          <cell r="Z297">
            <v>4417000.000000014</v>
          </cell>
          <cell r="AA297">
            <v>5500</v>
          </cell>
          <cell r="AB297">
            <v>1531999.9999999965</v>
          </cell>
          <cell r="AC297">
            <v>0</v>
          </cell>
          <cell r="AD297">
            <v>0</v>
          </cell>
          <cell r="AE297">
            <v>164333.33333333334</v>
          </cell>
          <cell r="AF297">
            <v>41022666.666666754</v>
          </cell>
          <cell r="AG297">
            <v>50000</v>
          </cell>
          <cell r="AH297">
            <v>13900000.000000022</v>
          </cell>
        </row>
        <row r="298">
          <cell r="B298">
            <v>46292</v>
          </cell>
          <cell r="C298">
            <v>17166.666666666668</v>
          </cell>
          <cell r="D298">
            <v>4455500.0000000047</v>
          </cell>
          <cell r="E298">
            <v>5333.333333333333</v>
          </cell>
          <cell r="F298">
            <v>1515999.9999999942</v>
          </cell>
          <cell r="G298">
            <v>22500</v>
          </cell>
          <cell r="H298">
            <v>5971500.0000000205</v>
          </cell>
          <cell r="I298">
            <v>20000</v>
          </cell>
          <cell r="J298">
            <v>5090000.0000000084</v>
          </cell>
          <cell r="K298">
            <v>3333.3333333333335</v>
          </cell>
          <cell r="L298">
            <v>1290000.0000000007</v>
          </cell>
          <cell r="M298">
            <v>23333.333333333332</v>
          </cell>
          <cell r="N298">
            <v>6380000.000000014</v>
          </cell>
          <cell r="O298">
            <v>23333.333333333332</v>
          </cell>
          <cell r="P298">
            <v>6380000.000000014</v>
          </cell>
          <cell r="Q298">
            <v>214333.33333333334</v>
          </cell>
          <cell r="R298">
            <v>55162414.746543773</v>
          </cell>
          <cell r="S298">
            <v>11.930353934583078</v>
          </cell>
          <cell r="T298">
            <v>4070.1824419125724</v>
          </cell>
          <cell r="U298">
            <v>5.0017253819289316</v>
          </cell>
          <cell r="V298">
            <v>1425.2766447150811</v>
          </cell>
          <cell r="W298">
            <v>0</v>
          </cell>
          <cell r="X298">
            <v>0</v>
          </cell>
          <cell r="Y298">
            <v>17000</v>
          </cell>
          <cell r="Z298">
            <v>4434000.000000014</v>
          </cell>
          <cell r="AA298">
            <v>5500</v>
          </cell>
          <cell r="AB298">
            <v>1537499.9999999965</v>
          </cell>
          <cell r="AC298">
            <v>0</v>
          </cell>
          <cell r="AD298">
            <v>0</v>
          </cell>
          <cell r="AE298">
            <v>164333.33333333334</v>
          </cell>
          <cell r="AF298">
            <v>41187000.000000089</v>
          </cell>
          <cell r="AG298">
            <v>50000</v>
          </cell>
          <cell r="AH298">
            <v>13950000.000000022</v>
          </cell>
        </row>
        <row r="299">
          <cell r="B299">
            <v>46293</v>
          </cell>
          <cell r="C299">
            <v>17166.666666666668</v>
          </cell>
          <cell r="D299">
            <v>4472666.6666666716</v>
          </cell>
          <cell r="E299">
            <v>5333.333333333333</v>
          </cell>
          <cell r="F299">
            <v>1521333.3333333274</v>
          </cell>
          <cell r="G299">
            <v>22500</v>
          </cell>
          <cell r="H299">
            <v>5994000.0000000205</v>
          </cell>
          <cell r="I299">
            <v>20000</v>
          </cell>
          <cell r="J299">
            <v>5110000.0000000084</v>
          </cell>
          <cell r="K299">
            <v>3333.3333333333335</v>
          </cell>
          <cell r="L299">
            <v>1293333.333333334</v>
          </cell>
          <cell r="M299">
            <v>23333.333333333332</v>
          </cell>
          <cell r="N299">
            <v>6403333.333333347</v>
          </cell>
          <cell r="O299">
            <v>23333.333333333332</v>
          </cell>
          <cell r="P299">
            <v>6403333.333333347</v>
          </cell>
          <cell r="Q299">
            <v>214333.33333333334</v>
          </cell>
          <cell r="R299">
            <v>55376748.079877108</v>
          </cell>
          <cell r="S299">
            <v>11.930353934583078</v>
          </cell>
          <cell r="T299">
            <v>4082.1127958471552</v>
          </cell>
          <cell r="U299">
            <v>5.0017253819289316</v>
          </cell>
          <cell r="V299">
            <v>1430.2783700970101</v>
          </cell>
          <cell r="W299">
            <v>0</v>
          </cell>
          <cell r="X299">
            <v>0</v>
          </cell>
          <cell r="Y299">
            <v>17000</v>
          </cell>
          <cell r="Z299">
            <v>4451000.000000014</v>
          </cell>
          <cell r="AA299">
            <v>5500</v>
          </cell>
          <cell r="AB299">
            <v>1542999.9999999965</v>
          </cell>
          <cell r="AC299">
            <v>0</v>
          </cell>
          <cell r="AD299">
            <v>0</v>
          </cell>
          <cell r="AE299">
            <v>164333.33333333334</v>
          </cell>
          <cell r="AF299">
            <v>41351333.333333425</v>
          </cell>
          <cell r="AG299">
            <v>50000</v>
          </cell>
          <cell r="AH299">
            <v>14000000.000000022</v>
          </cell>
        </row>
        <row r="300">
          <cell r="B300">
            <v>46294</v>
          </cell>
          <cell r="C300">
            <v>17166.666666666668</v>
          </cell>
          <cell r="D300">
            <v>4489833.3333333386</v>
          </cell>
          <cell r="E300">
            <v>5333.333333333333</v>
          </cell>
          <cell r="F300">
            <v>1526666.6666666607</v>
          </cell>
          <cell r="G300">
            <v>22500</v>
          </cell>
          <cell r="H300">
            <v>6016500.0000000205</v>
          </cell>
          <cell r="I300">
            <v>20000</v>
          </cell>
          <cell r="J300">
            <v>5130000.0000000084</v>
          </cell>
          <cell r="K300">
            <v>3333.3333333333335</v>
          </cell>
          <cell r="L300">
            <v>1296666.6666666672</v>
          </cell>
          <cell r="M300">
            <v>23333.333333333332</v>
          </cell>
          <cell r="N300">
            <v>6426666.66666668</v>
          </cell>
          <cell r="O300">
            <v>23333.333333333332</v>
          </cell>
          <cell r="P300">
            <v>6426666.66666668</v>
          </cell>
          <cell r="Q300">
            <v>214333.33333333334</v>
          </cell>
          <cell r="R300">
            <v>55591081.413210444</v>
          </cell>
          <cell r="S300">
            <v>11.930353934583078</v>
          </cell>
          <cell r="T300">
            <v>4094.0431497817381</v>
          </cell>
          <cell r="U300">
            <v>5.0017253819289316</v>
          </cell>
          <cell r="V300">
            <v>1435.2800954789391</v>
          </cell>
          <cell r="W300">
            <v>0</v>
          </cell>
          <cell r="X300">
            <v>0</v>
          </cell>
          <cell r="Y300">
            <v>17000</v>
          </cell>
          <cell r="Z300">
            <v>4468000.000000014</v>
          </cell>
          <cell r="AA300">
            <v>5500</v>
          </cell>
          <cell r="AB300">
            <v>1548499.9999999965</v>
          </cell>
          <cell r="AC300">
            <v>0</v>
          </cell>
          <cell r="AD300">
            <v>0</v>
          </cell>
          <cell r="AE300">
            <v>164333.33333333334</v>
          </cell>
          <cell r="AF300">
            <v>41515666.666666761</v>
          </cell>
          <cell r="AG300">
            <v>50000</v>
          </cell>
          <cell r="AH300">
            <v>14050000.000000022</v>
          </cell>
        </row>
        <row r="301">
          <cell r="B301">
            <v>46295</v>
          </cell>
          <cell r="C301">
            <v>17166.666666666668</v>
          </cell>
          <cell r="D301">
            <v>4507000.0000000056</v>
          </cell>
          <cell r="E301">
            <v>5333.333333333333</v>
          </cell>
          <cell r="F301">
            <v>1531999.9999999939</v>
          </cell>
          <cell r="G301">
            <v>22500</v>
          </cell>
          <cell r="H301">
            <v>6039000.0000000205</v>
          </cell>
          <cell r="I301">
            <v>20000</v>
          </cell>
          <cell r="J301">
            <v>5150000.0000000084</v>
          </cell>
          <cell r="K301">
            <v>3333.3333333333335</v>
          </cell>
          <cell r="L301">
            <v>1300000.0000000005</v>
          </cell>
          <cell r="M301">
            <v>23333.333333333332</v>
          </cell>
          <cell r="N301">
            <v>6450000.000000013</v>
          </cell>
          <cell r="O301">
            <v>23333.333333333332</v>
          </cell>
          <cell r="P301">
            <v>6450000.000000013</v>
          </cell>
          <cell r="Q301">
            <v>214333.33333333334</v>
          </cell>
          <cell r="R301">
            <v>55805414.74654378</v>
          </cell>
          <cell r="S301">
            <v>11.930353934583078</v>
          </cell>
          <cell r="T301">
            <v>4105.9735037163209</v>
          </cell>
          <cell r="U301">
            <v>5.0017253819289316</v>
          </cell>
          <cell r="V301">
            <v>1440.281820860868</v>
          </cell>
          <cell r="W301">
            <v>0</v>
          </cell>
          <cell r="X301">
            <v>0</v>
          </cell>
          <cell r="Y301">
            <v>17000</v>
          </cell>
          <cell r="Z301">
            <v>4485000.000000014</v>
          </cell>
          <cell r="AA301">
            <v>5500</v>
          </cell>
          <cell r="AB301">
            <v>1553999.9999999965</v>
          </cell>
          <cell r="AC301">
            <v>0</v>
          </cell>
          <cell r="AD301">
            <v>0</v>
          </cell>
          <cell r="AE301">
            <v>164333.33333333334</v>
          </cell>
          <cell r="AF301">
            <v>41680000.000000097</v>
          </cell>
          <cell r="AG301">
            <v>50000</v>
          </cell>
          <cell r="AH301">
            <v>14100000.000000022</v>
          </cell>
        </row>
        <row r="302">
          <cell r="B302">
            <v>46296</v>
          </cell>
          <cell r="C302">
            <v>15645.161290322581</v>
          </cell>
          <cell r="D302">
            <v>4522645.161290328</v>
          </cell>
          <cell r="E302">
            <v>5290.322580645161</v>
          </cell>
          <cell r="F302">
            <v>1537290.322580639</v>
          </cell>
          <cell r="G302">
            <v>20935.483870967742</v>
          </cell>
          <cell r="H302">
            <v>6059935.4838709878</v>
          </cell>
          <cell r="I302">
            <v>19354.83870967742</v>
          </cell>
          <cell r="J302">
            <v>5169354.838709686</v>
          </cell>
          <cell r="K302">
            <v>3225.8064516129034</v>
          </cell>
          <cell r="L302">
            <v>1303225.8064516133</v>
          </cell>
          <cell r="M302">
            <v>22580.645161290326</v>
          </cell>
          <cell r="N302">
            <v>6472580.6451613037</v>
          </cell>
          <cell r="O302">
            <v>22580.645161290322</v>
          </cell>
          <cell r="P302">
            <v>6472580.6451613037</v>
          </cell>
          <cell r="Q302">
            <v>203870.96774193548</v>
          </cell>
          <cell r="R302">
            <v>56009285.714285716</v>
          </cell>
          <cell r="S302">
            <v>13.846412330006329</v>
          </cell>
          <cell r="T302">
            <v>4119.8199160463273</v>
          </cell>
          <cell r="U302">
            <v>5.7336559139824503</v>
          </cell>
          <cell r="V302">
            <v>1446.0154767748504</v>
          </cell>
          <cell r="W302">
            <v>0</v>
          </cell>
          <cell r="X302">
            <v>0</v>
          </cell>
          <cell r="Y302">
            <v>15967.741935483871</v>
          </cell>
          <cell r="Z302">
            <v>4500967.7419354981</v>
          </cell>
          <cell r="AA302">
            <v>4967.7419354838712</v>
          </cell>
          <cell r="AB302">
            <v>1558967.7419354804</v>
          </cell>
          <cell r="AC302">
            <v>0</v>
          </cell>
          <cell r="AD302">
            <v>0</v>
          </cell>
          <cell r="AE302">
            <v>153870.96774193548</v>
          </cell>
          <cell r="AF302">
            <v>41833870.967742033</v>
          </cell>
          <cell r="AG302">
            <v>50000</v>
          </cell>
          <cell r="AH302">
            <v>14150000.000000022</v>
          </cell>
        </row>
        <row r="303">
          <cell r="B303">
            <v>46297</v>
          </cell>
          <cell r="C303">
            <v>15645.161290322581</v>
          </cell>
          <cell r="D303">
            <v>4538290.3225806504</v>
          </cell>
          <cell r="E303">
            <v>5290.322580645161</v>
          </cell>
          <cell r="F303">
            <v>1542580.6451612841</v>
          </cell>
          <cell r="G303">
            <v>20935.483870967742</v>
          </cell>
          <cell r="H303">
            <v>6080870.9677419551</v>
          </cell>
          <cell r="I303">
            <v>19354.83870967742</v>
          </cell>
          <cell r="J303">
            <v>5188709.6774193635</v>
          </cell>
          <cell r="K303">
            <v>3225.8064516129034</v>
          </cell>
          <cell r="L303">
            <v>1306451.6129032262</v>
          </cell>
          <cell r="M303">
            <v>22580.645161290326</v>
          </cell>
          <cell r="N303">
            <v>6495161.2903225943</v>
          </cell>
          <cell r="O303">
            <v>22580.645161290322</v>
          </cell>
          <cell r="P303">
            <v>6495161.2903225943</v>
          </cell>
          <cell r="Q303">
            <v>203870.96774193548</v>
          </cell>
          <cell r="R303">
            <v>56213156.682027653</v>
          </cell>
          <cell r="S303">
            <v>13.846412330006329</v>
          </cell>
          <cell r="T303">
            <v>4133.6663283763337</v>
          </cell>
          <cell r="U303">
            <v>5.7336559139824503</v>
          </cell>
          <cell r="V303">
            <v>1451.7491326888328</v>
          </cell>
          <cell r="W303">
            <v>0</v>
          </cell>
          <cell r="X303">
            <v>0</v>
          </cell>
          <cell r="Y303">
            <v>15967.741935483871</v>
          </cell>
          <cell r="Z303">
            <v>4516935.4838709822</v>
          </cell>
          <cell r="AA303">
            <v>4967.7419354838712</v>
          </cell>
          <cell r="AB303">
            <v>1563935.4838709643</v>
          </cell>
          <cell r="AC303">
            <v>0</v>
          </cell>
          <cell r="AD303">
            <v>0</v>
          </cell>
          <cell r="AE303">
            <v>153870.96774193548</v>
          </cell>
          <cell r="AF303">
            <v>41987741.93548397</v>
          </cell>
          <cell r="AG303">
            <v>50000</v>
          </cell>
          <cell r="AH303">
            <v>14200000.000000022</v>
          </cell>
        </row>
        <row r="304">
          <cell r="B304">
            <v>46298</v>
          </cell>
          <cell r="C304">
            <v>15645.161290322581</v>
          </cell>
          <cell r="D304">
            <v>4553935.4838709729</v>
          </cell>
          <cell r="E304">
            <v>5290.322580645161</v>
          </cell>
          <cell r="F304">
            <v>1547870.9677419292</v>
          </cell>
          <cell r="G304">
            <v>20935.483870967742</v>
          </cell>
          <cell r="H304">
            <v>6101806.4516129224</v>
          </cell>
          <cell r="I304">
            <v>19354.83870967742</v>
          </cell>
          <cell r="J304">
            <v>5208064.5161290411</v>
          </cell>
          <cell r="K304">
            <v>3225.8064516129034</v>
          </cell>
          <cell r="L304">
            <v>1309677.419354839</v>
          </cell>
          <cell r="M304">
            <v>22580.645161290326</v>
          </cell>
          <cell r="N304">
            <v>6517741.935483885</v>
          </cell>
          <cell r="O304">
            <v>22580.645161290322</v>
          </cell>
          <cell r="P304">
            <v>6517741.935483885</v>
          </cell>
          <cell r="Q304">
            <v>203870.96774193548</v>
          </cell>
          <cell r="R304">
            <v>56417027.649769589</v>
          </cell>
          <cell r="S304">
            <v>13.846412330006329</v>
          </cell>
          <cell r="T304">
            <v>4147.5127407063401</v>
          </cell>
          <cell r="U304">
            <v>5.7336559139824503</v>
          </cell>
          <cell r="V304">
            <v>1457.4827886028152</v>
          </cell>
          <cell r="W304">
            <v>0</v>
          </cell>
          <cell r="X304">
            <v>0</v>
          </cell>
          <cell r="Y304">
            <v>15967.741935483871</v>
          </cell>
          <cell r="Z304">
            <v>4532903.2258064663</v>
          </cell>
          <cell r="AA304">
            <v>4967.7419354838712</v>
          </cell>
          <cell r="AB304">
            <v>1568903.2258064481</v>
          </cell>
          <cell r="AC304">
            <v>0</v>
          </cell>
          <cell r="AD304">
            <v>0</v>
          </cell>
          <cell r="AE304">
            <v>153870.96774193548</v>
          </cell>
          <cell r="AF304">
            <v>42141612.903225906</v>
          </cell>
          <cell r="AG304">
            <v>50000</v>
          </cell>
          <cell r="AH304">
            <v>14250000.000000022</v>
          </cell>
        </row>
        <row r="305">
          <cell r="B305">
            <v>46299</v>
          </cell>
          <cell r="C305">
            <v>15645.161290322581</v>
          </cell>
          <cell r="D305">
            <v>4569580.6451612953</v>
          </cell>
          <cell r="E305">
            <v>5290.322580645161</v>
          </cell>
          <cell r="F305">
            <v>1553161.2903225743</v>
          </cell>
          <cell r="G305">
            <v>20935.483870967742</v>
          </cell>
          <cell r="H305">
            <v>6122741.9354838897</v>
          </cell>
          <cell r="I305">
            <v>19354.83870967742</v>
          </cell>
          <cell r="J305">
            <v>5227419.3548387187</v>
          </cell>
          <cell r="K305">
            <v>3225.8064516129034</v>
          </cell>
          <cell r="L305">
            <v>1312903.2258064519</v>
          </cell>
          <cell r="M305">
            <v>22580.645161290326</v>
          </cell>
          <cell r="N305">
            <v>6540322.5806451757</v>
          </cell>
          <cell r="O305">
            <v>22580.645161290322</v>
          </cell>
          <cell r="P305">
            <v>6540322.5806451757</v>
          </cell>
          <cell r="Q305">
            <v>203870.96774193548</v>
          </cell>
          <cell r="R305">
            <v>56620898.617511526</v>
          </cell>
          <cell r="S305">
            <v>13.846412330006329</v>
          </cell>
          <cell r="T305">
            <v>4161.3591530363465</v>
          </cell>
          <cell r="U305">
            <v>5.7336559139824503</v>
          </cell>
          <cell r="V305">
            <v>1463.2164445167975</v>
          </cell>
          <cell r="W305">
            <v>0</v>
          </cell>
          <cell r="X305">
            <v>0</v>
          </cell>
          <cell r="Y305">
            <v>15967.741935483871</v>
          </cell>
          <cell r="Z305">
            <v>4548870.9677419504</v>
          </cell>
          <cell r="AA305">
            <v>4967.7419354838712</v>
          </cell>
          <cell r="AB305">
            <v>1573870.967741932</v>
          </cell>
          <cell r="AC305">
            <v>0</v>
          </cell>
          <cell r="AD305">
            <v>0</v>
          </cell>
          <cell r="AE305">
            <v>153870.96774193548</v>
          </cell>
          <cell r="AF305">
            <v>42295483.870967843</v>
          </cell>
          <cell r="AG305">
            <v>50000</v>
          </cell>
          <cell r="AH305">
            <v>14300000.000000022</v>
          </cell>
        </row>
        <row r="306">
          <cell r="B306">
            <v>46300</v>
          </cell>
          <cell r="C306">
            <v>15645.161290322581</v>
          </cell>
          <cell r="D306">
            <v>4585225.8064516177</v>
          </cell>
          <cell r="E306">
            <v>5290.322580645161</v>
          </cell>
          <cell r="F306">
            <v>1558451.6129032194</v>
          </cell>
          <cell r="G306">
            <v>20935.483870967742</v>
          </cell>
          <cell r="H306">
            <v>6143677.4193548569</v>
          </cell>
          <cell r="I306">
            <v>19354.83870967742</v>
          </cell>
          <cell r="J306">
            <v>5246774.1935483962</v>
          </cell>
          <cell r="K306">
            <v>3225.8064516129034</v>
          </cell>
          <cell r="L306">
            <v>1316129.0322580647</v>
          </cell>
          <cell r="M306">
            <v>22580.645161290326</v>
          </cell>
          <cell r="N306">
            <v>6562903.2258064663</v>
          </cell>
          <cell r="O306">
            <v>22580.645161290322</v>
          </cell>
          <cell r="P306">
            <v>6562903.2258064663</v>
          </cell>
          <cell r="Q306">
            <v>203870.96774193548</v>
          </cell>
          <cell r="R306">
            <v>56824769.585253462</v>
          </cell>
          <cell r="S306">
            <v>13.846412330006329</v>
          </cell>
          <cell r="T306">
            <v>4175.2055653663529</v>
          </cell>
          <cell r="U306">
            <v>5.7336559139824503</v>
          </cell>
          <cell r="V306">
            <v>1468.9501004307799</v>
          </cell>
          <cell r="W306">
            <v>0</v>
          </cell>
          <cell r="X306">
            <v>0</v>
          </cell>
          <cell r="Y306">
            <v>15967.741935483871</v>
          </cell>
          <cell r="Z306">
            <v>4564838.7096774345</v>
          </cell>
          <cell r="AA306">
            <v>4967.7419354838712</v>
          </cell>
          <cell r="AB306">
            <v>1578838.7096774159</v>
          </cell>
          <cell r="AC306">
            <v>0</v>
          </cell>
          <cell r="AD306">
            <v>0</v>
          </cell>
          <cell r="AE306">
            <v>153870.96774193548</v>
          </cell>
          <cell r="AF306">
            <v>42449354.838709779</v>
          </cell>
          <cell r="AG306">
            <v>50000</v>
          </cell>
          <cell r="AH306">
            <v>14350000.000000022</v>
          </cell>
        </row>
        <row r="307">
          <cell r="B307">
            <v>46301</v>
          </cell>
          <cell r="C307">
            <v>15645.161290322581</v>
          </cell>
          <cell r="D307">
            <v>4600870.9677419402</v>
          </cell>
          <cell r="E307">
            <v>5290.322580645161</v>
          </cell>
          <cell r="F307">
            <v>1563741.9354838645</v>
          </cell>
          <cell r="G307">
            <v>20935.483870967742</v>
          </cell>
          <cell r="H307">
            <v>6164612.9032258242</v>
          </cell>
          <cell r="I307">
            <v>19354.83870967742</v>
          </cell>
          <cell r="J307">
            <v>5266129.0322580738</v>
          </cell>
          <cell r="K307">
            <v>3225.8064516129034</v>
          </cell>
          <cell r="L307">
            <v>1319354.8387096776</v>
          </cell>
          <cell r="M307">
            <v>22580.645161290326</v>
          </cell>
          <cell r="N307">
            <v>6585483.870967757</v>
          </cell>
          <cell r="O307">
            <v>22580.645161290322</v>
          </cell>
          <cell r="P307">
            <v>6585483.870967757</v>
          </cell>
          <cell r="Q307">
            <v>203870.96774193548</v>
          </cell>
          <cell r="R307">
            <v>57028640.552995399</v>
          </cell>
          <cell r="S307">
            <v>13.846412330006329</v>
          </cell>
          <cell r="T307">
            <v>4189.0519776963592</v>
          </cell>
          <cell r="U307">
            <v>5.7336559139824503</v>
          </cell>
          <cell r="V307">
            <v>1474.6837563447623</v>
          </cell>
          <cell r="W307">
            <v>0</v>
          </cell>
          <cell r="X307">
            <v>0</v>
          </cell>
          <cell r="Y307">
            <v>15967.741935483871</v>
          </cell>
          <cell r="Z307">
            <v>4580806.4516129186</v>
          </cell>
          <cell r="AA307">
            <v>4967.7419354838712</v>
          </cell>
          <cell r="AB307">
            <v>1583806.4516128998</v>
          </cell>
          <cell r="AC307">
            <v>0</v>
          </cell>
          <cell r="AD307">
            <v>0</v>
          </cell>
          <cell r="AE307">
            <v>153870.96774193548</v>
          </cell>
          <cell r="AF307">
            <v>42603225.806451716</v>
          </cell>
          <cell r="AG307">
            <v>50000</v>
          </cell>
          <cell r="AH307">
            <v>14400000.000000022</v>
          </cell>
        </row>
        <row r="308">
          <cell r="B308">
            <v>46302</v>
          </cell>
          <cell r="C308">
            <v>15645.161290322581</v>
          </cell>
          <cell r="D308">
            <v>4616516.1290322626</v>
          </cell>
          <cell r="E308">
            <v>5290.322580645161</v>
          </cell>
          <cell r="F308">
            <v>1569032.2580645096</v>
          </cell>
          <cell r="G308">
            <v>20935.483870967742</v>
          </cell>
          <cell r="H308">
            <v>6185548.3870967915</v>
          </cell>
          <cell r="I308">
            <v>19354.83870967742</v>
          </cell>
          <cell r="J308">
            <v>5285483.8709677514</v>
          </cell>
          <cell r="K308">
            <v>3225.8064516129034</v>
          </cell>
          <cell r="L308">
            <v>1322580.6451612904</v>
          </cell>
          <cell r="M308">
            <v>22580.645161290326</v>
          </cell>
          <cell r="N308">
            <v>6608064.5161290476</v>
          </cell>
          <cell r="O308">
            <v>22580.645161290322</v>
          </cell>
          <cell r="P308">
            <v>6608064.5161290476</v>
          </cell>
          <cell r="Q308">
            <v>203870.96774193548</v>
          </cell>
          <cell r="R308">
            <v>57232511.520737335</v>
          </cell>
          <cell r="S308">
            <v>13.846412330006329</v>
          </cell>
          <cell r="T308">
            <v>4202.8983900263656</v>
          </cell>
          <cell r="U308">
            <v>5.7336559139824503</v>
          </cell>
          <cell r="V308">
            <v>1480.4174122587447</v>
          </cell>
          <cell r="W308">
            <v>0</v>
          </cell>
          <cell r="X308">
            <v>0</v>
          </cell>
          <cell r="Y308">
            <v>15967.741935483871</v>
          </cell>
          <cell r="Z308">
            <v>4596774.1935484027</v>
          </cell>
          <cell r="AA308">
            <v>4967.7419354838712</v>
          </cell>
          <cell r="AB308">
            <v>1588774.1935483837</v>
          </cell>
          <cell r="AC308">
            <v>0</v>
          </cell>
          <cell r="AD308">
            <v>0</v>
          </cell>
          <cell r="AE308">
            <v>153870.96774193548</v>
          </cell>
          <cell r="AF308">
            <v>42757096.774193652</v>
          </cell>
          <cell r="AG308">
            <v>50000</v>
          </cell>
          <cell r="AH308">
            <v>14450000.000000022</v>
          </cell>
        </row>
        <row r="309">
          <cell r="B309">
            <v>46303</v>
          </cell>
          <cell r="C309">
            <v>15645.161290322581</v>
          </cell>
          <cell r="D309">
            <v>4632161.290322585</v>
          </cell>
          <cell r="E309">
            <v>5290.322580645161</v>
          </cell>
          <cell r="F309">
            <v>1574322.5806451547</v>
          </cell>
          <cell r="G309">
            <v>20935.483870967742</v>
          </cell>
          <cell r="H309">
            <v>6206483.8709677588</v>
          </cell>
          <cell r="I309">
            <v>19354.83870967742</v>
          </cell>
          <cell r="J309">
            <v>5304838.7096774289</v>
          </cell>
          <cell r="K309">
            <v>3225.8064516129034</v>
          </cell>
          <cell r="L309">
            <v>1325806.4516129033</v>
          </cell>
          <cell r="M309">
            <v>22580.645161290326</v>
          </cell>
          <cell r="N309">
            <v>6630645.1612903383</v>
          </cell>
          <cell r="O309">
            <v>22580.645161290322</v>
          </cell>
          <cell r="P309">
            <v>6630645.1612903383</v>
          </cell>
          <cell r="Q309">
            <v>203870.96774193548</v>
          </cell>
          <cell r="R309">
            <v>57436382.488479272</v>
          </cell>
          <cell r="S309">
            <v>13.846412330006329</v>
          </cell>
          <cell r="T309">
            <v>4216.744802356372</v>
          </cell>
          <cell r="U309">
            <v>5.7336559139824503</v>
          </cell>
          <cell r="V309">
            <v>1486.151068172727</v>
          </cell>
          <cell r="W309">
            <v>0</v>
          </cell>
          <cell r="X309">
            <v>0</v>
          </cell>
          <cell r="Y309">
            <v>15967.741935483871</v>
          </cell>
          <cell r="Z309">
            <v>4612741.9354838869</v>
          </cell>
          <cell r="AA309">
            <v>4967.7419354838712</v>
          </cell>
          <cell r="AB309">
            <v>1593741.9354838675</v>
          </cell>
          <cell r="AC309">
            <v>0</v>
          </cell>
          <cell r="AD309">
            <v>0</v>
          </cell>
          <cell r="AE309">
            <v>153870.96774193548</v>
          </cell>
          <cell r="AF309">
            <v>42910967.741935588</v>
          </cell>
          <cell r="AG309">
            <v>50000</v>
          </cell>
          <cell r="AH309">
            <v>14500000.000000022</v>
          </cell>
        </row>
        <row r="310">
          <cell r="B310">
            <v>46304</v>
          </cell>
          <cell r="C310">
            <v>15645.161290322581</v>
          </cell>
          <cell r="D310">
            <v>4647806.4516129075</v>
          </cell>
          <cell r="E310">
            <v>5290.322580645161</v>
          </cell>
          <cell r="F310">
            <v>1579612.9032257998</v>
          </cell>
          <cell r="G310">
            <v>20935.483870967742</v>
          </cell>
          <cell r="H310">
            <v>6227419.3548387261</v>
          </cell>
          <cell r="I310">
            <v>19354.83870967742</v>
          </cell>
          <cell r="J310">
            <v>5324193.5483871065</v>
          </cell>
          <cell r="K310">
            <v>3225.8064516129034</v>
          </cell>
          <cell r="L310">
            <v>1329032.2580645161</v>
          </cell>
          <cell r="M310">
            <v>22580.645161290326</v>
          </cell>
          <cell r="N310">
            <v>6653225.8064516289</v>
          </cell>
          <cell r="O310">
            <v>22580.645161290322</v>
          </cell>
          <cell r="P310">
            <v>6653225.8064516289</v>
          </cell>
          <cell r="Q310">
            <v>203870.96774193548</v>
          </cell>
          <cell r="R310">
            <v>57640253.456221208</v>
          </cell>
          <cell r="S310">
            <v>13.846412330006329</v>
          </cell>
          <cell r="T310">
            <v>4230.5912146863784</v>
          </cell>
          <cell r="U310">
            <v>5.7336559139824503</v>
          </cell>
          <cell r="V310">
            <v>1491.8847240867094</v>
          </cell>
          <cell r="W310">
            <v>0</v>
          </cell>
          <cell r="X310">
            <v>0</v>
          </cell>
          <cell r="Y310">
            <v>15967.741935483871</v>
          </cell>
          <cell r="Z310">
            <v>4628709.677419371</v>
          </cell>
          <cell r="AA310">
            <v>4967.7419354838712</v>
          </cell>
          <cell r="AB310">
            <v>1598709.6774193514</v>
          </cell>
          <cell r="AC310">
            <v>0</v>
          </cell>
          <cell r="AD310">
            <v>0</v>
          </cell>
          <cell r="AE310">
            <v>153870.96774193548</v>
          </cell>
          <cell r="AF310">
            <v>43064838.709677525</v>
          </cell>
          <cell r="AG310">
            <v>50000</v>
          </cell>
          <cell r="AH310">
            <v>14550000.000000022</v>
          </cell>
        </row>
        <row r="311">
          <cell r="B311">
            <v>46305</v>
          </cell>
          <cell r="C311">
            <v>15645.161290322581</v>
          </cell>
          <cell r="D311">
            <v>4663451.6129032299</v>
          </cell>
          <cell r="E311">
            <v>5290.322580645161</v>
          </cell>
          <cell r="F311">
            <v>1584903.2258064449</v>
          </cell>
          <cell r="G311">
            <v>20935.483870967742</v>
          </cell>
          <cell r="H311">
            <v>6248354.8387096934</v>
          </cell>
          <cell r="I311">
            <v>19354.83870967742</v>
          </cell>
          <cell r="J311">
            <v>5343548.3870967841</v>
          </cell>
          <cell r="K311">
            <v>3225.8064516129034</v>
          </cell>
          <cell r="L311">
            <v>1332258.064516129</v>
          </cell>
          <cell r="M311">
            <v>22580.645161290326</v>
          </cell>
          <cell r="N311">
            <v>6675806.4516129196</v>
          </cell>
          <cell r="O311">
            <v>22580.645161290322</v>
          </cell>
          <cell r="P311">
            <v>6675806.4516129196</v>
          </cell>
          <cell r="Q311">
            <v>203870.96774193548</v>
          </cell>
          <cell r="R311">
            <v>57844124.423963144</v>
          </cell>
          <cell r="S311">
            <v>13.846412330006329</v>
          </cell>
          <cell r="T311">
            <v>4244.4376270163848</v>
          </cell>
          <cell r="U311">
            <v>5.7336559139824503</v>
          </cell>
          <cell r="V311">
            <v>1497.6183800006918</v>
          </cell>
          <cell r="W311">
            <v>0</v>
          </cell>
          <cell r="X311">
            <v>0</v>
          </cell>
          <cell r="Y311">
            <v>15967.741935483871</v>
          </cell>
          <cell r="Z311">
            <v>4644677.4193548551</v>
          </cell>
          <cell r="AA311">
            <v>4967.7419354838712</v>
          </cell>
          <cell r="AB311">
            <v>1603677.4193548353</v>
          </cell>
          <cell r="AC311">
            <v>0</v>
          </cell>
          <cell r="AD311">
            <v>0</v>
          </cell>
          <cell r="AE311">
            <v>153870.96774193548</v>
          </cell>
          <cell r="AF311">
            <v>43218709.677419461</v>
          </cell>
          <cell r="AG311">
            <v>50000</v>
          </cell>
          <cell r="AH311">
            <v>14600000.000000022</v>
          </cell>
        </row>
        <row r="312">
          <cell r="B312">
            <v>46306</v>
          </cell>
          <cell r="C312">
            <v>15645.161290322581</v>
          </cell>
          <cell r="D312">
            <v>4679096.7741935523</v>
          </cell>
          <cell r="E312">
            <v>5290.322580645161</v>
          </cell>
          <cell r="F312">
            <v>1590193.54838709</v>
          </cell>
          <cell r="G312">
            <v>20935.483870967742</v>
          </cell>
          <cell r="H312">
            <v>6269290.3225806607</v>
          </cell>
          <cell r="I312">
            <v>19354.83870967742</v>
          </cell>
          <cell r="J312">
            <v>5362903.2258064616</v>
          </cell>
          <cell r="K312">
            <v>3225.8064516129034</v>
          </cell>
          <cell r="L312">
            <v>1335483.8709677418</v>
          </cell>
          <cell r="M312">
            <v>22580.645161290326</v>
          </cell>
          <cell r="N312">
            <v>6698387.0967742102</v>
          </cell>
          <cell r="O312">
            <v>22580.645161290322</v>
          </cell>
          <cell r="P312">
            <v>6698387.0967742102</v>
          </cell>
          <cell r="Q312">
            <v>203870.96774193548</v>
          </cell>
          <cell r="R312">
            <v>58047995.391705081</v>
          </cell>
          <cell r="S312">
            <v>13.846412330006329</v>
          </cell>
          <cell r="T312">
            <v>4258.2840393463912</v>
          </cell>
          <cell r="U312">
            <v>5.7336559139824503</v>
          </cell>
          <cell r="V312">
            <v>1503.3520359146742</v>
          </cell>
          <cell r="W312">
            <v>0</v>
          </cell>
          <cell r="X312">
            <v>0</v>
          </cell>
          <cell r="Y312">
            <v>15967.741935483871</v>
          </cell>
          <cell r="Z312">
            <v>4660645.1612903392</v>
          </cell>
          <cell r="AA312">
            <v>4967.7419354838712</v>
          </cell>
          <cell r="AB312">
            <v>1608645.1612903192</v>
          </cell>
          <cell r="AC312">
            <v>0</v>
          </cell>
          <cell r="AD312">
            <v>0</v>
          </cell>
          <cell r="AE312">
            <v>153870.96774193548</v>
          </cell>
          <cell r="AF312">
            <v>43372580.645161398</v>
          </cell>
          <cell r="AG312">
            <v>50000</v>
          </cell>
          <cell r="AH312">
            <v>14650000.000000022</v>
          </cell>
        </row>
        <row r="313">
          <cell r="B313">
            <v>46307</v>
          </cell>
          <cell r="C313">
            <v>15645.161290322581</v>
          </cell>
          <cell r="D313">
            <v>4694741.9354838748</v>
          </cell>
          <cell r="E313">
            <v>5290.322580645161</v>
          </cell>
          <cell r="F313">
            <v>1595483.8709677351</v>
          </cell>
          <cell r="G313">
            <v>20935.483870967742</v>
          </cell>
          <cell r="H313">
            <v>6290225.806451628</v>
          </cell>
          <cell r="I313">
            <v>19354.83870967742</v>
          </cell>
          <cell r="J313">
            <v>5382258.0645161392</v>
          </cell>
          <cell r="K313">
            <v>3225.8064516129034</v>
          </cell>
          <cell r="L313">
            <v>1338709.6774193547</v>
          </cell>
          <cell r="M313">
            <v>22580.645161290326</v>
          </cell>
          <cell r="N313">
            <v>6720967.7419355009</v>
          </cell>
          <cell r="O313">
            <v>22580.645161290322</v>
          </cell>
          <cell r="P313">
            <v>6720967.7419355009</v>
          </cell>
          <cell r="Q313">
            <v>203870.96774193548</v>
          </cell>
          <cell r="R313">
            <v>58251866.359447017</v>
          </cell>
          <cell r="S313">
            <v>13.846412330006329</v>
          </cell>
          <cell r="T313">
            <v>4272.1304516763976</v>
          </cell>
          <cell r="U313">
            <v>5.7336559139824503</v>
          </cell>
          <cell r="V313">
            <v>1509.0856918286565</v>
          </cell>
          <cell r="W313">
            <v>0</v>
          </cell>
          <cell r="X313">
            <v>0</v>
          </cell>
          <cell r="Y313">
            <v>15967.741935483871</v>
          </cell>
          <cell r="Z313">
            <v>4676612.9032258233</v>
          </cell>
          <cell r="AA313">
            <v>4967.7419354838712</v>
          </cell>
          <cell r="AB313">
            <v>1613612.903225803</v>
          </cell>
          <cell r="AC313">
            <v>0</v>
          </cell>
          <cell r="AD313">
            <v>0</v>
          </cell>
          <cell r="AE313">
            <v>153870.96774193548</v>
          </cell>
          <cell r="AF313">
            <v>43526451.612903334</v>
          </cell>
          <cell r="AG313">
            <v>50000</v>
          </cell>
          <cell r="AH313">
            <v>14700000.000000022</v>
          </cell>
        </row>
        <row r="314">
          <cell r="B314">
            <v>46308</v>
          </cell>
          <cell r="C314">
            <v>15645.161290322581</v>
          </cell>
          <cell r="D314">
            <v>4710387.0967741972</v>
          </cell>
          <cell r="E314">
            <v>5290.322580645161</v>
          </cell>
          <cell r="F314">
            <v>1600774.1935483802</v>
          </cell>
          <cell r="G314">
            <v>20935.483870967742</v>
          </cell>
          <cell r="H314">
            <v>6311161.2903225953</v>
          </cell>
          <cell r="I314">
            <v>19354.83870967742</v>
          </cell>
          <cell r="J314">
            <v>5401612.9032258168</v>
          </cell>
          <cell r="K314">
            <v>3225.8064516129034</v>
          </cell>
          <cell r="L314">
            <v>1341935.4838709675</v>
          </cell>
          <cell r="M314">
            <v>22580.645161290326</v>
          </cell>
          <cell r="N314">
            <v>6743548.3870967915</v>
          </cell>
          <cell r="O314">
            <v>22580.645161290322</v>
          </cell>
          <cell r="P314">
            <v>6743548.3870967915</v>
          </cell>
          <cell r="Q314">
            <v>203870.96774193548</v>
          </cell>
          <cell r="R314">
            <v>58455737.327188954</v>
          </cell>
          <cell r="S314">
            <v>13.846412330006329</v>
          </cell>
          <cell r="T314">
            <v>4285.976864006404</v>
          </cell>
          <cell r="U314">
            <v>5.7336559139824503</v>
          </cell>
          <cell r="V314">
            <v>1514.8193477426389</v>
          </cell>
          <cell r="W314">
            <v>0</v>
          </cell>
          <cell r="X314">
            <v>0</v>
          </cell>
          <cell r="Y314">
            <v>15967.741935483871</v>
          </cell>
          <cell r="Z314">
            <v>4692580.6451613074</v>
          </cell>
          <cell r="AA314">
            <v>4967.7419354838712</v>
          </cell>
          <cell r="AB314">
            <v>1618580.6451612869</v>
          </cell>
          <cell r="AC314">
            <v>0</v>
          </cell>
          <cell r="AD314">
            <v>0</v>
          </cell>
          <cell r="AE314">
            <v>153870.96774193548</v>
          </cell>
          <cell r="AF314">
            <v>43680322.580645271</v>
          </cell>
          <cell r="AG314">
            <v>50000</v>
          </cell>
          <cell r="AH314">
            <v>14750000.000000022</v>
          </cell>
        </row>
        <row r="315">
          <cell r="B315">
            <v>46309</v>
          </cell>
          <cell r="C315">
            <v>15645.161290322581</v>
          </cell>
          <cell r="D315">
            <v>4726032.2580645196</v>
          </cell>
          <cell r="E315">
            <v>5290.322580645161</v>
          </cell>
          <cell r="F315">
            <v>1606064.5161290253</v>
          </cell>
          <cell r="G315">
            <v>20935.483870967742</v>
          </cell>
          <cell r="H315">
            <v>6332096.7741935626</v>
          </cell>
          <cell r="I315">
            <v>19354.83870967742</v>
          </cell>
          <cell r="J315">
            <v>5420967.7419354944</v>
          </cell>
          <cell r="K315">
            <v>3225.8064516129034</v>
          </cell>
          <cell r="L315">
            <v>1345161.2903225804</v>
          </cell>
          <cell r="M315">
            <v>22580.645161290326</v>
          </cell>
          <cell r="N315">
            <v>6766129.0322580822</v>
          </cell>
          <cell r="O315">
            <v>22580.645161290322</v>
          </cell>
          <cell r="P315">
            <v>6766129.0322580822</v>
          </cell>
          <cell r="Q315">
            <v>203870.96774193548</v>
          </cell>
          <cell r="R315">
            <v>58659608.29493089</v>
          </cell>
          <cell r="S315">
            <v>13.846412330006329</v>
          </cell>
          <cell r="T315">
            <v>4299.8232763364103</v>
          </cell>
          <cell r="U315">
            <v>5.7336559139824503</v>
          </cell>
          <cell r="V315">
            <v>1520.5530036566213</v>
          </cell>
          <cell r="W315">
            <v>0</v>
          </cell>
          <cell r="X315">
            <v>0</v>
          </cell>
          <cell r="Y315">
            <v>15967.741935483871</v>
          </cell>
          <cell r="Z315">
            <v>4708548.3870967915</v>
          </cell>
          <cell r="AA315">
            <v>4967.7419354838712</v>
          </cell>
          <cell r="AB315">
            <v>1623548.3870967708</v>
          </cell>
          <cell r="AC315">
            <v>0</v>
          </cell>
          <cell r="AD315">
            <v>0</v>
          </cell>
          <cell r="AE315">
            <v>153870.96774193548</v>
          </cell>
          <cell r="AF315">
            <v>43834193.548387207</v>
          </cell>
          <cell r="AG315">
            <v>50000</v>
          </cell>
          <cell r="AH315">
            <v>14800000.000000022</v>
          </cell>
        </row>
        <row r="316">
          <cell r="B316">
            <v>46310</v>
          </cell>
          <cell r="C316">
            <v>15645.161290322581</v>
          </cell>
          <cell r="D316">
            <v>4741677.419354842</v>
          </cell>
          <cell r="E316">
            <v>5290.322580645161</v>
          </cell>
          <cell r="F316">
            <v>1611354.8387096704</v>
          </cell>
          <cell r="G316">
            <v>20935.483870967742</v>
          </cell>
          <cell r="H316">
            <v>6353032.2580645299</v>
          </cell>
          <cell r="I316">
            <v>19354.83870967742</v>
          </cell>
          <cell r="J316">
            <v>5440322.5806451719</v>
          </cell>
          <cell r="K316">
            <v>3225.8064516129034</v>
          </cell>
          <cell r="L316">
            <v>1348387.0967741932</v>
          </cell>
          <cell r="M316">
            <v>22580.645161290326</v>
          </cell>
          <cell r="N316">
            <v>6788709.6774193728</v>
          </cell>
          <cell r="O316">
            <v>22580.645161290322</v>
          </cell>
          <cell r="P316">
            <v>6788709.6774193728</v>
          </cell>
          <cell r="Q316">
            <v>203870.96774193548</v>
          </cell>
          <cell r="R316">
            <v>58863479.262672827</v>
          </cell>
          <cell r="S316">
            <v>13.846412330006329</v>
          </cell>
          <cell r="T316">
            <v>4313.6696886664167</v>
          </cell>
          <cell r="U316">
            <v>5.7336559139824503</v>
          </cell>
          <cell r="V316">
            <v>1526.2866595706037</v>
          </cell>
          <cell r="W316">
            <v>0</v>
          </cell>
          <cell r="X316">
            <v>0</v>
          </cell>
          <cell r="Y316">
            <v>15967.741935483871</v>
          </cell>
          <cell r="Z316">
            <v>4724516.1290322756</v>
          </cell>
          <cell r="AA316">
            <v>4967.7419354838712</v>
          </cell>
          <cell r="AB316">
            <v>1628516.1290322547</v>
          </cell>
          <cell r="AC316">
            <v>0</v>
          </cell>
          <cell r="AD316">
            <v>0</v>
          </cell>
          <cell r="AE316">
            <v>153870.96774193548</v>
          </cell>
          <cell r="AF316">
            <v>43988064.516129144</v>
          </cell>
          <cell r="AG316">
            <v>50000</v>
          </cell>
          <cell r="AH316">
            <v>14850000.000000022</v>
          </cell>
        </row>
        <row r="317">
          <cell r="B317">
            <v>46311</v>
          </cell>
          <cell r="C317">
            <v>15645.161290322581</v>
          </cell>
          <cell r="D317">
            <v>4757322.5806451645</v>
          </cell>
          <cell r="E317">
            <v>5290.322580645161</v>
          </cell>
          <cell r="F317">
            <v>1616645.1612903154</v>
          </cell>
          <cell r="G317">
            <v>20935.483870967742</v>
          </cell>
          <cell r="H317">
            <v>6373967.7419354971</v>
          </cell>
          <cell r="I317">
            <v>19354.83870967742</v>
          </cell>
          <cell r="J317">
            <v>5459677.4193548495</v>
          </cell>
          <cell r="K317">
            <v>3225.8064516129034</v>
          </cell>
          <cell r="L317">
            <v>1351612.9032258061</v>
          </cell>
          <cell r="M317">
            <v>22580.645161290326</v>
          </cell>
          <cell r="N317">
            <v>6811290.3225806635</v>
          </cell>
          <cell r="O317">
            <v>22580.645161290322</v>
          </cell>
          <cell r="P317">
            <v>6811290.3225806635</v>
          </cell>
          <cell r="Q317">
            <v>203870.96774193548</v>
          </cell>
          <cell r="R317">
            <v>59067350.230414763</v>
          </cell>
          <cell r="S317">
            <v>13.846412330006329</v>
          </cell>
          <cell r="T317">
            <v>4327.5161009964231</v>
          </cell>
          <cell r="U317">
            <v>5.7336559139824503</v>
          </cell>
          <cell r="V317">
            <v>1532.020315484586</v>
          </cell>
          <cell r="W317">
            <v>0</v>
          </cell>
          <cell r="X317">
            <v>0</v>
          </cell>
          <cell r="Y317">
            <v>15967.741935483871</v>
          </cell>
          <cell r="Z317">
            <v>4740483.8709677598</v>
          </cell>
          <cell r="AA317">
            <v>4967.7419354838712</v>
          </cell>
          <cell r="AB317">
            <v>1633483.8709677386</v>
          </cell>
          <cell r="AC317">
            <v>0</v>
          </cell>
          <cell r="AD317">
            <v>0</v>
          </cell>
          <cell r="AE317">
            <v>153870.96774193548</v>
          </cell>
          <cell r="AF317">
            <v>44141935.48387108</v>
          </cell>
          <cell r="AG317">
            <v>50000</v>
          </cell>
          <cell r="AH317">
            <v>14900000.000000022</v>
          </cell>
        </row>
        <row r="318">
          <cell r="B318">
            <v>46312</v>
          </cell>
          <cell r="C318">
            <v>15645.161290322581</v>
          </cell>
          <cell r="D318">
            <v>4772967.7419354869</v>
          </cell>
          <cell r="E318">
            <v>5290.322580645161</v>
          </cell>
          <cell r="F318">
            <v>1621935.4838709605</v>
          </cell>
          <cell r="G318">
            <v>20935.483870967742</v>
          </cell>
          <cell r="H318">
            <v>6394903.2258064644</v>
          </cell>
          <cell r="I318">
            <v>19354.83870967742</v>
          </cell>
          <cell r="J318">
            <v>5479032.2580645271</v>
          </cell>
          <cell r="K318">
            <v>3225.8064516129034</v>
          </cell>
          <cell r="L318">
            <v>1354838.7096774189</v>
          </cell>
          <cell r="M318">
            <v>22580.645161290326</v>
          </cell>
          <cell r="N318">
            <v>6833870.9677419541</v>
          </cell>
          <cell r="O318">
            <v>22580.645161290322</v>
          </cell>
          <cell r="P318">
            <v>6833870.9677419541</v>
          </cell>
          <cell r="Q318">
            <v>203870.96774193548</v>
          </cell>
          <cell r="R318">
            <v>59271221.1981567</v>
          </cell>
          <cell r="S318">
            <v>13.846412330006329</v>
          </cell>
          <cell r="T318">
            <v>4341.3625133264295</v>
          </cell>
          <cell r="U318">
            <v>5.7336559139824503</v>
          </cell>
          <cell r="V318">
            <v>1537.7539713985684</v>
          </cell>
          <cell r="W318">
            <v>0</v>
          </cell>
          <cell r="X318">
            <v>0</v>
          </cell>
          <cell r="Y318">
            <v>15967.741935483871</v>
          </cell>
          <cell r="Z318">
            <v>4756451.6129032439</v>
          </cell>
          <cell r="AA318">
            <v>4967.7419354838712</v>
          </cell>
          <cell r="AB318">
            <v>1638451.6129032224</v>
          </cell>
          <cell r="AC318">
            <v>0</v>
          </cell>
          <cell r="AD318">
            <v>0</v>
          </cell>
          <cell r="AE318">
            <v>153870.96774193548</v>
          </cell>
          <cell r="AF318">
            <v>44295806.451613016</v>
          </cell>
          <cell r="AG318">
            <v>50000</v>
          </cell>
          <cell r="AH318">
            <v>14950000.000000022</v>
          </cell>
        </row>
        <row r="319">
          <cell r="B319">
            <v>46313</v>
          </cell>
          <cell r="C319">
            <v>15645.161290322581</v>
          </cell>
          <cell r="D319">
            <v>4788612.9032258093</v>
          </cell>
          <cell r="E319">
            <v>5290.322580645161</v>
          </cell>
          <cell r="F319">
            <v>1627225.8064516056</v>
          </cell>
          <cell r="G319">
            <v>20935.483870967742</v>
          </cell>
          <cell r="H319">
            <v>6415838.7096774317</v>
          </cell>
          <cell r="I319">
            <v>19354.83870967742</v>
          </cell>
          <cell r="J319">
            <v>5498387.0967742046</v>
          </cell>
          <cell r="K319">
            <v>3225.8064516129034</v>
          </cell>
          <cell r="L319">
            <v>1358064.5161290318</v>
          </cell>
          <cell r="M319">
            <v>22580.645161290326</v>
          </cell>
          <cell r="N319">
            <v>6856451.6129032448</v>
          </cell>
          <cell r="O319">
            <v>22580.645161290322</v>
          </cell>
          <cell r="P319">
            <v>6856451.6129032448</v>
          </cell>
          <cell r="Q319">
            <v>203870.96774193548</v>
          </cell>
          <cell r="R319">
            <v>59475092.165898636</v>
          </cell>
          <cell r="S319">
            <v>13.846412330006329</v>
          </cell>
          <cell r="T319">
            <v>4355.2089256564359</v>
          </cell>
          <cell r="U319">
            <v>5.7336559139824503</v>
          </cell>
          <cell r="V319">
            <v>1543.4876273125508</v>
          </cell>
          <cell r="W319">
            <v>0</v>
          </cell>
          <cell r="X319">
            <v>0</v>
          </cell>
          <cell r="Y319">
            <v>15967.741935483871</v>
          </cell>
          <cell r="Z319">
            <v>4772419.354838728</v>
          </cell>
          <cell r="AA319">
            <v>4967.7419354838712</v>
          </cell>
          <cell r="AB319">
            <v>1643419.3548387063</v>
          </cell>
          <cell r="AC319">
            <v>0</v>
          </cell>
          <cell r="AD319">
            <v>0</v>
          </cell>
          <cell r="AE319">
            <v>153870.96774193548</v>
          </cell>
          <cell r="AF319">
            <v>44449677.419354953</v>
          </cell>
          <cell r="AG319">
            <v>50000</v>
          </cell>
          <cell r="AH319">
            <v>15000000.000000022</v>
          </cell>
        </row>
        <row r="320">
          <cell r="B320">
            <v>46314</v>
          </cell>
          <cell r="C320">
            <v>15645.161290322581</v>
          </cell>
          <cell r="D320">
            <v>4804258.0645161318</v>
          </cell>
          <cell r="E320">
            <v>5290.322580645161</v>
          </cell>
          <cell r="F320">
            <v>1632516.1290322507</v>
          </cell>
          <cell r="G320">
            <v>20935.483870967742</v>
          </cell>
          <cell r="H320">
            <v>6436774.193548399</v>
          </cell>
          <cell r="I320">
            <v>19354.83870967742</v>
          </cell>
          <cell r="J320">
            <v>5517741.9354838822</v>
          </cell>
          <cell r="K320">
            <v>3225.8064516129034</v>
          </cell>
          <cell r="L320">
            <v>1361290.3225806446</v>
          </cell>
          <cell r="M320">
            <v>22580.645161290326</v>
          </cell>
          <cell r="N320">
            <v>6879032.2580645354</v>
          </cell>
          <cell r="O320">
            <v>22580.645161290322</v>
          </cell>
          <cell r="P320">
            <v>6879032.2580645354</v>
          </cell>
          <cell r="Q320">
            <v>203870.96774193548</v>
          </cell>
          <cell r="R320">
            <v>59678963.133640572</v>
          </cell>
          <cell r="S320">
            <v>13.846412330006329</v>
          </cell>
          <cell r="T320">
            <v>4369.0553379864423</v>
          </cell>
          <cell r="U320">
            <v>5.7336559139824503</v>
          </cell>
          <cell r="V320">
            <v>1549.2212832265332</v>
          </cell>
          <cell r="W320">
            <v>0</v>
          </cell>
          <cell r="X320">
            <v>0</v>
          </cell>
          <cell r="Y320">
            <v>15967.741935483871</v>
          </cell>
          <cell r="Z320">
            <v>4788387.0967742121</v>
          </cell>
          <cell r="AA320">
            <v>4967.7419354838712</v>
          </cell>
          <cell r="AB320">
            <v>1648387.0967741902</v>
          </cell>
          <cell r="AC320">
            <v>0</v>
          </cell>
          <cell r="AD320">
            <v>0</v>
          </cell>
          <cell r="AE320">
            <v>153870.96774193548</v>
          </cell>
          <cell r="AF320">
            <v>44603548.387096889</v>
          </cell>
          <cell r="AG320">
            <v>50000</v>
          </cell>
          <cell r="AH320">
            <v>15050000.000000022</v>
          </cell>
        </row>
        <row r="321">
          <cell r="B321">
            <v>46315</v>
          </cell>
          <cell r="C321">
            <v>15645.161290322581</v>
          </cell>
          <cell r="D321">
            <v>4819903.2258064542</v>
          </cell>
          <cell r="E321">
            <v>5290.322580645161</v>
          </cell>
          <cell r="F321">
            <v>1637806.4516128958</v>
          </cell>
          <cell r="G321">
            <v>20935.483870967742</v>
          </cell>
          <cell r="H321">
            <v>6457709.6774193663</v>
          </cell>
          <cell r="I321">
            <v>19354.83870967742</v>
          </cell>
          <cell r="J321">
            <v>5537096.7741935598</v>
          </cell>
          <cell r="K321">
            <v>3225.8064516129034</v>
          </cell>
          <cell r="L321">
            <v>1364516.1290322575</v>
          </cell>
          <cell r="M321">
            <v>22580.645161290326</v>
          </cell>
          <cell r="N321">
            <v>6901612.9032258261</v>
          </cell>
          <cell r="O321">
            <v>22580.645161290322</v>
          </cell>
          <cell r="P321">
            <v>6901612.9032258261</v>
          </cell>
          <cell r="Q321">
            <v>203870.96774193548</v>
          </cell>
          <cell r="R321">
            <v>59882834.101382509</v>
          </cell>
          <cell r="S321">
            <v>13.846412330006329</v>
          </cell>
          <cell r="T321">
            <v>4382.9017503164487</v>
          </cell>
          <cell r="U321">
            <v>5.7336559139824503</v>
          </cell>
          <cell r="V321">
            <v>1554.9549391405155</v>
          </cell>
          <cell r="W321">
            <v>0</v>
          </cell>
          <cell r="X321">
            <v>0</v>
          </cell>
          <cell r="Y321">
            <v>15967.741935483871</v>
          </cell>
          <cell r="Z321">
            <v>4804354.8387096962</v>
          </cell>
          <cell r="AA321">
            <v>4967.7419354838712</v>
          </cell>
          <cell r="AB321">
            <v>1653354.8387096741</v>
          </cell>
          <cell r="AC321">
            <v>0</v>
          </cell>
          <cell r="AD321">
            <v>0</v>
          </cell>
          <cell r="AE321">
            <v>153870.96774193548</v>
          </cell>
          <cell r="AF321">
            <v>44757419.354838826</v>
          </cell>
          <cell r="AG321">
            <v>50000</v>
          </cell>
          <cell r="AH321">
            <v>15100000.000000022</v>
          </cell>
        </row>
        <row r="322">
          <cell r="B322">
            <v>46316</v>
          </cell>
          <cell r="C322">
            <v>15645.161290322581</v>
          </cell>
          <cell r="D322">
            <v>4835548.3870967766</v>
          </cell>
          <cell r="E322">
            <v>5290.322580645161</v>
          </cell>
          <cell r="F322">
            <v>1643096.7741935409</v>
          </cell>
          <cell r="G322">
            <v>20935.483870967742</v>
          </cell>
          <cell r="H322">
            <v>6478645.1612903336</v>
          </cell>
          <cell r="I322">
            <v>19354.83870967742</v>
          </cell>
          <cell r="J322">
            <v>5556451.6129032373</v>
          </cell>
          <cell r="K322">
            <v>3225.8064516129034</v>
          </cell>
          <cell r="L322">
            <v>1367741.9354838703</v>
          </cell>
          <cell r="M322">
            <v>22580.645161290326</v>
          </cell>
          <cell r="N322">
            <v>6924193.5483871168</v>
          </cell>
          <cell r="O322">
            <v>22580.645161290322</v>
          </cell>
          <cell r="P322">
            <v>6924193.5483871168</v>
          </cell>
          <cell r="Q322">
            <v>203870.96774193548</v>
          </cell>
          <cell r="R322">
            <v>60086705.069124445</v>
          </cell>
          <cell r="S322">
            <v>13.846412330006329</v>
          </cell>
          <cell r="T322">
            <v>4396.7481626464551</v>
          </cell>
          <cell r="U322">
            <v>5.7336559139824503</v>
          </cell>
          <cell r="V322">
            <v>1560.6885950544979</v>
          </cell>
          <cell r="W322">
            <v>0</v>
          </cell>
          <cell r="X322">
            <v>0</v>
          </cell>
          <cell r="Y322">
            <v>15967.741935483871</v>
          </cell>
          <cell r="Z322">
            <v>4820322.5806451803</v>
          </cell>
          <cell r="AA322">
            <v>4967.7419354838712</v>
          </cell>
          <cell r="AB322">
            <v>1658322.580645158</v>
          </cell>
          <cell r="AC322">
            <v>0</v>
          </cell>
          <cell r="AD322">
            <v>0</v>
          </cell>
          <cell r="AE322">
            <v>153870.96774193548</v>
          </cell>
          <cell r="AF322">
            <v>44911290.322580762</v>
          </cell>
          <cell r="AG322">
            <v>50000</v>
          </cell>
          <cell r="AH322">
            <v>15150000.000000022</v>
          </cell>
        </row>
        <row r="323">
          <cell r="B323">
            <v>46317</v>
          </cell>
          <cell r="C323">
            <v>15645.161290322581</v>
          </cell>
          <cell r="D323">
            <v>4851193.5483870991</v>
          </cell>
          <cell r="E323">
            <v>5290.322580645161</v>
          </cell>
          <cell r="F323">
            <v>1648387.096774186</v>
          </cell>
          <cell r="G323">
            <v>20935.483870967742</v>
          </cell>
          <cell r="H323">
            <v>6499580.6451613009</v>
          </cell>
          <cell r="I323">
            <v>19354.83870967742</v>
          </cell>
          <cell r="J323">
            <v>5575806.4516129149</v>
          </cell>
          <cell r="K323">
            <v>3225.8064516129034</v>
          </cell>
          <cell r="L323">
            <v>1370967.7419354832</v>
          </cell>
          <cell r="M323">
            <v>22580.645161290326</v>
          </cell>
          <cell r="N323">
            <v>6946774.1935484074</v>
          </cell>
          <cell r="O323">
            <v>22580.645161290322</v>
          </cell>
          <cell r="P323">
            <v>6946774.1935484074</v>
          </cell>
          <cell r="Q323">
            <v>203870.96774193548</v>
          </cell>
          <cell r="R323">
            <v>60290576.036866382</v>
          </cell>
          <cell r="S323">
            <v>13.846412330006329</v>
          </cell>
          <cell r="T323">
            <v>4410.5945749764614</v>
          </cell>
          <cell r="U323">
            <v>5.7336559139824503</v>
          </cell>
          <cell r="V323">
            <v>1566.4222509684803</v>
          </cell>
          <cell r="W323">
            <v>0</v>
          </cell>
          <cell r="X323">
            <v>0</v>
          </cell>
          <cell r="Y323">
            <v>15967.741935483871</v>
          </cell>
          <cell r="Z323">
            <v>4836290.3225806644</v>
          </cell>
          <cell r="AA323">
            <v>4967.7419354838712</v>
          </cell>
          <cell r="AB323">
            <v>1663290.3225806418</v>
          </cell>
          <cell r="AC323">
            <v>0</v>
          </cell>
          <cell r="AD323">
            <v>0</v>
          </cell>
          <cell r="AE323">
            <v>153870.96774193548</v>
          </cell>
          <cell r="AF323">
            <v>45065161.290322699</v>
          </cell>
          <cell r="AG323">
            <v>50000</v>
          </cell>
          <cell r="AH323">
            <v>15200000.000000022</v>
          </cell>
        </row>
        <row r="324">
          <cell r="B324">
            <v>46318</v>
          </cell>
          <cell r="C324">
            <v>15645.161290322581</v>
          </cell>
          <cell r="D324">
            <v>4866838.7096774215</v>
          </cell>
          <cell r="E324">
            <v>5290.322580645161</v>
          </cell>
          <cell r="F324">
            <v>1653677.4193548311</v>
          </cell>
          <cell r="G324">
            <v>20935.483870967742</v>
          </cell>
          <cell r="H324">
            <v>6520516.1290322682</v>
          </cell>
          <cell r="I324">
            <v>19354.83870967742</v>
          </cell>
          <cell r="J324">
            <v>5595161.2903225925</v>
          </cell>
          <cell r="K324">
            <v>3225.8064516129034</v>
          </cell>
          <cell r="L324">
            <v>1374193.548387096</v>
          </cell>
          <cell r="M324">
            <v>22580.645161290326</v>
          </cell>
          <cell r="N324">
            <v>6969354.8387096981</v>
          </cell>
          <cell r="O324">
            <v>22580.645161290322</v>
          </cell>
          <cell r="P324">
            <v>6969354.8387096981</v>
          </cell>
          <cell r="Q324">
            <v>203870.96774193548</v>
          </cell>
          <cell r="R324">
            <v>60494447.004608318</v>
          </cell>
          <cell r="S324">
            <v>13.846412330006329</v>
          </cell>
          <cell r="T324">
            <v>4424.4409873064678</v>
          </cell>
          <cell r="U324">
            <v>5.7336559139824503</v>
          </cell>
          <cell r="V324">
            <v>1572.1559068824627</v>
          </cell>
          <cell r="W324">
            <v>0</v>
          </cell>
          <cell r="X324">
            <v>0</v>
          </cell>
          <cell r="Y324">
            <v>15967.741935483871</v>
          </cell>
          <cell r="Z324">
            <v>4852258.0645161485</v>
          </cell>
          <cell r="AA324">
            <v>4967.7419354838712</v>
          </cell>
          <cell r="AB324">
            <v>1668258.0645161257</v>
          </cell>
          <cell r="AC324">
            <v>0</v>
          </cell>
          <cell r="AD324">
            <v>0</v>
          </cell>
          <cell r="AE324">
            <v>153870.96774193548</v>
          </cell>
          <cell r="AF324">
            <v>45219032.258064635</v>
          </cell>
          <cell r="AG324">
            <v>50000</v>
          </cell>
          <cell r="AH324">
            <v>15250000.000000022</v>
          </cell>
        </row>
        <row r="325">
          <cell r="B325">
            <v>46319</v>
          </cell>
          <cell r="C325">
            <v>15645.161290322581</v>
          </cell>
          <cell r="D325">
            <v>4882483.8709677439</v>
          </cell>
          <cell r="E325">
            <v>5290.322580645161</v>
          </cell>
          <cell r="F325">
            <v>1658967.7419354762</v>
          </cell>
          <cell r="G325">
            <v>20935.483870967742</v>
          </cell>
          <cell r="H325">
            <v>6541451.6129032355</v>
          </cell>
          <cell r="I325">
            <v>19354.83870967742</v>
          </cell>
          <cell r="J325">
            <v>5614516.1290322701</v>
          </cell>
          <cell r="K325">
            <v>3225.8064516129034</v>
          </cell>
          <cell r="L325">
            <v>1377419.3548387089</v>
          </cell>
          <cell r="M325">
            <v>22580.645161290326</v>
          </cell>
          <cell r="N325">
            <v>6991935.4838709887</v>
          </cell>
          <cell r="O325">
            <v>22580.645161290322</v>
          </cell>
          <cell r="P325">
            <v>6991935.4838709887</v>
          </cell>
          <cell r="Q325">
            <v>203870.96774193548</v>
          </cell>
          <cell r="R325">
            <v>60698317.972350255</v>
          </cell>
          <cell r="S325">
            <v>13.846412330006329</v>
          </cell>
          <cell r="T325">
            <v>4438.2873996364742</v>
          </cell>
          <cell r="U325">
            <v>5.7336559139824503</v>
          </cell>
          <cell r="V325">
            <v>1577.889562796445</v>
          </cell>
          <cell r="W325">
            <v>0</v>
          </cell>
          <cell r="X325">
            <v>0</v>
          </cell>
          <cell r="Y325">
            <v>15967.741935483871</v>
          </cell>
          <cell r="Z325">
            <v>4868225.8064516326</v>
          </cell>
          <cell r="AA325">
            <v>4967.7419354838712</v>
          </cell>
          <cell r="AB325">
            <v>1673225.8064516096</v>
          </cell>
          <cell r="AC325">
            <v>0</v>
          </cell>
          <cell r="AD325">
            <v>0</v>
          </cell>
          <cell r="AE325">
            <v>153870.96774193548</v>
          </cell>
          <cell r="AF325">
            <v>45372903.225806572</v>
          </cell>
          <cell r="AG325">
            <v>50000</v>
          </cell>
          <cell r="AH325">
            <v>15300000.000000022</v>
          </cell>
        </row>
        <row r="326">
          <cell r="B326">
            <v>46320</v>
          </cell>
          <cell r="C326">
            <v>15645.161290322581</v>
          </cell>
          <cell r="D326">
            <v>4898129.0322580663</v>
          </cell>
          <cell r="E326">
            <v>5290.322580645161</v>
          </cell>
          <cell r="F326">
            <v>1664258.0645161213</v>
          </cell>
          <cell r="G326">
            <v>20935.483870967742</v>
          </cell>
          <cell r="H326">
            <v>6562387.0967742028</v>
          </cell>
          <cell r="I326">
            <v>19354.83870967742</v>
          </cell>
          <cell r="J326">
            <v>5633870.9677419476</v>
          </cell>
          <cell r="K326">
            <v>3225.8064516129034</v>
          </cell>
          <cell r="L326">
            <v>1380645.1612903217</v>
          </cell>
          <cell r="M326">
            <v>22580.645161290326</v>
          </cell>
          <cell r="N326">
            <v>7014516.1290322794</v>
          </cell>
          <cell r="O326">
            <v>22580.645161290322</v>
          </cell>
          <cell r="P326">
            <v>7014516.1290322794</v>
          </cell>
          <cell r="Q326">
            <v>203870.96774193548</v>
          </cell>
          <cell r="R326">
            <v>60902188.940092191</v>
          </cell>
          <cell r="S326">
            <v>13.846412330006329</v>
          </cell>
          <cell r="T326">
            <v>4452.1338119664806</v>
          </cell>
          <cell r="U326">
            <v>5.7336559139824503</v>
          </cell>
          <cell r="V326">
            <v>1583.6232187104274</v>
          </cell>
          <cell r="W326">
            <v>0</v>
          </cell>
          <cell r="X326">
            <v>0</v>
          </cell>
          <cell r="Y326">
            <v>15967.741935483871</v>
          </cell>
          <cell r="Z326">
            <v>4884193.5483871168</v>
          </cell>
          <cell r="AA326">
            <v>4967.7419354838712</v>
          </cell>
          <cell r="AB326">
            <v>1678193.5483870935</v>
          </cell>
          <cell r="AC326">
            <v>0</v>
          </cell>
          <cell r="AD326">
            <v>0</v>
          </cell>
          <cell r="AE326">
            <v>153870.96774193548</v>
          </cell>
          <cell r="AF326">
            <v>45526774.193548508</v>
          </cell>
          <cell r="AG326">
            <v>50000</v>
          </cell>
          <cell r="AH326">
            <v>15350000.000000022</v>
          </cell>
        </row>
        <row r="327">
          <cell r="B327">
            <v>46321</v>
          </cell>
          <cell r="C327">
            <v>15645.161290322581</v>
          </cell>
          <cell r="D327">
            <v>4913774.1935483888</v>
          </cell>
          <cell r="E327">
            <v>5290.322580645161</v>
          </cell>
          <cell r="F327">
            <v>1669548.3870967664</v>
          </cell>
          <cell r="G327">
            <v>20935.483870967742</v>
          </cell>
          <cell r="H327">
            <v>6583322.5806451701</v>
          </cell>
          <cell r="I327">
            <v>19354.83870967742</v>
          </cell>
          <cell r="J327">
            <v>5653225.8064516252</v>
          </cell>
          <cell r="K327">
            <v>3225.8064516129034</v>
          </cell>
          <cell r="L327">
            <v>1383870.9677419346</v>
          </cell>
          <cell r="M327">
            <v>22580.645161290326</v>
          </cell>
          <cell r="N327">
            <v>7037096.77419357</v>
          </cell>
          <cell r="O327">
            <v>22580.645161290322</v>
          </cell>
          <cell r="P327">
            <v>7037096.77419357</v>
          </cell>
          <cell r="Q327">
            <v>203870.96774193548</v>
          </cell>
          <cell r="R327">
            <v>61106059.907834128</v>
          </cell>
          <cell r="S327">
            <v>13.846412330006329</v>
          </cell>
          <cell r="T327">
            <v>4465.980224296487</v>
          </cell>
          <cell r="U327">
            <v>5.7336559139824503</v>
          </cell>
          <cell r="V327">
            <v>1589.3568746244098</v>
          </cell>
          <cell r="W327">
            <v>0</v>
          </cell>
          <cell r="X327">
            <v>0</v>
          </cell>
          <cell r="Y327">
            <v>15967.741935483871</v>
          </cell>
          <cell r="Z327">
            <v>4900161.2903226009</v>
          </cell>
          <cell r="AA327">
            <v>4967.7419354838712</v>
          </cell>
          <cell r="AB327">
            <v>1683161.2903225773</v>
          </cell>
          <cell r="AC327">
            <v>0</v>
          </cell>
          <cell r="AD327">
            <v>0</v>
          </cell>
          <cell r="AE327">
            <v>153870.96774193548</v>
          </cell>
          <cell r="AF327">
            <v>45680645.161290444</v>
          </cell>
          <cell r="AG327">
            <v>50000</v>
          </cell>
          <cell r="AH327">
            <v>15400000.000000022</v>
          </cell>
        </row>
        <row r="328">
          <cell r="B328">
            <v>46322</v>
          </cell>
          <cell r="C328">
            <v>15645.161290322581</v>
          </cell>
          <cell r="D328">
            <v>4929419.3548387112</v>
          </cell>
          <cell r="E328">
            <v>5290.322580645161</v>
          </cell>
          <cell r="F328">
            <v>1674838.7096774115</v>
          </cell>
          <cell r="G328">
            <v>20935.483870967742</v>
          </cell>
          <cell r="H328">
            <v>6604258.0645161374</v>
          </cell>
          <cell r="I328">
            <v>19354.83870967742</v>
          </cell>
          <cell r="J328">
            <v>5672580.6451613028</v>
          </cell>
          <cell r="K328">
            <v>3225.8064516129034</v>
          </cell>
          <cell r="L328">
            <v>1387096.7741935474</v>
          </cell>
          <cell r="M328">
            <v>22580.645161290326</v>
          </cell>
          <cell r="N328">
            <v>7059677.4193548607</v>
          </cell>
          <cell r="O328">
            <v>22580.645161290322</v>
          </cell>
          <cell r="P328">
            <v>7059677.4193548607</v>
          </cell>
          <cell r="Q328">
            <v>203870.96774193548</v>
          </cell>
          <cell r="R328">
            <v>61309930.875576064</v>
          </cell>
          <cell r="S328">
            <v>13.846412330006329</v>
          </cell>
          <cell r="T328">
            <v>4479.8266366264934</v>
          </cell>
          <cell r="U328">
            <v>5.7336559139824503</v>
          </cell>
          <cell r="V328">
            <v>1595.0905305383922</v>
          </cell>
          <cell r="W328">
            <v>0</v>
          </cell>
          <cell r="X328">
            <v>0</v>
          </cell>
          <cell r="Y328">
            <v>15967.741935483871</v>
          </cell>
          <cell r="Z328">
            <v>4916129.032258085</v>
          </cell>
          <cell r="AA328">
            <v>4967.7419354838712</v>
          </cell>
          <cell r="AB328">
            <v>1688129.0322580612</v>
          </cell>
          <cell r="AC328">
            <v>0</v>
          </cell>
          <cell r="AD328">
            <v>0</v>
          </cell>
          <cell r="AE328">
            <v>153870.96774193548</v>
          </cell>
          <cell r="AF328">
            <v>45834516.129032381</v>
          </cell>
          <cell r="AG328">
            <v>50000</v>
          </cell>
          <cell r="AH328">
            <v>15450000.000000022</v>
          </cell>
        </row>
        <row r="329">
          <cell r="B329">
            <v>46323</v>
          </cell>
          <cell r="C329">
            <v>15645.161290322581</v>
          </cell>
          <cell r="D329">
            <v>4945064.5161290336</v>
          </cell>
          <cell r="E329">
            <v>5290.322580645161</v>
          </cell>
          <cell r="F329">
            <v>1680129.0322580566</v>
          </cell>
          <cell r="G329">
            <v>20935.483870967742</v>
          </cell>
          <cell r="H329">
            <v>6625193.5483871046</v>
          </cell>
          <cell r="I329">
            <v>19354.83870967742</v>
          </cell>
          <cell r="J329">
            <v>5691935.4838709803</v>
          </cell>
          <cell r="K329">
            <v>3225.8064516129034</v>
          </cell>
          <cell r="L329">
            <v>1390322.5806451603</v>
          </cell>
          <cell r="M329">
            <v>22580.645161290326</v>
          </cell>
          <cell r="N329">
            <v>7082258.0645161513</v>
          </cell>
          <cell r="O329">
            <v>22580.645161290322</v>
          </cell>
          <cell r="P329">
            <v>7082258.0645161513</v>
          </cell>
          <cell r="Q329">
            <v>203870.96774193548</v>
          </cell>
          <cell r="R329">
            <v>61513801.843318</v>
          </cell>
          <cell r="S329">
            <v>13.846412330006329</v>
          </cell>
          <cell r="T329">
            <v>4493.6730489564998</v>
          </cell>
          <cell r="U329">
            <v>5.7336559139824503</v>
          </cell>
          <cell r="V329">
            <v>1600.8241864523745</v>
          </cell>
          <cell r="W329">
            <v>0</v>
          </cell>
          <cell r="X329">
            <v>0</v>
          </cell>
          <cell r="Y329">
            <v>15967.741935483871</v>
          </cell>
          <cell r="Z329">
            <v>4932096.7741935691</v>
          </cell>
          <cell r="AA329">
            <v>4967.7419354838712</v>
          </cell>
          <cell r="AB329">
            <v>1693096.7741935451</v>
          </cell>
          <cell r="AC329">
            <v>0</v>
          </cell>
          <cell r="AD329">
            <v>0</v>
          </cell>
          <cell r="AE329">
            <v>153870.96774193548</v>
          </cell>
          <cell r="AF329">
            <v>45988387.096774317</v>
          </cell>
          <cell r="AG329">
            <v>50000</v>
          </cell>
          <cell r="AH329">
            <v>15500000.000000022</v>
          </cell>
        </row>
        <row r="330">
          <cell r="B330">
            <v>46324</v>
          </cell>
          <cell r="C330">
            <v>15645.161290322581</v>
          </cell>
          <cell r="D330">
            <v>4960709.6774193561</v>
          </cell>
          <cell r="E330">
            <v>5290.322580645161</v>
          </cell>
          <cell r="F330">
            <v>1685419.3548387017</v>
          </cell>
          <cell r="G330">
            <v>20935.483870967742</v>
          </cell>
          <cell r="H330">
            <v>6646129.0322580719</v>
          </cell>
          <cell r="I330">
            <v>19354.83870967742</v>
          </cell>
          <cell r="J330">
            <v>5711290.3225806579</v>
          </cell>
          <cell r="K330">
            <v>3225.8064516129034</v>
          </cell>
          <cell r="L330">
            <v>1393548.3870967731</v>
          </cell>
          <cell r="M330">
            <v>22580.645161290326</v>
          </cell>
          <cell r="N330">
            <v>7104838.709677442</v>
          </cell>
          <cell r="O330">
            <v>22580.645161290322</v>
          </cell>
          <cell r="P330">
            <v>7104838.709677442</v>
          </cell>
          <cell r="Q330">
            <v>203870.96774193548</v>
          </cell>
          <cell r="R330">
            <v>61717672.811059937</v>
          </cell>
          <cell r="S330">
            <v>13.846412330006329</v>
          </cell>
          <cell r="T330">
            <v>4507.5194612865062</v>
          </cell>
          <cell r="U330">
            <v>5.7336559139824503</v>
          </cell>
          <cell r="V330">
            <v>1606.5578423663569</v>
          </cell>
          <cell r="W330">
            <v>0</v>
          </cell>
          <cell r="X330">
            <v>0</v>
          </cell>
          <cell r="Y330">
            <v>15967.741935483871</v>
          </cell>
          <cell r="Z330">
            <v>4948064.5161290532</v>
          </cell>
          <cell r="AA330">
            <v>4967.7419354838712</v>
          </cell>
          <cell r="AB330">
            <v>1698064.516129029</v>
          </cell>
          <cell r="AC330">
            <v>0</v>
          </cell>
          <cell r="AD330">
            <v>0</v>
          </cell>
          <cell r="AE330">
            <v>153870.96774193548</v>
          </cell>
          <cell r="AF330">
            <v>46142258.064516254</v>
          </cell>
          <cell r="AG330">
            <v>50000</v>
          </cell>
          <cell r="AH330">
            <v>15550000.000000022</v>
          </cell>
        </row>
        <row r="331">
          <cell r="B331">
            <v>46325</v>
          </cell>
          <cell r="C331">
            <v>15645.161290322581</v>
          </cell>
          <cell r="D331">
            <v>4976354.8387096785</v>
          </cell>
          <cell r="E331">
            <v>5290.322580645161</v>
          </cell>
          <cell r="F331">
            <v>1690709.6774193468</v>
          </cell>
          <cell r="G331">
            <v>20935.483870967742</v>
          </cell>
          <cell r="H331">
            <v>6667064.5161290392</v>
          </cell>
          <cell r="I331">
            <v>19354.83870967742</v>
          </cell>
          <cell r="J331">
            <v>5730645.1612903355</v>
          </cell>
          <cell r="K331">
            <v>3225.8064516129034</v>
          </cell>
          <cell r="L331">
            <v>1396774.193548386</v>
          </cell>
          <cell r="M331">
            <v>22580.645161290326</v>
          </cell>
          <cell r="N331">
            <v>7127419.3548387326</v>
          </cell>
          <cell r="O331">
            <v>22580.645161290322</v>
          </cell>
          <cell r="P331">
            <v>7127419.3548387326</v>
          </cell>
          <cell r="Q331">
            <v>203870.96774193548</v>
          </cell>
          <cell r="R331">
            <v>61921543.778801873</v>
          </cell>
          <cell r="S331">
            <v>13.846412330006329</v>
          </cell>
          <cell r="T331">
            <v>4521.3658736165125</v>
          </cell>
          <cell r="U331">
            <v>5.7336559139824503</v>
          </cell>
          <cell r="V331">
            <v>1612.2914982803393</v>
          </cell>
          <cell r="W331">
            <v>0</v>
          </cell>
          <cell r="X331">
            <v>0</v>
          </cell>
          <cell r="Y331">
            <v>15967.741935483871</v>
          </cell>
          <cell r="Z331">
            <v>4964032.2580645373</v>
          </cell>
          <cell r="AA331">
            <v>4967.7419354838712</v>
          </cell>
          <cell r="AB331">
            <v>1703032.2580645129</v>
          </cell>
          <cell r="AC331">
            <v>0</v>
          </cell>
          <cell r="AD331">
            <v>0</v>
          </cell>
          <cell r="AE331">
            <v>153870.96774193548</v>
          </cell>
          <cell r="AF331">
            <v>46296129.03225819</v>
          </cell>
          <cell r="AG331">
            <v>50000</v>
          </cell>
          <cell r="AH331">
            <v>15600000.000000022</v>
          </cell>
        </row>
        <row r="332">
          <cell r="B332">
            <v>46326</v>
          </cell>
          <cell r="C332">
            <v>15645.161290322581</v>
          </cell>
          <cell r="D332">
            <v>4992000.0000000009</v>
          </cell>
          <cell r="E332">
            <v>5290.322580645161</v>
          </cell>
          <cell r="F332">
            <v>1695999.9999999919</v>
          </cell>
          <cell r="G332">
            <v>20935.483870967742</v>
          </cell>
          <cell r="H332">
            <v>6688000.0000000065</v>
          </cell>
          <cell r="I332">
            <v>19354.83870967742</v>
          </cell>
          <cell r="J332">
            <v>5750000.000000013</v>
          </cell>
          <cell r="K332">
            <v>3225.8064516129034</v>
          </cell>
          <cell r="L332">
            <v>1399999.9999999988</v>
          </cell>
          <cell r="M332">
            <v>22580.645161290326</v>
          </cell>
          <cell r="N332">
            <v>7150000.0000000233</v>
          </cell>
          <cell r="O332">
            <v>22580.645161290322</v>
          </cell>
          <cell r="P332">
            <v>7150000.0000000233</v>
          </cell>
          <cell r="Q332">
            <v>203870.96774193548</v>
          </cell>
          <cell r="R332">
            <v>62125414.74654381</v>
          </cell>
          <cell r="S332">
            <v>13.846412330006329</v>
          </cell>
          <cell r="T332">
            <v>4535.2122859465189</v>
          </cell>
          <cell r="U332">
            <v>5.7336559139824503</v>
          </cell>
          <cell r="V332">
            <v>1618.0251541943217</v>
          </cell>
          <cell r="W332">
            <v>0</v>
          </cell>
          <cell r="X332">
            <v>0</v>
          </cell>
          <cell r="Y332">
            <v>15967.741935483871</v>
          </cell>
          <cell r="Z332">
            <v>4980000.0000000214</v>
          </cell>
          <cell r="AA332">
            <v>4967.7419354838712</v>
          </cell>
          <cell r="AB332">
            <v>1707999.9999999967</v>
          </cell>
          <cell r="AC332">
            <v>0</v>
          </cell>
          <cell r="AD332">
            <v>0</v>
          </cell>
          <cell r="AE332">
            <v>153870.96774193548</v>
          </cell>
          <cell r="AF332">
            <v>46450000.000000127</v>
          </cell>
          <cell r="AG332">
            <v>50000</v>
          </cell>
          <cell r="AH332">
            <v>15650000.000000022</v>
          </cell>
        </row>
        <row r="333">
          <cell r="B333">
            <v>46327</v>
          </cell>
          <cell r="C333">
            <v>16333.333333333334</v>
          </cell>
          <cell r="D333">
            <v>5008333.333333334</v>
          </cell>
          <cell r="E333">
            <v>5433.333333333333</v>
          </cell>
          <cell r="F333">
            <v>1701433.3333333251</v>
          </cell>
          <cell r="G333">
            <v>21766.666666666668</v>
          </cell>
          <cell r="H333">
            <v>6709766.6666666735</v>
          </cell>
          <cell r="I333">
            <v>20000</v>
          </cell>
          <cell r="J333">
            <v>5770000.000000013</v>
          </cell>
          <cell r="K333">
            <v>3333.3333333333335</v>
          </cell>
          <cell r="L333">
            <v>1403333.3333333321</v>
          </cell>
          <cell r="M333">
            <v>23333.333333333332</v>
          </cell>
          <cell r="N333">
            <v>7173333.3333333563</v>
          </cell>
          <cell r="O333">
            <v>23333.333333333332</v>
          </cell>
          <cell r="P333">
            <v>7173333.3333333563</v>
          </cell>
          <cell r="Q333">
            <v>203333.33333333334</v>
          </cell>
          <cell r="R333">
            <v>62328748.079877146</v>
          </cell>
          <cell r="S333">
            <v>17.480213301215962</v>
          </cell>
          <cell r="T333">
            <v>4552.6924992477352</v>
          </cell>
          <cell r="U333">
            <v>7.413878929278086</v>
          </cell>
          <cell r="V333">
            <v>1625.4390331235998</v>
          </cell>
          <cell r="W333">
            <v>0</v>
          </cell>
          <cell r="X333">
            <v>0</v>
          </cell>
          <cell r="Y333">
            <v>17000</v>
          </cell>
          <cell r="Z333">
            <v>4997000.0000000214</v>
          </cell>
          <cell r="AA333">
            <v>4766.666666666667</v>
          </cell>
          <cell r="AB333">
            <v>1712766.6666666635</v>
          </cell>
          <cell r="AC333">
            <v>0</v>
          </cell>
          <cell r="AD333">
            <v>0</v>
          </cell>
          <cell r="AE333">
            <v>150000</v>
          </cell>
          <cell r="AF333">
            <v>46600000.000000127</v>
          </cell>
          <cell r="AG333">
            <v>53333.333333333336</v>
          </cell>
          <cell r="AH333">
            <v>15703333.333333356</v>
          </cell>
        </row>
        <row r="334">
          <cell r="B334">
            <v>46328</v>
          </cell>
          <cell r="C334">
            <v>16333.333333333334</v>
          </cell>
          <cell r="D334">
            <v>5024666.666666667</v>
          </cell>
          <cell r="E334">
            <v>5433.333333333333</v>
          </cell>
          <cell r="F334">
            <v>1706866.6666666584</v>
          </cell>
          <cell r="G334">
            <v>21766.666666666668</v>
          </cell>
          <cell r="H334">
            <v>6731533.3333333405</v>
          </cell>
          <cell r="I334">
            <v>20000</v>
          </cell>
          <cell r="J334">
            <v>5790000.000000013</v>
          </cell>
          <cell r="K334">
            <v>3333.3333333333335</v>
          </cell>
          <cell r="L334">
            <v>1406666.6666666653</v>
          </cell>
          <cell r="M334">
            <v>23333.333333333332</v>
          </cell>
          <cell r="N334">
            <v>7196666.6666666893</v>
          </cell>
          <cell r="O334">
            <v>23333.333333333332</v>
          </cell>
          <cell r="P334">
            <v>7196666.6666666893</v>
          </cell>
          <cell r="Q334">
            <v>203333.33333333334</v>
          </cell>
          <cell r="R334">
            <v>62532081.413210481</v>
          </cell>
          <cell r="S334">
            <v>17.480213301215962</v>
          </cell>
          <cell r="T334">
            <v>4570.1727125489515</v>
          </cell>
          <cell r="U334">
            <v>7.413878929278086</v>
          </cell>
          <cell r="V334">
            <v>1632.8529120528779</v>
          </cell>
          <cell r="W334">
            <v>0</v>
          </cell>
          <cell r="X334">
            <v>0</v>
          </cell>
          <cell r="Y334">
            <v>17000</v>
          </cell>
          <cell r="Z334">
            <v>5014000.0000000214</v>
          </cell>
          <cell r="AA334">
            <v>4766.666666666667</v>
          </cell>
          <cell r="AB334">
            <v>1717533.3333333302</v>
          </cell>
          <cell r="AC334">
            <v>0</v>
          </cell>
          <cell r="AD334">
            <v>0</v>
          </cell>
          <cell r="AE334">
            <v>150000</v>
          </cell>
          <cell r="AF334">
            <v>46750000.000000127</v>
          </cell>
          <cell r="AG334">
            <v>53333.333333333336</v>
          </cell>
          <cell r="AH334">
            <v>15756666.66666669</v>
          </cell>
        </row>
        <row r="335">
          <cell r="B335">
            <v>46329</v>
          </cell>
          <cell r="C335">
            <v>16333.333333333334</v>
          </cell>
          <cell r="D335">
            <v>5041000</v>
          </cell>
          <cell r="E335">
            <v>5433.333333333333</v>
          </cell>
          <cell r="F335">
            <v>1712299.9999999916</v>
          </cell>
          <cell r="G335">
            <v>21766.666666666668</v>
          </cell>
          <cell r="H335">
            <v>6753300.0000000075</v>
          </cell>
          <cell r="I335">
            <v>20000</v>
          </cell>
          <cell r="J335">
            <v>5810000.000000013</v>
          </cell>
          <cell r="K335">
            <v>3333.3333333333335</v>
          </cell>
          <cell r="L335">
            <v>1409999.9999999986</v>
          </cell>
          <cell r="M335">
            <v>23333.333333333332</v>
          </cell>
          <cell r="N335">
            <v>7220000.0000000224</v>
          </cell>
          <cell r="O335">
            <v>23333.333333333332</v>
          </cell>
          <cell r="P335">
            <v>7220000.0000000224</v>
          </cell>
          <cell r="Q335">
            <v>203333.33333333334</v>
          </cell>
          <cell r="R335">
            <v>62735414.746543817</v>
          </cell>
          <cell r="S335">
            <v>17.480213301215962</v>
          </cell>
          <cell r="T335">
            <v>4587.6529258501678</v>
          </cell>
          <cell r="U335">
            <v>7.413878929278086</v>
          </cell>
          <cell r="V335">
            <v>1640.266790982156</v>
          </cell>
          <cell r="W335">
            <v>0</v>
          </cell>
          <cell r="X335">
            <v>0</v>
          </cell>
          <cell r="Y335">
            <v>17000</v>
          </cell>
          <cell r="Z335">
            <v>5031000.0000000214</v>
          </cell>
          <cell r="AA335">
            <v>4766.666666666667</v>
          </cell>
          <cell r="AB335">
            <v>1722299.999999997</v>
          </cell>
          <cell r="AC335">
            <v>0</v>
          </cell>
          <cell r="AD335">
            <v>0</v>
          </cell>
          <cell r="AE335">
            <v>150000</v>
          </cell>
          <cell r="AF335">
            <v>46900000.000000127</v>
          </cell>
          <cell r="AG335">
            <v>53333.333333333336</v>
          </cell>
          <cell r="AH335">
            <v>15810000.000000024</v>
          </cell>
        </row>
        <row r="336">
          <cell r="B336">
            <v>46330</v>
          </cell>
          <cell r="C336">
            <v>16333.333333333334</v>
          </cell>
          <cell r="D336">
            <v>5057333.333333333</v>
          </cell>
          <cell r="E336">
            <v>5433.333333333333</v>
          </cell>
          <cell r="F336">
            <v>1717733.3333333249</v>
          </cell>
          <cell r="G336">
            <v>21766.666666666668</v>
          </cell>
          <cell r="H336">
            <v>6775066.6666666744</v>
          </cell>
          <cell r="I336">
            <v>20000</v>
          </cell>
          <cell r="J336">
            <v>5830000.000000013</v>
          </cell>
          <cell r="K336">
            <v>3333.3333333333335</v>
          </cell>
          <cell r="L336">
            <v>1413333.3333333319</v>
          </cell>
          <cell r="M336">
            <v>23333.333333333332</v>
          </cell>
          <cell r="N336">
            <v>7243333.3333333554</v>
          </cell>
          <cell r="O336">
            <v>23333.333333333332</v>
          </cell>
          <cell r="P336">
            <v>7243333.3333333554</v>
          </cell>
          <cell r="Q336">
            <v>203333.33333333334</v>
          </cell>
          <cell r="R336">
            <v>62938748.079877153</v>
          </cell>
          <cell r="S336">
            <v>17.480213301215962</v>
          </cell>
          <cell r="T336">
            <v>4605.1331391513841</v>
          </cell>
          <cell r="U336">
            <v>7.413878929278086</v>
          </cell>
          <cell r="V336">
            <v>1647.6806699114341</v>
          </cell>
          <cell r="W336">
            <v>0</v>
          </cell>
          <cell r="X336">
            <v>0</v>
          </cell>
          <cell r="Y336">
            <v>17000</v>
          </cell>
          <cell r="Z336">
            <v>5048000.0000000214</v>
          </cell>
          <cell r="AA336">
            <v>4766.666666666667</v>
          </cell>
          <cell r="AB336">
            <v>1727066.6666666637</v>
          </cell>
          <cell r="AC336">
            <v>0</v>
          </cell>
          <cell r="AD336">
            <v>0</v>
          </cell>
          <cell r="AE336">
            <v>150000</v>
          </cell>
          <cell r="AF336">
            <v>47050000.000000127</v>
          </cell>
          <cell r="AG336">
            <v>53333.333333333336</v>
          </cell>
          <cell r="AH336">
            <v>15863333.333333358</v>
          </cell>
        </row>
        <row r="337">
          <cell r="B337">
            <v>46331</v>
          </cell>
          <cell r="C337">
            <v>16333.333333333334</v>
          </cell>
          <cell r="D337">
            <v>5073666.666666666</v>
          </cell>
          <cell r="E337">
            <v>5433.333333333333</v>
          </cell>
          <cell r="F337">
            <v>1723166.6666666581</v>
          </cell>
          <cell r="G337">
            <v>21766.666666666668</v>
          </cell>
          <cell r="H337">
            <v>6796833.3333333414</v>
          </cell>
          <cell r="I337">
            <v>20000</v>
          </cell>
          <cell r="J337">
            <v>5850000.000000013</v>
          </cell>
          <cell r="K337">
            <v>3333.3333333333335</v>
          </cell>
          <cell r="L337">
            <v>1416666.6666666651</v>
          </cell>
          <cell r="M337">
            <v>23333.333333333332</v>
          </cell>
          <cell r="N337">
            <v>7266666.6666666884</v>
          </cell>
          <cell r="O337">
            <v>23333.333333333332</v>
          </cell>
          <cell r="P337">
            <v>7266666.6666666884</v>
          </cell>
          <cell r="Q337">
            <v>203333.33333333334</v>
          </cell>
          <cell r="R337">
            <v>63142081.413210489</v>
          </cell>
          <cell r="S337">
            <v>17.480213301215962</v>
          </cell>
          <cell r="T337">
            <v>4622.6133524526003</v>
          </cell>
          <cell r="U337">
            <v>7.413878929278086</v>
          </cell>
          <cell r="V337">
            <v>1655.0945488407122</v>
          </cell>
          <cell r="W337">
            <v>0</v>
          </cell>
          <cell r="X337">
            <v>0</v>
          </cell>
          <cell r="Y337">
            <v>17000</v>
          </cell>
          <cell r="Z337">
            <v>5065000.0000000214</v>
          </cell>
          <cell r="AA337">
            <v>4766.666666666667</v>
          </cell>
          <cell r="AB337">
            <v>1731833.3333333305</v>
          </cell>
          <cell r="AC337">
            <v>0</v>
          </cell>
          <cell r="AD337">
            <v>0</v>
          </cell>
          <cell r="AE337">
            <v>150000</v>
          </cell>
          <cell r="AF337">
            <v>47200000.000000127</v>
          </cell>
          <cell r="AG337">
            <v>53333.333333333336</v>
          </cell>
          <cell r="AH337">
            <v>15916666.666666692</v>
          </cell>
        </row>
        <row r="338">
          <cell r="B338">
            <v>46332</v>
          </cell>
          <cell r="C338">
            <v>16333.333333333334</v>
          </cell>
          <cell r="D338">
            <v>5089999.9999999991</v>
          </cell>
          <cell r="E338">
            <v>5433.333333333333</v>
          </cell>
          <cell r="F338">
            <v>1728599.9999999914</v>
          </cell>
          <cell r="G338">
            <v>21766.666666666668</v>
          </cell>
          <cell r="H338">
            <v>6818600.0000000084</v>
          </cell>
          <cell r="I338">
            <v>20000</v>
          </cell>
          <cell r="J338">
            <v>5870000.000000013</v>
          </cell>
          <cell r="K338">
            <v>3333.3333333333335</v>
          </cell>
          <cell r="L338">
            <v>1419999.9999999984</v>
          </cell>
          <cell r="M338">
            <v>23333.333333333332</v>
          </cell>
          <cell r="N338">
            <v>7290000.0000000214</v>
          </cell>
          <cell r="O338">
            <v>23333.333333333332</v>
          </cell>
          <cell r="P338">
            <v>7290000.0000000214</v>
          </cell>
          <cell r="Q338">
            <v>203333.33333333334</v>
          </cell>
          <cell r="R338">
            <v>63345414.746543825</v>
          </cell>
          <cell r="S338">
            <v>17.480213301215962</v>
          </cell>
          <cell r="T338">
            <v>4640.0935657538166</v>
          </cell>
          <cell r="U338">
            <v>7.413878929278086</v>
          </cell>
          <cell r="V338">
            <v>1662.5084277699902</v>
          </cell>
          <cell r="W338">
            <v>0</v>
          </cell>
          <cell r="X338">
            <v>0</v>
          </cell>
          <cell r="Y338">
            <v>17000</v>
          </cell>
          <cell r="Z338">
            <v>5082000.0000000214</v>
          </cell>
          <cell r="AA338">
            <v>4766.666666666667</v>
          </cell>
          <cell r="AB338">
            <v>1736599.9999999972</v>
          </cell>
          <cell r="AC338">
            <v>0</v>
          </cell>
          <cell r="AD338">
            <v>0</v>
          </cell>
          <cell r="AE338">
            <v>150000</v>
          </cell>
          <cell r="AF338">
            <v>47350000.000000127</v>
          </cell>
          <cell r="AG338">
            <v>53333.333333333336</v>
          </cell>
          <cell r="AH338">
            <v>15970000.000000026</v>
          </cell>
        </row>
        <row r="339">
          <cell r="B339">
            <v>46333</v>
          </cell>
          <cell r="C339">
            <v>16333.333333333334</v>
          </cell>
          <cell r="D339">
            <v>5106333.3333333321</v>
          </cell>
          <cell r="E339">
            <v>5433.333333333333</v>
          </cell>
          <cell r="F339">
            <v>1734033.3333333246</v>
          </cell>
          <cell r="G339">
            <v>21766.666666666668</v>
          </cell>
          <cell r="H339">
            <v>6840366.6666666754</v>
          </cell>
          <cell r="I339">
            <v>20000</v>
          </cell>
          <cell r="J339">
            <v>5890000.000000013</v>
          </cell>
          <cell r="K339">
            <v>3333.3333333333335</v>
          </cell>
          <cell r="L339">
            <v>1423333.3333333316</v>
          </cell>
          <cell r="M339">
            <v>23333.333333333332</v>
          </cell>
          <cell r="N339">
            <v>7313333.3333333544</v>
          </cell>
          <cell r="O339">
            <v>23333.333333333332</v>
          </cell>
          <cell r="P339">
            <v>7313333.3333333544</v>
          </cell>
          <cell r="Q339">
            <v>203333.33333333334</v>
          </cell>
          <cell r="R339">
            <v>63548748.07987716</v>
          </cell>
          <cell r="S339">
            <v>17.480213301215962</v>
          </cell>
          <cell r="T339">
            <v>4657.5737790550329</v>
          </cell>
          <cell r="U339">
            <v>7.413878929278086</v>
          </cell>
          <cell r="V339">
            <v>1669.9223066992683</v>
          </cell>
          <cell r="W339">
            <v>0</v>
          </cell>
          <cell r="X339">
            <v>0</v>
          </cell>
          <cell r="Y339">
            <v>17000</v>
          </cell>
          <cell r="Z339">
            <v>5099000.0000000214</v>
          </cell>
          <cell r="AA339">
            <v>4766.666666666667</v>
          </cell>
          <cell r="AB339">
            <v>1741366.666666664</v>
          </cell>
          <cell r="AC339">
            <v>0</v>
          </cell>
          <cell r="AD339">
            <v>0</v>
          </cell>
          <cell r="AE339">
            <v>150000</v>
          </cell>
          <cell r="AF339">
            <v>47500000.000000127</v>
          </cell>
          <cell r="AG339">
            <v>53333.333333333336</v>
          </cell>
          <cell r="AH339">
            <v>16023333.33333336</v>
          </cell>
        </row>
        <row r="340">
          <cell r="B340">
            <v>46334</v>
          </cell>
          <cell r="C340">
            <v>16333.333333333334</v>
          </cell>
          <cell r="D340">
            <v>5122666.6666666651</v>
          </cell>
          <cell r="E340">
            <v>5433.333333333333</v>
          </cell>
          <cell r="F340">
            <v>1739466.6666666579</v>
          </cell>
          <cell r="G340">
            <v>21766.666666666668</v>
          </cell>
          <cell r="H340">
            <v>6862133.3333333423</v>
          </cell>
          <cell r="I340">
            <v>20000</v>
          </cell>
          <cell r="J340">
            <v>5910000.000000013</v>
          </cell>
          <cell r="K340">
            <v>3333.3333333333335</v>
          </cell>
          <cell r="L340">
            <v>1426666.6666666649</v>
          </cell>
          <cell r="M340">
            <v>23333.333333333332</v>
          </cell>
          <cell r="N340">
            <v>7336666.6666666875</v>
          </cell>
          <cell r="O340">
            <v>23333.333333333332</v>
          </cell>
          <cell r="P340">
            <v>7336666.6666666875</v>
          </cell>
          <cell r="Q340">
            <v>203333.33333333334</v>
          </cell>
          <cell r="R340">
            <v>63752081.413210496</v>
          </cell>
          <cell r="S340">
            <v>17.480213301215962</v>
          </cell>
          <cell r="T340">
            <v>4675.0539923562492</v>
          </cell>
          <cell r="U340">
            <v>7.413878929278086</v>
          </cell>
          <cell r="V340">
            <v>1677.3361856285464</v>
          </cell>
          <cell r="W340">
            <v>0</v>
          </cell>
          <cell r="X340">
            <v>0</v>
          </cell>
          <cell r="Y340">
            <v>17000</v>
          </cell>
          <cell r="Z340">
            <v>5116000.0000000214</v>
          </cell>
          <cell r="AA340">
            <v>4766.666666666667</v>
          </cell>
          <cell r="AB340">
            <v>1746133.3333333307</v>
          </cell>
          <cell r="AC340">
            <v>0</v>
          </cell>
          <cell r="AD340">
            <v>0</v>
          </cell>
          <cell r="AE340">
            <v>150000</v>
          </cell>
          <cell r="AF340">
            <v>47650000.000000127</v>
          </cell>
          <cell r="AG340">
            <v>53333.333333333336</v>
          </cell>
          <cell r="AH340">
            <v>16076666.666666694</v>
          </cell>
        </row>
        <row r="341">
          <cell r="B341">
            <v>46335</v>
          </cell>
          <cell r="C341">
            <v>16333.333333333334</v>
          </cell>
          <cell r="D341">
            <v>5138999.9999999981</v>
          </cell>
          <cell r="E341">
            <v>5433.333333333333</v>
          </cell>
          <cell r="F341">
            <v>1744899.9999999912</v>
          </cell>
          <cell r="G341">
            <v>21766.666666666668</v>
          </cell>
          <cell r="H341">
            <v>6883900.0000000093</v>
          </cell>
          <cell r="I341">
            <v>20000</v>
          </cell>
          <cell r="J341">
            <v>5930000.000000013</v>
          </cell>
          <cell r="K341">
            <v>3333.3333333333335</v>
          </cell>
          <cell r="L341">
            <v>1429999.9999999981</v>
          </cell>
          <cell r="M341">
            <v>23333.333333333332</v>
          </cell>
          <cell r="N341">
            <v>7360000.0000000205</v>
          </cell>
          <cell r="O341">
            <v>23333.333333333332</v>
          </cell>
          <cell r="P341">
            <v>7360000.0000000205</v>
          </cell>
          <cell r="Q341">
            <v>203333.33333333334</v>
          </cell>
          <cell r="R341">
            <v>63955414.746543832</v>
          </cell>
          <cell r="S341">
            <v>17.480213301215962</v>
          </cell>
          <cell r="T341">
            <v>4692.5342056574655</v>
          </cell>
          <cell r="U341">
            <v>7.413878929278086</v>
          </cell>
          <cell r="V341">
            <v>1684.7500645578245</v>
          </cell>
          <cell r="W341">
            <v>0</v>
          </cell>
          <cell r="X341">
            <v>0</v>
          </cell>
          <cell r="Y341">
            <v>17000</v>
          </cell>
          <cell r="Z341">
            <v>5133000.0000000214</v>
          </cell>
          <cell r="AA341">
            <v>4766.666666666667</v>
          </cell>
          <cell r="AB341">
            <v>1750899.9999999974</v>
          </cell>
          <cell r="AC341">
            <v>0</v>
          </cell>
          <cell r="AD341">
            <v>0</v>
          </cell>
          <cell r="AE341">
            <v>150000</v>
          </cell>
          <cell r="AF341">
            <v>47800000.000000127</v>
          </cell>
          <cell r="AG341">
            <v>53333.333333333336</v>
          </cell>
          <cell r="AH341">
            <v>16130000.000000028</v>
          </cell>
        </row>
        <row r="342">
          <cell r="B342">
            <v>46336</v>
          </cell>
          <cell r="C342">
            <v>16333.333333333334</v>
          </cell>
          <cell r="D342">
            <v>5155333.3333333312</v>
          </cell>
          <cell r="E342">
            <v>5433.333333333333</v>
          </cell>
          <cell r="F342">
            <v>1750333.3333333244</v>
          </cell>
          <cell r="G342">
            <v>21766.666666666668</v>
          </cell>
          <cell r="H342">
            <v>6905666.6666666763</v>
          </cell>
          <cell r="I342">
            <v>20000</v>
          </cell>
          <cell r="J342">
            <v>5950000.000000013</v>
          </cell>
          <cell r="K342">
            <v>3333.3333333333335</v>
          </cell>
          <cell r="L342">
            <v>1433333.3333333314</v>
          </cell>
          <cell r="M342">
            <v>23333.333333333332</v>
          </cell>
          <cell r="N342">
            <v>7383333.3333333535</v>
          </cell>
          <cell r="O342">
            <v>23333.333333333332</v>
          </cell>
          <cell r="P342">
            <v>7383333.3333333535</v>
          </cell>
          <cell r="Q342">
            <v>203333.33333333334</v>
          </cell>
          <cell r="R342">
            <v>64158748.079877168</v>
          </cell>
          <cell r="S342">
            <v>17.480213301215962</v>
          </cell>
          <cell r="T342">
            <v>4710.0144189586817</v>
          </cell>
          <cell r="U342">
            <v>7.413878929278086</v>
          </cell>
          <cell r="V342">
            <v>1692.1639434871026</v>
          </cell>
          <cell r="W342">
            <v>0</v>
          </cell>
          <cell r="X342">
            <v>0</v>
          </cell>
          <cell r="Y342">
            <v>17000</v>
          </cell>
          <cell r="Z342">
            <v>5150000.0000000214</v>
          </cell>
          <cell r="AA342">
            <v>4766.666666666667</v>
          </cell>
          <cell r="AB342">
            <v>1755666.6666666642</v>
          </cell>
          <cell r="AC342">
            <v>0</v>
          </cell>
          <cell r="AD342">
            <v>0</v>
          </cell>
          <cell r="AE342">
            <v>150000</v>
          </cell>
          <cell r="AF342">
            <v>47950000.000000127</v>
          </cell>
          <cell r="AG342">
            <v>53333.333333333336</v>
          </cell>
          <cell r="AH342">
            <v>16183333.333333362</v>
          </cell>
        </row>
        <row r="343">
          <cell r="B343">
            <v>46337</v>
          </cell>
          <cell r="C343">
            <v>16333.333333333334</v>
          </cell>
          <cell r="D343">
            <v>5171666.6666666642</v>
          </cell>
          <cell r="E343">
            <v>5433.333333333333</v>
          </cell>
          <cell r="F343">
            <v>1755766.6666666577</v>
          </cell>
          <cell r="G343">
            <v>21766.666666666668</v>
          </cell>
          <cell r="H343">
            <v>6927433.3333333433</v>
          </cell>
          <cell r="I343">
            <v>20000</v>
          </cell>
          <cell r="J343">
            <v>5970000.000000013</v>
          </cell>
          <cell r="K343">
            <v>3333.3333333333335</v>
          </cell>
          <cell r="L343">
            <v>1436666.6666666646</v>
          </cell>
          <cell r="M343">
            <v>23333.333333333332</v>
          </cell>
          <cell r="N343">
            <v>7406666.6666666865</v>
          </cell>
          <cell r="O343">
            <v>23333.333333333332</v>
          </cell>
          <cell r="P343">
            <v>7406666.6666666865</v>
          </cell>
          <cell r="Q343">
            <v>203333.33333333334</v>
          </cell>
          <cell r="R343">
            <v>64362081.413210504</v>
          </cell>
          <cell r="S343">
            <v>17.480213301215962</v>
          </cell>
          <cell r="T343">
            <v>4727.494632259898</v>
          </cell>
          <cell r="U343">
            <v>7.413878929278086</v>
          </cell>
          <cell r="V343">
            <v>1699.5778224163807</v>
          </cell>
          <cell r="W343">
            <v>0</v>
          </cell>
          <cell r="X343">
            <v>0</v>
          </cell>
          <cell r="Y343">
            <v>17000</v>
          </cell>
          <cell r="Z343">
            <v>5167000.0000000214</v>
          </cell>
          <cell r="AA343">
            <v>4766.666666666667</v>
          </cell>
          <cell r="AB343">
            <v>1760433.3333333309</v>
          </cell>
          <cell r="AC343">
            <v>0</v>
          </cell>
          <cell r="AD343">
            <v>0</v>
          </cell>
          <cell r="AE343">
            <v>150000</v>
          </cell>
          <cell r="AF343">
            <v>48100000.000000127</v>
          </cell>
          <cell r="AG343">
            <v>53333.333333333336</v>
          </cell>
          <cell r="AH343">
            <v>16236666.666666696</v>
          </cell>
        </row>
        <row r="344">
          <cell r="B344">
            <v>46338</v>
          </cell>
          <cell r="C344">
            <v>16333.333333333334</v>
          </cell>
          <cell r="D344">
            <v>5187999.9999999972</v>
          </cell>
          <cell r="E344">
            <v>5433.333333333333</v>
          </cell>
          <cell r="F344">
            <v>1761199.9999999909</v>
          </cell>
          <cell r="G344">
            <v>21766.666666666668</v>
          </cell>
          <cell r="H344">
            <v>6949200.0000000102</v>
          </cell>
          <cell r="I344">
            <v>20000</v>
          </cell>
          <cell r="J344">
            <v>5990000.000000013</v>
          </cell>
          <cell r="K344">
            <v>3333.3333333333335</v>
          </cell>
          <cell r="L344">
            <v>1439999.9999999979</v>
          </cell>
          <cell r="M344">
            <v>23333.333333333332</v>
          </cell>
          <cell r="N344">
            <v>7430000.0000000196</v>
          </cell>
          <cell r="O344">
            <v>23333.333333333332</v>
          </cell>
          <cell r="P344">
            <v>7430000.0000000196</v>
          </cell>
          <cell r="Q344">
            <v>203333.33333333334</v>
          </cell>
          <cell r="R344">
            <v>64565414.74654384</v>
          </cell>
          <cell r="S344">
            <v>17.480213301215962</v>
          </cell>
          <cell r="T344">
            <v>4744.9748455611143</v>
          </cell>
          <cell r="U344">
            <v>7.413878929278086</v>
          </cell>
          <cell r="V344">
            <v>1706.9917013456588</v>
          </cell>
          <cell r="W344">
            <v>0</v>
          </cell>
          <cell r="X344">
            <v>0</v>
          </cell>
          <cell r="Y344">
            <v>17000</v>
          </cell>
          <cell r="Z344">
            <v>5184000.0000000214</v>
          </cell>
          <cell r="AA344">
            <v>4766.666666666667</v>
          </cell>
          <cell r="AB344">
            <v>1765199.9999999977</v>
          </cell>
          <cell r="AC344">
            <v>0</v>
          </cell>
          <cell r="AD344">
            <v>0</v>
          </cell>
          <cell r="AE344">
            <v>150000</v>
          </cell>
          <cell r="AF344">
            <v>48250000.000000127</v>
          </cell>
          <cell r="AG344">
            <v>53333.333333333336</v>
          </cell>
          <cell r="AH344">
            <v>16290000.00000003</v>
          </cell>
        </row>
        <row r="345">
          <cell r="B345">
            <v>46339</v>
          </cell>
          <cell r="C345">
            <v>16333.333333333334</v>
          </cell>
          <cell r="D345">
            <v>5204333.3333333302</v>
          </cell>
          <cell r="E345">
            <v>5433.333333333333</v>
          </cell>
          <cell r="F345">
            <v>1766633.3333333242</v>
          </cell>
          <cell r="G345">
            <v>21766.666666666668</v>
          </cell>
          <cell r="H345">
            <v>6970966.6666666772</v>
          </cell>
          <cell r="I345">
            <v>20000</v>
          </cell>
          <cell r="J345">
            <v>6010000.000000013</v>
          </cell>
          <cell r="K345">
            <v>3333.3333333333335</v>
          </cell>
          <cell r="L345">
            <v>1443333.3333333312</v>
          </cell>
          <cell r="M345">
            <v>23333.333333333332</v>
          </cell>
          <cell r="N345">
            <v>7453333.3333333526</v>
          </cell>
          <cell r="O345">
            <v>23333.333333333332</v>
          </cell>
          <cell r="P345">
            <v>7453333.3333333526</v>
          </cell>
          <cell r="Q345">
            <v>203333.33333333334</v>
          </cell>
          <cell r="R345">
            <v>64768748.079877175</v>
          </cell>
          <cell r="S345">
            <v>17.480213301215962</v>
          </cell>
          <cell r="T345">
            <v>4762.4550588623306</v>
          </cell>
          <cell r="U345">
            <v>7.413878929278086</v>
          </cell>
          <cell r="V345">
            <v>1714.4055802749369</v>
          </cell>
          <cell r="W345">
            <v>0</v>
          </cell>
          <cell r="X345">
            <v>0</v>
          </cell>
          <cell r="Y345">
            <v>17000</v>
          </cell>
          <cell r="Z345">
            <v>5201000.0000000214</v>
          </cell>
          <cell r="AA345">
            <v>4766.666666666667</v>
          </cell>
          <cell r="AB345">
            <v>1769966.6666666644</v>
          </cell>
          <cell r="AC345">
            <v>0</v>
          </cell>
          <cell r="AD345">
            <v>0</v>
          </cell>
          <cell r="AE345">
            <v>150000</v>
          </cell>
          <cell r="AF345">
            <v>48400000.000000127</v>
          </cell>
          <cell r="AG345">
            <v>53333.333333333336</v>
          </cell>
          <cell r="AH345">
            <v>16343333.333333364</v>
          </cell>
        </row>
        <row r="346">
          <cell r="B346">
            <v>46340</v>
          </cell>
          <cell r="C346">
            <v>16333.333333333334</v>
          </cell>
          <cell r="D346">
            <v>5220666.6666666633</v>
          </cell>
          <cell r="E346">
            <v>5433.333333333333</v>
          </cell>
          <cell r="F346">
            <v>1772066.6666666574</v>
          </cell>
          <cell r="G346">
            <v>21766.666666666668</v>
          </cell>
          <cell r="H346">
            <v>6992733.3333333442</v>
          </cell>
          <cell r="I346">
            <v>20000</v>
          </cell>
          <cell r="J346">
            <v>6030000.000000013</v>
          </cell>
          <cell r="K346">
            <v>3333.3333333333335</v>
          </cell>
          <cell r="L346">
            <v>1446666.6666666644</v>
          </cell>
          <cell r="M346">
            <v>23333.333333333332</v>
          </cell>
          <cell r="N346">
            <v>7476666.6666666856</v>
          </cell>
          <cell r="O346">
            <v>23333.333333333332</v>
          </cell>
          <cell r="P346">
            <v>7476666.6666666856</v>
          </cell>
          <cell r="Q346">
            <v>203333.33333333334</v>
          </cell>
          <cell r="R346">
            <v>64972081.413210511</v>
          </cell>
          <cell r="S346">
            <v>17.480213301215962</v>
          </cell>
          <cell r="T346">
            <v>4779.9352721635469</v>
          </cell>
          <cell r="U346">
            <v>7.413878929278086</v>
          </cell>
          <cell r="V346">
            <v>1721.819459204215</v>
          </cell>
          <cell r="W346">
            <v>0</v>
          </cell>
          <cell r="X346">
            <v>0</v>
          </cell>
          <cell r="Y346">
            <v>17000</v>
          </cell>
          <cell r="Z346">
            <v>5218000.0000000214</v>
          </cell>
          <cell r="AA346">
            <v>4766.666666666667</v>
          </cell>
          <cell r="AB346">
            <v>1774733.3333333312</v>
          </cell>
          <cell r="AC346">
            <v>0</v>
          </cell>
          <cell r="AD346">
            <v>0</v>
          </cell>
          <cell r="AE346">
            <v>150000</v>
          </cell>
          <cell r="AF346">
            <v>48550000.000000127</v>
          </cell>
          <cell r="AG346">
            <v>53333.333333333336</v>
          </cell>
          <cell r="AH346">
            <v>16396666.666666698</v>
          </cell>
        </row>
        <row r="347">
          <cell r="B347">
            <v>46341</v>
          </cell>
          <cell r="C347">
            <v>16333.333333333334</v>
          </cell>
          <cell r="D347">
            <v>5236999.9999999963</v>
          </cell>
          <cell r="E347">
            <v>5433.333333333333</v>
          </cell>
          <cell r="F347">
            <v>1777499.9999999907</v>
          </cell>
          <cell r="G347">
            <v>21766.666666666668</v>
          </cell>
          <cell r="H347">
            <v>7014500.0000000112</v>
          </cell>
          <cell r="I347">
            <v>20000</v>
          </cell>
          <cell r="J347">
            <v>6050000.000000013</v>
          </cell>
          <cell r="K347">
            <v>3333.3333333333335</v>
          </cell>
          <cell r="L347">
            <v>1449999.9999999977</v>
          </cell>
          <cell r="M347">
            <v>23333.333333333332</v>
          </cell>
          <cell r="N347">
            <v>7500000.0000000186</v>
          </cell>
          <cell r="O347">
            <v>23333.333333333332</v>
          </cell>
          <cell r="P347">
            <v>7500000.0000000186</v>
          </cell>
          <cell r="Q347">
            <v>203333.33333333334</v>
          </cell>
          <cell r="R347">
            <v>65175414.746543847</v>
          </cell>
          <cell r="S347">
            <v>17.480213301215962</v>
          </cell>
          <cell r="T347">
            <v>4797.4154854647632</v>
          </cell>
          <cell r="U347">
            <v>7.413878929278086</v>
          </cell>
          <cell r="V347">
            <v>1729.2333381334931</v>
          </cell>
          <cell r="W347">
            <v>0</v>
          </cell>
          <cell r="X347">
            <v>0</v>
          </cell>
          <cell r="Y347">
            <v>17000</v>
          </cell>
          <cell r="Z347">
            <v>5235000.0000000214</v>
          </cell>
          <cell r="AA347">
            <v>4766.666666666667</v>
          </cell>
          <cell r="AB347">
            <v>1779499.9999999979</v>
          </cell>
          <cell r="AC347">
            <v>0</v>
          </cell>
          <cell r="AD347">
            <v>0</v>
          </cell>
          <cell r="AE347">
            <v>150000</v>
          </cell>
          <cell r="AF347">
            <v>48700000.000000127</v>
          </cell>
          <cell r="AG347">
            <v>53333.333333333336</v>
          </cell>
          <cell r="AH347">
            <v>16450000.000000032</v>
          </cell>
        </row>
        <row r="348">
          <cell r="B348">
            <v>46342</v>
          </cell>
          <cell r="C348">
            <v>16333.333333333334</v>
          </cell>
          <cell r="D348">
            <v>5253333.3333333293</v>
          </cell>
          <cell r="E348">
            <v>5433.333333333333</v>
          </cell>
          <cell r="F348">
            <v>1782933.3333333239</v>
          </cell>
          <cell r="G348">
            <v>21766.666666666668</v>
          </cell>
          <cell r="H348">
            <v>7036266.6666666782</v>
          </cell>
          <cell r="I348">
            <v>20000</v>
          </cell>
          <cell r="J348">
            <v>6070000.000000013</v>
          </cell>
          <cell r="K348">
            <v>3333.3333333333335</v>
          </cell>
          <cell r="L348">
            <v>1453333.3333333309</v>
          </cell>
          <cell r="M348">
            <v>23333.333333333332</v>
          </cell>
          <cell r="N348">
            <v>7523333.3333333516</v>
          </cell>
          <cell r="O348">
            <v>23333.333333333332</v>
          </cell>
          <cell r="P348">
            <v>7523333.3333333516</v>
          </cell>
          <cell r="Q348">
            <v>203333.33333333334</v>
          </cell>
          <cell r="R348">
            <v>65378748.079877183</v>
          </cell>
          <cell r="S348">
            <v>17.480213301215962</v>
          </cell>
          <cell r="T348">
            <v>4814.8956987659794</v>
          </cell>
          <cell r="U348">
            <v>7.413878929278086</v>
          </cell>
          <cell r="V348">
            <v>1736.6472170627712</v>
          </cell>
          <cell r="W348">
            <v>0</v>
          </cell>
          <cell r="X348">
            <v>0</v>
          </cell>
          <cell r="Y348">
            <v>17000</v>
          </cell>
          <cell r="Z348">
            <v>5252000.0000000214</v>
          </cell>
          <cell r="AA348">
            <v>4766.666666666667</v>
          </cell>
          <cell r="AB348">
            <v>1784266.6666666646</v>
          </cell>
          <cell r="AC348">
            <v>0</v>
          </cell>
          <cell r="AD348">
            <v>0</v>
          </cell>
          <cell r="AE348">
            <v>150000</v>
          </cell>
          <cell r="AF348">
            <v>48850000.000000127</v>
          </cell>
          <cell r="AG348">
            <v>53333.333333333336</v>
          </cell>
          <cell r="AH348">
            <v>16503333.333333366</v>
          </cell>
        </row>
        <row r="349">
          <cell r="B349">
            <v>46343</v>
          </cell>
          <cell r="C349">
            <v>16333.333333333334</v>
          </cell>
          <cell r="D349">
            <v>5269666.6666666623</v>
          </cell>
          <cell r="E349">
            <v>5433.333333333333</v>
          </cell>
          <cell r="F349">
            <v>1788366.6666666572</v>
          </cell>
          <cell r="G349">
            <v>21766.666666666668</v>
          </cell>
          <cell r="H349">
            <v>7058033.3333333451</v>
          </cell>
          <cell r="I349">
            <v>20000</v>
          </cell>
          <cell r="J349">
            <v>6090000.000000013</v>
          </cell>
          <cell r="K349">
            <v>3333.3333333333335</v>
          </cell>
          <cell r="L349">
            <v>1456666.6666666642</v>
          </cell>
          <cell r="M349">
            <v>23333.333333333332</v>
          </cell>
          <cell r="N349">
            <v>7546666.6666666847</v>
          </cell>
          <cell r="O349">
            <v>23333.333333333332</v>
          </cell>
          <cell r="P349">
            <v>7546666.6666666847</v>
          </cell>
          <cell r="Q349">
            <v>203333.33333333334</v>
          </cell>
          <cell r="R349">
            <v>65582081.413210519</v>
          </cell>
          <cell r="S349">
            <v>17.480213301215962</v>
          </cell>
          <cell r="T349">
            <v>4832.3759120671957</v>
          </cell>
          <cell r="U349">
            <v>7.413878929278086</v>
          </cell>
          <cell r="V349">
            <v>1744.0610959920493</v>
          </cell>
          <cell r="W349">
            <v>0</v>
          </cell>
          <cell r="X349">
            <v>0</v>
          </cell>
          <cell r="Y349">
            <v>17000</v>
          </cell>
          <cell r="Z349">
            <v>5269000.0000000214</v>
          </cell>
          <cell r="AA349">
            <v>4766.666666666667</v>
          </cell>
          <cell r="AB349">
            <v>1789033.3333333314</v>
          </cell>
          <cell r="AC349">
            <v>0</v>
          </cell>
          <cell r="AD349">
            <v>0</v>
          </cell>
          <cell r="AE349">
            <v>150000</v>
          </cell>
          <cell r="AF349">
            <v>49000000.000000127</v>
          </cell>
          <cell r="AG349">
            <v>53333.333333333336</v>
          </cell>
          <cell r="AH349">
            <v>16556666.6666667</v>
          </cell>
        </row>
        <row r="350">
          <cell r="B350">
            <v>46344</v>
          </cell>
          <cell r="C350">
            <v>16333.333333333334</v>
          </cell>
          <cell r="D350">
            <v>5285999.9999999953</v>
          </cell>
          <cell r="E350">
            <v>5433.333333333333</v>
          </cell>
          <cell r="F350">
            <v>1793799.9999999905</v>
          </cell>
          <cell r="G350">
            <v>21766.666666666668</v>
          </cell>
          <cell r="H350">
            <v>7079800.0000000121</v>
          </cell>
          <cell r="I350">
            <v>20000</v>
          </cell>
          <cell r="J350">
            <v>6110000.000000013</v>
          </cell>
          <cell r="K350">
            <v>3333.3333333333335</v>
          </cell>
          <cell r="L350">
            <v>1459999.9999999974</v>
          </cell>
          <cell r="M350">
            <v>23333.333333333332</v>
          </cell>
          <cell r="N350">
            <v>7570000.0000000177</v>
          </cell>
          <cell r="O350">
            <v>23333.333333333332</v>
          </cell>
          <cell r="P350">
            <v>7570000.0000000177</v>
          </cell>
          <cell r="Q350">
            <v>203333.33333333334</v>
          </cell>
          <cell r="R350">
            <v>65785414.746543854</v>
          </cell>
          <cell r="S350">
            <v>17.480213301215962</v>
          </cell>
          <cell r="T350">
            <v>4849.856125368412</v>
          </cell>
          <cell r="U350">
            <v>7.413878929278086</v>
          </cell>
          <cell r="V350">
            <v>1751.4749749213274</v>
          </cell>
          <cell r="W350">
            <v>0</v>
          </cell>
          <cell r="X350">
            <v>0</v>
          </cell>
          <cell r="Y350">
            <v>17000</v>
          </cell>
          <cell r="Z350">
            <v>5286000.0000000214</v>
          </cell>
          <cell r="AA350">
            <v>4766.666666666667</v>
          </cell>
          <cell r="AB350">
            <v>1793799.9999999981</v>
          </cell>
          <cell r="AC350">
            <v>0</v>
          </cell>
          <cell r="AD350">
            <v>0</v>
          </cell>
          <cell r="AE350">
            <v>150000</v>
          </cell>
          <cell r="AF350">
            <v>49150000.000000127</v>
          </cell>
          <cell r="AG350">
            <v>53333.333333333336</v>
          </cell>
          <cell r="AH350">
            <v>16610000.000000034</v>
          </cell>
        </row>
        <row r="351">
          <cell r="B351">
            <v>46345</v>
          </cell>
          <cell r="C351">
            <v>16333.333333333334</v>
          </cell>
          <cell r="D351">
            <v>5302333.3333333284</v>
          </cell>
          <cell r="E351">
            <v>5433.333333333333</v>
          </cell>
          <cell r="F351">
            <v>1799233.3333333237</v>
          </cell>
          <cell r="G351">
            <v>21766.666666666668</v>
          </cell>
          <cell r="H351">
            <v>7101566.6666666791</v>
          </cell>
          <cell r="I351">
            <v>20000</v>
          </cell>
          <cell r="J351">
            <v>6130000.000000013</v>
          </cell>
          <cell r="K351">
            <v>3333.3333333333335</v>
          </cell>
          <cell r="L351">
            <v>1463333.3333333307</v>
          </cell>
          <cell r="M351">
            <v>23333.333333333332</v>
          </cell>
          <cell r="N351">
            <v>7593333.3333333507</v>
          </cell>
          <cell r="O351">
            <v>23333.333333333332</v>
          </cell>
          <cell r="P351">
            <v>7593333.3333333507</v>
          </cell>
          <cell r="Q351">
            <v>203333.33333333334</v>
          </cell>
          <cell r="R351">
            <v>65988748.07987719</v>
          </cell>
          <cell r="S351">
            <v>17.480213301215962</v>
          </cell>
          <cell r="T351">
            <v>4867.3363386696283</v>
          </cell>
          <cell r="U351">
            <v>7.413878929278086</v>
          </cell>
          <cell r="V351">
            <v>1758.8888538506055</v>
          </cell>
          <cell r="W351">
            <v>0</v>
          </cell>
          <cell r="X351">
            <v>0</v>
          </cell>
          <cell r="Y351">
            <v>17000</v>
          </cell>
          <cell r="Z351">
            <v>5303000.0000000214</v>
          </cell>
          <cell r="AA351">
            <v>4766.666666666667</v>
          </cell>
          <cell r="AB351">
            <v>1798566.6666666649</v>
          </cell>
          <cell r="AC351">
            <v>0</v>
          </cell>
          <cell r="AD351">
            <v>0</v>
          </cell>
          <cell r="AE351">
            <v>150000</v>
          </cell>
          <cell r="AF351">
            <v>49300000.000000127</v>
          </cell>
          <cell r="AG351">
            <v>53333.333333333336</v>
          </cell>
          <cell r="AH351">
            <v>16663333.333333367</v>
          </cell>
        </row>
        <row r="352">
          <cell r="B352">
            <v>46346</v>
          </cell>
          <cell r="C352">
            <v>16333.333333333334</v>
          </cell>
          <cell r="D352">
            <v>5318666.6666666614</v>
          </cell>
          <cell r="E352">
            <v>5433.333333333333</v>
          </cell>
          <cell r="F352">
            <v>1804666.666666657</v>
          </cell>
          <cell r="G352">
            <v>21766.666666666668</v>
          </cell>
          <cell r="H352">
            <v>7123333.3333333461</v>
          </cell>
          <cell r="I352">
            <v>20000</v>
          </cell>
          <cell r="J352">
            <v>6150000.000000013</v>
          </cell>
          <cell r="K352">
            <v>3333.3333333333335</v>
          </cell>
          <cell r="L352">
            <v>1466666.666666664</v>
          </cell>
          <cell r="M352">
            <v>23333.333333333332</v>
          </cell>
          <cell r="N352">
            <v>7616666.6666666837</v>
          </cell>
          <cell r="O352">
            <v>23333.333333333332</v>
          </cell>
          <cell r="P352">
            <v>7616666.6666666837</v>
          </cell>
          <cell r="Q352">
            <v>203333.33333333334</v>
          </cell>
          <cell r="R352">
            <v>66192081.413210526</v>
          </cell>
          <cell r="S352">
            <v>17.480213301215962</v>
          </cell>
          <cell r="T352">
            <v>4884.8165519708446</v>
          </cell>
          <cell r="U352">
            <v>7.413878929278086</v>
          </cell>
          <cell r="V352">
            <v>1766.3027327798836</v>
          </cell>
          <cell r="W352">
            <v>0</v>
          </cell>
          <cell r="X352">
            <v>0</v>
          </cell>
          <cell r="Y352">
            <v>17000</v>
          </cell>
          <cell r="Z352">
            <v>5320000.0000000214</v>
          </cell>
          <cell r="AA352">
            <v>4766.666666666667</v>
          </cell>
          <cell r="AB352">
            <v>1803333.3333333316</v>
          </cell>
          <cell r="AC352">
            <v>0</v>
          </cell>
          <cell r="AD352">
            <v>0</v>
          </cell>
          <cell r="AE352">
            <v>150000</v>
          </cell>
          <cell r="AF352">
            <v>49450000.000000127</v>
          </cell>
          <cell r="AG352">
            <v>53333.333333333336</v>
          </cell>
          <cell r="AH352">
            <v>16716666.666666701</v>
          </cell>
        </row>
        <row r="353">
          <cell r="B353">
            <v>46347</v>
          </cell>
          <cell r="C353">
            <v>16333.333333333334</v>
          </cell>
          <cell r="D353">
            <v>5334999.9999999944</v>
          </cell>
          <cell r="E353">
            <v>5433.333333333333</v>
          </cell>
          <cell r="F353">
            <v>1810099.9999999902</v>
          </cell>
          <cell r="G353">
            <v>21766.666666666668</v>
          </cell>
          <cell r="H353">
            <v>7145100.000000013</v>
          </cell>
          <cell r="I353">
            <v>20000</v>
          </cell>
          <cell r="J353">
            <v>6170000.000000013</v>
          </cell>
          <cell r="K353">
            <v>3333.3333333333335</v>
          </cell>
          <cell r="L353">
            <v>1469999.9999999972</v>
          </cell>
          <cell r="M353">
            <v>23333.333333333332</v>
          </cell>
          <cell r="N353">
            <v>7640000.0000000168</v>
          </cell>
          <cell r="O353">
            <v>23333.333333333332</v>
          </cell>
          <cell r="P353">
            <v>7640000.0000000168</v>
          </cell>
          <cell r="Q353">
            <v>203333.33333333334</v>
          </cell>
          <cell r="R353">
            <v>66395414.746543862</v>
          </cell>
          <cell r="S353">
            <v>17.480213301215962</v>
          </cell>
          <cell r="T353">
            <v>4902.2967652720608</v>
          </cell>
          <cell r="U353">
            <v>7.413878929278086</v>
          </cell>
          <cell r="V353">
            <v>1773.7166117091617</v>
          </cell>
          <cell r="W353">
            <v>0</v>
          </cell>
          <cell r="X353">
            <v>0</v>
          </cell>
          <cell r="Y353">
            <v>17000</v>
          </cell>
          <cell r="Z353">
            <v>5337000.0000000214</v>
          </cell>
          <cell r="AA353">
            <v>4766.666666666667</v>
          </cell>
          <cell r="AB353">
            <v>1808099.9999999984</v>
          </cell>
          <cell r="AC353">
            <v>0</v>
          </cell>
          <cell r="AD353">
            <v>0</v>
          </cell>
          <cell r="AE353">
            <v>150000</v>
          </cell>
          <cell r="AF353">
            <v>49600000.000000127</v>
          </cell>
          <cell r="AG353">
            <v>53333.333333333336</v>
          </cell>
          <cell r="AH353">
            <v>16770000.000000035</v>
          </cell>
        </row>
        <row r="354">
          <cell r="B354">
            <v>46348</v>
          </cell>
          <cell r="C354">
            <v>16333.333333333334</v>
          </cell>
          <cell r="D354">
            <v>5351333.3333333274</v>
          </cell>
          <cell r="E354">
            <v>5433.333333333333</v>
          </cell>
          <cell r="F354">
            <v>1815533.3333333235</v>
          </cell>
          <cell r="G354">
            <v>21766.666666666668</v>
          </cell>
          <cell r="H354">
            <v>7166866.66666668</v>
          </cell>
          <cell r="I354">
            <v>20000</v>
          </cell>
          <cell r="J354">
            <v>6190000.000000013</v>
          </cell>
          <cell r="K354">
            <v>3333.3333333333335</v>
          </cell>
          <cell r="L354">
            <v>1473333.3333333305</v>
          </cell>
          <cell r="M354">
            <v>23333.333333333332</v>
          </cell>
          <cell r="N354">
            <v>7663333.3333333498</v>
          </cell>
          <cell r="O354">
            <v>23333.333333333332</v>
          </cell>
          <cell r="P354">
            <v>7663333.3333333498</v>
          </cell>
          <cell r="Q354">
            <v>203333.33333333334</v>
          </cell>
          <cell r="R354">
            <v>66598748.079877198</v>
          </cell>
          <cell r="S354">
            <v>17.480213301215962</v>
          </cell>
          <cell r="T354">
            <v>4919.7769785732771</v>
          </cell>
          <cell r="U354">
            <v>7.413878929278086</v>
          </cell>
          <cell r="V354">
            <v>1781.1304906384398</v>
          </cell>
          <cell r="W354">
            <v>0</v>
          </cell>
          <cell r="X354">
            <v>0</v>
          </cell>
          <cell r="Y354">
            <v>17000</v>
          </cell>
          <cell r="Z354">
            <v>5354000.0000000214</v>
          </cell>
          <cell r="AA354">
            <v>4766.666666666667</v>
          </cell>
          <cell r="AB354">
            <v>1812866.6666666651</v>
          </cell>
          <cell r="AC354">
            <v>0</v>
          </cell>
          <cell r="AD354">
            <v>0</v>
          </cell>
          <cell r="AE354">
            <v>150000</v>
          </cell>
          <cell r="AF354">
            <v>49750000.000000127</v>
          </cell>
          <cell r="AG354">
            <v>53333.333333333336</v>
          </cell>
          <cell r="AH354">
            <v>16823333.333333369</v>
          </cell>
        </row>
        <row r="355">
          <cell r="B355">
            <v>46349</v>
          </cell>
          <cell r="C355">
            <v>16333.333333333334</v>
          </cell>
          <cell r="D355">
            <v>5367666.6666666605</v>
          </cell>
          <cell r="E355">
            <v>5433.333333333333</v>
          </cell>
          <cell r="F355">
            <v>1820966.6666666567</v>
          </cell>
          <cell r="G355">
            <v>21766.666666666668</v>
          </cell>
          <cell r="H355">
            <v>7188633.333333347</v>
          </cell>
          <cell r="I355">
            <v>20000</v>
          </cell>
          <cell r="J355">
            <v>6210000.000000013</v>
          </cell>
          <cell r="K355">
            <v>3333.3333333333335</v>
          </cell>
          <cell r="L355">
            <v>1476666.6666666637</v>
          </cell>
          <cell r="M355">
            <v>23333.333333333332</v>
          </cell>
          <cell r="N355">
            <v>7686666.6666666828</v>
          </cell>
          <cell r="O355">
            <v>23333.333333333332</v>
          </cell>
          <cell r="P355">
            <v>7686666.6666666828</v>
          </cell>
          <cell r="Q355">
            <v>203333.33333333334</v>
          </cell>
          <cell r="R355">
            <v>66802081.413210534</v>
          </cell>
          <cell r="S355">
            <v>17.480213301215962</v>
          </cell>
          <cell r="T355">
            <v>4937.2571918744934</v>
          </cell>
          <cell r="U355">
            <v>7.413878929278086</v>
          </cell>
          <cell r="V355">
            <v>1788.5443695677179</v>
          </cell>
          <cell r="W355">
            <v>0</v>
          </cell>
          <cell r="X355">
            <v>0</v>
          </cell>
          <cell r="Y355">
            <v>17000</v>
          </cell>
          <cell r="Z355">
            <v>5371000.0000000214</v>
          </cell>
          <cell r="AA355">
            <v>4766.666666666667</v>
          </cell>
          <cell r="AB355">
            <v>1817633.3333333319</v>
          </cell>
          <cell r="AC355">
            <v>0</v>
          </cell>
          <cell r="AD355">
            <v>0</v>
          </cell>
          <cell r="AE355">
            <v>150000</v>
          </cell>
          <cell r="AF355">
            <v>49900000.000000127</v>
          </cell>
          <cell r="AG355">
            <v>53333.333333333336</v>
          </cell>
          <cell r="AH355">
            <v>16876666.666666701</v>
          </cell>
        </row>
        <row r="356">
          <cell r="B356">
            <v>46350</v>
          </cell>
          <cell r="C356">
            <v>16333.333333333334</v>
          </cell>
          <cell r="D356">
            <v>5383999.9999999935</v>
          </cell>
          <cell r="E356">
            <v>5433.333333333333</v>
          </cell>
          <cell r="F356">
            <v>1826399.99999999</v>
          </cell>
          <cell r="G356">
            <v>21766.666666666668</v>
          </cell>
          <cell r="H356">
            <v>7210400.000000014</v>
          </cell>
          <cell r="I356">
            <v>20000</v>
          </cell>
          <cell r="J356">
            <v>6230000.000000013</v>
          </cell>
          <cell r="K356">
            <v>3333.3333333333335</v>
          </cell>
          <cell r="L356">
            <v>1479999.999999997</v>
          </cell>
          <cell r="M356">
            <v>23333.333333333332</v>
          </cell>
          <cell r="N356">
            <v>7710000.0000000158</v>
          </cell>
          <cell r="O356">
            <v>23333.333333333332</v>
          </cell>
          <cell r="P356">
            <v>7710000.0000000158</v>
          </cell>
          <cell r="Q356">
            <v>203333.33333333334</v>
          </cell>
          <cell r="R356">
            <v>67005414.746543869</v>
          </cell>
          <cell r="S356">
            <v>17.480213301215962</v>
          </cell>
          <cell r="T356">
            <v>4954.7374051757097</v>
          </cell>
          <cell r="U356">
            <v>7.413878929278086</v>
          </cell>
          <cell r="V356">
            <v>1795.958248496996</v>
          </cell>
          <cell r="W356">
            <v>0</v>
          </cell>
          <cell r="X356">
            <v>0</v>
          </cell>
          <cell r="Y356">
            <v>17000</v>
          </cell>
          <cell r="Z356">
            <v>5388000.0000000214</v>
          </cell>
          <cell r="AA356">
            <v>4766.666666666667</v>
          </cell>
          <cell r="AB356">
            <v>1822399.9999999986</v>
          </cell>
          <cell r="AC356">
            <v>0</v>
          </cell>
          <cell r="AD356">
            <v>0</v>
          </cell>
          <cell r="AE356">
            <v>150000</v>
          </cell>
          <cell r="AF356">
            <v>50050000.000000127</v>
          </cell>
          <cell r="AG356">
            <v>53333.333333333336</v>
          </cell>
          <cell r="AH356">
            <v>16930000.000000034</v>
          </cell>
        </row>
        <row r="357">
          <cell r="B357">
            <v>46351</v>
          </cell>
          <cell r="C357">
            <v>16333.333333333334</v>
          </cell>
          <cell r="D357">
            <v>5400333.3333333265</v>
          </cell>
          <cell r="E357">
            <v>5433.333333333333</v>
          </cell>
          <cell r="F357">
            <v>1831833.3333333232</v>
          </cell>
          <cell r="G357">
            <v>21766.666666666668</v>
          </cell>
          <cell r="H357">
            <v>7232166.6666666809</v>
          </cell>
          <cell r="I357">
            <v>20000</v>
          </cell>
          <cell r="J357">
            <v>6250000.000000013</v>
          </cell>
          <cell r="K357">
            <v>3333.3333333333335</v>
          </cell>
          <cell r="L357">
            <v>1483333.3333333302</v>
          </cell>
          <cell r="M357">
            <v>23333.333333333332</v>
          </cell>
          <cell r="N357">
            <v>7733333.3333333489</v>
          </cell>
          <cell r="O357">
            <v>23333.333333333332</v>
          </cell>
          <cell r="P357">
            <v>7733333.3333333489</v>
          </cell>
          <cell r="Q357">
            <v>203333.33333333334</v>
          </cell>
          <cell r="R357">
            <v>67208748.079877198</v>
          </cell>
          <cell r="S357">
            <v>17.480213301215962</v>
          </cell>
          <cell r="T357">
            <v>4972.217618476926</v>
          </cell>
          <cell r="U357">
            <v>7.413878929278086</v>
          </cell>
          <cell r="V357">
            <v>1803.3721274262741</v>
          </cell>
          <cell r="W357">
            <v>0</v>
          </cell>
          <cell r="X357">
            <v>0</v>
          </cell>
          <cell r="Y357">
            <v>17000</v>
          </cell>
          <cell r="Z357">
            <v>5405000.0000000214</v>
          </cell>
          <cell r="AA357">
            <v>4766.666666666667</v>
          </cell>
          <cell r="AB357">
            <v>1827166.6666666653</v>
          </cell>
          <cell r="AC357">
            <v>0</v>
          </cell>
          <cell r="AD357">
            <v>0</v>
          </cell>
          <cell r="AE357">
            <v>150000</v>
          </cell>
          <cell r="AF357">
            <v>50200000.000000127</v>
          </cell>
          <cell r="AG357">
            <v>53333.333333333336</v>
          </cell>
          <cell r="AH357">
            <v>16983333.333333366</v>
          </cell>
        </row>
        <row r="358">
          <cell r="B358">
            <v>46352</v>
          </cell>
          <cell r="C358">
            <v>16333.333333333334</v>
          </cell>
          <cell r="D358">
            <v>5416666.6666666595</v>
          </cell>
          <cell r="E358">
            <v>5433.333333333333</v>
          </cell>
          <cell r="F358">
            <v>1837266.6666666565</v>
          </cell>
          <cell r="G358">
            <v>21766.666666666668</v>
          </cell>
          <cell r="H358">
            <v>7253933.3333333479</v>
          </cell>
          <cell r="I358">
            <v>20000</v>
          </cell>
          <cell r="J358">
            <v>6270000.000000013</v>
          </cell>
          <cell r="K358">
            <v>3333.3333333333335</v>
          </cell>
          <cell r="L358">
            <v>1486666.6666666635</v>
          </cell>
          <cell r="M358">
            <v>23333.333333333332</v>
          </cell>
          <cell r="N358">
            <v>7756666.6666666819</v>
          </cell>
          <cell r="O358">
            <v>23333.333333333332</v>
          </cell>
          <cell r="P358">
            <v>7756666.6666666819</v>
          </cell>
          <cell r="Q358">
            <v>203333.33333333334</v>
          </cell>
          <cell r="R358">
            <v>67412081.413210526</v>
          </cell>
          <cell r="S358">
            <v>17.480213301215962</v>
          </cell>
          <cell r="T358">
            <v>4989.6978317781422</v>
          </cell>
          <cell r="U358">
            <v>7.413878929278086</v>
          </cell>
          <cell r="V358">
            <v>1810.7860063555522</v>
          </cell>
          <cell r="W358">
            <v>0</v>
          </cell>
          <cell r="X358">
            <v>0</v>
          </cell>
          <cell r="Y358">
            <v>17000</v>
          </cell>
          <cell r="Z358">
            <v>5422000.0000000214</v>
          </cell>
          <cell r="AA358">
            <v>4766.666666666667</v>
          </cell>
          <cell r="AB358">
            <v>1831933.3333333321</v>
          </cell>
          <cell r="AC358">
            <v>0</v>
          </cell>
          <cell r="AD358">
            <v>0</v>
          </cell>
          <cell r="AE358">
            <v>150000</v>
          </cell>
          <cell r="AF358">
            <v>50350000.000000127</v>
          </cell>
          <cell r="AG358">
            <v>53333.333333333336</v>
          </cell>
          <cell r="AH358">
            <v>17036666.666666698</v>
          </cell>
        </row>
        <row r="359">
          <cell r="B359">
            <v>46353</v>
          </cell>
          <cell r="C359">
            <v>16333.333333333334</v>
          </cell>
          <cell r="D359">
            <v>5432999.9999999925</v>
          </cell>
          <cell r="E359">
            <v>5433.333333333333</v>
          </cell>
          <cell r="F359">
            <v>1842699.9999999898</v>
          </cell>
          <cell r="G359">
            <v>21766.666666666668</v>
          </cell>
          <cell r="H359">
            <v>7275700.0000000149</v>
          </cell>
          <cell r="I359">
            <v>20000</v>
          </cell>
          <cell r="J359">
            <v>6290000.000000013</v>
          </cell>
          <cell r="K359">
            <v>3333.3333333333335</v>
          </cell>
          <cell r="L359">
            <v>1489999.9999999967</v>
          </cell>
          <cell r="M359">
            <v>23333.333333333332</v>
          </cell>
          <cell r="N359">
            <v>7780000.0000000149</v>
          </cell>
          <cell r="O359">
            <v>23333.333333333332</v>
          </cell>
          <cell r="P359">
            <v>7780000.0000000149</v>
          </cell>
          <cell r="Q359">
            <v>203333.33333333334</v>
          </cell>
          <cell r="R359">
            <v>67615414.746543854</v>
          </cell>
          <cell r="S359">
            <v>17.480213301215962</v>
          </cell>
          <cell r="T359">
            <v>5007.1780450793585</v>
          </cell>
          <cell r="U359">
            <v>7.413878929278086</v>
          </cell>
          <cell r="V359">
            <v>1818.1998852848303</v>
          </cell>
          <cell r="W359">
            <v>0</v>
          </cell>
          <cell r="X359">
            <v>0</v>
          </cell>
          <cell r="Y359">
            <v>17000</v>
          </cell>
          <cell r="Z359">
            <v>5439000.0000000214</v>
          </cell>
          <cell r="AA359">
            <v>4766.666666666667</v>
          </cell>
          <cell r="AB359">
            <v>1836699.9999999988</v>
          </cell>
          <cell r="AC359">
            <v>0</v>
          </cell>
          <cell r="AD359">
            <v>0</v>
          </cell>
          <cell r="AE359">
            <v>150000</v>
          </cell>
          <cell r="AF359">
            <v>50500000.000000127</v>
          </cell>
          <cell r="AG359">
            <v>53333.333333333336</v>
          </cell>
          <cell r="AH359">
            <v>17090000.00000003</v>
          </cell>
        </row>
        <row r="360">
          <cell r="B360">
            <v>46354</v>
          </cell>
          <cell r="C360">
            <v>16333.333333333334</v>
          </cell>
          <cell r="D360">
            <v>5449333.3333333256</v>
          </cell>
          <cell r="E360">
            <v>5433.333333333333</v>
          </cell>
          <cell r="F360">
            <v>1848133.333333323</v>
          </cell>
          <cell r="G360">
            <v>21766.666666666668</v>
          </cell>
          <cell r="H360">
            <v>7297466.6666666819</v>
          </cell>
          <cell r="I360">
            <v>20000</v>
          </cell>
          <cell r="J360">
            <v>6310000.000000013</v>
          </cell>
          <cell r="K360">
            <v>3333.3333333333335</v>
          </cell>
          <cell r="L360">
            <v>1493333.33333333</v>
          </cell>
          <cell r="M360">
            <v>23333.333333333332</v>
          </cell>
          <cell r="N360">
            <v>7803333.3333333479</v>
          </cell>
          <cell r="O360">
            <v>23333.333333333332</v>
          </cell>
          <cell r="P360">
            <v>7803333.3333333479</v>
          </cell>
          <cell r="Q360">
            <v>203333.33333333334</v>
          </cell>
          <cell r="R360">
            <v>67818748.079877183</v>
          </cell>
          <cell r="S360">
            <v>17.480213301215962</v>
          </cell>
          <cell r="T360">
            <v>5024.6582583805748</v>
          </cell>
          <cell r="U360">
            <v>7.413878929278086</v>
          </cell>
          <cell r="V360">
            <v>1825.6137642141084</v>
          </cell>
          <cell r="W360">
            <v>0</v>
          </cell>
          <cell r="X360">
            <v>0</v>
          </cell>
          <cell r="Y360">
            <v>17000</v>
          </cell>
          <cell r="Z360">
            <v>5456000.0000000214</v>
          </cell>
          <cell r="AA360">
            <v>4766.666666666667</v>
          </cell>
          <cell r="AB360">
            <v>1841466.6666666656</v>
          </cell>
          <cell r="AC360">
            <v>0</v>
          </cell>
          <cell r="AD360">
            <v>0</v>
          </cell>
          <cell r="AE360">
            <v>150000</v>
          </cell>
          <cell r="AF360">
            <v>50650000.000000127</v>
          </cell>
          <cell r="AG360">
            <v>53333.333333333336</v>
          </cell>
          <cell r="AH360">
            <v>17143333.333333362</v>
          </cell>
        </row>
        <row r="361">
          <cell r="B361">
            <v>46355</v>
          </cell>
          <cell r="C361">
            <v>16333.333333333334</v>
          </cell>
          <cell r="D361">
            <v>5465666.6666666586</v>
          </cell>
          <cell r="E361">
            <v>5433.333333333333</v>
          </cell>
          <cell r="F361">
            <v>1853566.6666666563</v>
          </cell>
          <cell r="G361">
            <v>21766.666666666668</v>
          </cell>
          <cell r="H361">
            <v>7319233.3333333489</v>
          </cell>
          <cell r="I361">
            <v>20000</v>
          </cell>
          <cell r="J361">
            <v>6330000.000000013</v>
          </cell>
          <cell r="K361">
            <v>3333.3333333333335</v>
          </cell>
          <cell r="L361">
            <v>1496666.6666666633</v>
          </cell>
          <cell r="M361">
            <v>23333.333333333332</v>
          </cell>
          <cell r="N361">
            <v>7826666.6666666809</v>
          </cell>
          <cell r="O361">
            <v>23333.333333333332</v>
          </cell>
          <cell r="P361">
            <v>7826666.6666666809</v>
          </cell>
          <cell r="Q361">
            <v>203333.33333333334</v>
          </cell>
          <cell r="R361">
            <v>68022081.413210511</v>
          </cell>
          <cell r="S361">
            <v>17.480213301215962</v>
          </cell>
          <cell r="T361">
            <v>5042.1384716817911</v>
          </cell>
          <cell r="U361">
            <v>7.413878929278086</v>
          </cell>
          <cell r="V361">
            <v>1833.0276431433865</v>
          </cell>
          <cell r="W361">
            <v>0</v>
          </cell>
          <cell r="X361">
            <v>0</v>
          </cell>
          <cell r="Y361">
            <v>17000</v>
          </cell>
          <cell r="Z361">
            <v>5473000.0000000214</v>
          </cell>
          <cell r="AA361">
            <v>4766.666666666667</v>
          </cell>
          <cell r="AB361">
            <v>1846233.3333333323</v>
          </cell>
          <cell r="AC361">
            <v>0</v>
          </cell>
          <cell r="AD361">
            <v>0</v>
          </cell>
          <cell r="AE361">
            <v>150000</v>
          </cell>
          <cell r="AF361">
            <v>50800000.000000127</v>
          </cell>
          <cell r="AG361">
            <v>53333.333333333336</v>
          </cell>
          <cell r="AH361">
            <v>17196666.666666694</v>
          </cell>
        </row>
        <row r="362">
          <cell r="B362">
            <v>46356</v>
          </cell>
          <cell r="C362">
            <v>16333.333333333334</v>
          </cell>
          <cell r="D362">
            <v>5481999.9999999916</v>
          </cell>
          <cell r="E362">
            <v>5433.333333333333</v>
          </cell>
          <cell r="F362">
            <v>1858999.9999999895</v>
          </cell>
          <cell r="G362">
            <v>21766.666666666668</v>
          </cell>
          <cell r="H362">
            <v>7341000.0000000158</v>
          </cell>
          <cell r="I362">
            <v>20000</v>
          </cell>
          <cell r="J362">
            <v>6350000.000000013</v>
          </cell>
          <cell r="K362">
            <v>3333.3333333333335</v>
          </cell>
          <cell r="L362">
            <v>1499999.9999999965</v>
          </cell>
          <cell r="M362">
            <v>23333.333333333332</v>
          </cell>
          <cell r="N362">
            <v>7850000.000000014</v>
          </cell>
          <cell r="O362">
            <v>23333.333333333332</v>
          </cell>
          <cell r="P362">
            <v>7850000.000000014</v>
          </cell>
          <cell r="Q362">
            <v>203333.33333333334</v>
          </cell>
          <cell r="R362">
            <v>68225414.74654384</v>
          </cell>
          <cell r="S362">
            <v>17.480213301215962</v>
          </cell>
          <cell r="T362">
            <v>5059.6186849830074</v>
          </cell>
          <cell r="U362">
            <v>7.413878929278086</v>
          </cell>
          <cell r="V362">
            <v>1840.4415220726646</v>
          </cell>
          <cell r="W362">
            <v>0</v>
          </cell>
          <cell r="X362">
            <v>0</v>
          </cell>
          <cell r="Y362">
            <v>17000</v>
          </cell>
          <cell r="Z362">
            <v>5490000.0000000214</v>
          </cell>
          <cell r="AA362">
            <v>4766.666666666667</v>
          </cell>
          <cell r="AB362">
            <v>1850999.9999999991</v>
          </cell>
          <cell r="AC362">
            <v>0</v>
          </cell>
          <cell r="AD362">
            <v>0</v>
          </cell>
          <cell r="AE362">
            <v>150000</v>
          </cell>
          <cell r="AF362">
            <v>50950000.000000127</v>
          </cell>
          <cell r="AG362">
            <v>53333.333333333336</v>
          </cell>
          <cell r="AH362">
            <v>17250000.000000026</v>
          </cell>
        </row>
        <row r="363">
          <cell r="B363">
            <v>46357</v>
          </cell>
          <cell r="C363">
            <v>15322.58064516129</v>
          </cell>
          <cell r="D363">
            <v>5497322.5806451533</v>
          </cell>
          <cell r="E363">
            <v>5935.4838709677415</v>
          </cell>
          <cell r="F363">
            <v>1864935.4838709573</v>
          </cell>
          <cell r="G363">
            <v>21258.06451612903</v>
          </cell>
          <cell r="H363">
            <v>7362258.0645161448</v>
          </cell>
          <cell r="I363">
            <v>19354.83870967742</v>
          </cell>
          <cell r="J363">
            <v>6369354.8387096906</v>
          </cell>
          <cell r="K363">
            <v>3225.8064516129034</v>
          </cell>
          <cell r="L363">
            <v>1503225.8064516094</v>
          </cell>
          <cell r="M363">
            <v>22580.645161290326</v>
          </cell>
          <cell r="N363">
            <v>7872580.6451613046</v>
          </cell>
          <cell r="O363">
            <v>22580.645161290322</v>
          </cell>
          <cell r="P363">
            <v>7872580.6451613046</v>
          </cell>
          <cell r="Q363">
            <v>179032.25806451612</v>
          </cell>
          <cell r="R363">
            <v>68404447.004608363</v>
          </cell>
          <cell r="S363">
            <v>19.223622583828082</v>
          </cell>
          <cell r="T363">
            <v>5078.8423075668352</v>
          </cell>
          <cell r="U363">
            <v>5.9778494622862288</v>
          </cell>
          <cell r="V363">
            <v>1846.4193715349509</v>
          </cell>
          <cell r="W363">
            <v>0</v>
          </cell>
          <cell r="X363">
            <v>0</v>
          </cell>
          <cell r="Y363">
            <v>16451.612903225807</v>
          </cell>
          <cell r="Z363">
            <v>5506451.6129032476</v>
          </cell>
          <cell r="AA363">
            <v>4806.4516129032254</v>
          </cell>
          <cell r="AB363">
            <v>1855806.4516129023</v>
          </cell>
          <cell r="AC363">
            <v>0</v>
          </cell>
          <cell r="AD363">
            <v>0</v>
          </cell>
          <cell r="AE363">
            <v>130645.16129032258</v>
          </cell>
          <cell r="AF363">
            <v>51080645.161290452</v>
          </cell>
          <cell r="AG363">
            <v>48387.096774193546</v>
          </cell>
          <cell r="AH363">
            <v>17298387.09677422</v>
          </cell>
        </row>
        <row r="364">
          <cell r="B364">
            <v>46358</v>
          </cell>
          <cell r="C364">
            <v>15322.58064516129</v>
          </cell>
          <cell r="D364">
            <v>5512645.161290315</v>
          </cell>
          <cell r="E364">
            <v>5935.4838709677415</v>
          </cell>
          <cell r="F364">
            <v>1870870.967741925</v>
          </cell>
          <cell r="G364">
            <v>21258.06451612903</v>
          </cell>
          <cell r="H364">
            <v>7383516.1290322738</v>
          </cell>
          <cell r="I364">
            <v>19354.83870967742</v>
          </cell>
          <cell r="J364">
            <v>6388709.6774193682</v>
          </cell>
          <cell r="K364">
            <v>3225.8064516129034</v>
          </cell>
          <cell r="L364">
            <v>1506451.6129032222</v>
          </cell>
          <cell r="M364">
            <v>22580.645161290326</v>
          </cell>
          <cell r="N364">
            <v>7895161.2903225953</v>
          </cell>
          <cell r="O364">
            <v>22580.645161290322</v>
          </cell>
          <cell r="P364">
            <v>7895161.2903225953</v>
          </cell>
          <cell r="Q364">
            <v>179032.25806451612</v>
          </cell>
          <cell r="R364">
            <v>68583479.262672886</v>
          </cell>
          <cell r="S364">
            <v>19.223622583828082</v>
          </cell>
          <cell r="T364">
            <v>5098.065930150663</v>
          </cell>
          <cell r="U364">
            <v>5.9778494622862288</v>
          </cell>
          <cell r="V364">
            <v>1852.3972209972371</v>
          </cell>
          <cell r="W364">
            <v>0</v>
          </cell>
          <cell r="X364">
            <v>0</v>
          </cell>
          <cell r="Y364">
            <v>16451.612903225807</v>
          </cell>
          <cell r="Z364">
            <v>5522903.2258064738</v>
          </cell>
          <cell r="AA364">
            <v>4806.4516129032254</v>
          </cell>
          <cell r="AB364">
            <v>1860612.9032258056</v>
          </cell>
          <cell r="AC364">
            <v>0</v>
          </cell>
          <cell r="AD364">
            <v>0</v>
          </cell>
          <cell r="AE364">
            <v>130645.16129032258</v>
          </cell>
          <cell r="AF364">
            <v>51211290.322580777</v>
          </cell>
          <cell r="AG364">
            <v>48387.096774193546</v>
          </cell>
          <cell r="AH364">
            <v>17346774.193548415</v>
          </cell>
        </row>
        <row r="365">
          <cell r="B365">
            <v>46359</v>
          </cell>
          <cell r="C365">
            <v>15322.58064516129</v>
          </cell>
          <cell r="D365">
            <v>5527967.7419354767</v>
          </cell>
          <cell r="E365">
            <v>5935.4838709677415</v>
          </cell>
          <cell r="F365">
            <v>1876806.4516128928</v>
          </cell>
          <cell r="G365">
            <v>21258.06451612903</v>
          </cell>
          <cell r="H365">
            <v>7404774.1935484027</v>
          </cell>
          <cell r="I365">
            <v>19354.83870967742</v>
          </cell>
          <cell r="J365">
            <v>6408064.5161290457</v>
          </cell>
          <cell r="K365">
            <v>3225.8064516129034</v>
          </cell>
          <cell r="L365">
            <v>1509677.4193548351</v>
          </cell>
          <cell r="M365">
            <v>22580.645161290326</v>
          </cell>
          <cell r="N365">
            <v>7917741.9354838859</v>
          </cell>
          <cell r="O365">
            <v>22580.645161290322</v>
          </cell>
          <cell r="P365">
            <v>7917741.9354838859</v>
          </cell>
          <cell r="Q365">
            <v>179032.25806451612</v>
          </cell>
          <cell r="R365">
            <v>68762511.52073741</v>
          </cell>
          <cell r="S365">
            <v>19.223622583828082</v>
          </cell>
          <cell r="T365">
            <v>5117.2895527344908</v>
          </cell>
          <cell r="U365">
            <v>5.9778494622862288</v>
          </cell>
          <cell r="V365">
            <v>1858.3750704595234</v>
          </cell>
          <cell r="W365">
            <v>0</v>
          </cell>
          <cell r="X365">
            <v>0</v>
          </cell>
          <cell r="Y365">
            <v>16451.612903225807</v>
          </cell>
          <cell r="Z365">
            <v>5539354.8387096999</v>
          </cell>
          <cell r="AA365">
            <v>4806.4516129032254</v>
          </cell>
          <cell r="AB365">
            <v>1865419.3548387089</v>
          </cell>
          <cell r="AC365">
            <v>0</v>
          </cell>
          <cell r="AD365">
            <v>0</v>
          </cell>
          <cell r="AE365">
            <v>130645.16129032258</v>
          </cell>
          <cell r="AF365">
            <v>51341935.483871102</v>
          </cell>
          <cell r="AG365">
            <v>48387.096774193546</v>
          </cell>
          <cell r="AH365">
            <v>17395161.290322609</v>
          </cell>
        </row>
        <row r="366">
          <cell r="B366">
            <v>46360</v>
          </cell>
          <cell r="C366">
            <v>15322.58064516129</v>
          </cell>
          <cell r="D366">
            <v>5543290.3225806383</v>
          </cell>
          <cell r="E366">
            <v>5935.4838709677415</v>
          </cell>
          <cell r="F366">
            <v>1882741.9354838606</v>
          </cell>
          <cell r="G366">
            <v>21258.06451612903</v>
          </cell>
          <cell r="H366">
            <v>7426032.2580645317</v>
          </cell>
          <cell r="I366">
            <v>19354.83870967742</v>
          </cell>
          <cell r="J366">
            <v>6427419.3548387233</v>
          </cell>
          <cell r="K366">
            <v>3225.8064516129034</v>
          </cell>
          <cell r="L366">
            <v>1512903.2258064479</v>
          </cell>
          <cell r="M366">
            <v>22580.645161290326</v>
          </cell>
          <cell r="N366">
            <v>7940322.5806451766</v>
          </cell>
          <cell r="O366">
            <v>22580.645161290322</v>
          </cell>
          <cell r="P366">
            <v>7940322.5806451766</v>
          </cell>
          <cell r="Q366">
            <v>179032.25806451612</v>
          </cell>
          <cell r="R366">
            <v>68941543.778801933</v>
          </cell>
          <cell r="S366">
            <v>19.223622583828082</v>
          </cell>
          <cell r="T366">
            <v>5136.5131753183186</v>
          </cell>
          <cell r="U366">
            <v>5.9778494622862288</v>
          </cell>
          <cell r="V366">
            <v>1864.3529199218096</v>
          </cell>
          <cell r="W366">
            <v>0</v>
          </cell>
          <cell r="X366">
            <v>0</v>
          </cell>
          <cell r="Y366">
            <v>16451.612903225807</v>
          </cell>
          <cell r="Z366">
            <v>5555806.4516129261</v>
          </cell>
          <cell r="AA366">
            <v>4806.4516129032254</v>
          </cell>
          <cell r="AB366">
            <v>1870225.8064516122</v>
          </cell>
          <cell r="AC366">
            <v>0</v>
          </cell>
          <cell r="AD366">
            <v>0</v>
          </cell>
          <cell r="AE366">
            <v>130645.16129032258</v>
          </cell>
          <cell r="AF366">
            <v>51472580.645161428</v>
          </cell>
          <cell r="AG366">
            <v>48387.096774193546</v>
          </cell>
          <cell r="AH366">
            <v>17443548.387096804</v>
          </cell>
        </row>
        <row r="367">
          <cell r="B367">
            <v>46361</v>
          </cell>
          <cell r="C367">
            <v>15322.58064516129</v>
          </cell>
          <cell r="D367">
            <v>5558612.9032258</v>
          </cell>
          <cell r="E367">
            <v>5935.4838709677415</v>
          </cell>
          <cell r="F367">
            <v>1888677.4193548283</v>
          </cell>
          <cell r="G367">
            <v>21258.06451612903</v>
          </cell>
          <cell r="H367">
            <v>7447290.3225806607</v>
          </cell>
          <cell r="I367">
            <v>19354.83870967742</v>
          </cell>
          <cell r="J367">
            <v>6446774.1935484009</v>
          </cell>
          <cell r="K367">
            <v>3225.8064516129034</v>
          </cell>
          <cell r="L367">
            <v>1516129.0322580608</v>
          </cell>
          <cell r="M367">
            <v>22580.645161290326</v>
          </cell>
          <cell r="N367">
            <v>7962903.2258064672</v>
          </cell>
          <cell r="O367">
            <v>22580.645161290322</v>
          </cell>
          <cell r="P367">
            <v>7962903.2258064672</v>
          </cell>
          <cell r="Q367">
            <v>179032.25806451612</v>
          </cell>
          <cell r="R367">
            <v>69120576.036866456</v>
          </cell>
          <cell r="S367">
            <v>19.223622583828082</v>
          </cell>
          <cell r="T367">
            <v>5155.7367979021465</v>
          </cell>
          <cell r="U367">
            <v>5.9778494622862288</v>
          </cell>
          <cell r="V367">
            <v>1870.3307693840959</v>
          </cell>
          <cell r="W367">
            <v>0</v>
          </cell>
          <cell r="X367">
            <v>0</v>
          </cell>
          <cell r="Y367">
            <v>16451.612903225807</v>
          </cell>
          <cell r="Z367">
            <v>5572258.0645161523</v>
          </cell>
          <cell r="AA367">
            <v>4806.4516129032254</v>
          </cell>
          <cell r="AB367">
            <v>1875032.2580645154</v>
          </cell>
          <cell r="AC367">
            <v>0</v>
          </cell>
          <cell r="AD367">
            <v>0</v>
          </cell>
          <cell r="AE367">
            <v>130645.16129032258</v>
          </cell>
          <cell r="AF367">
            <v>51603225.806451753</v>
          </cell>
          <cell r="AG367">
            <v>48387.096774193546</v>
          </cell>
          <cell r="AH367">
            <v>17491935.483870998</v>
          </cell>
        </row>
        <row r="368">
          <cell r="B368">
            <v>46362</v>
          </cell>
          <cell r="C368">
            <v>15322.58064516129</v>
          </cell>
          <cell r="D368">
            <v>5573935.4838709617</v>
          </cell>
          <cell r="E368">
            <v>5935.4838709677415</v>
          </cell>
          <cell r="F368">
            <v>1894612.9032257961</v>
          </cell>
          <cell r="G368">
            <v>21258.06451612903</v>
          </cell>
          <cell r="H368">
            <v>7468548.3870967897</v>
          </cell>
          <cell r="I368">
            <v>19354.83870967742</v>
          </cell>
          <cell r="J368">
            <v>6466129.0322580785</v>
          </cell>
          <cell r="K368">
            <v>3225.8064516129034</v>
          </cell>
          <cell r="L368">
            <v>1519354.8387096736</v>
          </cell>
          <cell r="M368">
            <v>22580.645161290326</v>
          </cell>
          <cell r="N368">
            <v>7985483.8709677579</v>
          </cell>
          <cell r="O368">
            <v>22580.645161290322</v>
          </cell>
          <cell r="P368">
            <v>7985483.8709677579</v>
          </cell>
          <cell r="Q368">
            <v>179032.25806451612</v>
          </cell>
          <cell r="R368">
            <v>69299608.29493098</v>
          </cell>
          <cell r="S368">
            <v>19.223622583828082</v>
          </cell>
          <cell r="T368">
            <v>5174.9604204859743</v>
          </cell>
          <cell r="U368">
            <v>5.9778494622862288</v>
          </cell>
          <cell r="V368">
            <v>1876.3086188463822</v>
          </cell>
          <cell r="W368">
            <v>0</v>
          </cell>
          <cell r="X368">
            <v>0</v>
          </cell>
          <cell r="Y368">
            <v>16451.612903225807</v>
          </cell>
          <cell r="Z368">
            <v>5588709.6774193784</v>
          </cell>
          <cell r="AA368">
            <v>4806.4516129032254</v>
          </cell>
          <cell r="AB368">
            <v>1879838.7096774187</v>
          </cell>
          <cell r="AC368">
            <v>0</v>
          </cell>
          <cell r="AD368">
            <v>0</v>
          </cell>
          <cell r="AE368">
            <v>130645.16129032258</v>
          </cell>
          <cell r="AF368">
            <v>51733870.967742078</v>
          </cell>
          <cell r="AG368">
            <v>48387.096774193546</v>
          </cell>
          <cell r="AH368">
            <v>17540322.580645192</v>
          </cell>
        </row>
        <row r="369">
          <cell r="B369">
            <v>46363</v>
          </cell>
          <cell r="C369">
            <v>15322.58064516129</v>
          </cell>
          <cell r="D369">
            <v>5589258.0645161234</v>
          </cell>
          <cell r="E369">
            <v>5935.4838709677415</v>
          </cell>
          <cell r="F369">
            <v>1900548.3870967638</v>
          </cell>
          <cell r="G369">
            <v>21258.06451612903</v>
          </cell>
          <cell r="H369">
            <v>7489806.4516129186</v>
          </cell>
          <cell r="I369">
            <v>19354.83870967742</v>
          </cell>
          <cell r="J369">
            <v>6485483.870967756</v>
          </cell>
          <cell r="K369">
            <v>3225.8064516129034</v>
          </cell>
          <cell r="L369">
            <v>1522580.6451612865</v>
          </cell>
          <cell r="M369">
            <v>22580.645161290326</v>
          </cell>
          <cell r="N369">
            <v>8008064.5161290485</v>
          </cell>
          <cell r="O369">
            <v>22580.645161290322</v>
          </cell>
          <cell r="P369">
            <v>8008064.5161290485</v>
          </cell>
          <cell r="Q369">
            <v>179032.25806451612</v>
          </cell>
          <cell r="R369">
            <v>69478640.552995503</v>
          </cell>
          <cell r="S369">
            <v>19.223622583828082</v>
          </cell>
          <cell r="T369">
            <v>5194.1840430698021</v>
          </cell>
          <cell r="U369">
            <v>5.9778494622862288</v>
          </cell>
          <cell r="V369">
            <v>1882.2864683086684</v>
          </cell>
          <cell r="W369">
            <v>0</v>
          </cell>
          <cell r="X369">
            <v>0</v>
          </cell>
          <cell r="Y369">
            <v>16451.612903225807</v>
          </cell>
          <cell r="Z369">
            <v>5605161.2903226046</v>
          </cell>
          <cell r="AA369">
            <v>4806.4516129032254</v>
          </cell>
          <cell r="AB369">
            <v>1884645.161290322</v>
          </cell>
          <cell r="AC369">
            <v>0</v>
          </cell>
          <cell r="AD369">
            <v>0</v>
          </cell>
          <cell r="AE369">
            <v>130645.16129032258</v>
          </cell>
          <cell r="AF369">
            <v>51864516.129032403</v>
          </cell>
          <cell r="AG369">
            <v>48387.096774193546</v>
          </cell>
          <cell r="AH369">
            <v>17588709.677419387</v>
          </cell>
        </row>
        <row r="370">
          <cell r="B370">
            <v>46364</v>
          </cell>
          <cell r="C370">
            <v>15322.58064516129</v>
          </cell>
          <cell r="D370">
            <v>5604580.6451612851</v>
          </cell>
          <cell r="E370">
            <v>5935.4838709677415</v>
          </cell>
          <cell r="F370">
            <v>1906483.8709677316</v>
          </cell>
          <cell r="G370">
            <v>21258.06451612903</v>
          </cell>
          <cell r="H370">
            <v>7511064.5161290476</v>
          </cell>
          <cell r="I370">
            <v>19354.83870967742</v>
          </cell>
          <cell r="J370">
            <v>6504838.7096774336</v>
          </cell>
          <cell r="K370">
            <v>3225.8064516129034</v>
          </cell>
          <cell r="L370">
            <v>1525806.4516128993</v>
          </cell>
          <cell r="M370">
            <v>22580.645161290326</v>
          </cell>
          <cell r="N370">
            <v>8030645.1612903392</v>
          </cell>
          <cell r="O370">
            <v>22580.645161290322</v>
          </cell>
          <cell r="P370">
            <v>8030645.1612903392</v>
          </cell>
          <cell r="Q370">
            <v>179032.25806451612</v>
          </cell>
          <cell r="R370">
            <v>69657672.811060026</v>
          </cell>
          <cell r="S370">
            <v>19.223622583828082</v>
          </cell>
          <cell r="T370">
            <v>5213.4076656536299</v>
          </cell>
          <cell r="U370">
            <v>5.9778494622862288</v>
          </cell>
          <cell r="V370">
            <v>1888.2643177709547</v>
          </cell>
          <cell r="W370">
            <v>0</v>
          </cell>
          <cell r="X370">
            <v>0</v>
          </cell>
          <cell r="Y370">
            <v>16451.612903225807</v>
          </cell>
          <cell r="Z370">
            <v>5621612.9032258308</v>
          </cell>
          <cell r="AA370">
            <v>4806.4516129032254</v>
          </cell>
          <cell r="AB370">
            <v>1889451.6129032252</v>
          </cell>
          <cell r="AC370">
            <v>0</v>
          </cell>
          <cell r="AD370">
            <v>0</v>
          </cell>
          <cell r="AE370">
            <v>130645.16129032258</v>
          </cell>
          <cell r="AF370">
            <v>51995161.290322728</v>
          </cell>
          <cell r="AG370">
            <v>48387.096774193546</v>
          </cell>
          <cell r="AH370">
            <v>17637096.774193581</v>
          </cell>
        </row>
        <row r="371">
          <cell r="B371">
            <v>46365</v>
          </cell>
          <cell r="C371">
            <v>15322.58064516129</v>
          </cell>
          <cell r="D371">
            <v>5619903.2258064467</v>
          </cell>
          <cell r="E371">
            <v>5935.4838709677415</v>
          </cell>
          <cell r="F371">
            <v>1912419.3548386993</v>
          </cell>
          <cell r="G371">
            <v>21258.06451612903</v>
          </cell>
          <cell r="H371">
            <v>7532322.5806451766</v>
          </cell>
          <cell r="I371">
            <v>19354.83870967742</v>
          </cell>
          <cell r="J371">
            <v>6524193.5483871112</v>
          </cell>
          <cell r="K371">
            <v>3225.8064516129034</v>
          </cell>
          <cell r="L371">
            <v>1529032.2580645122</v>
          </cell>
          <cell r="M371">
            <v>22580.645161290326</v>
          </cell>
          <cell r="N371">
            <v>8053225.8064516298</v>
          </cell>
          <cell r="O371">
            <v>22580.645161290322</v>
          </cell>
          <cell r="P371">
            <v>8053225.8064516298</v>
          </cell>
          <cell r="Q371">
            <v>179032.25806451612</v>
          </cell>
          <cell r="R371">
            <v>69836705.06912455</v>
          </cell>
          <cell r="S371">
            <v>19.223622583828082</v>
          </cell>
          <cell r="T371">
            <v>5232.6312882374577</v>
          </cell>
          <cell r="U371">
            <v>5.9778494622862288</v>
          </cell>
          <cell r="V371">
            <v>1894.2421672332409</v>
          </cell>
          <cell r="W371">
            <v>0</v>
          </cell>
          <cell r="X371">
            <v>0</v>
          </cell>
          <cell r="Y371">
            <v>16451.612903225807</v>
          </cell>
          <cell r="Z371">
            <v>5638064.5161290569</v>
          </cell>
          <cell r="AA371">
            <v>4806.4516129032254</v>
          </cell>
          <cell r="AB371">
            <v>1894258.0645161285</v>
          </cell>
          <cell r="AC371">
            <v>0</v>
          </cell>
          <cell r="AD371">
            <v>0</v>
          </cell>
          <cell r="AE371">
            <v>130645.16129032258</v>
          </cell>
          <cell r="AF371">
            <v>52125806.451613054</v>
          </cell>
          <cell r="AG371">
            <v>48387.096774193546</v>
          </cell>
          <cell r="AH371">
            <v>17685483.870967776</v>
          </cell>
        </row>
        <row r="372">
          <cell r="B372">
            <v>46366</v>
          </cell>
          <cell r="C372">
            <v>15322.58064516129</v>
          </cell>
          <cell r="D372">
            <v>5635225.8064516084</v>
          </cell>
          <cell r="E372">
            <v>5935.4838709677415</v>
          </cell>
          <cell r="F372">
            <v>1918354.8387096671</v>
          </cell>
          <cell r="G372">
            <v>21258.06451612903</v>
          </cell>
          <cell r="H372">
            <v>7553580.6451613056</v>
          </cell>
          <cell r="I372">
            <v>19354.83870967742</v>
          </cell>
          <cell r="J372">
            <v>6543548.3870967887</v>
          </cell>
          <cell r="K372">
            <v>3225.8064516129034</v>
          </cell>
          <cell r="L372">
            <v>1532258.064516125</v>
          </cell>
          <cell r="M372">
            <v>22580.645161290326</v>
          </cell>
          <cell r="N372">
            <v>8075806.4516129205</v>
          </cell>
          <cell r="O372">
            <v>22580.645161290322</v>
          </cell>
          <cell r="P372">
            <v>8075806.4516129205</v>
          </cell>
          <cell r="Q372">
            <v>179032.25806451612</v>
          </cell>
          <cell r="R372">
            <v>70015737.327189073</v>
          </cell>
          <cell r="S372">
            <v>19.223622583828082</v>
          </cell>
          <cell r="T372">
            <v>5251.8549108212856</v>
          </cell>
          <cell r="U372">
            <v>5.9778494622862288</v>
          </cell>
          <cell r="V372">
            <v>1900.2200166955272</v>
          </cell>
          <cell r="W372">
            <v>0</v>
          </cell>
          <cell r="X372">
            <v>0</v>
          </cell>
          <cell r="Y372">
            <v>16451.612903225807</v>
          </cell>
          <cell r="Z372">
            <v>5654516.1290322831</v>
          </cell>
          <cell r="AA372">
            <v>4806.4516129032254</v>
          </cell>
          <cell r="AB372">
            <v>1899064.5161290318</v>
          </cell>
          <cell r="AC372">
            <v>0</v>
          </cell>
          <cell r="AD372">
            <v>0</v>
          </cell>
          <cell r="AE372">
            <v>130645.16129032258</v>
          </cell>
          <cell r="AF372">
            <v>52256451.612903379</v>
          </cell>
          <cell r="AG372">
            <v>48387.096774193546</v>
          </cell>
          <cell r="AH372">
            <v>17733870.96774197</v>
          </cell>
        </row>
        <row r="373">
          <cell r="B373">
            <v>46367</v>
          </cell>
          <cell r="C373">
            <v>15322.58064516129</v>
          </cell>
          <cell r="D373">
            <v>5650548.3870967701</v>
          </cell>
          <cell r="E373">
            <v>5935.4838709677415</v>
          </cell>
          <cell r="F373">
            <v>1924290.3225806348</v>
          </cell>
          <cell r="G373">
            <v>21258.06451612903</v>
          </cell>
          <cell r="H373">
            <v>7574838.7096774345</v>
          </cell>
          <cell r="I373">
            <v>19354.83870967742</v>
          </cell>
          <cell r="J373">
            <v>6562903.2258064663</v>
          </cell>
          <cell r="K373">
            <v>3225.8064516129034</v>
          </cell>
          <cell r="L373">
            <v>1535483.8709677379</v>
          </cell>
          <cell r="M373">
            <v>22580.645161290326</v>
          </cell>
          <cell r="N373">
            <v>8098387.0967742112</v>
          </cell>
          <cell r="O373">
            <v>22580.645161290322</v>
          </cell>
          <cell r="P373">
            <v>8098387.0967742112</v>
          </cell>
          <cell r="Q373">
            <v>179032.25806451612</v>
          </cell>
          <cell r="R373">
            <v>70194769.585253596</v>
          </cell>
          <cell r="S373">
            <v>19.223622583828082</v>
          </cell>
          <cell r="T373">
            <v>5271.0785334051134</v>
          </cell>
          <cell r="U373">
            <v>5.9778494622862288</v>
          </cell>
          <cell r="V373">
            <v>1906.1978661578135</v>
          </cell>
          <cell r="W373">
            <v>0</v>
          </cell>
          <cell r="X373">
            <v>0</v>
          </cell>
          <cell r="Y373">
            <v>16451.612903225807</v>
          </cell>
          <cell r="Z373">
            <v>5670967.7419355093</v>
          </cell>
          <cell r="AA373">
            <v>4806.4516129032254</v>
          </cell>
          <cell r="AB373">
            <v>1903870.967741935</v>
          </cell>
          <cell r="AC373">
            <v>0</v>
          </cell>
          <cell r="AD373">
            <v>0</v>
          </cell>
          <cell r="AE373">
            <v>130645.16129032258</v>
          </cell>
          <cell r="AF373">
            <v>52387096.774193704</v>
          </cell>
          <cell r="AG373">
            <v>48387.096774193546</v>
          </cell>
          <cell r="AH373">
            <v>17782258.064516164</v>
          </cell>
        </row>
        <row r="374">
          <cell r="B374">
            <v>46368</v>
          </cell>
          <cell r="C374">
            <v>15322.58064516129</v>
          </cell>
          <cell r="D374">
            <v>5665870.9677419318</v>
          </cell>
          <cell r="E374">
            <v>5935.4838709677415</v>
          </cell>
          <cell r="F374">
            <v>1930225.8064516026</v>
          </cell>
          <cell r="G374">
            <v>21258.06451612903</v>
          </cell>
          <cell r="H374">
            <v>7596096.7741935635</v>
          </cell>
          <cell r="I374">
            <v>19354.83870967742</v>
          </cell>
          <cell r="J374">
            <v>6582258.0645161439</v>
          </cell>
          <cell r="K374">
            <v>3225.8064516129034</v>
          </cell>
          <cell r="L374">
            <v>1538709.6774193507</v>
          </cell>
          <cell r="M374">
            <v>22580.645161290326</v>
          </cell>
          <cell r="N374">
            <v>8120967.7419355018</v>
          </cell>
          <cell r="O374">
            <v>22580.645161290322</v>
          </cell>
          <cell r="P374">
            <v>8120967.7419355018</v>
          </cell>
          <cell r="Q374">
            <v>179032.25806451612</v>
          </cell>
          <cell r="R374">
            <v>70373801.84331812</v>
          </cell>
          <cell r="S374">
            <v>19.223622583828082</v>
          </cell>
          <cell r="T374">
            <v>5290.3021559889412</v>
          </cell>
          <cell r="U374">
            <v>5.9778494622862288</v>
          </cell>
          <cell r="V374">
            <v>1912.1757156200997</v>
          </cell>
          <cell r="W374">
            <v>0</v>
          </cell>
          <cell r="X374">
            <v>0</v>
          </cell>
          <cell r="Y374">
            <v>16451.612903225807</v>
          </cell>
          <cell r="Z374">
            <v>5687419.3548387354</v>
          </cell>
          <cell r="AA374">
            <v>4806.4516129032254</v>
          </cell>
          <cell r="AB374">
            <v>1908677.4193548383</v>
          </cell>
          <cell r="AC374">
            <v>0</v>
          </cell>
          <cell r="AD374">
            <v>0</v>
          </cell>
          <cell r="AE374">
            <v>130645.16129032258</v>
          </cell>
          <cell r="AF374">
            <v>52517741.935484029</v>
          </cell>
          <cell r="AG374">
            <v>48387.096774193546</v>
          </cell>
          <cell r="AH374">
            <v>17830645.161290359</v>
          </cell>
        </row>
        <row r="375">
          <cell r="B375">
            <v>46369</v>
          </cell>
          <cell r="C375">
            <v>15322.58064516129</v>
          </cell>
          <cell r="D375">
            <v>5681193.5483870935</v>
          </cell>
          <cell r="E375">
            <v>5935.4838709677415</v>
          </cell>
          <cell r="F375">
            <v>1936161.2903225704</v>
          </cell>
          <cell r="G375">
            <v>21258.06451612903</v>
          </cell>
          <cell r="H375">
            <v>7617354.8387096925</v>
          </cell>
          <cell r="I375">
            <v>19354.83870967742</v>
          </cell>
          <cell r="J375">
            <v>6601612.9032258214</v>
          </cell>
          <cell r="K375">
            <v>3225.8064516129034</v>
          </cell>
          <cell r="L375">
            <v>1541935.4838709636</v>
          </cell>
          <cell r="M375">
            <v>22580.645161290326</v>
          </cell>
          <cell r="N375">
            <v>8143548.3870967925</v>
          </cell>
          <cell r="O375">
            <v>22580.645161290322</v>
          </cell>
          <cell r="P375">
            <v>8143548.3870967925</v>
          </cell>
          <cell r="Q375">
            <v>179032.25806451612</v>
          </cell>
          <cell r="R375">
            <v>70552834.101382643</v>
          </cell>
          <cell r="S375">
            <v>19.223622583828082</v>
          </cell>
          <cell r="T375">
            <v>5309.525778572769</v>
          </cell>
          <cell r="U375">
            <v>5.9778494622862288</v>
          </cell>
          <cell r="V375">
            <v>1918.153565082386</v>
          </cell>
          <cell r="W375">
            <v>0</v>
          </cell>
          <cell r="X375">
            <v>0</v>
          </cell>
          <cell r="Y375">
            <v>16451.612903225807</v>
          </cell>
          <cell r="Z375">
            <v>5703870.9677419616</v>
          </cell>
          <cell r="AA375">
            <v>4806.4516129032254</v>
          </cell>
          <cell r="AB375">
            <v>1913483.8709677416</v>
          </cell>
          <cell r="AC375">
            <v>0</v>
          </cell>
          <cell r="AD375">
            <v>0</v>
          </cell>
          <cell r="AE375">
            <v>130645.16129032258</v>
          </cell>
          <cell r="AF375">
            <v>52648387.096774355</v>
          </cell>
          <cell r="AG375">
            <v>48387.096774193546</v>
          </cell>
          <cell r="AH375">
            <v>17879032.258064553</v>
          </cell>
        </row>
        <row r="376">
          <cell r="B376">
            <v>46370</v>
          </cell>
          <cell r="C376">
            <v>15322.58064516129</v>
          </cell>
          <cell r="D376">
            <v>5696516.1290322552</v>
          </cell>
          <cell r="E376">
            <v>5935.4838709677415</v>
          </cell>
          <cell r="F376">
            <v>1942096.7741935381</v>
          </cell>
          <cell r="G376">
            <v>21258.06451612903</v>
          </cell>
          <cell r="H376">
            <v>7638612.9032258214</v>
          </cell>
          <cell r="I376">
            <v>19354.83870967742</v>
          </cell>
          <cell r="J376">
            <v>6620967.741935499</v>
          </cell>
          <cell r="K376">
            <v>3225.8064516129034</v>
          </cell>
          <cell r="L376">
            <v>1545161.2903225764</v>
          </cell>
          <cell r="M376">
            <v>22580.645161290326</v>
          </cell>
          <cell r="N376">
            <v>8166129.0322580831</v>
          </cell>
          <cell r="O376">
            <v>22580.645161290322</v>
          </cell>
          <cell r="P376">
            <v>8166129.0322580831</v>
          </cell>
          <cell r="Q376">
            <v>179032.25806451612</v>
          </cell>
          <cell r="R376">
            <v>70731866.359447166</v>
          </cell>
          <cell r="S376">
            <v>19.223622583828082</v>
          </cell>
          <cell r="T376">
            <v>5328.7494011565968</v>
          </cell>
          <cell r="U376">
            <v>5.9778494622862288</v>
          </cell>
          <cell r="V376">
            <v>1924.1314145446722</v>
          </cell>
          <cell r="W376">
            <v>0</v>
          </cell>
          <cell r="X376">
            <v>0</v>
          </cell>
          <cell r="Y376">
            <v>16451.612903225807</v>
          </cell>
          <cell r="Z376">
            <v>5720322.5806451878</v>
          </cell>
          <cell r="AA376">
            <v>4806.4516129032254</v>
          </cell>
          <cell r="AB376">
            <v>1918290.3225806449</v>
          </cell>
          <cell r="AC376">
            <v>0</v>
          </cell>
          <cell r="AD376">
            <v>0</v>
          </cell>
          <cell r="AE376">
            <v>130645.16129032258</v>
          </cell>
          <cell r="AF376">
            <v>52779032.25806468</v>
          </cell>
          <cell r="AG376">
            <v>48387.096774193546</v>
          </cell>
          <cell r="AH376">
            <v>17927419.354838748</v>
          </cell>
        </row>
        <row r="377">
          <cell r="B377">
            <v>46371</v>
          </cell>
          <cell r="C377">
            <v>15322.58064516129</v>
          </cell>
          <cell r="D377">
            <v>5711838.7096774168</v>
          </cell>
          <cell r="E377">
            <v>5935.4838709677415</v>
          </cell>
          <cell r="F377">
            <v>1948032.2580645059</v>
          </cell>
          <cell r="G377">
            <v>21258.06451612903</v>
          </cell>
          <cell r="H377">
            <v>7659870.9677419504</v>
          </cell>
          <cell r="I377">
            <v>19354.83870967742</v>
          </cell>
          <cell r="J377">
            <v>6640322.5806451766</v>
          </cell>
          <cell r="K377">
            <v>3225.8064516129034</v>
          </cell>
          <cell r="L377">
            <v>1548387.0967741893</v>
          </cell>
          <cell r="M377">
            <v>22580.645161290326</v>
          </cell>
          <cell r="N377">
            <v>8188709.6774193738</v>
          </cell>
          <cell r="O377">
            <v>22580.645161290322</v>
          </cell>
          <cell r="P377">
            <v>8188709.6774193738</v>
          </cell>
          <cell r="Q377">
            <v>179032.25806451612</v>
          </cell>
          <cell r="R377">
            <v>70910898.61751169</v>
          </cell>
          <cell r="S377">
            <v>19.223622583828082</v>
          </cell>
          <cell r="T377">
            <v>5347.9730237404247</v>
          </cell>
          <cell r="U377">
            <v>5.9778494622862288</v>
          </cell>
          <cell r="V377">
            <v>1930.1092640069585</v>
          </cell>
          <cell r="W377">
            <v>0</v>
          </cell>
          <cell r="X377">
            <v>0</v>
          </cell>
          <cell r="Y377">
            <v>16451.612903225807</v>
          </cell>
          <cell r="Z377">
            <v>5736774.1935484139</v>
          </cell>
          <cell r="AA377">
            <v>4806.4516129032254</v>
          </cell>
          <cell r="AB377">
            <v>1923096.7741935481</v>
          </cell>
          <cell r="AC377">
            <v>0</v>
          </cell>
          <cell r="AD377">
            <v>0</v>
          </cell>
          <cell r="AE377">
            <v>130645.16129032258</v>
          </cell>
          <cell r="AF377">
            <v>52909677.419355005</v>
          </cell>
          <cell r="AG377">
            <v>48387.096774193546</v>
          </cell>
          <cell r="AH377">
            <v>17975806.451612942</v>
          </cell>
        </row>
        <row r="378">
          <cell r="B378">
            <v>46372</v>
          </cell>
          <cell r="C378">
            <v>15322.58064516129</v>
          </cell>
          <cell r="D378">
            <v>5727161.2903225785</v>
          </cell>
          <cell r="E378">
            <v>5935.4838709677415</v>
          </cell>
          <cell r="F378">
            <v>1953967.7419354736</v>
          </cell>
          <cell r="G378">
            <v>21258.06451612903</v>
          </cell>
          <cell r="H378">
            <v>7681129.0322580794</v>
          </cell>
          <cell r="I378">
            <v>19354.83870967742</v>
          </cell>
          <cell r="J378">
            <v>6659677.4193548542</v>
          </cell>
          <cell r="K378">
            <v>3225.8064516129034</v>
          </cell>
          <cell r="L378">
            <v>1551612.9032258021</v>
          </cell>
          <cell r="M378">
            <v>22580.645161290326</v>
          </cell>
          <cell r="N378">
            <v>8211290.3225806644</v>
          </cell>
          <cell r="O378">
            <v>22580.645161290322</v>
          </cell>
          <cell r="P378">
            <v>8211290.3225806644</v>
          </cell>
          <cell r="Q378">
            <v>179032.25806451612</v>
          </cell>
          <cell r="R378">
            <v>71089930.875576213</v>
          </cell>
          <cell r="S378">
            <v>19.223622583828082</v>
          </cell>
          <cell r="T378">
            <v>5367.1966463242525</v>
          </cell>
          <cell r="U378">
            <v>5.9778494622862288</v>
          </cell>
          <cell r="V378">
            <v>1936.0871134692447</v>
          </cell>
          <cell r="W378">
            <v>0</v>
          </cell>
          <cell r="X378">
            <v>0</v>
          </cell>
          <cell r="Y378">
            <v>16451.612903225807</v>
          </cell>
          <cell r="Z378">
            <v>5753225.8064516401</v>
          </cell>
          <cell r="AA378">
            <v>4806.4516129032254</v>
          </cell>
          <cell r="AB378">
            <v>1927903.2258064514</v>
          </cell>
          <cell r="AC378">
            <v>0</v>
          </cell>
          <cell r="AD378">
            <v>0</v>
          </cell>
          <cell r="AE378">
            <v>130645.16129032258</v>
          </cell>
          <cell r="AF378">
            <v>53040322.58064533</v>
          </cell>
          <cell r="AG378">
            <v>48387.096774193546</v>
          </cell>
          <cell r="AH378">
            <v>18024193.548387136</v>
          </cell>
        </row>
        <row r="379">
          <cell r="B379">
            <v>46373</v>
          </cell>
          <cell r="C379">
            <v>15322.58064516129</v>
          </cell>
          <cell r="D379">
            <v>5742483.8709677402</v>
          </cell>
          <cell r="E379">
            <v>5935.4838709677415</v>
          </cell>
          <cell r="F379">
            <v>1959903.2258064414</v>
          </cell>
          <cell r="G379">
            <v>21258.06451612903</v>
          </cell>
          <cell r="H379">
            <v>7702387.0967742084</v>
          </cell>
          <cell r="I379">
            <v>19354.83870967742</v>
          </cell>
          <cell r="J379">
            <v>6679032.2580645317</v>
          </cell>
          <cell r="K379">
            <v>3225.8064516129034</v>
          </cell>
          <cell r="L379">
            <v>1554838.709677415</v>
          </cell>
          <cell r="M379">
            <v>22580.645161290326</v>
          </cell>
          <cell r="N379">
            <v>8233870.9677419551</v>
          </cell>
          <cell r="O379">
            <v>22580.645161290322</v>
          </cell>
          <cell r="P379">
            <v>8233870.9677419551</v>
          </cell>
          <cell r="Q379">
            <v>179032.25806451612</v>
          </cell>
          <cell r="R379">
            <v>71268963.133640736</v>
          </cell>
          <cell r="S379">
            <v>19.223622583828082</v>
          </cell>
          <cell r="T379">
            <v>5386.4202689080803</v>
          </cell>
          <cell r="U379">
            <v>5.9778494622862288</v>
          </cell>
          <cell r="V379">
            <v>1942.064962931531</v>
          </cell>
          <cell r="W379">
            <v>0</v>
          </cell>
          <cell r="X379">
            <v>0</v>
          </cell>
          <cell r="Y379">
            <v>16451.612903225807</v>
          </cell>
          <cell r="Z379">
            <v>5769677.4193548663</v>
          </cell>
          <cell r="AA379">
            <v>4806.4516129032254</v>
          </cell>
          <cell r="AB379">
            <v>1932709.6774193547</v>
          </cell>
          <cell r="AC379">
            <v>0</v>
          </cell>
          <cell r="AD379">
            <v>0</v>
          </cell>
          <cell r="AE379">
            <v>130645.16129032258</v>
          </cell>
          <cell r="AF379">
            <v>53170967.741935655</v>
          </cell>
          <cell r="AG379">
            <v>48387.096774193546</v>
          </cell>
          <cell r="AH379">
            <v>18072580.645161331</v>
          </cell>
        </row>
        <row r="380">
          <cell r="B380">
            <v>46374</v>
          </cell>
          <cell r="C380">
            <v>15322.58064516129</v>
          </cell>
          <cell r="D380">
            <v>5757806.4516129019</v>
          </cell>
          <cell r="E380">
            <v>5935.4838709677415</v>
          </cell>
          <cell r="F380">
            <v>1965838.7096774091</v>
          </cell>
          <cell r="G380">
            <v>21258.06451612903</v>
          </cell>
          <cell r="H380">
            <v>7723645.1612903373</v>
          </cell>
          <cell r="I380">
            <v>19354.83870967742</v>
          </cell>
          <cell r="J380">
            <v>6698387.0967742093</v>
          </cell>
          <cell r="K380">
            <v>3225.8064516129034</v>
          </cell>
          <cell r="L380">
            <v>1558064.5161290278</v>
          </cell>
          <cell r="M380">
            <v>22580.645161290326</v>
          </cell>
          <cell r="N380">
            <v>8256451.6129032457</v>
          </cell>
          <cell r="O380">
            <v>22580.645161290322</v>
          </cell>
          <cell r="P380">
            <v>8256451.6129032457</v>
          </cell>
          <cell r="Q380">
            <v>179032.25806451612</v>
          </cell>
          <cell r="R380">
            <v>71447995.39170526</v>
          </cell>
          <cell r="S380">
            <v>19.223622583828082</v>
          </cell>
          <cell r="T380">
            <v>5405.6438914919081</v>
          </cell>
          <cell r="U380">
            <v>5.9778494622862288</v>
          </cell>
          <cell r="V380">
            <v>1948.0428123938173</v>
          </cell>
          <cell r="W380">
            <v>0</v>
          </cell>
          <cell r="X380">
            <v>0</v>
          </cell>
          <cell r="Y380">
            <v>16451.612903225807</v>
          </cell>
          <cell r="Z380">
            <v>5786129.0322580924</v>
          </cell>
          <cell r="AA380">
            <v>4806.4516129032254</v>
          </cell>
          <cell r="AB380">
            <v>1937516.1290322579</v>
          </cell>
          <cell r="AC380">
            <v>0</v>
          </cell>
          <cell r="AD380">
            <v>0</v>
          </cell>
          <cell r="AE380">
            <v>130645.16129032258</v>
          </cell>
          <cell r="AF380">
            <v>53301612.903225981</v>
          </cell>
          <cell r="AG380">
            <v>48387.096774193546</v>
          </cell>
          <cell r="AH380">
            <v>18120967.741935525</v>
          </cell>
        </row>
        <row r="381">
          <cell r="B381">
            <v>46375</v>
          </cell>
          <cell r="C381">
            <v>15322.58064516129</v>
          </cell>
          <cell r="D381">
            <v>5773129.0322580636</v>
          </cell>
          <cell r="E381">
            <v>5935.4838709677415</v>
          </cell>
          <cell r="F381">
            <v>1971774.1935483769</v>
          </cell>
          <cell r="G381">
            <v>21258.06451612903</v>
          </cell>
          <cell r="H381">
            <v>7744903.2258064663</v>
          </cell>
          <cell r="I381">
            <v>19354.83870967742</v>
          </cell>
          <cell r="J381">
            <v>6717741.9354838869</v>
          </cell>
          <cell r="K381">
            <v>3225.8064516129034</v>
          </cell>
          <cell r="L381">
            <v>1561290.3225806407</v>
          </cell>
          <cell r="M381">
            <v>22580.645161290326</v>
          </cell>
          <cell r="N381">
            <v>8279032.2580645364</v>
          </cell>
          <cell r="O381">
            <v>22580.645161290322</v>
          </cell>
          <cell r="P381">
            <v>8279032.2580645364</v>
          </cell>
          <cell r="Q381">
            <v>179032.25806451612</v>
          </cell>
          <cell r="R381">
            <v>71627027.649769783</v>
          </cell>
          <cell r="S381">
            <v>19.223622583828082</v>
          </cell>
          <cell r="T381">
            <v>5424.8675140757359</v>
          </cell>
          <cell r="U381">
            <v>5.9778494622862288</v>
          </cell>
          <cell r="V381">
            <v>1954.0206618561035</v>
          </cell>
          <cell r="W381">
            <v>0</v>
          </cell>
          <cell r="X381">
            <v>0</v>
          </cell>
          <cell r="Y381">
            <v>16451.612903225807</v>
          </cell>
          <cell r="Z381">
            <v>5802580.6451613186</v>
          </cell>
          <cell r="AA381">
            <v>4806.4516129032254</v>
          </cell>
          <cell r="AB381">
            <v>1942322.5806451612</v>
          </cell>
          <cell r="AC381">
            <v>0</v>
          </cell>
          <cell r="AD381">
            <v>0</v>
          </cell>
          <cell r="AE381">
            <v>130645.16129032258</v>
          </cell>
          <cell r="AF381">
            <v>53432258.064516306</v>
          </cell>
          <cell r="AG381">
            <v>48387.096774193546</v>
          </cell>
          <cell r="AH381">
            <v>18169354.838709719</v>
          </cell>
        </row>
        <row r="382">
          <cell r="B382">
            <v>46376</v>
          </cell>
          <cell r="C382">
            <v>15322.58064516129</v>
          </cell>
          <cell r="D382">
            <v>5788451.6129032252</v>
          </cell>
          <cell r="E382">
            <v>5935.4838709677415</v>
          </cell>
          <cell r="F382">
            <v>1977709.6774193447</v>
          </cell>
          <cell r="G382">
            <v>21258.06451612903</v>
          </cell>
          <cell r="H382">
            <v>7766161.2903225953</v>
          </cell>
          <cell r="I382">
            <v>19354.83870967742</v>
          </cell>
          <cell r="J382">
            <v>6737096.7741935644</v>
          </cell>
          <cell r="K382">
            <v>3225.8064516129034</v>
          </cell>
          <cell r="L382">
            <v>1564516.1290322535</v>
          </cell>
          <cell r="M382">
            <v>22580.645161290326</v>
          </cell>
          <cell r="N382">
            <v>8301612.903225827</v>
          </cell>
          <cell r="O382">
            <v>22580.645161290322</v>
          </cell>
          <cell r="P382">
            <v>8301612.903225827</v>
          </cell>
          <cell r="Q382">
            <v>179032.25806451612</v>
          </cell>
          <cell r="R382">
            <v>71806059.907834306</v>
          </cell>
          <cell r="S382">
            <v>19.223622583828082</v>
          </cell>
          <cell r="T382">
            <v>5444.0911366595637</v>
          </cell>
          <cell r="U382">
            <v>5.9778494622862288</v>
          </cell>
          <cell r="V382">
            <v>1959.9985113183898</v>
          </cell>
          <cell r="W382">
            <v>0</v>
          </cell>
          <cell r="X382">
            <v>0</v>
          </cell>
          <cell r="Y382">
            <v>16451.612903225807</v>
          </cell>
          <cell r="Z382">
            <v>5819032.2580645448</v>
          </cell>
          <cell r="AA382">
            <v>4806.4516129032254</v>
          </cell>
          <cell r="AB382">
            <v>1947129.0322580645</v>
          </cell>
          <cell r="AC382">
            <v>0</v>
          </cell>
          <cell r="AD382">
            <v>0</v>
          </cell>
          <cell r="AE382">
            <v>130645.16129032258</v>
          </cell>
          <cell r="AF382">
            <v>53562903.225806631</v>
          </cell>
          <cell r="AG382">
            <v>48387.096774193546</v>
          </cell>
          <cell r="AH382">
            <v>18217741.935483914</v>
          </cell>
        </row>
        <row r="383">
          <cell r="B383">
            <v>46377</v>
          </cell>
          <cell r="C383">
            <v>15322.58064516129</v>
          </cell>
          <cell r="D383">
            <v>5803774.1935483869</v>
          </cell>
          <cell r="E383">
            <v>5935.4838709677415</v>
          </cell>
          <cell r="F383">
            <v>1983645.1612903124</v>
          </cell>
          <cell r="G383">
            <v>21258.06451612903</v>
          </cell>
          <cell r="H383">
            <v>7787419.3548387242</v>
          </cell>
          <cell r="I383">
            <v>19354.83870967742</v>
          </cell>
          <cell r="J383">
            <v>6756451.612903242</v>
          </cell>
          <cell r="K383">
            <v>3225.8064516129034</v>
          </cell>
          <cell r="L383">
            <v>1567741.9354838664</v>
          </cell>
          <cell r="M383">
            <v>22580.645161290326</v>
          </cell>
          <cell r="N383">
            <v>8324193.5483871177</v>
          </cell>
          <cell r="O383">
            <v>22580.645161290322</v>
          </cell>
          <cell r="P383">
            <v>8324193.5483871177</v>
          </cell>
          <cell r="Q383">
            <v>179032.25806451612</v>
          </cell>
          <cell r="R383">
            <v>71985092.16589883</v>
          </cell>
          <cell r="S383">
            <v>19.223622583828082</v>
          </cell>
          <cell r="T383">
            <v>5463.3147592433916</v>
          </cell>
          <cell r="U383">
            <v>5.9778494622862288</v>
          </cell>
          <cell r="V383">
            <v>1965.976360780676</v>
          </cell>
          <cell r="W383">
            <v>0</v>
          </cell>
          <cell r="X383">
            <v>0</v>
          </cell>
          <cell r="Y383">
            <v>16451.612903225807</v>
          </cell>
          <cell r="Z383">
            <v>5835483.8709677709</v>
          </cell>
          <cell r="AA383">
            <v>4806.4516129032254</v>
          </cell>
          <cell r="AB383">
            <v>1951935.4838709678</v>
          </cell>
          <cell r="AC383">
            <v>0</v>
          </cell>
          <cell r="AD383">
            <v>0</v>
          </cell>
          <cell r="AE383">
            <v>130645.16129032258</v>
          </cell>
          <cell r="AF383">
            <v>53693548.387096956</v>
          </cell>
          <cell r="AG383">
            <v>48387.096774193546</v>
          </cell>
          <cell r="AH383">
            <v>18266129.032258108</v>
          </cell>
        </row>
        <row r="384">
          <cell r="B384">
            <v>46378</v>
          </cell>
          <cell r="C384">
            <v>15322.58064516129</v>
          </cell>
          <cell r="D384">
            <v>5819096.7741935486</v>
          </cell>
          <cell r="E384">
            <v>5935.4838709677415</v>
          </cell>
          <cell r="F384">
            <v>1989580.6451612802</v>
          </cell>
          <cell r="G384">
            <v>21258.06451612903</v>
          </cell>
          <cell r="H384">
            <v>7808677.4193548532</v>
          </cell>
          <cell r="I384">
            <v>19354.83870967742</v>
          </cell>
          <cell r="J384">
            <v>6775806.4516129196</v>
          </cell>
          <cell r="K384">
            <v>3225.8064516129034</v>
          </cell>
          <cell r="L384">
            <v>1570967.7419354792</v>
          </cell>
          <cell r="M384">
            <v>22580.645161290326</v>
          </cell>
          <cell r="N384">
            <v>8346774.1935484083</v>
          </cell>
          <cell r="O384">
            <v>22580.645161290322</v>
          </cell>
          <cell r="P384">
            <v>8346774.1935484083</v>
          </cell>
          <cell r="Q384">
            <v>179032.25806451612</v>
          </cell>
          <cell r="R384">
            <v>72164124.423963353</v>
          </cell>
          <cell r="S384">
            <v>19.223622583828082</v>
          </cell>
          <cell r="T384">
            <v>5482.5383818272194</v>
          </cell>
          <cell r="U384">
            <v>5.9778494622862288</v>
          </cell>
          <cell r="V384">
            <v>1971.9542102429623</v>
          </cell>
          <cell r="W384">
            <v>0</v>
          </cell>
          <cell r="X384">
            <v>0</v>
          </cell>
          <cell r="Y384">
            <v>16451.612903225807</v>
          </cell>
          <cell r="Z384">
            <v>5851935.4838709971</v>
          </cell>
          <cell r="AA384">
            <v>4806.4516129032254</v>
          </cell>
          <cell r="AB384">
            <v>1956741.935483871</v>
          </cell>
          <cell r="AC384">
            <v>0</v>
          </cell>
          <cell r="AD384">
            <v>0</v>
          </cell>
          <cell r="AE384">
            <v>130645.16129032258</v>
          </cell>
          <cell r="AF384">
            <v>53824193.548387282</v>
          </cell>
          <cell r="AG384">
            <v>48387.096774193546</v>
          </cell>
          <cell r="AH384">
            <v>18314516.129032303</v>
          </cell>
        </row>
        <row r="385">
          <cell r="B385">
            <v>46379</v>
          </cell>
          <cell r="C385">
            <v>15322.58064516129</v>
          </cell>
          <cell r="D385">
            <v>5834419.3548387103</v>
          </cell>
          <cell r="E385">
            <v>5935.4838709677415</v>
          </cell>
          <cell r="F385">
            <v>1995516.1290322479</v>
          </cell>
          <cell r="G385">
            <v>21258.06451612903</v>
          </cell>
          <cell r="H385">
            <v>7829935.4838709822</v>
          </cell>
          <cell r="I385">
            <v>19354.83870967742</v>
          </cell>
          <cell r="J385">
            <v>6795161.2903225971</v>
          </cell>
          <cell r="K385">
            <v>3225.8064516129034</v>
          </cell>
          <cell r="L385">
            <v>1574193.5483870921</v>
          </cell>
          <cell r="M385">
            <v>22580.645161290326</v>
          </cell>
          <cell r="N385">
            <v>8369354.838709699</v>
          </cell>
          <cell r="O385">
            <v>22580.645161290322</v>
          </cell>
          <cell r="P385">
            <v>8369354.838709699</v>
          </cell>
          <cell r="Q385">
            <v>179032.25806451612</v>
          </cell>
          <cell r="R385">
            <v>72343156.682027876</v>
          </cell>
          <cell r="S385">
            <v>19.223622583828082</v>
          </cell>
          <cell r="T385">
            <v>5501.7620044110472</v>
          </cell>
          <cell r="U385">
            <v>5.9778494622862288</v>
          </cell>
          <cell r="V385">
            <v>1977.9320597052485</v>
          </cell>
          <cell r="W385">
            <v>0</v>
          </cell>
          <cell r="X385">
            <v>0</v>
          </cell>
          <cell r="Y385">
            <v>16451.612903225807</v>
          </cell>
          <cell r="Z385">
            <v>5868387.0967742233</v>
          </cell>
          <cell r="AA385">
            <v>4806.4516129032254</v>
          </cell>
          <cell r="AB385">
            <v>1961548.3870967743</v>
          </cell>
          <cell r="AC385">
            <v>0</v>
          </cell>
          <cell r="AD385">
            <v>0</v>
          </cell>
          <cell r="AE385">
            <v>130645.16129032258</v>
          </cell>
          <cell r="AF385">
            <v>53954838.709677607</v>
          </cell>
          <cell r="AG385">
            <v>48387.096774193546</v>
          </cell>
          <cell r="AH385">
            <v>18362903.225806497</v>
          </cell>
        </row>
        <row r="386">
          <cell r="B386">
            <v>46380</v>
          </cell>
          <cell r="C386">
            <v>15322.58064516129</v>
          </cell>
          <cell r="D386">
            <v>5849741.935483872</v>
          </cell>
          <cell r="E386">
            <v>5935.4838709677415</v>
          </cell>
          <cell r="F386">
            <v>2001451.6129032157</v>
          </cell>
          <cell r="G386">
            <v>21258.06451612903</v>
          </cell>
          <cell r="H386">
            <v>7851193.5483871112</v>
          </cell>
          <cell r="I386">
            <v>19354.83870967742</v>
          </cell>
          <cell r="J386">
            <v>6814516.1290322747</v>
          </cell>
          <cell r="K386">
            <v>3225.8064516129034</v>
          </cell>
          <cell r="L386">
            <v>1577419.3548387049</v>
          </cell>
          <cell r="M386">
            <v>22580.645161290326</v>
          </cell>
          <cell r="N386">
            <v>8391935.4838709887</v>
          </cell>
          <cell r="O386">
            <v>22580.645161290322</v>
          </cell>
          <cell r="P386">
            <v>8391935.4838709887</v>
          </cell>
          <cell r="Q386">
            <v>179032.25806451612</v>
          </cell>
          <cell r="R386">
            <v>72522188.9400924</v>
          </cell>
          <cell r="S386">
            <v>19.223622583828082</v>
          </cell>
          <cell r="T386">
            <v>5520.985626994875</v>
          </cell>
          <cell r="U386">
            <v>5.9778494622862288</v>
          </cell>
          <cell r="V386">
            <v>1983.9099091675348</v>
          </cell>
          <cell r="W386">
            <v>0</v>
          </cell>
          <cell r="X386">
            <v>0</v>
          </cell>
          <cell r="Y386">
            <v>16451.612903225807</v>
          </cell>
          <cell r="Z386">
            <v>5884838.7096774494</v>
          </cell>
          <cell r="AA386">
            <v>4806.4516129032254</v>
          </cell>
          <cell r="AB386">
            <v>1966354.8387096776</v>
          </cell>
          <cell r="AC386">
            <v>0</v>
          </cell>
          <cell r="AD386">
            <v>0</v>
          </cell>
          <cell r="AE386">
            <v>130645.16129032258</v>
          </cell>
          <cell r="AF386">
            <v>54085483.870967932</v>
          </cell>
          <cell r="AG386">
            <v>48387.096774193546</v>
          </cell>
          <cell r="AH386">
            <v>18411290.322580691</v>
          </cell>
        </row>
        <row r="387">
          <cell r="B387">
            <v>46381</v>
          </cell>
          <cell r="C387">
            <v>15322.58064516129</v>
          </cell>
          <cell r="D387">
            <v>5865064.5161290336</v>
          </cell>
          <cell r="E387">
            <v>5935.4838709677415</v>
          </cell>
          <cell r="F387">
            <v>2007387.0967741834</v>
          </cell>
          <cell r="G387">
            <v>21258.06451612903</v>
          </cell>
          <cell r="H387">
            <v>7872451.6129032401</v>
          </cell>
          <cell r="I387">
            <v>19354.83870967742</v>
          </cell>
          <cell r="J387">
            <v>6833870.9677419523</v>
          </cell>
          <cell r="K387">
            <v>3225.8064516129034</v>
          </cell>
          <cell r="L387">
            <v>1580645.1612903178</v>
          </cell>
          <cell r="M387">
            <v>22580.645161290326</v>
          </cell>
          <cell r="N387">
            <v>8414516.1290322784</v>
          </cell>
          <cell r="O387">
            <v>22580.645161290322</v>
          </cell>
          <cell r="P387">
            <v>8414516.1290322784</v>
          </cell>
          <cell r="Q387">
            <v>179032.25806451612</v>
          </cell>
          <cell r="R387">
            <v>72701221.198156923</v>
          </cell>
          <cell r="S387">
            <v>19.223622583828082</v>
          </cell>
          <cell r="T387">
            <v>5540.2092495787028</v>
          </cell>
          <cell r="U387">
            <v>5.9778494622862288</v>
          </cell>
          <cell r="V387">
            <v>1989.8877586298211</v>
          </cell>
          <cell r="W387">
            <v>0</v>
          </cell>
          <cell r="X387">
            <v>0</v>
          </cell>
          <cell r="Y387">
            <v>16451.612903225807</v>
          </cell>
          <cell r="Z387">
            <v>5901290.3225806756</v>
          </cell>
          <cell r="AA387">
            <v>4806.4516129032254</v>
          </cell>
          <cell r="AB387">
            <v>1971161.2903225808</v>
          </cell>
          <cell r="AC387">
            <v>0</v>
          </cell>
          <cell r="AD387">
            <v>0</v>
          </cell>
          <cell r="AE387">
            <v>130645.16129032258</v>
          </cell>
          <cell r="AF387">
            <v>54216129.032258257</v>
          </cell>
          <cell r="AG387">
            <v>48387.096774193546</v>
          </cell>
          <cell r="AH387">
            <v>18459677.419354886</v>
          </cell>
        </row>
        <row r="388">
          <cell r="B388">
            <v>46382</v>
          </cell>
          <cell r="C388">
            <v>15322.58064516129</v>
          </cell>
          <cell r="D388">
            <v>5880387.0967741953</v>
          </cell>
          <cell r="E388">
            <v>5935.4838709677415</v>
          </cell>
          <cell r="F388">
            <v>2013322.5806451512</v>
          </cell>
          <cell r="G388">
            <v>21258.06451612903</v>
          </cell>
          <cell r="H388">
            <v>7893709.6774193691</v>
          </cell>
          <cell r="I388">
            <v>19354.83870967742</v>
          </cell>
          <cell r="J388">
            <v>6853225.8064516298</v>
          </cell>
          <cell r="K388">
            <v>3225.8064516129034</v>
          </cell>
          <cell r="L388">
            <v>1583870.9677419306</v>
          </cell>
          <cell r="M388">
            <v>22580.645161290326</v>
          </cell>
          <cell r="N388">
            <v>8437096.7741935682</v>
          </cell>
          <cell r="O388">
            <v>22580.645161290322</v>
          </cell>
          <cell r="P388">
            <v>8437096.7741935682</v>
          </cell>
          <cell r="Q388">
            <v>179032.25806451612</v>
          </cell>
          <cell r="R388">
            <v>72880253.456221446</v>
          </cell>
          <cell r="S388">
            <v>19.223622583828082</v>
          </cell>
          <cell r="T388">
            <v>5559.4328721625307</v>
          </cell>
          <cell r="U388">
            <v>5.9778494622862288</v>
          </cell>
          <cell r="V388">
            <v>1995.8656080921073</v>
          </cell>
          <cell r="W388">
            <v>0</v>
          </cell>
          <cell r="X388">
            <v>0</v>
          </cell>
          <cell r="Y388">
            <v>16451.612903225807</v>
          </cell>
          <cell r="Z388">
            <v>5917741.9354839018</v>
          </cell>
          <cell r="AA388">
            <v>4806.4516129032254</v>
          </cell>
          <cell r="AB388">
            <v>1975967.7419354841</v>
          </cell>
          <cell r="AC388">
            <v>0</v>
          </cell>
          <cell r="AD388">
            <v>0</v>
          </cell>
          <cell r="AE388">
            <v>130645.16129032258</v>
          </cell>
          <cell r="AF388">
            <v>54346774.193548582</v>
          </cell>
          <cell r="AG388">
            <v>48387.096774193546</v>
          </cell>
          <cell r="AH388">
            <v>18508064.51612908</v>
          </cell>
        </row>
        <row r="389">
          <cell r="B389">
            <v>46383</v>
          </cell>
          <cell r="C389">
            <v>15322.58064516129</v>
          </cell>
          <cell r="D389">
            <v>5895709.677419357</v>
          </cell>
          <cell r="E389">
            <v>5935.4838709677415</v>
          </cell>
          <cell r="F389">
            <v>2019258.064516119</v>
          </cell>
          <cell r="G389">
            <v>21258.06451612903</v>
          </cell>
          <cell r="H389">
            <v>7914967.7419354981</v>
          </cell>
          <cell r="I389">
            <v>19354.83870967742</v>
          </cell>
          <cell r="J389">
            <v>6872580.6451613074</v>
          </cell>
          <cell r="K389">
            <v>3225.8064516129034</v>
          </cell>
          <cell r="L389">
            <v>1587096.7741935435</v>
          </cell>
          <cell r="M389">
            <v>22580.645161290326</v>
          </cell>
          <cell r="N389">
            <v>8459677.4193548579</v>
          </cell>
          <cell r="O389">
            <v>22580.645161290322</v>
          </cell>
          <cell r="P389">
            <v>8459677.4193548579</v>
          </cell>
          <cell r="Q389">
            <v>179032.25806451612</v>
          </cell>
          <cell r="R389">
            <v>73059285.71428597</v>
          </cell>
          <cell r="S389">
            <v>19.223622583828082</v>
          </cell>
          <cell r="T389">
            <v>5578.6564947463585</v>
          </cell>
          <cell r="U389">
            <v>5.9778494622862288</v>
          </cell>
          <cell r="V389">
            <v>2001.8434575543936</v>
          </cell>
          <cell r="W389">
            <v>0</v>
          </cell>
          <cell r="X389">
            <v>0</v>
          </cell>
          <cell r="Y389">
            <v>16451.612903225807</v>
          </cell>
          <cell r="Z389">
            <v>5934193.5483871279</v>
          </cell>
          <cell r="AA389">
            <v>4806.4516129032254</v>
          </cell>
          <cell r="AB389">
            <v>1980774.1935483874</v>
          </cell>
          <cell r="AC389">
            <v>0</v>
          </cell>
          <cell r="AD389">
            <v>0</v>
          </cell>
          <cell r="AE389">
            <v>130645.16129032258</v>
          </cell>
          <cell r="AF389">
            <v>54477419.354838908</v>
          </cell>
          <cell r="AG389">
            <v>48387.096774193546</v>
          </cell>
          <cell r="AH389">
            <v>18556451.612903275</v>
          </cell>
        </row>
        <row r="390">
          <cell r="B390">
            <v>46384</v>
          </cell>
          <cell r="C390">
            <v>15322.58064516129</v>
          </cell>
          <cell r="D390">
            <v>5911032.2580645187</v>
          </cell>
          <cell r="E390">
            <v>5935.4838709677415</v>
          </cell>
          <cell r="F390">
            <v>2025193.5483870867</v>
          </cell>
          <cell r="G390">
            <v>21258.06451612903</v>
          </cell>
          <cell r="H390">
            <v>7936225.8064516271</v>
          </cell>
          <cell r="I390">
            <v>19354.83870967742</v>
          </cell>
          <cell r="J390">
            <v>6891935.483870985</v>
          </cell>
          <cell r="K390">
            <v>3225.8064516129034</v>
          </cell>
          <cell r="L390">
            <v>1590322.5806451563</v>
          </cell>
          <cell r="M390">
            <v>22580.645161290326</v>
          </cell>
          <cell r="N390">
            <v>8482258.0645161476</v>
          </cell>
          <cell r="O390">
            <v>22580.645161290322</v>
          </cell>
          <cell r="P390">
            <v>8482258.0645161476</v>
          </cell>
          <cell r="Q390">
            <v>179032.25806451612</v>
          </cell>
          <cell r="R390">
            <v>73238317.972350493</v>
          </cell>
          <cell r="S390">
            <v>19.223622583828082</v>
          </cell>
          <cell r="T390">
            <v>5597.8801173301863</v>
          </cell>
          <cell r="U390">
            <v>5.9778494622862288</v>
          </cell>
          <cell r="V390">
            <v>2007.8213070166798</v>
          </cell>
          <cell r="W390">
            <v>0</v>
          </cell>
          <cell r="X390">
            <v>0</v>
          </cell>
          <cell r="Y390">
            <v>16451.612903225807</v>
          </cell>
          <cell r="Z390">
            <v>5950645.1612903541</v>
          </cell>
          <cell r="AA390">
            <v>4806.4516129032254</v>
          </cell>
          <cell r="AB390">
            <v>1985580.6451612907</v>
          </cell>
          <cell r="AC390">
            <v>0</v>
          </cell>
          <cell r="AD390">
            <v>0</v>
          </cell>
          <cell r="AE390">
            <v>130645.16129032258</v>
          </cell>
          <cell r="AF390">
            <v>54608064.516129233</v>
          </cell>
          <cell r="AG390">
            <v>48387.096774193546</v>
          </cell>
          <cell r="AH390">
            <v>18604838.709677469</v>
          </cell>
        </row>
        <row r="391">
          <cell r="B391">
            <v>46385</v>
          </cell>
          <cell r="C391">
            <v>15322.58064516129</v>
          </cell>
          <cell r="D391">
            <v>5926354.8387096804</v>
          </cell>
          <cell r="E391">
            <v>5935.4838709677415</v>
          </cell>
          <cell r="F391">
            <v>2031129.0322580545</v>
          </cell>
          <cell r="G391">
            <v>21258.06451612903</v>
          </cell>
          <cell r="H391">
            <v>7957483.870967756</v>
          </cell>
          <cell r="I391">
            <v>19354.83870967742</v>
          </cell>
          <cell r="J391">
            <v>6911290.3225806626</v>
          </cell>
          <cell r="K391">
            <v>3225.8064516129034</v>
          </cell>
          <cell r="L391">
            <v>1593548.3870967692</v>
          </cell>
          <cell r="M391">
            <v>22580.645161290326</v>
          </cell>
          <cell r="N391">
            <v>8504838.7096774373</v>
          </cell>
          <cell r="O391">
            <v>22580.645161290322</v>
          </cell>
          <cell r="P391">
            <v>8504838.7096774373</v>
          </cell>
          <cell r="Q391">
            <v>179032.25806451612</v>
          </cell>
          <cell r="R391">
            <v>73417350.230415016</v>
          </cell>
          <cell r="S391">
            <v>19.223622583828082</v>
          </cell>
          <cell r="T391">
            <v>5617.1037399140141</v>
          </cell>
          <cell r="U391">
            <v>5.9778494622862288</v>
          </cell>
          <cell r="V391">
            <v>2013.7991564789661</v>
          </cell>
          <cell r="W391">
            <v>0</v>
          </cell>
          <cell r="X391">
            <v>0</v>
          </cell>
          <cell r="Y391">
            <v>16451.612903225807</v>
          </cell>
          <cell r="Z391">
            <v>5967096.7741935803</v>
          </cell>
          <cell r="AA391">
            <v>4806.4516129032254</v>
          </cell>
          <cell r="AB391">
            <v>1990387.0967741939</v>
          </cell>
          <cell r="AC391">
            <v>0</v>
          </cell>
          <cell r="AD391">
            <v>0</v>
          </cell>
          <cell r="AE391">
            <v>130645.16129032258</v>
          </cell>
          <cell r="AF391">
            <v>54738709.677419558</v>
          </cell>
          <cell r="AG391">
            <v>48387.096774193546</v>
          </cell>
          <cell r="AH391">
            <v>18653225.806451663</v>
          </cell>
        </row>
        <row r="392">
          <cell r="B392">
            <v>46386</v>
          </cell>
          <cell r="C392">
            <v>15322.58064516129</v>
          </cell>
          <cell r="D392">
            <v>5941677.419354842</v>
          </cell>
          <cell r="E392">
            <v>5935.4838709677415</v>
          </cell>
          <cell r="F392">
            <v>2037064.5161290222</v>
          </cell>
          <cell r="G392">
            <v>21258.06451612903</v>
          </cell>
          <cell r="H392">
            <v>7978741.935483885</v>
          </cell>
          <cell r="I392">
            <v>19354.83870967742</v>
          </cell>
          <cell r="J392">
            <v>6930645.1612903401</v>
          </cell>
          <cell r="K392">
            <v>3225.8064516129034</v>
          </cell>
          <cell r="L392">
            <v>1596774.193548382</v>
          </cell>
          <cell r="M392">
            <v>22580.645161290326</v>
          </cell>
          <cell r="N392">
            <v>8527419.354838727</v>
          </cell>
          <cell r="O392">
            <v>22580.645161290322</v>
          </cell>
          <cell r="P392">
            <v>8527419.354838727</v>
          </cell>
          <cell r="Q392">
            <v>179032.25806451612</v>
          </cell>
          <cell r="R392">
            <v>73596382.48847954</v>
          </cell>
          <cell r="S392">
            <v>19.223622583828082</v>
          </cell>
          <cell r="T392">
            <v>5636.3273624978419</v>
          </cell>
          <cell r="U392">
            <v>5.9778494622862288</v>
          </cell>
          <cell r="V392">
            <v>2019.7770059412524</v>
          </cell>
          <cell r="W392">
            <v>0</v>
          </cell>
          <cell r="X392">
            <v>0</v>
          </cell>
          <cell r="Y392">
            <v>16451.612903225807</v>
          </cell>
          <cell r="Z392">
            <v>5983548.3870968064</v>
          </cell>
          <cell r="AA392">
            <v>4806.4516129032254</v>
          </cell>
          <cell r="AB392">
            <v>1995193.5483870972</v>
          </cell>
          <cell r="AC392">
            <v>0</v>
          </cell>
          <cell r="AD392">
            <v>0</v>
          </cell>
          <cell r="AE392">
            <v>130645.16129032258</v>
          </cell>
          <cell r="AF392">
            <v>54869354.838709883</v>
          </cell>
          <cell r="AG392">
            <v>48387.096774193546</v>
          </cell>
          <cell r="AH392">
            <v>18701612.903225858</v>
          </cell>
        </row>
        <row r="393">
          <cell r="B393">
            <v>46387</v>
          </cell>
          <cell r="C393">
            <v>15322.58064516129</v>
          </cell>
          <cell r="D393">
            <v>5957000.0000000037</v>
          </cell>
          <cell r="E393">
            <v>5935.4838709677415</v>
          </cell>
          <cell r="F393">
            <v>2042999.99999999</v>
          </cell>
          <cell r="G393">
            <v>21258.06451612903</v>
          </cell>
          <cell r="H393">
            <v>8000000.000000014</v>
          </cell>
          <cell r="I393">
            <v>19354.83870967742</v>
          </cell>
          <cell r="J393">
            <v>6950000.0000000177</v>
          </cell>
          <cell r="K393">
            <v>3225.8064516129034</v>
          </cell>
          <cell r="L393">
            <v>1599999.9999999949</v>
          </cell>
          <cell r="M393">
            <v>22580.645161290326</v>
          </cell>
          <cell r="N393">
            <v>8550000.0000000168</v>
          </cell>
          <cell r="O393">
            <v>22580.645161290322</v>
          </cell>
          <cell r="P393">
            <v>8550000.0000000168</v>
          </cell>
          <cell r="Q393">
            <v>179032.25806451612</v>
          </cell>
          <cell r="R393">
            <v>73775414.746544063</v>
          </cell>
          <cell r="S393">
            <v>19.223622583828082</v>
          </cell>
          <cell r="T393">
            <v>5655.5509850816698</v>
          </cell>
          <cell r="U393">
            <v>5.9778494622862288</v>
          </cell>
          <cell r="V393">
            <v>2025.7548554035386</v>
          </cell>
          <cell r="W393">
            <v>0</v>
          </cell>
          <cell r="X393">
            <v>0</v>
          </cell>
          <cell r="Y393">
            <v>16451.612903225807</v>
          </cell>
          <cell r="Z393">
            <v>6000000.0000000326</v>
          </cell>
          <cell r="AA393">
            <v>4806.4516129032254</v>
          </cell>
          <cell r="AB393">
            <v>2000000.0000000005</v>
          </cell>
          <cell r="AC393">
            <v>0</v>
          </cell>
          <cell r="AD393">
            <v>0</v>
          </cell>
          <cell r="AE393">
            <v>130645.16129032258</v>
          </cell>
          <cell r="AF393">
            <v>55000000.000000209</v>
          </cell>
          <cell r="AG393">
            <v>48387.096774193546</v>
          </cell>
          <cell r="AH393">
            <v>18750000.000000052</v>
          </cell>
        </row>
      </sheetData>
      <sheetData sheetId="1">
        <row r="2">
          <cell r="B2" t="str">
            <v>Contractors</v>
          </cell>
          <cell r="C2" t="str">
            <v>Pit</v>
          </cell>
          <cell r="D2" t="str">
            <v>Seam</v>
          </cell>
          <cell r="E2" t="str">
            <v>Sect.</v>
          </cell>
          <cell r="F2" t="str">
            <v>Elv.</v>
          </cell>
          <cell r="G2" t="str">
            <v>GCV</v>
          </cell>
          <cell r="H2" t="str">
            <v>TS</v>
          </cell>
          <cell r="I2" t="str">
            <v xml:space="preserve">ASH </v>
          </cell>
          <cell r="J2" t="str">
            <v>IM</v>
          </cell>
          <cell r="K2" t="str">
            <v>TM</v>
          </cell>
        </row>
        <row r="3">
          <cell r="A3" t="str">
            <v>PAMAP3000Bk182300144270</v>
          </cell>
          <cell r="B3" t="str">
            <v>PAMA</v>
          </cell>
          <cell r="C3" t="str">
            <v>P3000Bk18</v>
          </cell>
          <cell r="D3" t="str">
            <v>2300</v>
          </cell>
          <cell r="E3">
            <v>1442</v>
          </cell>
          <cell r="F3">
            <v>70</v>
          </cell>
          <cell r="G3">
            <v>6951.85302734375</v>
          </cell>
          <cell r="H3">
            <v>0.35555979609489441</v>
          </cell>
          <cell r="I3">
            <v>2.0591964721679688</v>
          </cell>
          <cell r="J3">
            <v>8.8856201171875</v>
          </cell>
          <cell r="K3">
            <v>12.681842803955078</v>
          </cell>
        </row>
        <row r="4">
          <cell r="A4" t="str">
            <v>PAMAP3000Bk182300144280</v>
          </cell>
          <cell r="B4" t="str">
            <v>PAMA</v>
          </cell>
          <cell r="C4" t="str">
            <v>P3000Bk18</v>
          </cell>
          <cell r="D4" t="str">
            <v>2300</v>
          </cell>
          <cell r="E4">
            <v>1442</v>
          </cell>
          <cell r="F4">
            <v>80</v>
          </cell>
          <cell r="G4">
            <v>6924.90234375</v>
          </cell>
          <cell r="H4">
            <v>0.3581027090549469</v>
          </cell>
          <cell r="I4">
            <v>2.1782476902008057</v>
          </cell>
          <cell r="J4">
            <v>8.9946222305297852</v>
          </cell>
          <cell r="K4">
            <v>12.824755668640137</v>
          </cell>
        </row>
        <row r="5">
          <cell r="A5" t="str">
            <v>PAMAP3000Bk182300144290</v>
          </cell>
          <cell r="B5" t="str">
            <v>PAMA</v>
          </cell>
          <cell r="C5" t="str">
            <v>P3000Bk18</v>
          </cell>
          <cell r="D5" t="str">
            <v>2300</v>
          </cell>
          <cell r="E5">
            <v>1442</v>
          </cell>
          <cell r="F5">
            <v>90</v>
          </cell>
          <cell r="G5">
            <v>6886.29150390625</v>
          </cell>
          <cell r="H5">
            <v>0.36084485054016113</v>
          </cell>
          <cell r="I5">
            <v>2.3322203159332275</v>
          </cell>
          <cell r="J5">
            <v>9.1343259811401367</v>
          </cell>
          <cell r="K5">
            <v>12.987800598144531</v>
          </cell>
        </row>
        <row r="6">
          <cell r="A6" t="str">
            <v>PAMAP3000Bk182300144370</v>
          </cell>
          <cell r="B6" t="str">
            <v>PAMA</v>
          </cell>
          <cell r="C6" t="str">
            <v>P3000Bk18</v>
          </cell>
          <cell r="D6" t="str">
            <v>2300</v>
          </cell>
          <cell r="E6">
            <v>1443</v>
          </cell>
          <cell r="F6">
            <v>70</v>
          </cell>
          <cell r="G6">
            <v>6982.3515625</v>
          </cell>
          <cell r="H6">
            <v>0.35239449143409729</v>
          </cell>
          <cell r="I6">
            <v>1.9289844036102295</v>
          </cell>
          <cell r="J6">
            <v>8.8209819793701172</v>
          </cell>
          <cell r="K6">
            <v>12.586136817932129</v>
          </cell>
        </row>
        <row r="7">
          <cell r="A7" t="str">
            <v>PAMAP3000Bk182300144380</v>
          </cell>
          <cell r="B7" t="str">
            <v>PAMA</v>
          </cell>
          <cell r="C7" t="str">
            <v>P3000Bk18</v>
          </cell>
          <cell r="D7" t="str">
            <v>2300</v>
          </cell>
          <cell r="E7">
            <v>1443</v>
          </cell>
          <cell r="F7">
            <v>80</v>
          </cell>
          <cell r="G7">
            <v>6961.568359375</v>
          </cell>
          <cell r="H7">
            <v>0.35466587543487549</v>
          </cell>
          <cell r="I7">
            <v>2.0262792110443115</v>
          </cell>
          <cell r="J7">
            <v>8.9056081771850586</v>
          </cell>
          <cell r="K7">
            <v>12.705004692077637</v>
          </cell>
        </row>
        <row r="8">
          <cell r="A8" t="str">
            <v>PAMAP3000Bk182300144390</v>
          </cell>
          <cell r="B8" t="str">
            <v>PAMA</v>
          </cell>
          <cell r="C8" t="str">
            <v>P3000Bk18</v>
          </cell>
          <cell r="D8" t="str">
            <v>2300</v>
          </cell>
          <cell r="E8">
            <v>1443</v>
          </cell>
          <cell r="F8">
            <v>90</v>
          </cell>
          <cell r="G8">
            <v>6896.03271484375</v>
          </cell>
          <cell r="H8">
            <v>0.36009305715560913</v>
          </cell>
          <cell r="I8">
            <v>2.3136804103851318</v>
          </cell>
          <cell r="J8">
            <v>9.1022825241088867</v>
          </cell>
          <cell r="K8">
            <v>12.977579116821289</v>
          </cell>
        </row>
        <row r="9">
          <cell r="A9" t="str">
            <v>PAMAP3000Bk183800144340</v>
          </cell>
          <cell r="B9" t="str">
            <v>PAMA</v>
          </cell>
          <cell r="C9" t="str">
            <v>P3000Bk18</v>
          </cell>
          <cell r="D9" t="str">
            <v>3800</v>
          </cell>
          <cell r="E9">
            <v>1443</v>
          </cell>
          <cell r="F9">
            <v>40</v>
          </cell>
          <cell r="G9">
            <v>6637.63818359375</v>
          </cell>
          <cell r="H9">
            <v>2.1251919269561768</v>
          </cell>
          <cell r="I9">
            <v>4.3241968154907227</v>
          </cell>
          <cell r="J9">
            <v>9.9747314453125</v>
          </cell>
          <cell r="K9">
            <v>13.213103294372559</v>
          </cell>
        </row>
        <row r="10">
          <cell r="A10" t="str">
            <v>PAMAP3000Bk183800144350</v>
          </cell>
          <cell r="B10" t="str">
            <v>PAMA</v>
          </cell>
          <cell r="C10" t="str">
            <v>P3000Bk18</v>
          </cell>
          <cell r="D10" t="str">
            <v>3800</v>
          </cell>
          <cell r="E10">
            <v>1443</v>
          </cell>
          <cell r="F10">
            <v>50</v>
          </cell>
          <cell r="G10">
            <v>6634.20947265625</v>
          </cell>
          <cell r="H10">
            <v>2.1650364398956299</v>
          </cell>
          <cell r="I10">
            <v>3.893585205078125</v>
          </cell>
          <cell r="J10">
            <v>10.097675323486328</v>
          </cell>
          <cell r="K10">
            <v>13.61417293548584</v>
          </cell>
        </row>
        <row r="11">
          <cell r="A11" t="str">
            <v>PAMAP3000Bk183810144340</v>
          </cell>
          <cell r="B11" t="str">
            <v>PAMA</v>
          </cell>
          <cell r="C11" t="str">
            <v>P3000Bk18</v>
          </cell>
          <cell r="D11" t="str">
            <v>3810</v>
          </cell>
          <cell r="E11">
            <v>1443</v>
          </cell>
          <cell r="F11">
            <v>40</v>
          </cell>
          <cell r="G11">
            <v>6240.84765625</v>
          </cell>
          <cell r="H11">
            <v>1.2098385095596313</v>
          </cell>
          <cell r="I11">
            <v>7.5770487785339355</v>
          </cell>
          <cell r="J11">
            <v>10.39268970489502</v>
          </cell>
          <cell r="K11">
            <v>15.783562660217285</v>
          </cell>
        </row>
        <row r="12">
          <cell r="A12" t="str">
            <v>PAMAP3000Bk183810144350</v>
          </cell>
          <cell r="B12" t="str">
            <v>PAMA</v>
          </cell>
          <cell r="C12" t="str">
            <v>P3000Bk18</v>
          </cell>
          <cell r="D12" t="str">
            <v>3810</v>
          </cell>
          <cell r="E12">
            <v>1443</v>
          </cell>
          <cell r="F12">
            <v>50</v>
          </cell>
          <cell r="G12">
            <v>6232.419921875</v>
          </cell>
          <cell r="H12">
            <v>1.1614986658096313</v>
          </cell>
          <cell r="I12">
            <v>7.6582202911376953</v>
          </cell>
          <cell r="J12">
            <v>10.495078086853027</v>
          </cell>
          <cell r="K12">
            <v>15.786474227905273</v>
          </cell>
        </row>
        <row r="13">
          <cell r="A13" t="str">
            <v>PAMAP3000Bk183900144340</v>
          </cell>
          <cell r="B13" t="str">
            <v>PAMA</v>
          </cell>
          <cell r="C13" t="str">
            <v>P3000Bk18</v>
          </cell>
          <cell r="D13" t="str">
            <v>3900</v>
          </cell>
          <cell r="E13">
            <v>1443</v>
          </cell>
          <cell r="F13">
            <v>40</v>
          </cell>
          <cell r="G13">
            <v>6550.8740234375</v>
          </cell>
          <cell r="H13">
            <v>0.52823543548583984</v>
          </cell>
          <cell r="I13">
            <v>3.1236655712127686</v>
          </cell>
          <cell r="J13">
            <v>10.77342700958252</v>
          </cell>
          <cell r="K13">
            <v>14.473921775817871</v>
          </cell>
        </row>
        <row r="14">
          <cell r="A14" t="str">
            <v>PAMAP3000Bk183900144350</v>
          </cell>
          <cell r="B14" t="str">
            <v>PAMA</v>
          </cell>
          <cell r="C14" t="str">
            <v>P3000Bk18</v>
          </cell>
          <cell r="D14" t="str">
            <v>3900</v>
          </cell>
          <cell r="E14">
            <v>1443</v>
          </cell>
          <cell r="F14">
            <v>50</v>
          </cell>
          <cell r="G14">
            <v>6549.61083984375</v>
          </cell>
          <cell r="H14">
            <v>0.44867616891860962</v>
          </cell>
          <cell r="I14">
            <v>2.8995130062103271</v>
          </cell>
          <cell r="J14">
            <v>10.859987258911133</v>
          </cell>
          <cell r="K14">
            <v>14.443671226501465</v>
          </cell>
        </row>
        <row r="15">
          <cell r="A15" t="str">
            <v>PAMAP3000Bk183900144360</v>
          </cell>
          <cell r="B15" t="str">
            <v>PAMA</v>
          </cell>
          <cell r="C15" t="str">
            <v>P3000Bk18</v>
          </cell>
          <cell r="D15" t="str">
            <v>3900</v>
          </cell>
          <cell r="E15">
            <v>1443</v>
          </cell>
          <cell r="F15">
            <v>60</v>
          </cell>
          <cell r="G15">
            <v>6555.79248046875</v>
          </cell>
          <cell r="H15">
            <v>0.44015872478485107</v>
          </cell>
          <cell r="I15">
            <v>2.8287277221679688</v>
          </cell>
          <cell r="J15">
            <v>10.895641326904297</v>
          </cell>
          <cell r="K15">
            <v>14.48493480682373</v>
          </cell>
        </row>
        <row r="16">
          <cell r="A16" t="str">
            <v>PAMAP3000Bk183800144420</v>
          </cell>
          <cell r="B16" t="str">
            <v>PAMA</v>
          </cell>
          <cell r="C16" t="str">
            <v>P3000Bk18</v>
          </cell>
          <cell r="D16" t="str">
            <v>3800</v>
          </cell>
          <cell r="E16">
            <v>1444</v>
          </cell>
          <cell r="F16">
            <v>20</v>
          </cell>
          <cell r="G16">
            <v>6567.06689453125</v>
          </cell>
          <cell r="H16">
            <v>2.3613121509552002</v>
          </cell>
          <cell r="I16">
            <v>4.0439906120300293</v>
          </cell>
          <cell r="J16">
            <v>10.113569259643555</v>
          </cell>
          <cell r="K16">
            <v>13.69947338104248</v>
          </cell>
        </row>
        <row r="17">
          <cell r="A17" t="str">
            <v>PAMAP3000Bk183800144430</v>
          </cell>
          <cell r="B17" t="str">
            <v>PAMA</v>
          </cell>
          <cell r="C17" t="str">
            <v>P3000Bk18</v>
          </cell>
          <cell r="D17" t="str">
            <v>3800</v>
          </cell>
          <cell r="E17">
            <v>1444</v>
          </cell>
          <cell r="F17">
            <v>30</v>
          </cell>
          <cell r="G17">
            <v>6551.4248046875</v>
          </cell>
          <cell r="H17">
            <v>2.4455938339233398</v>
          </cell>
          <cell r="I17">
            <v>4.1038684844970703</v>
          </cell>
          <cell r="J17">
            <v>10.077984809875488</v>
          </cell>
          <cell r="K17">
            <v>13.64509391784668</v>
          </cell>
        </row>
        <row r="18">
          <cell r="A18" t="str">
            <v>PAMAP3000Bk183800144440</v>
          </cell>
          <cell r="B18" t="str">
            <v>PAMA</v>
          </cell>
          <cell r="C18" t="str">
            <v>P3000Bk18</v>
          </cell>
          <cell r="D18" t="str">
            <v>3800</v>
          </cell>
          <cell r="E18">
            <v>1444</v>
          </cell>
          <cell r="F18">
            <v>40</v>
          </cell>
          <cell r="G18">
            <v>6583.01708984375</v>
          </cell>
          <cell r="H18">
            <v>2.3132290840148926</v>
          </cell>
          <cell r="I18">
            <v>4.0607008934020996</v>
          </cell>
          <cell r="J18">
            <v>10.097311973571777</v>
          </cell>
          <cell r="K18">
            <v>13.629084587097168</v>
          </cell>
        </row>
        <row r="19">
          <cell r="A19" t="str">
            <v>PAMAP3000Bk183900144430</v>
          </cell>
          <cell r="B19" t="str">
            <v>PAMA</v>
          </cell>
          <cell r="C19" t="str">
            <v>P3000Bk18</v>
          </cell>
          <cell r="D19" t="str">
            <v>3900</v>
          </cell>
          <cell r="E19">
            <v>1444</v>
          </cell>
          <cell r="F19">
            <v>30</v>
          </cell>
          <cell r="G19">
            <v>6518.54931640625</v>
          </cell>
          <cell r="H19">
            <v>0.63741606473922729</v>
          </cell>
          <cell r="I19">
            <v>3.458820104598999</v>
          </cell>
          <cell r="J19">
            <v>10.789801597595215</v>
          </cell>
          <cell r="K19">
            <v>14.560962677001953</v>
          </cell>
        </row>
        <row r="20">
          <cell r="A20" t="str">
            <v>PAMAP3000Bk183900144440</v>
          </cell>
          <cell r="B20" t="str">
            <v>PAMA</v>
          </cell>
          <cell r="C20" t="str">
            <v>P3000Bk18</v>
          </cell>
          <cell r="D20" t="str">
            <v>3900</v>
          </cell>
          <cell r="E20">
            <v>1444</v>
          </cell>
          <cell r="F20">
            <v>40</v>
          </cell>
          <cell r="G20">
            <v>6518.54248046875</v>
          </cell>
          <cell r="H20">
            <v>0.58295953273773193</v>
          </cell>
          <cell r="I20">
            <v>3.4187138080596924</v>
          </cell>
          <cell r="J20">
            <v>10.710070610046387</v>
          </cell>
          <cell r="K20">
            <v>14.541583061218262</v>
          </cell>
        </row>
        <row r="21">
          <cell r="A21" t="str">
            <v>PAMAP3000Bk183900144450</v>
          </cell>
          <cell r="B21" t="str">
            <v>PAMA</v>
          </cell>
          <cell r="C21" t="str">
            <v>P3000Bk18</v>
          </cell>
          <cell r="D21" t="str">
            <v>3900</v>
          </cell>
          <cell r="E21">
            <v>1444</v>
          </cell>
          <cell r="F21">
            <v>50</v>
          </cell>
          <cell r="G21">
            <v>6532.1669921875</v>
          </cell>
          <cell r="H21">
            <v>0.52608829736709595</v>
          </cell>
          <cell r="I21">
            <v>3.2213480472564697</v>
          </cell>
          <cell r="J21">
            <v>10.736906051635742</v>
          </cell>
          <cell r="K21">
            <v>14.54389762878418</v>
          </cell>
        </row>
        <row r="22">
          <cell r="A22" t="str">
            <v>PAMAP3000Bk183800144520</v>
          </cell>
          <cell r="B22" t="str">
            <v>PAMA</v>
          </cell>
          <cell r="C22" t="str">
            <v>P3000Bk18</v>
          </cell>
          <cell r="D22" t="str">
            <v>3800</v>
          </cell>
          <cell r="E22">
            <v>1445</v>
          </cell>
          <cell r="F22">
            <v>20</v>
          </cell>
          <cell r="G22">
            <v>6518.87109375</v>
          </cell>
          <cell r="H22">
            <v>2.5711514949798584</v>
          </cell>
          <cell r="I22">
            <v>4.1692991256713867</v>
          </cell>
          <cell r="J22">
            <v>10.058154106140137</v>
          </cell>
          <cell r="K22">
            <v>13.657715797424316</v>
          </cell>
        </row>
        <row r="23">
          <cell r="A23" t="str">
            <v>PAMAP3000Bk183800144530</v>
          </cell>
          <cell r="B23" t="str">
            <v>PAMA</v>
          </cell>
          <cell r="C23" t="str">
            <v>P3000Bk18</v>
          </cell>
          <cell r="D23" t="str">
            <v>3800</v>
          </cell>
          <cell r="E23">
            <v>1445</v>
          </cell>
          <cell r="F23">
            <v>30</v>
          </cell>
          <cell r="G23">
            <v>6475.6982421875</v>
          </cell>
          <cell r="H23">
            <v>2.8361268043518066</v>
          </cell>
          <cell r="I23">
            <v>4.3421359062194824</v>
          </cell>
          <cell r="J23">
            <v>9.9313087463378906</v>
          </cell>
          <cell r="K23">
            <v>13.479525566101074</v>
          </cell>
        </row>
        <row r="24">
          <cell r="A24" t="str">
            <v>PAMAP3000Bk183800144540</v>
          </cell>
          <cell r="B24" t="str">
            <v>PAMA</v>
          </cell>
          <cell r="C24" t="str">
            <v>P3000Bk18</v>
          </cell>
          <cell r="D24" t="str">
            <v>3800</v>
          </cell>
          <cell r="E24">
            <v>1445</v>
          </cell>
          <cell r="F24">
            <v>40</v>
          </cell>
          <cell r="G24">
            <v>6531.33837890625</v>
          </cell>
          <cell r="H24">
            <v>2.5199804306030273</v>
          </cell>
          <cell r="I24">
            <v>4.1142382621765137</v>
          </cell>
          <cell r="J24">
            <v>10.077826499938965</v>
          </cell>
          <cell r="K24">
            <v>13.681859970092773</v>
          </cell>
        </row>
        <row r="25">
          <cell r="A25" t="str">
            <v>PAMAP3000Bk183900144530</v>
          </cell>
          <cell r="B25" t="str">
            <v>PAMA</v>
          </cell>
          <cell r="C25" t="str">
            <v>P3000Bk18</v>
          </cell>
          <cell r="D25" t="str">
            <v>3900</v>
          </cell>
          <cell r="E25">
            <v>1445</v>
          </cell>
          <cell r="F25">
            <v>30</v>
          </cell>
          <cell r="G25">
            <v>6505.9736328125</v>
          </cell>
          <cell r="H25">
            <v>0.73888134956359863</v>
          </cell>
          <cell r="I25">
            <v>3.5755224227905273</v>
          </cell>
          <cell r="J25">
            <v>10.877850532531738</v>
          </cell>
          <cell r="K25">
            <v>14.452313423156738</v>
          </cell>
        </row>
        <row r="26">
          <cell r="A26" t="str">
            <v>PAMAP3000Bk183900144540</v>
          </cell>
          <cell r="B26" t="str">
            <v>PAMA</v>
          </cell>
          <cell r="C26" t="str">
            <v>P3000Bk18</v>
          </cell>
          <cell r="D26" t="str">
            <v>3900</v>
          </cell>
          <cell r="E26">
            <v>1445</v>
          </cell>
          <cell r="F26">
            <v>40</v>
          </cell>
          <cell r="G26">
            <v>6471.634765625</v>
          </cell>
          <cell r="H26">
            <v>0.6707756519317627</v>
          </cell>
          <cell r="I26">
            <v>3.8643763065338135</v>
          </cell>
          <cell r="J26">
            <v>10.599794387817383</v>
          </cell>
          <cell r="K26">
            <v>14.430574417114258</v>
          </cell>
        </row>
        <row r="27">
          <cell r="A27" t="str">
            <v>PAMAP3000Bk182300144670</v>
          </cell>
          <cell r="B27" t="str">
            <v>PAMA</v>
          </cell>
          <cell r="C27" t="str">
            <v>P3000Bk18</v>
          </cell>
          <cell r="D27" t="str">
            <v>2300</v>
          </cell>
          <cell r="E27">
            <v>1446</v>
          </cell>
          <cell r="F27">
            <v>70</v>
          </cell>
          <cell r="G27">
            <v>6497.24267578125</v>
          </cell>
          <cell r="H27">
            <v>0.5958055853843689</v>
          </cell>
          <cell r="I27">
            <v>6.7828927040100098</v>
          </cell>
          <cell r="J27">
            <v>8.1212015151977539</v>
          </cell>
          <cell r="K27">
            <v>13.806595802307129</v>
          </cell>
        </row>
        <row r="28">
          <cell r="A28" t="str">
            <v>PAMAP3000Bk183800144620</v>
          </cell>
          <cell r="B28" t="str">
            <v>PAMA</v>
          </cell>
          <cell r="C28" t="str">
            <v>P3000Bk18</v>
          </cell>
          <cell r="D28" t="str">
            <v>3800</v>
          </cell>
          <cell r="E28">
            <v>1446</v>
          </cell>
          <cell r="F28">
            <v>20</v>
          </cell>
          <cell r="G28">
            <v>6533.123046875</v>
          </cell>
          <cell r="H28">
            <v>2.2326126098632813</v>
          </cell>
          <cell r="I28">
            <v>4.011171817779541</v>
          </cell>
          <cell r="J28">
            <v>10.249630928039551</v>
          </cell>
          <cell r="K28">
            <v>13.908267974853516</v>
          </cell>
        </row>
        <row r="29">
          <cell r="A29" t="str">
            <v>PAMAP3000Bk183800144630</v>
          </cell>
          <cell r="B29" t="str">
            <v>PAMA</v>
          </cell>
          <cell r="C29" t="str">
            <v>P3000Bk18</v>
          </cell>
          <cell r="D29" t="str">
            <v>3800</v>
          </cell>
          <cell r="E29">
            <v>1446</v>
          </cell>
          <cell r="F29">
            <v>30</v>
          </cell>
          <cell r="G29">
            <v>6526.3544921875</v>
          </cell>
          <cell r="H29">
            <v>2.1594340801239014</v>
          </cell>
          <cell r="I29">
            <v>4.024571418762207</v>
          </cell>
          <cell r="J29">
            <v>10.243555068969727</v>
          </cell>
          <cell r="K29">
            <v>13.889288902282715</v>
          </cell>
        </row>
        <row r="30">
          <cell r="A30" t="str">
            <v>PAMAP3000Bk183900144630</v>
          </cell>
          <cell r="B30" t="str">
            <v>PAMA</v>
          </cell>
          <cell r="C30" t="str">
            <v>P3000Bk18</v>
          </cell>
          <cell r="D30" t="str">
            <v>3900</v>
          </cell>
          <cell r="E30">
            <v>1446</v>
          </cell>
          <cell r="F30">
            <v>30</v>
          </cell>
          <cell r="G30">
            <v>6527.12890625</v>
          </cell>
          <cell r="H30">
            <v>0.85252887010574341</v>
          </cell>
          <cell r="I30">
            <v>3.4252588748931885</v>
          </cell>
          <cell r="J30">
            <v>11.189308166503906</v>
          </cell>
          <cell r="K30">
            <v>14.391966819763184</v>
          </cell>
        </row>
        <row r="31">
          <cell r="A31" t="str">
            <v>PAMAP3000Bk183900144640</v>
          </cell>
          <cell r="B31" t="str">
            <v>PAMA</v>
          </cell>
          <cell r="C31" t="str">
            <v>P3000Bk18</v>
          </cell>
          <cell r="D31" t="str">
            <v>3900</v>
          </cell>
          <cell r="E31">
            <v>1446</v>
          </cell>
          <cell r="F31">
            <v>40</v>
          </cell>
          <cell r="G31">
            <v>6493.7890625</v>
          </cell>
          <cell r="H31">
            <v>0.66425603628158569</v>
          </cell>
          <cell r="I31">
            <v>3.7763252258300781</v>
          </cell>
          <cell r="J31">
            <v>10.803543090820313</v>
          </cell>
          <cell r="K31">
            <v>14.544339179992676</v>
          </cell>
        </row>
        <row r="32">
          <cell r="A32" t="str">
            <v>PAMAP3000Bk183800144720</v>
          </cell>
          <cell r="B32" t="str">
            <v>PAMA</v>
          </cell>
          <cell r="C32" t="str">
            <v>P3000Bk18</v>
          </cell>
          <cell r="D32" t="str">
            <v>3800</v>
          </cell>
          <cell r="E32">
            <v>1447</v>
          </cell>
          <cell r="F32">
            <v>20</v>
          </cell>
          <cell r="G32">
            <v>6574.7998046875</v>
          </cell>
          <cell r="H32">
            <v>1.4375145435333252</v>
          </cell>
          <cell r="I32">
            <v>3.6755502223968506</v>
          </cell>
          <cell r="J32">
            <v>10.661781311035156</v>
          </cell>
          <cell r="K32">
            <v>14.297006607055664</v>
          </cell>
        </row>
        <row r="33">
          <cell r="A33" t="str">
            <v>PAMAP3000Bk183800144730</v>
          </cell>
          <cell r="B33" t="str">
            <v>PAMA</v>
          </cell>
          <cell r="C33" t="str">
            <v>P3000Bk18</v>
          </cell>
          <cell r="D33" t="str">
            <v>3800</v>
          </cell>
          <cell r="E33">
            <v>1447</v>
          </cell>
          <cell r="F33">
            <v>30</v>
          </cell>
          <cell r="G33">
            <v>6581.4072265625</v>
          </cell>
          <cell r="H33">
            <v>0.96530580520629883</v>
          </cell>
          <cell r="I33">
            <v>3.6769711971282959</v>
          </cell>
          <cell r="J33">
            <v>10.654929161071777</v>
          </cell>
          <cell r="K33">
            <v>14.331609725952148</v>
          </cell>
        </row>
        <row r="34">
          <cell r="A34" t="str">
            <v>PAMAP3000Bk183900144730</v>
          </cell>
          <cell r="B34" t="str">
            <v>PAMA</v>
          </cell>
          <cell r="C34" t="str">
            <v>P3000Bk18</v>
          </cell>
          <cell r="D34" t="str">
            <v>3900</v>
          </cell>
          <cell r="E34">
            <v>1447</v>
          </cell>
          <cell r="F34">
            <v>30</v>
          </cell>
          <cell r="G34">
            <v>6517.484375</v>
          </cell>
          <cell r="H34">
            <v>0.6167377233505249</v>
          </cell>
          <cell r="I34">
            <v>3.5798144340515137</v>
          </cell>
          <cell r="J34">
            <v>11.148706436157227</v>
          </cell>
          <cell r="K34">
            <v>14.751123428344727</v>
          </cell>
        </row>
        <row r="35">
          <cell r="A35" t="str">
            <v>PAMAP3000Bk183900144740</v>
          </cell>
          <cell r="B35" t="str">
            <v>PAMA</v>
          </cell>
          <cell r="C35" t="str">
            <v>P3000Bk18</v>
          </cell>
          <cell r="D35" t="str">
            <v>3900</v>
          </cell>
          <cell r="E35">
            <v>1447</v>
          </cell>
          <cell r="F35">
            <v>40</v>
          </cell>
          <cell r="G35">
            <v>6515.00439453125</v>
          </cell>
          <cell r="H35">
            <v>0.56991106271743774</v>
          </cell>
          <cell r="I35">
            <v>3.6734442710876465</v>
          </cell>
          <cell r="J35">
            <v>10.968710899353027</v>
          </cell>
          <cell r="K35">
            <v>14.759607315063477</v>
          </cell>
        </row>
        <row r="36">
          <cell r="A36" t="str">
            <v>PAMAP3000Bk183800144820</v>
          </cell>
          <cell r="B36" t="str">
            <v>PAMA</v>
          </cell>
          <cell r="C36" t="str">
            <v>P3000Bk18</v>
          </cell>
          <cell r="D36" t="str">
            <v>3800</v>
          </cell>
          <cell r="E36">
            <v>1448</v>
          </cell>
          <cell r="F36">
            <v>20</v>
          </cell>
          <cell r="G36">
            <v>6570.10107421875</v>
          </cell>
          <cell r="H36">
            <v>1.7272562980651855</v>
          </cell>
          <cell r="I36">
            <v>3.3325111865997314</v>
          </cell>
          <cell r="J36">
            <v>11.228123664855957</v>
          </cell>
          <cell r="K36">
            <v>14.425568580627441</v>
          </cell>
        </row>
        <row r="37">
          <cell r="A37" t="str">
            <v>PAMAP3000Bk183800144830</v>
          </cell>
          <cell r="B37" t="str">
            <v>PAMA</v>
          </cell>
          <cell r="C37" t="str">
            <v>P3000Bk18</v>
          </cell>
          <cell r="D37" t="str">
            <v>3800</v>
          </cell>
          <cell r="E37">
            <v>1448</v>
          </cell>
          <cell r="F37">
            <v>30</v>
          </cell>
          <cell r="G37">
            <v>6567.8935546875</v>
          </cell>
          <cell r="H37">
            <v>1.6460949182510376</v>
          </cell>
          <cell r="I37">
            <v>3.2086241245269775</v>
          </cell>
          <cell r="J37">
            <v>11.45521068572998</v>
          </cell>
          <cell r="K37">
            <v>14.451930999755859</v>
          </cell>
        </row>
        <row r="38">
          <cell r="A38" t="str">
            <v>PAMAP3000Bk183810144820</v>
          </cell>
          <cell r="B38" t="str">
            <v>PAMA</v>
          </cell>
          <cell r="C38" t="str">
            <v>P3000Bk18</v>
          </cell>
          <cell r="D38" t="str">
            <v>3810</v>
          </cell>
          <cell r="E38">
            <v>1448</v>
          </cell>
          <cell r="F38">
            <v>20</v>
          </cell>
          <cell r="G38">
            <v>6421.94921875</v>
          </cell>
          <cell r="H38">
            <v>1.2518842220306396</v>
          </cell>
          <cell r="I38">
            <v>6.2180156707763672</v>
          </cell>
          <cell r="J38">
            <v>9.7574701309204102</v>
          </cell>
          <cell r="K38">
            <v>14.491447448730469</v>
          </cell>
        </row>
        <row r="39">
          <cell r="A39" t="str">
            <v>PAMAP3000Bk183900144830</v>
          </cell>
          <cell r="B39" t="str">
            <v>PAMA</v>
          </cell>
          <cell r="C39" t="str">
            <v>P3000Bk18</v>
          </cell>
          <cell r="D39" t="str">
            <v>3900</v>
          </cell>
          <cell r="E39">
            <v>1448</v>
          </cell>
          <cell r="F39">
            <v>30</v>
          </cell>
          <cell r="G39">
            <v>6516.1484375</v>
          </cell>
          <cell r="H39">
            <v>0.49697217345237732</v>
          </cell>
          <cell r="I39">
            <v>3.5762853622436523</v>
          </cell>
          <cell r="J39">
            <v>11.23286247253418</v>
          </cell>
          <cell r="K39">
            <v>14.859580993652344</v>
          </cell>
        </row>
        <row r="40">
          <cell r="A40" t="str">
            <v>PAMAP3000Bk183800144920</v>
          </cell>
          <cell r="B40" t="str">
            <v>PAMA</v>
          </cell>
          <cell r="C40" t="str">
            <v>P3000Bk18</v>
          </cell>
          <cell r="D40" t="str">
            <v>3800</v>
          </cell>
          <cell r="E40">
            <v>1449</v>
          </cell>
          <cell r="F40">
            <v>20</v>
          </cell>
          <cell r="G40">
            <v>6570.15185546875</v>
          </cell>
          <cell r="H40">
            <v>1.9897667169570923</v>
          </cell>
          <cell r="I40">
            <v>3.5045301914215088</v>
          </cell>
          <cell r="J40">
            <v>10.87718391418457</v>
          </cell>
          <cell r="K40">
            <v>14.434876441955566</v>
          </cell>
        </row>
        <row r="41">
          <cell r="A41" t="str">
            <v>PAMAP3000Bk183800144930</v>
          </cell>
          <cell r="B41" t="str">
            <v>PAMA</v>
          </cell>
          <cell r="C41" t="str">
            <v>P3000Bk18</v>
          </cell>
          <cell r="D41" t="str">
            <v>3800</v>
          </cell>
          <cell r="E41">
            <v>1449</v>
          </cell>
          <cell r="F41">
            <v>30</v>
          </cell>
          <cell r="G41">
            <v>6568.1904296875</v>
          </cell>
          <cell r="H41">
            <v>1.9027260541915894</v>
          </cell>
          <cell r="I41">
            <v>3.3557631969451904</v>
          </cell>
          <cell r="J41">
            <v>11.150872230529785</v>
          </cell>
          <cell r="K41">
            <v>14.450053215026855</v>
          </cell>
        </row>
        <row r="42">
          <cell r="A42" t="str">
            <v>PAMAP3000Bk183810144910</v>
          </cell>
          <cell r="B42" t="str">
            <v>PAMA</v>
          </cell>
          <cell r="C42" t="str">
            <v>P3000Bk18</v>
          </cell>
          <cell r="D42" t="str">
            <v>3810</v>
          </cell>
          <cell r="E42">
            <v>1449</v>
          </cell>
          <cell r="F42">
            <v>10</v>
          </cell>
          <cell r="G42">
            <v>6429.82470703125</v>
          </cell>
          <cell r="H42">
            <v>1.2572908401489258</v>
          </cell>
          <cell r="I42">
            <v>6.2681951522827148</v>
          </cell>
          <cell r="J42">
            <v>9.7568988800048828</v>
          </cell>
          <cell r="K42">
            <v>14.522028923034668</v>
          </cell>
        </row>
        <row r="43">
          <cell r="A43" t="str">
            <v>PAMAP3000Bk183810144920</v>
          </cell>
          <cell r="B43" t="str">
            <v>PAMA</v>
          </cell>
          <cell r="C43" t="str">
            <v>P3000Bk18</v>
          </cell>
          <cell r="D43" t="str">
            <v>3810</v>
          </cell>
          <cell r="E43">
            <v>1449</v>
          </cell>
          <cell r="F43">
            <v>20</v>
          </cell>
          <cell r="G43">
            <v>6437.8408203125</v>
          </cell>
          <cell r="H43">
            <v>1.252126932144165</v>
          </cell>
          <cell r="I43">
            <v>6.1874370574951172</v>
          </cell>
          <cell r="J43">
            <v>9.7232198715209961</v>
          </cell>
          <cell r="K43">
            <v>14.444301605224609</v>
          </cell>
        </row>
        <row r="44">
          <cell r="A44" t="str">
            <v>PAMAP3000Bk183900144930</v>
          </cell>
          <cell r="B44" t="str">
            <v>PAMA</v>
          </cell>
          <cell r="C44" t="str">
            <v>P3000Bk18</v>
          </cell>
          <cell r="D44" t="str">
            <v>3900</v>
          </cell>
          <cell r="E44">
            <v>1449</v>
          </cell>
          <cell r="F44">
            <v>30</v>
          </cell>
          <cell r="G44">
            <v>6501.68359375</v>
          </cell>
          <cell r="H44">
            <v>0.50710076093673706</v>
          </cell>
          <cell r="I44">
            <v>3.8672361373901367</v>
          </cell>
          <cell r="J44">
            <v>10.987881660461426</v>
          </cell>
          <cell r="K44">
            <v>14.752170562744141</v>
          </cell>
        </row>
        <row r="45">
          <cell r="A45" t="str">
            <v>PAMAP3000Bk183800145020</v>
          </cell>
          <cell r="B45" t="str">
            <v>PAMA</v>
          </cell>
          <cell r="C45" t="str">
            <v>P3000Bk18</v>
          </cell>
          <cell r="D45" t="str">
            <v>3800</v>
          </cell>
          <cell r="E45">
            <v>1450</v>
          </cell>
          <cell r="F45">
            <v>20</v>
          </cell>
          <cell r="G45">
            <v>6569.4765625</v>
          </cell>
          <cell r="H45">
            <v>2.1265747547149658</v>
          </cell>
          <cell r="I45">
            <v>3.6256141662597656</v>
          </cell>
          <cell r="J45">
            <v>10.625821113586426</v>
          </cell>
          <cell r="K45">
            <v>14.442864418029785</v>
          </cell>
        </row>
        <row r="46">
          <cell r="A46" t="str">
            <v>PAMAP3000Bk183810145010</v>
          </cell>
          <cell r="B46" t="str">
            <v>PAMA</v>
          </cell>
          <cell r="C46" t="str">
            <v>P3000Bk18</v>
          </cell>
          <cell r="D46" t="str">
            <v>3810</v>
          </cell>
          <cell r="E46">
            <v>1450</v>
          </cell>
          <cell r="F46">
            <v>10</v>
          </cell>
          <cell r="G46">
            <v>6451.26318359375</v>
          </cell>
          <cell r="H46">
            <v>1.2463356256484985</v>
          </cell>
          <cell r="I46">
            <v>6.1701064109802246</v>
          </cell>
          <cell r="J46">
            <v>9.7089023590087891</v>
          </cell>
          <cell r="K46">
            <v>14.414639472961426</v>
          </cell>
        </row>
        <row r="47">
          <cell r="A47" t="str">
            <v>PAMAP3000Bk183810145020</v>
          </cell>
          <cell r="B47" t="str">
            <v>PAMA</v>
          </cell>
          <cell r="C47" t="str">
            <v>P3000Bk18</v>
          </cell>
          <cell r="D47" t="str">
            <v>3810</v>
          </cell>
          <cell r="E47">
            <v>1450</v>
          </cell>
          <cell r="F47">
            <v>20</v>
          </cell>
          <cell r="G47">
            <v>6478.59912109375</v>
          </cell>
          <cell r="H47">
            <v>1.2321479320526123</v>
          </cell>
          <cell r="I47">
            <v>6.0338001251220703</v>
          </cell>
          <cell r="J47">
            <v>9.6472129821777344</v>
          </cell>
          <cell r="K47">
            <v>14.273245811462402</v>
          </cell>
        </row>
        <row r="48">
          <cell r="A48" t="str">
            <v>PAMAP3000Bk183900145020</v>
          </cell>
          <cell r="B48" t="str">
            <v>PAMA</v>
          </cell>
          <cell r="C48" t="str">
            <v>P3000Bk18</v>
          </cell>
          <cell r="D48" t="str">
            <v>3900</v>
          </cell>
          <cell r="E48">
            <v>1450</v>
          </cell>
          <cell r="F48">
            <v>20</v>
          </cell>
          <cell r="G48">
            <v>6442.10107421875</v>
          </cell>
          <cell r="H48">
            <v>0.5304068922996521</v>
          </cell>
          <cell r="I48">
            <v>4.963923454284668</v>
          </cell>
          <cell r="J48">
            <v>10.62529182434082</v>
          </cell>
          <cell r="K48">
            <v>14.532763481140137</v>
          </cell>
        </row>
        <row r="49">
          <cell r="A49" t="str">
            <v>PAMAP3000Bk183900145030</v>
          </cell>
          <cell r="B49" t="str">
            <v>PAMA</v>
          </cell>
          <cell r="C49" t="str">
            <v>P3000Bk18</v>
          </cell>
          <cell r="D49" t="str">
            <v>3900</v>
          </cell>
          <cell r="E49">
            <v>1450</v>
          </cell>
          <cell r="F49">
            <v>30</v>
          </cell>
          <cell r="G49">
            <v>6463.0927734375</v>
          </cell>
          <cell r="H49">
            <v>0.52792114019393921</v>
          </cell>
          <cell r="I49">
            <v>4.5759005546569824</v>
          </cell>
          <cell r="J49">
            <v>10.699288368225098</v>
          </cell>
          <cell r="K49">
            <v>14.601334571838379</v>
          </cell>
        </row>
        <row r="50">
          <cell r="A50" t="str">
            <v>PAMAP3000Bk183800145120</v>
          </cell>
          <cell r="B50" t="str">
            <v>PAMA</v>
          </cell>
          <cell r="C50" t="str">
            <v>P3000Bk18</v>
          </cell>
          <cell r="D50" t="str">
            <v>3800</v>
          </cell>
          <cell r="E50">
            <v>1451</v>
          </cell>
          <cell r="F50">
            <v>20</v>
          </cell>
          <cell r="G50">
            <v>6576.39794921875</v>
          </cell>
          <cell r="H50">
            <v>2.1611807346343994</v>
          </cell>
          <cell r="I50">
            <v>3.6605980396270752</v>
          </cell>
          <cell r="J50">
            <v>10.499214172363281</v>
          </cell>
          <cell r="K50">
            <v>14.410115242004395</v>
          </cell>
        </row>
        <row r="51">
          <cell r="A51" t="str">
            <v>PAMAP3000Bk183810145110</v>
          </cell>
          <cell r="B51" t="str">
            <v>PAMA</v>
          </cell>
          <cell r="C51" t="str">
            <v>P3000Bk18</v>
          </cell>
          <cell r="D51" t="str">
            <v>3810</v>
          </cell>
          <cell r="E51">
            <v>1451</v>
          </cell>
          <cell r="F51">
            <v>10</v>
          </cell>
          <cell r="G51">
            <v>6498.18408203125</v>
          </cell>
          <cell r="H51">
            <v>1.128944993019104</v>
          </cell>
          <cell r="I51">
            <v>5.9449672698974609</v>
          </cell>
          <cell r="J51">
            <v>9.8731422424316406</v>
          </cell>
          <cell r="K51">
            <v>14.360705375671387</v>
          </cell>
        </row>
        <row r="52">
          <cell r="A52" t="str">
            <v>PAMAP3000Bk183810145120</v>
          </cell>
          <cell r="B52" t="str">
            <v>PAMA</v>
          </cell>
          <cell r="C52" t="str">
            <v>P3000Bk18</v>
          </cell>
          <cell r="D52" t="str">
            <v>3810</v>
          </cell>
          <cell r="E52">
            <v>1451</v>
          </cell>
          <cell r="F52">
            <v>20</v>
          </cell>
          <cell r="G52">
            <v>6505.9560546875</v>
          </cell>
          <cell r="H52">
            <v>1.1483918428421021</v>
          </cell>
          <cell r="I52">
            <v>5.9137554168701172</v>
          </cell>
          <cell r="J52">
            <v>9.7888145446777344</v>
          </cell>
          <cell r="K52">
            <v>14.276490211486816</v>
          </cell>
        </row>
        <row r="53">
          <cell r="A53" t="str">
            <v>PAMAP3000Bk183900145120</v>
          </cell>
          <cell r="B53" t="str">
            <v>PAMA</v>
          </cell>
          <cell r="C53" t="str">
            <v>P3000Bk18</v>
          </cell>
          <cell r="D53" t="str">
            <v>3900</v>
          </cell>
          <cell r="E53">
            <v>1451</v>
          </cell>
          <cell r="F53">
            <v>20</v>
          </cell>
          <cell r="G53">
            <v>6347.310546875</v>
          </cell>
          <cell r="H53">
            <v>0.52257281541824341</v>
          </cell>
          <cell r="I53">
            <v>6.8336887359619141</v>
          </cell>
          <cell r="J53">
            <v>10.248282432556152</v>
          </cell>
          <cell r="K53">
            <v>14.100001335144043</v>
          </cell>
        </row>
        <row r="54">
          <cell r="A54" t="str">
            <v>PAMAP3000Bk183900145130</v>
          </cell>
          <cell r="B54" t="str">
            <v>PAMA</v>
          </cell>
          <cell r="C54" t="str">
            <v>P3000Bk18</v>
          </cell>
          <cell r="D54" t="str">
            <v>3900</v>
          </cell>
          <cell r="E54">
            <v>1451</v>
          </cell>
          <cell r="F54">
            <v>30</v>
          </cell>
          <cell r="G54">
            <v>6434.0810546875</v>
          </cell>
          <cell r="H54">
            <v>0.54837572574615479</v>
          </cell>
          <cell r="I54">
            <v>5.2067933082580566</v>
          </cell>
          <cell r="J54">
            <v>10.484742164611816</v>
          </cell>
          <cell r="K54">
            <v>14.411079406738281</v>
          </cell>
        </row>
        <row r="55">
          <cell r="A55" t="str">
            <v>PAMAP3000Bk183800145220</v>
          </cell>
          <cell r="B55" t="str">
            <v>PAMA</v>
          </cell>
          <cell r="C55" t="str">
            <v>P3000Bk18</v>
          </cell>
          <cell r="D55" t="str">
            <v>3800</v>
          </cell>
          <cell r="E55">
            <v>1452</v>
          </cell>
          <cell r="F55">
            <v>20</v>
          </cell>
          <cell r="G55">
            <v>6606.33837890625</v>
          </cell>
          <cell r="H55">
            <v>2.028104305267334</v>
          </cell>
          <cell r="I55">
            <v>3.6630897521972656</v>
          </cell>
          <cell r="J55">
            <v>10.258658409118652</v>
          </cell>
          <cell r="K55">
            <v>14.221404075622559</v>
          </cell>
        </row>
        <row r="56">
          <cell r="A56" t="str">
            <v>PAMAP3000Bk183810145210</v>
          </cell>
          <cell r="B56" t="str">
            <v>PAMA</v>
          </cell>
          <cell r="C56" t="str">
            <v>P3000Bk18</v>
          </cell>
          <cell r="D56" t="str">
            <v>3810</v>
          </cell>
          <cell r="E56">
            <v>1452</v>
          </cell>
          <cell r="F56">
            <v>10</v>
          </cell>
          <cell r="G56">
            <v>6536.23779296875</v>
          </cell>
          <cell r="H56">
            <v>0.97013550996780396</v>
          </cell>
          <cell r="I56">
            <v>5.581791877746582</v>
          </cell>
          <cell r="J56">
            <v>10.214180946350098</v>
          </cell>
          <cell r="K56">
            <v>14.435732841491699</v>
          </cell>
        </row>
        <row r="57">
          <cell r="A57" t="str">
            <v>PAMAP3000Bk183810145220</v>
          </cell>
          <cell r="B57" t="str">
            <v>PAMA</v>
          </cell>
          <cell r="C57" t="str">
            <v>P3000Bk18</v>
          </cell>
          <cell r="D57" t="str">
            <v>3810</v>
          </cell>
          <cell r="E57">
            <v>1452</v>
          </cell>
          <cell r="F57">
            <v>20</v>
          </cell>
          <cell r="G57">
            <v>6520.3818359375</v>
          </cell>
          <cell r="H57">
            <v>1.0342411994934082</v>
          </cell>
          <cell r="I57">
            <v>5.7503113746643066</v>
          </cell>
          <cell r="J57">
            <v>10.067325592041016</v>
          </cell>
          <cell r="K57">
            <v>14.39567756652832</v>
          </cell>
        </row>
        <row r="58">
          <cell r="A58" t="str">
            <v>PAMAP3000Bk183900145220</v>
          </cell>
          <cell r="B58" t="str">
            <v>PAMA</v>
          </cell>
          <cell r="C58" t="str">
            <v>P3000Bk18</v>
          </cell>
          <cell r="D58" t="str">
            <v>3900</v>
          </cell>
          <cell r="E58">
            <v>1452</v>
          </cell>
          <cell r="F58">
            <v>20</v>
          </cell>
          <cell r="G58">
            <v>6421.36962890625</v>
          </cell>
          <cell r="H58">
            <v>0.574055016040802</v>
          </cell>
          <cell r="I58">
            <v>5.586695671081543</v>
          </cell>
          <cell r="J58">
            <v>10.30396556854248</v>
          </cell>
          <cell r="K58">
            <v>14.247830390930176</v>
          </cell>
        </row>
        <row r="59">
          <cell r="A59" t="str">
            <v>PAMAP3000Bk183900145230</v>
          </cell>
          <cell r="B59" t="str">
            <v>PAMA</v>
          </cell>
          <cell r="C59" t="str">
            <v>P3000Bk18</v>
          </cell>
          <cell r="D59" t="str">
            <v>3900</v>
          </cell>
          <cell r="E59">
            <v>1452</v>
          </cell>
          <cell r="F59">
            <v>30</v>
          </cell>
          <cell r="G59">
            <v>6485.72607421875</v>
          </cell>
          <cell r="H59">
            <v>0.60472071170806885</v>
          </cell>
          <cell r="I59">
            <v>4.4288382530212402</v>
          </cell>
          <cell r="J59">
            <v>10.443831443786621</v>
          </cell>
          <cell r="K59">
            <v>14.420535087585449</v>
          </cell>
        </row>
        <row r="60">
          <cell r="A60" t="str">
            <v>PAMAP3000Bk183800145320</v>
          </cell>
          <cell r="B60" t="str">
            <v>PAMA</v>
          </cell>
          <cell r="C60" t="str">
            <v>P3000Bk18</v>
          </cell>
          <cell r="D60" t="str">
            <v>3800</v>
          </cell>
          <cell r="E60">
            <v>1453</v>
          </cell>
          <cell r="F60">
            <v>20</v>
          </cell>
          <cell r="G60">
            <v>6676.0439453125</v>
          </cell>
          <cell r="H60">
            <v>1.4942612648010254</v>
          </cell>
          <cell r="I60">
            <v>3.5778343677520752</v>
          </cell>
          <cell r="J60">
            <v>9.7767181396484375</v>
          </cell>
          <cell r="K60">
            <v>13.728801727294922</v>
          </cell>
        </row>
        <row r="61">
          <cell r="A61" t="str">
            <v>PAMAP3000Bk183810145310</v>
          </cell>
          <cell r="B61" t="str">
            <v>PAMA</v>
          </cell>
          <cell r="C61" t="str">
            <v>P3000Bk18</v>
          </cell>
          <cell r="D61" t="str">
            <v>3810</v>
          </cell>
          <cell r="E61">
            <v>1453</v>
          </cell>
          <cell r="F61">
            <v>10</v>
          </cell>
          <cell r="G61">
            <v>6579.4345703125</v>
          </cell>
          <cell r="H61">
            <v>0.85725486278533936</v>
          </cell>
          <cell r="I61">
            <v>5.1965775489807129</v>
          </cell>
          <cell r="J61">
            <v>10.419680595397949</v>
          </cell>
          <cell r="K61">
            <v>14.413056373596191</v>
          </cell>
        </row>
        <row r="62">
          <cell r="A62" t="str">
            <v>PAMAP3000Bk183900145320</v>
          </cell>
          <cell r="B62" t="str">
            <v>PAMA</v>
          </cell>
          <cell r="C62" t="str">
            <v>P3000Bk18</v>
          </cell>
          <cell r="D62" t="str">
            <v>3900</v>
          </cell>
          <cell r="E62">
            <v>1453</v>
          </cell>
          <cell r="F62">
            <v>20</v>
          </cell>
          <cell r="G62">
            <v>6518.0751953125</v>
          </cell>
          <cell r="H62">
            <v>0.64527732133865356</v>
          </cell>
          <cell r="I62">
            <v>3.9474790096282959</v>
          </cell>
          <cell r="J62">
            <v>10.381826400756836</v>
          </cell>
          <cell r="K62">
            <v>14.432600021362305</v>
          </cell>
        </row>
        <row r="63">
          <cell r="A63" t="str">
            <v>PAMAP3000Bk183900145330</v>
          </cell>
          <cell r="B63" t="str">
            <v>PAMA</v>
          </cell>
          <cell r="C63" t="str">
            <v>P3000Bk18</v>
          </cell>
          <cell r="D63" t="str">
            <v>3900</v>
          </cell>
          <cell r="E63">
            <v>1453</v>
          </cell>
          <cell r="F63">
            <v>30</v>
          </cell>
          <cell r="G63">
            <v>6544.45654296875</v>
          </cell>
          <cell r="H63">
            <v>0.65633088350296021</v>
          </cell>
          <cell r="I63">
            <v>3.5226931571960449</v>
          </cell>
          <cell r="J63">
            <v>10.41838264465332</v>
          </cell>
          <cell r="K63">
            <v>14.426287651062012</v>
          </cell>
        </row>
        <row r="64">
          <cell r="A64" t="str">
            <v>PAMAP3000Bk183800145420</v>
          </cell>
          <cell r="B64" t="str">
            <v>PAMA</v>
          </cell>
          <cell r="C64" t="str">
            <v>P3000Bk18</v>
          </cell>
          <cell r="D64" t="str">
            <v>3800</v>
          </cell>
          <cell r="E64">
            <v>1454</v>
          </cell>
          <cell r="F64">
            <v>20</v>
          </cell>
          <cell r="G64">
            <v>6608.24609375</v>
          </cell>
          <cell r="H64">
            <v>2.1679775714874268</v>
          </cell>
          <cell r="I64">
            <v>3.8684589862823486</v>
          </cell>
          <cell r="J64">
            <v>9.9877328872680664</v>
          </cell>
          <cell r="K64">
            <v>14.162848472595215</v>
          </cell>
        </row>
        <row r="65">
          <cell r="A65" t="str">
            <v>PAMAP3000Bk183800145430</v>
          </cell>
          <cell r="B65" t="str">
            <v>PAMA</v>
          </cell>
          <cell r="C65" t="str">
            <v>P3000Bk18</v>
          </cell>
          <cell r="D65" t="str">
            <v>3800</v>
          </cell>
          <cell r="E65">
            <v>1454</v>
          </cell>
          <cell r="F65">
            <v>30</v>
          </cell>
          <cell r="G65">
            <v>6591.01025390625</v>
          </cell>
          <cell r="H65">
            <v>2.384502649307251</v>
          </cell>
          <cell r="I65">
            <v>3.886326789855957</v>
          </cell>
          <cell r="J65">
            <v>10.087409019470215</v>
          </cell>
          <cell r="K65">
            <v>14.355293273925781</v>
          </cell>
        </row>
        <row r="66">
          <cell r="A66" t="str">
            <v>PAMAP3000Bk183810145410</v>
          </cell>
          <cell r="B66" t="str">
            <v>PAMA</v>
          </cell>
          <cell r="C66" t="str">
            <v>P3000Bk18</v>
          </cell>
          <cell r="D66" t="str">
            <v>3810</v>
          </cell>
          <cell r="E66">
            <v>1454</v>
          </cell>
          <cell r="F66">
            <v>10</v>
          </cell>
          <cell r="G66">
            <v>6550.79638671875</v>
          </cell>
          <cell r="H66">
            <v>0.89732378721237183</v>
          </cell>
          <cell r="I66">
            <v>5.4477777481079102</v>
          </cell>
          <cell r="J66">
            <v>10.369524002075195</v>
          </cell>
          <cell r="K66">
            <v>14.467776298522949</v>
          </cell>
        </row>
        <row r="67">
          <cell r="A67" t="str">
            <v>PAMAP3000Bk183810145420</v>
          </cell>
          <cell r="B67" t="str">
            <v>PAMA</v>
          </cell>
          <cell r="C67" t="str">
            <v>P3000Bk18</v>
          </cell>
          <cell r="D67" t="str">
            <v>3810</v>
          </cell>
          <cell r="E67">
            <v>1454</v>
          </cell>
          <cell r="F67">
            <v>20</v>
          </cell>
          <cell r="G67">
            <v>6429.931640625</v>
          </cell>
          <cell r="H67">
            <v>1.0518875122070313</v>
          </cell>
          <cell r="I67">
            <v>6.5288872718811035</v>
          </cell>
          <cell r="J67">
            <v>10.16939640045166</v>
          </cell>
          <cell r="K67">
            <v>14.69594669342041</v>
          </cell>
        </row>
        <row r="68">
          <cell r="A68" t="str">
            <v>PAMAP3000Bk183810145430</v>
          </cell>
          <cell r="B68" t="str">
            <v>PAMA</v>
          </cell>
          <cell r="C68" t="str">
            <v>P3000Bk18</v>
          </cell>
          <cell r="D68" t="str">
            <v>3810</v>
          </cell>
          <cell r="E68">
            <v>1454</v>
          </cell>
          <cell r="F68">
            <v>30</v>
          </cell>
          <cell r="G68">
            <v>6360.7568359375</v>
          </cell>
          <cell r="H68">
            <v>1.12712562084198</v>
          </cell>
          <cell r="I68">
            <v>7.1607365608215332</v>
          </cell>
          <cell r="J68">
            <v>10.067190170288086</v>
          </cell>
          <cell r="K68">
            <v>14.827414512634277</v>
          </cell>
        </row>
        <row r="69">
          <cell r="A69" t="str">
            <v>PAMAP3000Bk183900145420</v>
          </cell>
          <cell r="B69" t="str">
            <v>PAMA</v>
          </cell>
          <cell r="C69" t="str">
            <v>P3000Bk18</v>
          </cell>
          <cell r="D69" t="str">
            <v>3900</v>
          </cell>
          <cell r="E69">
            <v>1454</v>
          </cell>
          <cell r="F69">
            <v>20</v>
          </cell>
          <cell r="G69">
            <v>6551.58544921875</v>
          </cell>
          <cell r="H69">
            <v>0.68024176359176636</v>
          </cell>
          <cell r="I69">
            <v>3.4378001689910889</v>
          </cell>
          <cell r="J69">
            <v>10.319265365600586</v>
          </cell>
          <cell r="K69">
            <v>14.455859184265137</v>
          </cell>
        </row>
        <row r="70">
          <cell r="A70" t="str">
            <v>PAMAP3000Bk183900145430</v>
          </cell>
          <cell r="B70" t="str">
            <v>PAMA</v>
          </cell>
          <cell r="C70" t="str">
            <v>P3000Bk18</v>
          </cell>
          <cell r="D70" t="str">
            <v>3900</v>
          </cell>
          <cell r="E70">
            <v>1454</v>
          </cell>
          <cell r="F70">
            <v>30</v>
          </cell>
          <cell r="G70">
            <v>6559.306640625</v>
          </cell>
          <cell r="H70">
            <v>0.67636168003082275</v>
          </cell>
          <cell r="I70">
            <v>3.2608006000518799</v>
          </cell>
          <cell r="J70">
            <v>10.394471168518066</v>
          </cell>
          <cell r="K70">
            <v>14.472518920898438</v>
          </cell>
        </row>
        <row r="71">
          <cell r="A71" t="str">
            <v>PAMAP3000Bk183800145520</v>
          </cell>
          <cell r="B71" t="str">
            <v>PAMA</v>
          </cell>
          <cell r="C71" t="str">
            <v>P3000Bk18</v>
          </cell>
          <cell r="D71" t="str">
            <v>3800</v>
          </cell>
          <cell r="E71">
            <v>1455</v>
          </cell>
          <cell r="F71">
            <v>20</v>
          </cell>
          <cell r="G71">
            <v>6573.9287109375</v>
          </cell>
          <cell r="H71">
            <v>2.5492048263549805</v>
          </cell>
          <cell r="I71">
            <v>4.1989693641662598</v>
          </cell>
          <cell r="J71">
            <v>9.8812103271484375</v>
          </cell>
          <cell r="K71">
            <v>14.281744956970215</v>
          </cell>
        </row>
        <row r="72">
          <cell r="A72" t="str">
            <v>PAMAP3000Bk183800145530</v>
          </cell>
          <cell r="B72" t="str">
            <v>PAMA</v>
          </cell>
          <cell r="C72" t="str">
            <v>P3000Bk18</v>
          </cell>
          <cell r="D72" t="str">
            <v>3800</v>
          </cell>
          <cell r="E72">
            <v>1455</v>
          </cell>
          <cell r="F72">
            <v>30</v>
          </cell>
          <cell r="G72">
            <v>6580.14306640625</v>
          </cell>
          <cell r="H72">
            <v>2.5465734004974365</v>
          </cell>
          <cell r="I72">
            <v>4.0057368278503418</v>
          </cell>
          <cell r="J72">
            <v>10.024166107177734</v>
          </cell>
          <cell r="K72">
            <v>14.409303665161133</v>
          </cell>
        </row>
        <row r="73">
          <cell r="A73" t="str">
            <v>PAMAP3000Bk183810145520</v>
          </cell>
          <cell r="B73" t="str">
            <v>PAMA</v>
          </cell>
          <cell r="C73" t="str">
            <v>P3000Bk18</v>
          </cell>
          <cell r="D73" t="str">
            <v>3810</v>
          </cell>
          <cell r="E73">
            <v>1455</v>
          </cell>
          <cell r="F73">
            <v>20</v>
          </cell>
          <cell r="G73">
            <v>6323.671875</v>
          </cell>
          <cell r="H73">
            <v>1.1798995733261108</v>
          </cell>
          <cell r="I73">
            <v>7.511810302734375</v>
          </cell>
          <cell r="J73">
            <v>10.016886711120605</v>
          </cell>
          <cell r="K73">
            <v>14.903317451477051</v>
          </cell>
        </row>
        <row r="74">
          <cell r="A74" t="str">
            <v>PAMAP3000Bk183810145530</v>
          </cell>
          <cell r="B74" t="str">
            <v>PAMA</v>
          </cell>
          <cell r="C74" t="str">
            <v>P3000Bk18</v>
          </cell>
          <cell r="D74" t="str">
            <v>3810</v>
          </cell>
          <cell r="E74">
            <v>1455</v>
          </cell>
          <cell r="F74">
            <v>30</v>
          </cell>
          <cell r="G74">
            <v>6265.4052734375</v>
          </cell>
          <cell r="H74">
            <v>1.2225120067596436</v>
          </cell>
          <cell r="I74">
            <v>8.0702934265136719</v>
          </cell>
          <cell r="J74">
            <v>9.93304443359375</v>
          </cell>
          <cell r="K74">
            <v>15.011997222900391</v>
          </cell>
        </row>
        <row r="75">
          <cell r="A75" t="str">
            <v>PAMAP3000Bk183900145520</v>
          </cell>
          <cell r="B75" t="str">
            <v>PAMA</v>
          </cell>
          <cell r="C75" t="str">
            <v>P3000Bk18</v>
          </cell>
          <cell r="D75" t="str">
            <v>3900</v>
          </cell>
          <cell r="E75">
            <v>1455</v>
          </cell>
          <cell r="F75">
            <v>20</v>
          </cell>
          <cell r="G75">
            <v>6565.4248046875</v>
          </cell>
          <cell r="H75">
            <v>0.70121341943740845</v>
          </cell>
          <cell r="I75">
            <v>3.2725465297698975</v>
          </cell>
          <cell r="J75">
            <v>10.22286319732666</v>
          </cell>
          <cell r="K75">
            <v>14.417819976806641</v>
          </cell>
        </row>
        <row r="76">
          <cell r="A76" t="str">
            <v>PAMAP3000Bk183900145530</v>
          </cell>
          <cell r="B76" t="str">
            <v>PAMA</v>
          </cell>
          <cell r="C76" t="str">
            <v>P3000Bk18</v>
          </cell>
          <cell r="D76" t="str">
            <v>3900</v>
          </cell>
          <cell r="E76">
            <v>1455</v>
          </cell>
          <cell r="F76">
            <v>30</v>
          </cell>
          <cell r="G76">
            <v>6566.73193359375</v>
          </cell>
          <cell r="H76">
            <v>0.70112639665603638</v>
          </cell>
          <cell r="I76">
            <v>3.1385653018951416</v>
          </cell>
          <cell r="J76">
            <v>10.327252388000488</v>
          </cell>
          <cell r="K76">
            <v>14.435779571533203</v>
          </cell>
        </row>
        <row r="77">
          <cell r="A77" t="str">
            <v>PAMAP3000Bk183800145620</v>
          </cell>
          <cell r="B77" t="str">
            <v>PAMA</v>
          </cell>
          <cell r="C77" t="str">
            <v>P3000Bk18</v>
          </cell>
          <cell r="D77" t="str">
            <v>3800</v>
          </cell>
          <cell r="E77">
            <v>1456</v>
          </cell>
          <cell r="F77">
            <v>20</v>
          </cell>
          <cell r="G77">
            <v>6562.02685546875</v>
          </cell>
          <cell r="H77">
            <v>2.7240238189697266</v>
          </cell>
          <cell r="I77">
            <v>4.4604249000549316</v>
          </cell>
          <cell r="J77">
            <v>9.6231842041015625</v>
          </cell>
          <cell r="K77">
            <v>14.223276138305664</v>
          </cell>
        </row>
        <row r="78">
          <cell r="A78" t="str">
            <v>PAMAP3000Bk183800145630</v>
          </cell>
          <cell r="B78" t="str">
            <v>PAMA</v>
          </cell>
          <cell r="C78" t="str">
            <v>P3000Bk18</v>
          </cell>
          <cell r="D78" t="str">
            <v>3800</v>
          </cell>
          <cell r="E78">
            <v>1456</v>
          </cell>
          <cell r="F78">
            <v>30</v>
          </cell>
          <cell r="G78">
            <v>6571.45068359375</v>
          </cell>
          <cell r="H78">
            <v>2.7197914123535156</v>
          </cell>
          <cell r="I78">
            <v>4.1944375038146973</v>
          </cell>
          <cell r="J78">
            <v>9.8425893783569336</v>
          </cell>
          <cell r="K78">
            <v>14.313985824584961</v>
          </cell>
        </row>
        <row r="79">
          <cell r="A79" t="str">
            <v>PAMAP3000Bk183810145620</v>
          </cell>
          <cell r="B79" t="str">
            <v>PAMA</v>
          </cell>
          <cell r="C79" t="str">
            <v>P3000Bk18</v>
          </cell>
          <cell r="D79" t="str">
            <v>3810</v>
          </cell>
          <cell r="E79">
            <v>1456</v>
          </cell>
          <cell r="F79">
            <v>20</v>
          </cell>
          <cell r="G79">
            <v>6218.56103515625</v>
          </cell>
          <cell r="H79">
            <v>1.3354216814041138</v>
          </cell>
          <cell r="I79">
            <v>8.5172128677368164</v>
          </cell>
          <cell r="J79">
            <v>9.857020378112793</v>
          </cell>
          <cell r="K79">
            <v>15.069109916687012</v>
          </cell>
        </row>
        <row r="80">
          <cell r="A80" t="str">
            <v>PAMAP3000Bk183810145630</v>
          </cell>
          <cell r="B80" t="str">
            <v>PAMA</v>
          </cell>
          <cell r="C80" t="str">
            <v>P3000Bk18</v>
          </cell>
          <cell r="D80" t="str">
            <v>3810</v>
          </cell>
          <cell r="E80">
            <v>1456</v>
          </cell>
          <cell r="F80">
            <v>30</v>
          </cell>
          <cell r="G80">
            <v>6175.84375</v>
          </cell>
          <cell r="H80">
            <v>1.3267174959182739</v>
          </cell>
          <cell r="I80">
            <v>8.9536371231079102</v>
          </cell>
          <cell r="J80">
            <v>9.7929744720458984</v>
          </cell>
          <cell r="K80">
            <v>15.16861629486084</v>
          </cell>
        </row>
        <row r="81">
          <cell r="A81" t="str">
            <v>PAMAP3000Bk183900145630</v>
          </cell>
          <cell r="B81" t="str">
            <v>PAMA</v>
          </cell>
          <cell r="C81" t="str">
            <v>P3000Bk18</v>
          </cell>
          <cell r="D81" t="str">
            <v>3900</v>
          </cell>
          <cell r="E81">
            <v>1456</v>
          </cell>
          <cell r="F81">
            <v>30</v>
          </cell>
          <cell r="G81">
            <v>6574.76513671875</v>
          </cell>
          <cell r="H81">
            <v>0.72935861349105835</v>
          </cell>
          <cell r="I81">
            <v>3.0065586566925049</v>
          </cell>
          <cell r="J81">
            <v>10.249258041381836</v>
          </cell>
          <cell r="K81">
            <v>14.326202392578125</v>
          </cell>
        </row>
        <row r="82">
          <cell r="A82" t="str">
            <v>PAMAP3000Bk183800145720</v>
          </cell>
          <cell r="B82" t="str">
            <v>PAMA</v>
          </cell>
          <cell r="C82" t="str">
            <v>P3000Bk18</v>
          </cell>
          <cell r="D82" t="str">
            <v>3800</v>
          </cell>
          <cell r="E82">
            <v>1457</v>
          </cell>
          <cell r="F82">
            <v>20</v>
          </cell>
          <cell r="G82">
            <v>6559.77587890625</v>
          </cell>
          <cell r="H82">
            <v>2.8246216773986816</v>
          </cell>
          <cell r="I82">
            <v>4.5503926277160645</v>
          </cell>
          <cell r="J82">
            <v>9.389256477355957</v>
          </cell>
          <cell r="K82">
            <v>14.239750862121582</v>
          </cell>
        </row>
        <row r="83">
          <cell r="A83" t="str">
            <v>PAMAP3000Bk183800145730</v>
          </cell>
          <cell r="B83" t="str">
            <v>PAMA</v>
          </cell>
          <cell r="C83" t="str">
            <v>P3000Bk18</v>
          </cell>
          <cell r="D83" t="str">
            <v>3800</v>
          </cell>
          <cell r="E83">
            <v>1457</v>
          </cell>
          <cell r="F83">
            <v>30</v>
          </cell>
          <cell r="G83">
            <v>6570.27490234375</v>
          </cell>
          <cell r="H83">
            <v>2.8443272113800049</v>
          </cell>
          <cell r="I83">
            <v>4.3564891815185547</v>
          </cell>
          <cell r="J83">
            <v>9.6130886077880859</v>
          </cell>
          <cell r="K83">
            <v>14.130684852600098</v>
          </cell>
        </row>
        <row r="84">
          <cell r="A84" t="str">
            <v>PAMAP3000Bk183810145720</v>
          </cell>
          <cell r="B84" t="str">
            <v>PAMA</v>
          </cell>
          <cell r="C84" t="str">
            <v>P3000Bk18</v>
          </cell>
          <cell r="D84" t="str">
            <v>3810</v>
          </cell>
          <cell r="E84">
            <v>1457</v>
          </cell>
          <cell r="F84">
            <v>20</v>
          </cell>
          <cell r="G84">
            <v>6150.6650390625</v>
          </cell>
          <cell r="H84">
            <v>1.5127537250518799</v>
          </cell>
          <cell r="I84">
            <v>9.1952457427978516</v>
          </cell>
          <cell r="J84">
            <v>9.7343358993530273</v>
          </cell>
          <cell r="K84">
            <v>15.072177886962891</v>
          </cell>
        </row>
        <row r="85">
          <cell r="A85" t="str">
            <v>PAMAP3000Bk183810145730</v>
          </cell>
          <cell r="B85" t="str">
            <v>PAMA</v>
          </cell>
          <cell r="C85" t="str">
            <v>P3000Bk18</v>
          </cell>
          <cell r="D85" t="str">
            <v>3810</v>
          </cell>
          <cell r="E85">
            <v>1457</v>
          </cell>
          <cell r="F85">
            <v>30</v>
          </cell>
          <cell r="G85">
            <v>6108.22119140625</v>
          </cell>
          <cell r="H85">
            <v>1.501795768737793</v>
          </cell>
          <cell r="I85">
            <v>9.6463031768798828</v>
          </cell>
          <cell r="J85">
            <v>9.6630449295043945</v>
          </cell>
          <cell r="K85">
            <v>15.181544303894043</v>
          </cell>
        </row>
        <row r="86">
          <cell r="A86" t="str">
            <v>PAMAP3000Bk183900145730</v>
          </cell>
          <cell r="B86" t="str">
            <v>PAMA</v>
          </cell>
          <cell r="C86" t="str">
            <v>P3000Bk18</v>
          </cell>
          <cell r="D86" t="str">
            <v>3900</v>
          </cell>
          <cell r="E86">
            <v>1457</v>
          </cell>
          <cell r="F86">
            <v>30</v>
          </cell>
          <cell r="G86">
            <v>6584.080078125</v>
          </cell>
          <cell r="H86">
            <v>0.74285948276519775</v>
          </cell>
          <cell r="I86">
            <v>2.7295536994934082</v>
          </cell>
          <cell r="J86">
            <v>10.178134918212891</v>
          </cell>
          <cell r="K86">
            <v>14.160281181335449</v>
          </cell>
        </row>
        <row r="87">
          <cell r="A87" t="str">
            <v>PAMAP3000Bk183800145820</v>
          </cell>
          <cell r="B87" t="str">
            <v>PAMA</v>
          </cell>
          <cell r="C87" t="str">
            <v>P3000Bk18</v>
          </cell>
          <cell r="D87" t="str">
            <v>3800</v>
          </cell>
          <cell r="E87">
            <v>1458</v>
          </cell>
          <cell r="F87">
            <v>20</v>
          </cell>
          <cell r="G87">
            <v>6564.2900390625</v>
          </cell>
          <cell r="H87">
            <v>2.8671479225158691</v>
          </cell>
          <cell r="I87">
            <v>4.589292049407959</v>
          </cell>
          <cell r="J87">
            <v>9.365962028503418</v>
          </cell>
          <cell r="K87">
            <v>14.075520515441895</v>
          </cell>
        </row>
        <row r="88">
          <cell r="A88" t="str">
            <v>PAMAP3000Bk183800145830</v>
          </cell>
          <cell r="B88" t="str">
            <v>PAMA</v>
          </cell>
          <cell r="C88" t="str">
            <v>P3000Bk18</v>
          </cell>
          <cell r="D88" t="str">
            <v>3800</v>
          </cell>
          <cell r="E88">
            <v>1458</v>
          </cell>
          <cell r="F88">
            <v>30</v>
          </cell>
          <cell r="G88">
            <v>6582.31494140625</v>
          </cell>
          <cell r="H88">
            <v>2.950049877166748</v>
          </cell>
          <cell r="I88">
            <v>4.5494213104248047</v>
          </cell>
          <cell r="J88">
            <v>9.3262643814086914</v>
          </cell>
          <cell r="K88">
            <v>13.812799453735352</v>
          </cell>
        </row>
        <row r="89">
          <cell r="A89" t="str">
            <v>PAMAP3000Bk183810145820</v>
          </cell>
          <cell r="B89" t="str">
            <v>PAMA</v>
          </cell>
          <cell r="C89" t="str">
            <v>P3000Bk18</v>
          </cell>
          <cell r="D89" t="str">
            <v>3810</v>
          </cell>
          <cell r="E89">
            <v>1458</v>
          </cell>
          <cell r="F89">
            <v>20</v>
          </cell>
          <cell r="G89">
            <v>6107.21142578125</v>
          </cell>
          <cell r="H89">
            <v>1.7841830253601074</v>
          </cell>
          <cell r="I89">
            <v>9.6615066528320313</v>
          </cell>
          <cell r="J89">
            <v>9.6261482238769531</v>
          </cell>
          <cell r="K89">
            <v>14.855523109436035</v>
          </cell>
        </row>
        <row r="90">
          <cell r="A90" t="str">
            <v>PAMAP3000Bk183810145830</v>
          </cell>
          <cell r="B90" t="str">
            <v>PAMA</v>
          </cell>
          <cell r="C90" t="str">
            <v>P3000Bk18</v>
          </cell>
          <cell r="D90" t="str">
            <v>3810</v>
          </cell>
          <cell r="E90">
            <v>1458</v>
          </cell>
          <cell r="F90">
            <v>30</v>
          </cell>
          <cell r="G90">
            <v>6075.94775390625</v>
          </cell>
          <cell r="H90">
            <v>1.7171710729598999</v>
          </cell>
          <cell r="I90">
            <v>9.9976263046264648</v>
          </cell>
          <cell r="J90">
            <v>9.5759677886962891</v>
          </cell>
          <cell r="K90">
            <v>15.009856224060059</v>
          </cell>
        </row>
        <row r="91">
          <cell r="A91" t="str">
            <v>PAMAP3000Bk183900145830</v>
          </cell>
          <cell r="B91" t="str">
            <v>PAMA</v>
          </cell>
          <cell r="C91" t="str">
            <v>P3000Bk18</v>
          </cell>
          <cell r="D91" t="str">
            <v>3900</v>
          </cell>
          <cell r="E91">
            <v>1458</v>
          </cell>
          <cell r="F91">
            <v>30</v>
          </cell>
          <cell r="G91">
            <v>6590.8408203125</v>
          </cell>
          <cell r="H91">
            <v>0.75539267063140869</v>
          </cell>
          <cell r="I91">
            <v>2.5758373737335205</v>
          </cell>
          <cell r="J91">
            <v>10.118735313415527</v>
          </cell>
          <cell r="K91">
            <v>14.05168628692627</v>
          </cell>
        </row>
        <row r="92">
          <cell r="A92" t="str">
            <v>PAMAP3000Bk183800145920</v>
          </cell>
          <cell r="B92" t="str">
            <v>PAMA</v>
          </cell>
          <cell r="C92" t="str">
            <v>P3000Bk18</v>
          </cell>
          <cell r="D92" t="str">
            <v>3800</v>
          </cell>
          <cell r="E92">
            <v>1459</v>
          </cell>
          <cell r="F92">
            <v>20</v>
          </cell>
          <cell r="G92">
            <v>6560.45751953125</v>
          </cell>
          <cell r="H92">
            <v>2.8260548114776611</v>
          </cell>
          <cell r="I92">
            <v>4.670720100402832</v>
          </cell>
          <cell r="J92">
            <v>9.5306177139282227</v>
          </cell>
          <cell r="K92">
            <v>13.874503135681152</v>
          </cell>
        </row>
        <row r="93">
          <cell r="A93" t="str">
            <v>PAMAP3000Bk183800145930</v>
          </cell>
          <cell r="B93" t="str">
            <v>PAMA</v>
          </cell>
          <cell r="C93" t="str">
            <v>P3000Bk18</v>
          </cell>
          <cell r="D93" t="str">
            <v>3800</v>
          </cell>
          <cell r="E93">
            <v>1459</v>
          </cell>
          <cell r="F93">
            <v>30</v>
          </cell>
          <cell r="G93">
            <v>6570.96875</v>
          </cell>
          <cell r="H93">
            <v>2.908137321472168</v>
          </cell>
          <cell r="I93">
            <v>4.790377140045166</v>
          </cell>
          <cell r="J93">
            <v>9.4440536499023438</v>
          </cell>
          <cell r="K93">
            <v>13.57972526550293</v>
          </cell>
        </row>
        <row r="94">
          <cell r="A94" t="str">
            <v>PAMAP3000Bk183810145920</v>
          </cell>
          <cell r="B94" t="str">
            <v>PAMA</v>
          </cell>
          <cell r="C94" t="str">
            <v>P3000Bk18</v>
          </cell>
          <cell r="D94" t="str">
            <v>3810</v>
          </cell>
          <cell r="E94">
            <v>1459</v>
          </cell>
          <cell r="F94">
            <v>20</v>
          </cell>
          <cell r="G94">
            <v>6085.1611328125</v>
          </cell>
          <cell r="H94">
            <v>2.1800618171691895</v>
          </cell>
          <cell r="I94">
            <v>9.944392204284668</v>
          </cell>
          <cell r="J94">
            <v>9.51141357421875</v>
          </cell>
          <cell r="K94">
            <v>14.374615669250488</v>
          </cell>
        </row>
        <row r="95">
          <cell r="A95" t="str">
            <v>PAMAP3000Bk183810145930</v>
          </cell>
          <cell r="B95" t="str">
            <v>PAMA</v>
          </cell>
          <cell r="C95" t="str">
            <v>P3000Bk18</v>
          </cell>
          <cell r="D95" t="str">
            <v>3810</v>
          </cell>
          <cell r="E95">
            <v>1459</v>
          </cell>
          <cell r="F95">
            <v>30</v>
          </cell>
          <cell r="G95">
            <v>6068.97802734375</v>
          </cell>
          <cell r="H95">
            <v>2.1098232269287109</v>
          </cell>
          <cell r="I95">
            <v>10.113601684570313</v>
          </cell>
          <cell r="J95">
            <v>9.4918193817138672</v>
          </cell>
          <cell r="K95">
            <v>14.50745964050293</v>
          </cell>
        </row>
        <row r="96">
          <cell r="A96" t="str">
            <v>PAMAP3000Bk183900145930</v>
          </cell>
          <cell r="B96" t="str">
            <v>PAMA</v>
          </cell>
          <cell r="C96" t="str">
            <v>P3000Bk18</v>
          </cell>
          <cell r="D96" t="str">
            <v>3900</v>
          </cell>
          <cell r="E96">
            <v>1459</v>
          </cell>
          <cell r="F96">
            <v>30</v>
          </cell>
          <cell r="G96">
            <v>6579.65087890625</v>
          </cell>
          <cell r="H96">
            <v>0.8942495584487915</v>
          </cell>
          <cell r="I96">
            <v>2.7506518363952637</v>
          </cell>
          <cell r="J96">
            <v>10.669721603393555</v>
          </cell>
          <cell r="K96">
            <v>14.488694190979004</v>
          </cell>
        </row>
        <row r="97">
          <cell r="A97" t="str">
            <v>PAMAP3000Bk183900145940</v>
          </cell>
          <cell r="B97" t="str">
            <v>PAMA</v>
          </cell>
          <cell r="C97" t="str">
            <v>P3000Bk18</v>
          </cell>
          <cell r="D97" t="str">
            <v>3900</v>
          </cell>
          <cell r="E97">
            <v>1459</v>
          </cell>
          <cell r="F97">
            <v>40</v>
          </cell>
          <cell r="G97">
            <v>6579.51123046875</v>
          </cell>
          <cell r="H97">
            <v>0.89583933353424072</v>
          </cell>
          <cell r="I97">
            <v>2.7519350051879883</v>
          </cell>
          <cell r="J97">
            <v>10.672954559326172</v>
          </cell>
          <cell r="K97">
            <v>14.491411209106445</v>
          </cell>
        </row>
        <row r="98">
          <cell r="A98" t="str">
            <v>PAMAP3000Bk183800146030</v>
          </cell>
          <cell r="B98" t="str">
            <v>PAMA</v>
          </cell>
          <cell r="C98" t="str">
            <v>P3000Bk18</v>
          </cell>
          <cell r="D98" t="str">
            <v>3800</v>
          </cell>
          <cell r="E98">
            <v>1460</v>
          </cell>
          <cell r="F98">
            <v>30</v>
          </cell>
          <cell r="G98">
            <v>6463.677734375</v>
          </cell>
          <cell r="H98">
            <v>2.2595374584197998</v>
          </cell>
          <cell r="I98">
            <v>5.2858543395996094</v>
          </cell>
          <cell r="J98">
            <v>10.462319374084473</v>
          </cell>
          <cell r="K98">
            <v>13.846719741821289</v>
          </cell>
        </row>
        <row r="99">
          <cell r="A99" t="str">
            <v>PAMAP3000Bk183810146020</v>
          </cell>
          <cell r="B99" t="str">
            <v>PAMA</v>
          </cell>
          <cell r="C99" t="str">
            <v>P3000Bk18</v>
          </cell>
          <cell r="D99" t="str">
            <v>3810</v>
          </cell>
          <cell r="E99">
            <v>1460</v>
          </cell>
          <cell r="F99">
            <v>20</v>
          </cell>
          <cell r="G99">
            <v>6077.33154296875</v>
          </cell>
          <cell r="H99">
            <v>2.5640466213226318</v>
          </cell>
          <cell r="I99">
            <v>10.093692779541016</v>
          </cell>
          <cell r="J99">
            <v>9.4110641479492188</v>
          </cell>
          <cell r="K99">
            <v>13.844061851501465</v>
          </cell>
        </row>
        <row r="100">
          <cell r="A100" t="str">
            <v>PAMAP3000Bk183810146030</v>
          </cell>
          <cell r="B100" t="str">
            <v>PAMA</v>
          </cell>
          <cell r="C100" t="str">
            <v>P3000Bk18</v>
          </cell>
          <cell r="D100" t="str">
            <v>3810</v>
          </cell>
          <cell r="E100">
            <v>1460</v>
          </cell>
          <cell r="F100">
            <v>30</v>
          </cell>
          <cell r="G100">
            <v>6069.95751953125</v>
          </cell>
          <cell r="H100">
            <v>2.343468189239502</v>
          </cell>
          <cell r="I100">
            <v>10.136674880981445</v>
          </cell>
          <cell r="J100">
            <v>9.4457454681396484</v>
          </cell>
          <cell r="K100">
            <v>14.179116249084473</v>
          </cell>
        </row>
        <row r="101">
          <cell r="A101" t="str">
            <v>PAMAP3000Bk183900146030</v>
          </cell>
          <cell r="B101" t="str">
            <v>PAMA</v>
          </cell>
          <cell r="C101" t="str">
            <v>P3000Bk18</v>
          </cell>
          <cell r="D101" t="str">
            <v>3900</v>
          </cell>
          <cell r="E101">
            <v>1460</v>
          </cell>
          <cell r="F101">
            <v>30</v>
          </cell>
          <cell r="G101">
            <v>6544.16162109375</v>
          </cell>
          <cell r="H101">
            <v>1.5587481260299683</v>
          </cell>
          <cell r="I101">
            <v>2.7488603591918945</v>
          </cell>
          <cell r="J101">
            <v>11.463509559631348</v>
          </cell>
          <cell r="K101">
            <v>14.828810691833496</v>
          </cell>
        </row>
        <row r="102">
          <cell r="A102" t="str">
            <v>PAMAP3000Bk183800146130</v>
          </cell>
          <cell r="B102" t="str">
            <v>PAMA</v>
          </cell>
          <cell r="C102" t="str">
            <v>P3000Bk18</v>
          </cell>
          <cell r="D102" t="str">
            <v>3800</v>
          </cell>
          <cell r="E102">
            <v>1461</v>
          </cell>
          <cell r="F102">
            <v>30</v>
          </cell>
          <cell r="G102">
            <v>6395.87646484375</v>
          </cell>
          <cell r="H102">
            <v>1.3112664222717285</v>
          </cell>
          <cell r="I102">
            <v>5.0359573364257813</v>
          </cell>
          <cell r="J102">
            <v>11.942854881286621</v>
          </cell>
          <cell r="K102">
            <v>14.176579475402832</v>
          </cell>
        </row>
        <row r="103">
          <cell r="A103" t="str">
            <v>PAMAP3000Bk183810146120</v>
          </cell>
          <cell r="B103" t="str">
            <v>PAMA</v>
          </cell>
          <cell r="C103" t="str">
            <v>P3000Bk18</v>
          </cell>
          <cell r="D103" t="str">
            <v>3810</v>
          </cell>
          <cell r="E103">
            <v>1461</v>
          </cell>
          <cell r="F103">
            <v>20</v>
          </cell>
          <cell r="G103">
            <v>6077.0458984375</v>
          </cell>
          <cell r="H103">
            <v>2.7090156078338623</v>
          </cell>
          <cell r="I103">
            <v>10.124911308288574</v>
          </cell>
          <cell r="J103">
            <v>9.3755521774291992</v>
          </cell>
          <cell r="K103">
            <v>13.631509780883789</v>
          </cell>
        </row>
        <row r="104">
          <cell r="A104" t="str">
            <v>PAMAP3000Bk183810146130</v>
          </cell>
          <cell r="B104" t="str">
            <v>PAMA</v>
          </cell>
          <cell r="C104" t="str">
            <v>P3000Bk18</v>
          </cell>
          <cell r="D104" t="str">
            <v>3810</v>
          </cell>
          <cell r="E104">
            <v>1461</v>
          </cell>
          <cell r="F104">
            <v>30</v>
          </cell>
          <cell r="G104">
            <v>6076.79150390625</v>
          </cell>
          <cell r="H104">
            <v>2.702103853225708</v>
          </cell>
          <cell r="I104">
            <v>10.12610912322998</v>
          </cell>
          <cell r="J104">
            <v>9.3769168853759766</v>
          </cell>
          <cell r="K104">
            <v>13.642655372619629</v>
          </cell>
        </row>
        <row r="105">
          <cell r="A105" t="str">
            <v>PAMAP3000Bk183900146130</v>
          </cell>
          <cell r="B105" t="str">
            <v>PAMA</v>
          </cell>
          <cell r="C105" t="str">
            <v>P3000Bk18</v>
          </cell>
          <cell r="D105" t="str">
            <v>3900</v>
          </cell>
          <cell r="E105">
            <v>1461</v>
          </cell>
          <cell r="F105">
            <v>30</v>
          </cell>
          <cell r="G105">
            <v>6566.87060546875</v>
          </cell>
          <cell r="H105">
            <v>1.4061294794082642</v>
          </cell>
          <cell r="I105">
            <v>2.7717204093933105</v>
          </cell>
          <cell r="J105">
            <v>11.227960586547852</v>
          </cell>
          <cell r="K105">
            <v>14.699262619018555</v>
          </cell>
        </row>
        <row r="106">
          <cell r="A106" t="str">
            <v>PAMAP3000Bk183900146140</v>
          </cell>
          <cell r="B106" t="str">
            <v>PAMA</v>
          </cell>
          <cell r="C106" t="str">
            <v>P3000Bk18</v>
          </cell>
          <cell r="D106" t="str">
            <v>3900</v>
          </cell>
          <cell r="E106">
            <v>1461</v>
          </cell>
          <cell r="F106">
            <v>40</v>
          </cell>
          <cell r="G106">
            <v>6578.353515625</v>
          </cell>
          <cell r="H106">
            <v>1.343778133392334</v>
          </cell>
          <cell r="I106">
            <v>2.7729473114013672</v>
          </cell>
          <cell r="J106">
            <v>11.12624454498291</v>
          </cell>
          <cell r="K106">
            <v>14.635058403015137</v>
          </cell>
        </row>
        <row r="107">
          <cell r="A107" t="str">
            <v>PAMAP3000Bk183900146230</v>
          </cell>
          <cell r="B107" t="str">
            <v>PAMA</v>
          </cell>
          <cell r="C107" t="str">
            <v>P3000Bk18</v>
          </cell>
          <cell r="D107" t="str">
            <v>3900</v>
          </cell>
          <cell r="E107">
            <v>1462</v>
          </cell>
          <cell r="F107">
            <v>30</v>
          </cell>
          <cell r="G107">
            <v>6606.7216796875</v>
          </cell>
          <cell r="H107">
            <v>1.1584529876708984</v>
          </cell>
          <cell r="I107">
            <v>2.8121159076690674</v>
          </cell>
          <cell r="J107">
            <v>10.821782112121582</v>
          </cell>
          <cell r="K107">
            <v>14.45503044128418</v>
          </cell>
        </row>
        <row r="108">
          <cell r="A108" t="str">
            <v>PAMAP3000Bk183900146240</v>
          </cell>
          <cell r="B108" t="str">
            <v>PAMA</v>
          </cell>
          <cell r="C108" t="str">
            <v>P3000Bk18</v>
          </cell>
          <cell r="D108" t="str">
            <v>3900</v>
          </cell>
          <cell r="E108">
            <v>1462</v>
          </cell>
          <cell r="F108">
            <v>40</v>
          </cell>
          <cell r="G108">
            <v>6629.15966796875</v>
          </cell>
          <cell r="H108">
            <v>1.1020852327346802</v>
          </cell>
          <cell r="I108">
            <v>2.8406479358673096</v>
          </cell>
          <cell r="J108">
            <v>10.656140327453613</v>
          </cell>
          <cell r="K108">
            <v>14.294694900512695</v>
          </cell>
        </row>
        <row r="109">
          <cell r="A109" t="str">
            <v>PAMAP3000Bk183900146340</v>
          </cell>
          <cell r="B109" t="str">
            <v>PAMA</v>
          </cell>
          <cell r="C109" t="str">
            <v>P3000Bk18</v>
          </cell>
          <cell r="D109" t="str">
            <v>3900</v>
          </cell>
          <cell r="E109">
            <v>1463</v>
          </cell>
          <cell r="F109">
            <v>40</v>
          </cell>
          <cell r="G109">
            <v>6748.5361328125</v>
          </cell>
          <cell r="H109">
            <v>1.0239794254302979</v>
          </cell>
          <cell r="I109">
            <v>2.9689967632293701</v>
          </cell>
          <cell r="J109">
            <v>9.7977809906005859</v>
          </cell>
          <cell r="K109">
            <v>13.184553146362305</v>
          </cell>
        </row>
        <row r="110">
          <cell r="A110" t="str">
            <v>PAMAP3000Bk183900146440</v>
          </cell>
          <cell r="B110" t="str">
            <v>PAMA</v>
          </cell>
          <cell r="C110" t="str">
            <v>P3000Bk18</v>
          </cell>
          <cell r="D110" t="str">
            <v>3900</v>
          </cell>
          <cell r="E110">
            <v>1464</v>
          </cell>
          <cell r="F110">
            <v>40</v>
          </cell>
          <cell r="G110">
            <v>6695.47900390625</v>
          </cell>
          <cell r="H110">
            <v>1.1499661207199097</v>
          </cell>
          <cell r="I110">
            <v>2.8991560935974121</v>
          </cell>
          <cell r="J110">
            <v>9.9738540649414063</v>
          </cell>
          <cell r="K110">
            <v>13.593957901000977</v>
          </cell>
        </row>
        <row r="111">
          <cell r="A111" t="str">
            <v>PAMAP3000Bk184000144250</v>
          </cell>
          <cell r="B111" t="str">
            <v>PAMA</v>
          </cell>
          <cell r="C111" t="str">
            <v>P3000Bk18</v>
          </cell>
          <cell r="D111" t="str">
            <v>4000</v>
          </cell>
          <cell r="E111">
            <v>1442</v>
          </cell>
          <cell r="F111">
            <v>50</v>
          </cell>
          <cell r="G111">
            <v>6499.1963056362547</v>
          </cell>
          <cell r="H111">
            <v>1.7477876072396354</v>
          </cell>
          <cell r="I111">
            <v>6.0936420305747232</v>
          </cell>
          <cell r="J111">
            <v>9.5498616140706805</v>
          </cell>
          <cell r="K111">
            <v>12.968756072304778</v>
          </cell>
        </row>
        <row r="112">
          <cell r="A112" t="str">
            <v>PAMAP3000Bk184000144260</v>
          </cell>
          <cell r="B112" t="str">
            <v>PAMA</v>
          </cell>
          <cell r="C112" t="str">
            <v>P3000Bk18</v>
          </cell>
          <cell r="D112" t="str">
            <v>4000</v>
          </cell>
          <cell r="E112">
            <v>1442</v>
          </cell>
          <cell r="F112">
            <v>60</v>
          </cell>
          <cell r="G112">
            <v>6502.1693938016406</v>
          </cell>
          <cell r="H112">
            <v>1.7997281094207149</v>
          </cell>
          <cell r="I112">
            <v>5.8720612229154661</v>
          </cell>
          <cell r="J112">
            <v>9.6515593548588807</v>
          </cell>
          <cell r="K112">
            <v>12.970493573972787</v>
          </cell>
        </row>
        <row r="113">
          <cell r="A113" t="str">
            <v>PAMAP3000Bk182000144340</v>
          </cell>
          <cell r="B113" t="str">
            <v>PAMA</v>
          </cell>
          <cell r="C113" t="str">
            <v>P3000Bk18</v>
          </cell>
          <cell r="D113" t="str">
            <v>2000</v>
          </cell>
          <cell r="E113">
            <v>1443</v>
          </cell>
          <cell r="F113">
            <v>40</v>
          </cell>
          <cell r="G113">
            <v>6712.4736328125</v>
          </cell>
          <cell r="H113">
            <v>0.7318689227104187</v>
          </cell>
          <cell r="I113">
            <v>4.2155232429504395</v>
          </cell>
          <cell r="J113">
            <v>9.0143527984619141</v>
          </cell>
          <cell r="K113">
            <v>13.084325790405273</v>
          </cell>
        </row>
        <row r="114">
          <cell r="A114" t="str">
            <v>PAMAP3000Bk182000144350</v>
          </cell>
          <cell r="B114" t="str">
            <v>PAMA</v>
          </cell>
          <cell r="C114" t="str">
            <v>P3000Bk18</v>
          </cell>
          <cell r="D114" t="str">
            <v>2000</v>
          </cell>
          <cell r="E114">
            <v>1443</v>
          </cell>
          <cell r="F114">
            <v>50</v>
          </cell>
          <cell r="G114">
            <v>6694.65625</v>
          </cell>
          <cell r="H114">
            <v>0.76715177297592163</v>
          </cell>
          <cell r="I114">
            <v>4.3175778388977051</v>
          </cell>
          <cell r="J114">
            <v>9.1145477294921875</v>
          </cell>
          <cell r="K114">
            <v>13.129595756530762</v>
          </cell>
        </row>
        <row r="115">
          <cell r="A115" t="str">
            <v>PAMAP3000Bk182000144360</v>
          </cell>
          <cell r="B115" t="str">
            <v>PAMA</v>
          </cell>
          <cell r="C115" t="str">
            <v>P3000Bk18</v>
          </cell>
          <cell r="D115" t="str">
            <v>2000</v>
          </cell>
          <cell r="E115">
            <v>1443</v>
          </cell>
          <cell r="F115">
            <v>60</v>
          </cell>
          <cell r="G115">
            <v>6659.28759765625</v>
          </cell>
          <cell r="H115">
            <v>0.85605144500732422</v>
          </cell>
          <cell r="I115">
            <v>4.5361638069152832</v>
          </cell>
          <cell r="J115">
            <v>9.2704324722290039</v>
          </cell>
          <cell r="K115">
            <v>13.197244644165039</v>
          </cell>
        </row>
        <row r="116">
          <cell r="A116" t="str">
            <v>PAMAP3000Bk182000144370</v>
          </cell>
          <cell r="B116" t="str">
            <v>PAMA</v>
          </cell>
          <cell r="C116" t="str">
            <v>P3000Bk18</v>
          </cell>
          <cell r="D116" t="str">
            <v>2000</v>
          </cell>
          <cell r="E116">
            <v>1443</v>
          </cell>
          <cell r="F116">
            <v>70</v>
          </cell>
          <cell r="G116">
            <v>6600.517578125</v>
          </cell>
          <cell r="H116">
            <v>1.056492805480957</v>
          </cell>
          <cell r="I116">
            <v>4.9077844619750977</v>
          </cell>
          <cell r="J116">
            <v>9.4487953186035156</v>
          </cell>
          <cell r="K116">
            <v>13.230063438415527</v>
          </cell>
        </row>
        <row r="117">
          <cell r="A117" t="str">
            <v>PAMAP3000Bk183740144350</v>
          </cell>
          <cell r="B117" t="str">
            <v>PAMA</v>
          </cell>
          <cell r="C117" t="str">
            <v>P3000Bk18</v>
          </cell>
          <cell r="D117" t="str">
            <v>3740</v>
          </cell>
          <cell r="E117">
            <v>1443</v>
          </cell>
          <cell r="F117">
            <v>50</v>
          </cell>
          <cell r="G117">
            <v>6064.06982421875</v>
          </cell>
          <cell r="H117">
            <v>2.751610279083252</v>
          </cell>
          <cell r="I117">
            <v>10.246761322021484</v>
          </cell>
          <cell r="J117">
            <v>9.2140369415283203</v>
          </cell>
          <cell r="K117">
            <v>12.582584381103516</v>
          </cell>
        </row>
        <row r="118">
          <cell r="A118" t="str">
            <v>PAMAP3000Bk184000144340</v>
          </cell>
          <cell r="B118" t="str">
            <v>PAMA</v>
          </cell>
          <cell r="C118" t="str">
            <v>P3000Bk18</v>
          </cell>
          <cell r="D118" t="str">
            <v>4000</v>
          </cell>
          <cell r="E118">
            <v>1443</v>
          </cell>
          <cell r="F118">
            <v>40</v>
          </cell>
          <cell r="G118">
            <v>6426.7104479293366</v>
          </cell>
          <cell r="H118">
            <v>1.687969015333834</v>
          </cell>
          <cell r="I118">
            <v>6.8692117780103681</v>
          </cell>
          <cell r="J118">
            <v>9.5039843556659225</v>
          </cell>
          <cell r="K118">
            <v>13.340466956658751</v>
          </cell>
        </row>
        <row r="119">
          <cell r="A119" t="str">
            <v>PAMAP3000Bk184000144350</v>
          </cell>
          <cell r="B119" t="str">
            <v>PAMA</v>
          </cell>
          <cell r="C119" t="str">
            <v>P3000Bk18</v>
          </cell>
          <cell r="D119" t="str">
            <v>4000</v>
          </cell>
          <cell r="E119">
            <v>1443</v>
          </cell>
          <cell r="F119">
            <v>50</v>
          </cell>
          <cell r="G119">
            <v>6424.7661551628071</v>
          </cell>
          <cell r="H119">
            <v>1.6825562738770719</v>
          </cell>
          <cell r="I119">
            <v>6.9935811297088115</v>
          </cell>
          <cell r="J119">
            <v>9.4671421244483049</v>
          </cell>
          <cell r="K119">
            <v>13.158456212834761</v>
          </cell>
        </row>
        <row r="120">
          <cell r="A120" t="str">
            <v>PAMAP3000Bk184000144360</v>
          </cell>
          <cell r="B120" t="str">
            <v>PAMA</v>
          </cell>
          <cell r="C120" t="str">
            <v>P3000Bk18</v>
          </cell>
          <cell r="D120" t="str">
            <v>4000</v>
          </cell>
          <cell r="E120">
            <v>1443</v>
          </cell>
          <cell r="F120">
            <v>60</v>
          </cell>
          <cell r="G120">
            <v>6438.5983500035009</v>
          </cell>
          <cell r="H120">
            <v>1.73254669386509</v>
          </cell>
          <cell r="I120">
            <v>6.761811367515036</v>
          </cell>
          <cell r="J120">
            <v>9.5666882177145496</v>
          </cell>
          <cell r="K120">
            <v>12.892131467789895</v>
          </cell>
        </row>
        <row r="121">
          <cell r="A121" t="str">
            <v>PAMAP3000Bk182000144440</v>
          </cell>
          <cell r="B121" t="str">
            <v>PAMA</v>
          </cell>
          <cell r="C121" t="str">
            <v>P3000Bk18</v>
          </cell>
          <cell r="D121" t="str">
            <v>2000</v>
          </cell>
          <cell r="E121">
            <v>1444</v>
          </cell>
          <cell r="F121">
            <v>40</v>
          </cell>
          <cell r="G121">
            <v>6718.90576171875</v>
          </cell>
          <cell r="H121">
            <v>0.72722929716110229</v>
          </cell>
          <cell r="I121">
            <v>4.1783690452575684</v>
          </cell>
          <cell r="J121">
            <v>8.9714622497558594</v>
          </cell>
          <cell r="K121">
            <v>13.064767837524414</v>
          </cell>
        </row>
        <row r="122">
          <cell r="A122" t="str">
            <v>PAMAP3000Bk182000144450</v>
          </cell>
          <cell r="B122" t="str">
            <v>PAMA</v>
          </cell>
          <cell r="C122" t="str">
            <v>P3000Bk18</v>
          </cell>
          <cell r="D122" t="str">
            <v>2000</v>
          </cell>
          <cell r="E122">
            <v>1444</v>
          </cell>
          <cell r="F122">
            <v>50</v>
          </cell>
          <cell r="G122">
            <v>6716.05224609375</v>
          </cell>
          <cell r="H122">
            <v>0.74065560102462769</v>
          </cell>
          <cell r="I122">
            <v>4.1906986236572266</v>
          </cell>
          <cell r="J122">
            <v>8.9862194061279297</v>
          </cell>
          <cell r="K122">
            <v>13.070136070251465</v>
          </cell>
        </row>
        <row r="123">
          <cell r="A123" t="str">
            <v>PAMAP3000Bk182000144460</v>
          </cell>
          <cell r="B123" t="str">
            <v>PAMA</v>
          </cell>
          <cell r="C123" t="str">
            <v>P3000Bk18</v>
          </cell>
          <cell r="D123" t="str">
            <v>2000</v>
          </cell>
          <cell r="E123">
            <v>1444</v>
          </cell>
          <cell r="F123">
            <v>60</v>
          </cell>
          <cell r="G123">
            <v>6683.517578125</v>
          </cell>
          <cell r="H123">
            <v>0.79748010635375977</v>
          </cell>
          <cell r="I123">
            <v>4.3750638961791992</v>
          </cell>
          <cell r="J123">
            <v>9.178593635559082</v>
          </cell>
          <cell r="K123">
            <v>13.153395652770996</v>
          </cell>
        </row>
        <row r="124">
          <cell r="A124" t="str">
            <v>PAMAP3000Bk183000144430</v>
          </cell>
          <cell r="B124" t="str">
            <v>PAMA</v>
          </cell>
          <cell r="C124" t="str">
            <v>P3000Bk18</v>
          </cell>
          <cell r="D124" t="str">
            <v>3000</v>
          </cell>
          <cell r="E124">
            <v>1444</v>
          </cell>
          <cell r="F124">
            <v>30</v>
          </cell>
          <cell r="G124">
            <v>6671.038175862428</v>
          </cell>
          <cell r="H124">
            <v>1.0593017785704446</v>
          </cell>
          <cell r="I124">
            <v>4.412862190932751</v>
          </cell>
          <cell r="J124">
            <v>9.2990988874013549</v>
          </cell>
          <cell r="K124">
            <v>12.914939046165008</v>
          </cell>
        </row>
        <row r="125">
          <cell r="A125" t="str">
            <v>PAMAP3000Bk183000144440</v>
          </cell>
          <cell r="B125" t="str">
            <v>PAMA</v>
          </cell>
          <cell r="C125" t="str">
            <v>P3000Bk18</v>
          </cell>
          <cell r="D125" t="str">
            <v>3000</v>
          </cell>
          <cell r="E125">
            <v>1444</v>
          </cell>
          <cell r="F125">
            <v>40</v>
          </cell>
          <cell r="G125">
            <v>6633.5708431969169</v>
          </cell>
          <cell r="H125">
            <v>1.0351089655494035</v>
          </cell>
          <cell r="I125">
            <v>4.7873169399705651</v>
          </cell>
          <cell r="J125">
            <v>9.3904217897609001</v>
          </cell>
          <cell r="K125">
            <v>12.81490538108868</v>
          </cell>
        </row>
        <row r="126">
          <cell r="A126" t="str">
            <v>PAMAP3000Bk183000144450</v>
          </cell>
          <cell r="B126" t="str">
            <v>PAMA</v>
          </cell>
          <cell r="C126" t="str">
            <v>P3000Bk18</v>
          </cell>
          <cell r="D126" t="str">
            <v>3000</v>
          </cell>
          <cell r="E126">
            <v>1444</v>
          </cell>
          <cell r="F126">
            <v>50</v>
          </cell>
          <cell r="G126">
            <v>6659.8184613308304</v>
          </cell>
          <cell r="H126">
            <v>1.0026782872020092</v>
          </cell>
          <cell r="I126">
            <v>4.506290453377618</v>
          </cell>
          <cell r="J126">
            <v>9.3686987015327983</v>
          </cell>
          <cell r="K126">
            <v>12.826911509966411</v>
          </cell>
        </row>
        <row r="127">
          <cell r="A127" t="str">
            <v>PAMAP3000Bk183740144440</v>
          </cell>
          <cell r="B127" t="str">
            <v>PAMA</v>
          </cell>
          <cell r="C127" t="str">
            <v>P3000Bk18</v>
          </cell>
          <cell r="D127" t="str">
            <v>3740</v>
          </cell>
          <cell r="E127">
            <v>1444</v>
          </cell>
          <cell r="F127">
            <v>40</v>
          </cell>
          <cell r="G127">
            <v>6055.92529296875</v>
          </cell>
          <cell r="H127">
            <v>2.766228199005127</v>
          </cell>
          <cell r="I127">
            <v>10.437090873718262</v>
          </cell>
          <cell r="J127">
            <v>9.1722631454467773</v>
          </cell>
          <cell r="K127">
            <v>12.546609878540039</v>
          </cell>
        </row>
        <row r="128">
          <cell r="A128" t="str">
            <v>PAMAP3000Bk184000144440</v>
          </cell>
          <cell r="B128" t="str">
            <v>PAMA</v>
          </cell>
          <cell r="C128" t="str">
            <v>P3000Bk18</v>
          </cell>
          <cell r="D128" t="str">
            <v>4000</v>
          </cell>
          <cell r="E128">
            <v>1444</v>
          </cell>
          <cell r="F128">
            <v>40</v>
          </cell>
          <cell r="G128">
            <v>6464.1934046248116</v>
          </cell>
          <cell r="H128">
            <v>1.6864652066854595</v>
          </cell>
          <cell r="I128">
            <v>6.2284763319839698</v>
          </cell>
          <cell r="J128">
            <v>9.5916697667875717</v>
          </cell>
          <cell r="K128">
            <v>13.484405945142059</v>
          </cell>
        </row>
        <row r="129">
          <cell r="A129" t="str">
            <v>PAMAP3000Bk184000144450</v>
          </cell>
          <cell r="B129" t="str">
            <v>PAMA</v>
          </cell>
          <cell r="C129" t="str">
            <v>P3000Bk18</v>
          </cell>
          <cell r="D129" t="str">
            <v>4000</v>
          </cell>
          <cell r="E129">
            <v>1444</v>
          </cell>
          <cell r="F129">
            <v>50</v>
          </cell>
          <cell r="G129">
            <v>6434.0472645648906</v>
          </cell>
          <cell r="H129">
            <v>1.695203207712467</v>
          </cell>
          <cell r="I129">
            <v>6.4500539135894002</v>
          </cell>
          <cell r="J129">
            <v>9.7005890347475514</v>
          </cell>
          <cell r="K129">
            <v>13.556877066906255</v>
          </cell>
        </row>
        <row r="130">
          <cell r="A130" t="str">
            <v>PAMAP3000Bk182000144550</v>
          </cell>
          <cell r="B130" t="str">
            <v>PAMA</v>
          </cell>
          <cell r="C130" t="str">
            <v>P3000Bk18</v>
          </cell>
          <cell r="D130" t="str">
            <v>2000</v>
          </cell>
          <cell r="E130">
            <v>1445</v>
          </cell>
          <cell r="F130">
            <v>50</v>
          </cell>
          <cell r="G130">
            <v>6762.52099609375</v>
          </cell>
          <cell r="H130">
            <v>0.71092742681503296</v>
          </cell>
          <cell r="I130">
            <v>3.9553084373474121</v>
          </cell>
          <cell r="J130">
            <v>8.6281299591064453</v>
          </cell>
          <cell r="K130">
            <v>12.923904418945313</v>
          </cell>
        </row>
        <row r="131">
          <cell r="A131" t="str">
            <v>PAMAP3000Bk18300014450000</v>
          </cell>
          <cell r="B131" t="str">
            <v>PAMA</v>
          </cell>
          <cell r="C131" t="str">
            <v>P3000Bk18</v>
          </cell>
          <cell r="D131" t="str">
            <v>3000</v>
          </cell>
          <cell r="E131">
            <v>1445</v>
          </cell>
          <cell r="F131" t="str">
            <v>0000</v>
          </cell>
          <cell r="G131">
            <v>6808.2340230138961</v>
          </cell>
          <cell r="H131">
            <v>1.0231688230442131</v>
          </cell>
          <cell r="I131">
            <v>3.8631890049615865</v>
          </cell>
          <cell r="J131">
            <v>8.3469805717438863</v>
          </cell>
          <cell r="K131">
            <v>11.495625795287927</v>
          </cell>
        </row>
        <row r="132">
          <cell r="A132" t="str">
            <v>PAMAP3000Bk183000144510</v>
          </cell>
          <cell r="B132" t="str">
            <v>PAMA</v>
          </cell>
          <cell r="C132" t="str">
            <v>P3000Bk18</v>
          </cell>
          <cell r="D132" t="str">
            <v>3000</v>
          </cell>
          <cell r="E132">
            <v>1445</v>
          </cell>
          <cell r="F132">
            <v>10</v>
          </cell>
          <cell r="G132">
            <v>6791.5386082464693</v>
          </cell>
          <cell r="H132">
            <v>1.0364162891894866</v>
          </cell>
          <cell r="I132">
            <v>3.8869157509587549</v>
          </cell>
          <cell r="J132">
            <v>8.391251273779357</v>
          </cell>
          <cell r="K132">
            <v>11.47182858281602</v>
          </cell>
        </row>
        <row r="133">
          <cell r="A133" t="str">
            <v>PAMAP3000Bk183000144520</v>
          </cell>
          <cell r="B133" t="str">
            <v>PAMA</v>
          </cell>
          <cell r="C133" t="str">
            <v>P3000Bk18</v>
          </cell>
          <cell r="D133" t="str">
            <v>3000</v>
          </cell>
          <cell r="E133">
            <v>1445</v>
          </cell>
          <cell r="F133">
            <v>20</v>
          </cell>
          <cell r="G133">
            <v>6704.0924770349839</v>
          </cell>
          <cell r="H133">
            <v>1.0782525053275047</v>
          </cell>
          <cell r="I133">
            <v>4.1984678484127569</v>
          </cell>
          <cell r="J133">
            <v>9.0763048146177123</v>
          </cell>
          <cell r="K133">
            <v>12.901246192572616</v>
          </cell>
        </row>
        <row r="134">
          <cell r="A134" t="str">
            <v>PAMAP3000Bk183000144530</v>
          </cell>
          <cell r="B134" t="str">
            <v>PAMA</v>
          </cell>
          <cell r="C134" t="str">
            <v>P3000Bk18</v>
          </cell>
          <cell r="D134" t="str">
            <v>3000</v>
          </cell>
          <cell r="E134">
            <v>1445</v>
          </cell>
          <cell r="F134">
            <v>30</v>
          </cell>
          <cell r="G134">
            <v>6673.0655501980864</v>
          </cell>
          <cell r="H134">
            <v>1.0063401883102292</v>
          </cell>
          <cell r="I134">
            <v>4.3064870489559635</v>
          </cell>
          <cell r="J134">
            <v>9.3654760283184455</v>
          </cell>
          <cell r="K134">
            <v>12.985064127506751</v>
          </cell>
        </row>
        <row r="135">
          <cell r="A135" t="str">
            <v>PAMAP3000Bk183000144540</v>
          </cell>
          <cell r="B135" t="str">
            <v>PAMA</v>
          </cell>
          <cell r="C135" t="str">
            <v>P3000Bk18</v>
          </cell>
          <cell r="D135" t="str">
            <v>3000</v>
          </cell>
          <cell r="E135">
            <v>1445</v>
          </cell>
          <cell r="F135">
            <v>40</v>
          </cell>
          <cell r="G135">
            <v>6658.86658637037</v>
          </cell>
          <cell r="H135">
            <v>0.8026507428487023</v>
          </cell>
          <cell r="I135">
            <v>3.9603590825111672</v>
          </cell>
          <cell r="J135">
            <v>9.869963936264794</v>
          </cell>
          <cell r="K135">
            <v>13.14816511619374</v>
          </cell>
        </row>
        <row r="136">
          <cell r="A136" t="str">
            <v>PAMAP3000Bk183000144550</v>
          </cell>
          <cell r="B136" t="str">
            <v>PAMA</v>
          </cell>
          <cell r="C136" t="str">
            <v>P3000Bk18</v>
          </cell>
          <cell r="D136" t="str">
            <v>3000</v>
          </cell>
          <cell r="E136">
            <v>1445</v>
          </cell>
          <cell r="F136">
            <v>50</v>
          </cell>
          <cell r="G136">
            <v>6665.1278145323768</v>
          </cell>
          <cell r="H136">
            <v>0.86533997483691216</v>
          </cell>
          <cell r="I136">
            <v>4.1509029990119783</v>
          </cell>
          <cell r="J136">
            <v>9.6397297831643431</v>
          </cell>
          <cell r="K136">
            <v>13.001624022698358</v>
          </cell>
        </row>
        <row r="137">
          <cell r="A137" t="str">
            <v>PAMAP3000Bk183740144510</v>
          </cell>
          <cell r="B137" t="str">
            <v>PAMA</v>
          </cell>
          <cell r="C137" t="str">
            <v>P3000Bk18</v>
          </cell>
          <cell r="D137" t="str">
            <v>3740</v>
          </cell>
          <cell r="E137">
            <v>1445</v>
          </cell>
          <cell r="F137">
            <v>10</v>
          </cell>
          <cell r="G137">
            <v>6330.4996477996592</v>
          </cell>
          <cell r="H137">
            <v>2.2192729750802447</v>
          </cell>
          <cell r="I137">
            <v>6.509883477886957</v>
          </cell>
          <cell r="J137">
            <v>9.6674314317796632</v>
          </cell>
          <cell r="K137">
            <v>13.169966497305968</v>
          </cell>
        </row>
        <row r="138">
          <cell r="A138" t="str">
            <v>PAMAP3000Bk183740144520</v>
          </cell>
          <cell r="B138" t="str">
            <v>PAMA</v>
          </cell>
          <cell r="C138" t="str">
            <v>P3000Bk18</v>
          </cell>
          <cell r="D138" t="str">
            <v>3740</v>
          </cell>
          <cell r="E138">
            <v>1445</v>
          </cell>
          <cell r="F138">
            <v>20</v>
          </cell>
          <cell r="G138">
            <v>6521.3802536437361</v>
          </cell>
          <cell r="H138">
            <v>2.0778712665679868</v>
          </cell>
          <cell r="I138">
            <v>4.8689525462558336</v>
          </cell>
          <cell r="J138">
            <v>9.5583170153410499</v>
          </cell>
          <cell r="K138">
            <v>13.445455200539184</v>
          </cell>
        </row>
        <row r="139">
          <cell r="A139" t="str">
            <v>PAMAP3000Bk18374014450000</v>
          </cell>
          <cell r="B139" t="str">
            <v>PAMA</v>
          </cell>
          <cell r="C139" t="str">
            <v>P3000Bk18</v>
          </cell>
          <cell r="D139" t="str">
            <v>3740</v>
          </cell>
          <cell r="E139">
            <v>1445</v>
          </cell>
          <cell r="F139" t="str">
            <v>0000</v>
          </cell>
          <cell r="G139">
            <v>6355.2623321457377</v>
          </cell>
          <cell r="H139">
            <v>2.1398200619875891</v>
          </cell>
          <cell r="I139">
            <v>6.170253462299236</v>
          </cell>
          <cell r="J139">
            <v>9.7552650008879294</v>
          </cell>
          <cell r="K139">
            <v>13.289085691933028</v>
          </cell>
        </row>
        <row r="140">
          <cell r="A140" t="str">
            <v>PAMAP3000Bk183740144530</v>
          </cell>
          <cell r="B140" t="str">
            <v>PAMA</v>
          </cell>
          <cell r="C140" t="str">
            <v>P3000Bk18</v>
          </cell>
          <cell r="D140" t="str">
            <v>3740</v>
          </cell>
          <cell r="E140">
            <v>1445</v>
          </cell>
          <cell r="F140">
            <v>30</v>
          </cell>
          <cell r="G140">
            <v>6406.7576908008932</v>
          </cell>
          <cell r="H140">
            <v>1.6548571020812066</v>
          </cell>
          <cell r="I140">
            <v>5.3481899286974359</v>
          </cell>
          <cell r="J140">
            <v>9.9565130486936013</v>
          </cell>
          <cell r="K140">
            <v>13.486920621377511</v>
          </cell>
        </row>
        <row r="141">
          <cell r="A141" t="str">
            <v>PAMAP3000Bk184000144540</v>
          </cell>
          <cell r="B141" t="str">
            <v>PAMA</v>
          </cell>
          <cell r="C141" t="str">
            <v>P3000Bk18</v>
          </cell>
          <cell r="D141" t="str">
            <v>4000</v>
          </cell>
          <cell r="E141">
            <v>1445</v>
          </cell>
          <cell r="F141">
            <v>40</v>
          </cell>
          <cell r="G141">
            <v>6547.233057745465</v>
          </cell>
          <cell r="H141">
            <v>1.6357219795637461</v>
          </cell>
          <cell r="I141">
            <v>5.5958644423920836</v>
          </cell>
          <cell r="J141">
            <v>9.3013049155026621</v>
          </cell>
          <cell r="K141">
            <v>13.155884086046479</v>
          </cell>
        </row>
        <row r="142">
          <cell r="A142" t="str">
            <v>PAMAP3000Bk182000144650</v>
          </cell>
          <cell r="B142" t="str">
            <v>PAMA</v>
          </cell>
          <cell r="C142" t="str">
            <v>P3000Bk18</v>
          </cell>
          <cell r="D142" t="str">
            <v>2000</v>
          </cell>
          <cell r="E142">
            <v>1446</v>
          </cell>
          <cell r="F142">
            <v>50</v>
          </cell>
          <cell r="G142">
            <v>6755.84912109375</v>
          </cell>
          <cell r="H142">
            <v>0.6968684196472168</v>
          </cell>
          <cell r="I142">
            <v>3.9494636058807373</v>
          </cell>
          <cell r="J142">
            <v>8.7362051010131836</v>
          </cell>
          <cell r="K142">
            <v>12.957292556762695</v>
          </cell>
        </row>
        <row r="143">
          <cell r="A143" t="str">
            <v>PAMAP3000Bk18300014460000</v>
          </cell>
          <cell r="B143" t="str">
            <v>PAMA</v>
          </cell>
          <cell r="C143" t="str">
            <v>P3000Bk18</v>
          </cell>
          <cell r="D143" t="str">
            <v>3000</v>
          </cell>
          <cell r="E143">
            <v>1446</v>
          </cell>
          <cell r="F143" t="str">
            <v>0000</v>
          </cell>
          <cell r="G143">
            <v>6753.2494619225508</v>
          </cell>
          <cell r="H143">
            <v>0.99421636799538959</v>
          </cell>
          <cell r="I143">
            <v>4.1546357896868695</v>
          </cell>
          <cell r="J143">
            <v>8.7055899694861409</v>
          </cell>
          <cell r="K143">
            <v>12.682664658108187</v>
          </cell>
        </row>
        <row r="144">
          <cell r="A144" t="str">
            <v>PAMAP3000Bk183000144610</v>
          </cell>
          <cell r="B144" t="str">
            <v>PAMA</v>
          </cell>
          <cell r="C144" t="str">
            <v>P3000Bk18</v>
          </cell>
          <cell r="D144" t="str">
            <v>3000</v>
          </cell>
          <cell r="E144">
            <v>1446</v>
          </cell>
          <cell r="F144">
            <v>10</v>
          </cell>
          <cell r="G144">
            <v>6752.3139791714875</v>
          </cell>
          <cell r="H144">
            <v>0.9975978747945593</v>
          </cell>
          <cell r="I144">
            <v>4.0475475383654471</v>
          </cell>
          <cell r="J144">
            <v>8.7224855311449296</v>
          </cell>
          <cell r="K144">
            <v>12.399094103297347</v>
          </cell>
        </row>
        <row r="145">
          <cell r="A145" t="str">
            <v>PAMAP3000Bk183000144620</v>
          </cell>
          <cell r="B145" t="str">
            <v>PAMA</v>
          </cell>
          <cell r="C145" t="str">
            <v>P3000Bk18</v>
          </cell>
          <cell r="D145" t="str">
            <v>3000</v>
          </cell>
          <cell r="E145">
            <v>1446</v>
          </cell>
          <cell r="F145">
            <v>20</v>
          </cell>
          <cell r="G145">
            <v>6697.9491123255157</v>
          </cell>
          <cell r="H145">
            <v>1.0718406721890124</v>
          </cell>
          <cell r="I145">
            <v>4.2918453547224775</v>
          </cell>
          <cell r="J145">
            <v>9.0331922309619852</v>
          </cell>
          <cell r="K145">
            <v>12.878040019855739</v>
          </cell>
        </row>
        <row r="146">
          <cell r="A146" t="str">
            <v>PAMAP3000Bk18374014460000</v>
          </cell>
          <cell r="B146" t="str">
            <v>PAMA</v>
          </cell>
          <cell r="C146" t="str">
            <v>P3000Bk18</v>
          </cell>
          <cell r="D146" t="str">
            <v>3740</v>
          </cell>
          <cell r="E146">
            <v>1446</v>
          </cell>
          <cell r="F146" t="str">
            <v>0000</v>
          </cell>
          <cell r="G146">
            <v>6373.3367282434083</v>
          </cell>
          <cell r="H146">
            <v>2.2540540887378593</v>
          </cell>
          <cell r="I146">
            <v>6.135805728575515</v>
          </cell>
          <cell r="J146">
            <v>9.6175595255349702</v>
          </cell>
          <cell r="K146">
            <v>13.172547857345716</v>
          </cell>
        </row>
        <row r="147">
          <cell r="A147" t="str">
            <v>PAMAP3000Bk183740144620</v>
          </cell>
          <cell r="B147" t="str">
            <v>PAMA</v>
          </cell>
          <cell r="C147" t="str">
            <v>P3000Bk18</v>
          </cell>
          <cell r="D147" t="str">
            <v>3740</v>
          </cell>
          <cell r="E147">
            <v>1446</v>
          </cell>
          <cell r="F147">
            <v>20</v>
          </cell>
          <cell r="G147">
            <v>6299.0218289866789</v>
          </cell>
          <cell r="H147">
            <v>2.2560776522657018</v>
          </cell>
          <cell r="I147">
            <v>6.8190592807031978</v>
          </cell>
          <cell r="J147">
            <v>9.5941341120097334</v>
          </cell>
          <cell r="K147">
            <v>13.026857561816987</v>
          </cell>
        </row>
        <row r="148">
          <cell r="A148" t="str">
            <v>PAMAP3000Bk183740144630</v>
          </cell>
          <cell r="B148" t="str">
            <v>PAMA</v>
          </cell>
          <cell r="C148" t="str">
            <v>P3000Bk18</v>
          </cell>
          <cell r="D148" t="str">
            <v>3740</v>
          </cell>
          <cell r="E148">
            <v>1446</v>
          </cell>
          <cell r="F148">
            <v>30</v>
          </cell>
          <cell r="G148">
            <v>6359.9752834792325</v>
          </cell>
          <cell r="H148">
            <v>1.8808695623427054</v>
          </cell>
          <cell r="I148">
            <v>5.9681820174156552</v>
          </cell>
          <cell r="J148">
            <v>9.8175001300386988</v>
          </cell>
          <cell r="K148">
            <v>13.306342149461001</v>
          </cell>
        </row>
        <row r="149">
          <cell r="A149" t="str">
            <v>PAMAP3000Bk183740144610</v>
          </cell>
          <cell r="B149" t="str">
            <v>PAMA</v>
          </cell>
          <cell r="C149" t="str">
            <v>P3000Bk18</v>
          </cell>
          <cell r="D149" t="str">
            <v>3740</v>
          </cell>
          <cell r="E149">
            <v>1446</v>
          </cell>
          <cell r="F149">
            <v>10</v>
          </cell>
          <cell r="G149">
            <v>6335.37744140625</v>
          </cell>
          <cell r="H149">
            <v>2.2685830593109131</v>
          </cell>
          <cell r="I149">
            <v>6.483421802520752</v>
          </cell>
          <cell r="J149">
            <v>9.5958881378173828</v>
          </cell>
          <cell r="K149">
            <v>13.080117225646973</v>
          </cell>
        </row>
        <row r="150">
          <cell r="A150" t="str">
            <v>PAMAP3000Bk184000144640</v>
          </cell>
          <cell r="B150" t="str">
            <v>PAMA</v>
          </cell>
          <cell r="C150" t="str">
            <v>P3000Bk18</v>
          </cell>
          <cell r="D150" t="str">
            <v>4000</v>
          </cell>
          <cell r="E150">
            <v>1446</v>
          </cell>
          <cell r="F150">
            <v>40</v>
          </cell>
          <cell r="G150">
            <v>6577.6662249616993</v>
          </cell>
          <cell r="H150">
            <v>1.4980600849734553</v>
          </cell>
          <cell r="I150">
            <v>3.8063443538508954</v>
          </cell>
          <cell r="J150">
            <v>11.055475512201992</v>
          </cell>
          <cell r="K150">
            <v>14.945352040797207</v>
          </cell>
        </row>
        <row r="151">
          <cell r="A151" t="str">
            <v>PAMAP3000Bk182000144750</v>
          </cell>
          <cell r="B151" t="str">
            <v>PAMA</v>
          </cell>
          <cell r="C151" t="str">
            <v>P3000Bk18</v>
          </cell>
          <cell r="D151" t="str">
            <v>2000</v>
          </cell>
          <cell r="E151">
            <v>1447</v>
          </cell>
          <cell r="F151">
            <v>50</v>
          </cell>
          <cell r="G151">
            <v>6535.7800178959042</v>
          </cell>
          <cell r="H151">
            <v>0.73846324391745244</v>
          </cell>
          <cell r="I151">
            <v>6.0821809528773958</v>
          </cell>
          <cell r="J151">
            <v>8.9716609014790603</v>
          </cell>
          <cell r="K151">
            <v>12.883403971548448</v>
          </cell>
        </row>
        <row r="152">
          <cell r="A152" t="str">
            <v>PAMAP3000Bk1830001447N010</v>
          </cell>
          <cell r="B152" t="str">
            <v>PAMA</v>
          </cell>
          <cell r="C152" t="str">
            <v>P3000Bk18</v>
          </cell>
          <cell r="D152" t="str">
            <v>3000</v>
          </cell>
          <cell r="E152">
            <v>1447</v>
          </cell>
          <cell r="F152" t="str">
            <v>N010</v>
          </cell>
          <cell r="G152">
            <v>6730.5278657348244</v>
          </cell>
          <cell r="H152">
            <v>0.92704445662499857</v>
          </cell>
          <cell r="I152">
            <v>4.2792338337318361</v>
          </cell>
          <cell r="J152">
            <v>8.8489970421948598</v>
          </cell>
          <cell r="K152">
            <v>12.981416490736745</v>
          </cell>
        </row>
        <row r="153">
          <cell r="A153" t="str">
            <v>PAMAP3000Bk18300014470000</v>
          </cell>
          <cell r="B153" t="str">
            <v>PAMA</v>
          </cell>
          <cell r="C153" t="str">
            <v>P3000Bk18</v>
          </cell>
          <cell r="D153" t="str">
            <v>3000</v>
          </cell>
          <cell r="E153">
            <v>1447</v>
          </cell>
          <cell r="F153" t="str">
            <v>0000</v>
          </cell>
          <cell r="G153">
            <v>6739.0085029923475</v>
          </cell>
          <cell r="H153">
            <v>0.96830605457434515</v>
          </cell>
          <cell r="I153">
            <v>4.3799609909883639</v>
          </cell>
          <cell r="J153">
            <v>8.7350796518866893</v>
          </cell>
          <cell r="K153">
            <v>12.921296478690843</v>
          </cell>
        </row>
        <row r="154">
          <cell r="A154" t="str">
            <v>PAMAP3000Bk183000144710</v>
          </cell>
          <cell r="B154" t="str">
            <v>PAMA</v>
          </cell>
          <cell r="C154" t="str">
            <v>P3000Bk18</v>
          </cell>
          <cell r="D154" t="str">
            <v>3000</v>
          </cell>
          <cell r="E154">
            <v>1447</v>
          </cell>
          <cell r="F154">
            <v>10</v>
          </cell>
          <cell r="G154">
            <v>6795.26904296875</v>
          </cell>
          <cell r="H154">
            <v>0.69922322034835815</v>
          </cell>
          <cell r="I154">
            <v>3.2716107368469238</v>
          </cell>
          <cell r="J154">
            <v>8.9944791793823242</v>
          </cell>
          <cell r="K154">
            <v>13.104857444763184</v>
          </cell>
        </row>
        <row r="155">
          <cell r="A155" t="str">
            <v>PAMAP3000Bk1837401447N010</v>
          </cell>
          <cell r="B155" t="str">
            <v>PAMA</v>
          </cell>
          <cell r="C155" t="str">
            <v>P3000Bk18</v>
          </cell>
          <cell r="D155" t="str">
            <v>3740</v>
          </cell>
          <cell r="E155">
            <v>1447</v>
          </cell>
          <cell r="F155" t="str">
            <v>N010</v>
          </cell>
          <cell r="G155">
            <v>6449.28515625</v>
          </cell>
          <cell r="H155">
            <v>2.1821038722991943</v>
          </cell>
          <cell r="I155">
            <v>5.535616397857666</v>
          </cell>
          <cell r="J155">
            <v>9.5719184875488281</v>
          </cell>
          <cell r="K155">
            <v>13.23839282989502</v>
          </cell>
        </row>
        <row r="156">
          <cell r="A156" t="str">
            <v>PAMAP3000Bk18374014470000</v>
          </cell>
          <cell r="B156" t="str">
            <v>PAMA</v>
          </cell>
          <cell r="C156" t="str">
            <v>P3000Bk18</v>
          </cell>
          <cell r="D156" t="str">
            <v>3740</v>
          </cell>
          <cell r="E156">
            <v>1447</v>
          </cell>
          <cell r="F156" t="str">
            <v>0000</v>
          </cell>
          <cell r="G156">
            <v>6428.1318359375</v>
          </cell>
          <cell r="H156">
            <v>2.187929630279541</v>
          </cell>
          <cell r="I156">
            <v>5.684638500213623</v>
          </cell>
          <cell r="J156">
            <v>9.5825004577636719</v>
          </cell>
          <cell r="K156">
            <v>13.207978248596191</v>
          </cell>
        </row>
        <row r="157">
          <cell r="A157" t="str">
            <v>PAMAP3000Bk184000144740</v>
          </cell>
          <cell r="B157" t="str">
            <v>PAMA</v>
          </cell>
          <cell r="C157" t="str">
            <v>P3000Bk18</v>
          </cell>
          <cell r="D157" t="str">
            <v>4000</v>
          </cell>
          <cell r="E157">
            <v>1447</v>
          </cell>
          <cell r="F157">
            <v>40</v>
          </cell>
          <cell r="G157">
            <v>6411.0895023704334</v>
          </cell>
          <cell r="H157">
            <v>1.5814797718246225</v>
          </cell>
          <cell r="I157">
            <v>6.1706232544259674</v>
          </cell>
          <cell r="J157">
            <v>10.428227956186449</v>
          </cell>
          <cell r="K157">
            <v>14.500108747656595</v>
          </cell>
        </row>
        <row r="158">
          <cell r="A158" t="str">
            <v>PAMAP3000Bk182000144850</v>
          </cell>
          <cell r="B158" t="str">
            <v>PAMA</v>
          </cell>
          <cell r="C158" t="str">
            <v>P3000Bk18</v>
          </cell>
          <cell r="D158" t="str">
            <v>2000</v>
          </cell>
          <cell r="E158">
            <v>1448</v>
          </cell>
          <cell r="F158">
            <v>50</v>
          </cell>
          <cell r="G158">
            <v>6476.898826641017</v>
          </cell>
          <cell r="H158">
            <v>0.70501171026697196</v>
          </cell>
          <cell r="I158">
            <v>6.7092273897793007</v>
          </cell>
          <cell r="J158">
            <v>8.9759529549507135</v>
          </cell>
          <cell r="K158">
            <v>12.876835682083934</v>
          </cell>
        </row>
        <row r="159">
          <cell r="A159" t="str">
            <v>PAMAP3000Bk1830001448N010</v>
          </cell>
          <cell r="B159" t="str">
            <v>PAMA</v>
          </cell>
          <cell r="C159" t="str">
            <v>P3000Bk18</v>
          </cell>
          <cell r="D159" t="str">
            <v>3000</v>
          </cell>
          <cell r="E159">
            <v>1448</v>
          </cell>
          <cell r="F159" t="str">
            <v>N010</v>
          </cell>
          <cell r="G159">
            <v>6704.8368375087093</v>
          </cell>
          <cell r="H159">
            <v>1.001278506365668</v>
          </cell>
          <cell r="I159">
            <v>4.4069688318687747</v>
          </cell>
          <cell r="J159">
            <v>8.980196980453524</v>
          </cell>
          <cell r="K159">
            <v>13.016965627540865</v>
          </cell>
        </row>
        <row r="160">
          <cell r="A160" t="str">
            <v>PAMAP3000Bk18300014480000</v>
          </cell>
          <cell r="B160" t="str">
            <v>PAMA</v>
          </cell>
          <cell r="C160" t="str">
            <v>P3000Bk18</v>
          </cell>
          <cell r="D160" t="str">
            <v>3000</v>
          </cell>
          <cell r="E160">
            <v>1448</v>
          </cell>
          <cell r="F160" t="str">
            <v>0000</v>
          </cell>
          <cell r="G160">
            <v>6713.3851571064097</v>
          </cell>
          <cell r="H160">
            <v>0.95748576012953279</v>
          </cell>
          <cell r="I160">
            <v>4.3262518932555167</v>
          </cell>
          <cell r="J160">
            <v>8.9608735733325577</v>
          </cell>
          <cell r="K160">
            <v>13.012763682042637</v>
          </cell>
        </row>
        <row r="161">
          <cell r="A161" t="str">
            <v>PAMAP3000Bk183000144810</v>
          </cell>
          <cell r="B161" t="str">
            <v>PAMA</v>
          </cell>
          <cell r="C161" t="str">
            <v>P3000Bk18</v>
          </cell>
          <cell r="D161" t="str">
            <v>3000</v>
          </cell>
          <cell r="E161">
            <v>1448</v>
          </cell>
          <cell r="F161">
            <v>10</v>
          </cell>
          <cell r="G161">
            <v>6775.05859375</v>
          </cell>
          <cell r="H161">
            <v>0.68964612483978271</v>
          </cell>
          <cell r="I161">
            <v>3.4326465129852295</v>
          </cell>
          <cell r="J161">
            <v>9.0531787872314453</v>
          </cell>
          <cell r="K161">
            <v>13.102382659912109</v>
          </cell>
        </row>
        <row r="162">
          <cell r="A162" t="str">
            <v>PAMAP3000Bk1837401448N010</v>
          </cell>
          <cell r="B162" t="str">
            <v>PAMA</v>
          </cell>
          <cell r="C162" t="str">
            <v>P3000Bk18</v>
          </cell>
          <cell r="D162" t="str">
            <v>3740</v>
          </cell>
          <cell r="E162">
            <v>1448</v>
          </cell>
          <cell r="F162" t="str">
            <v>N010</v>
          </cell>
          <cell r="G162">
            <v>6491.52587890625</v>
          </cell>
          <cell r="H162">
            <v>2.0964326858520508</v>
          </cell>
          <cell r="I162">
            <v>5.1844425201416016</v>
          </cell>
          <cell r="J162">
            <v>9.5602531433105469</v>
          </cell>
          <cell r="K162">
            <v>13.259642601013184</v>
          </cell>
        </row>
        <row r="163">
          <cell r="A163" t="str">
            <v>PAMAP3000Bk18374014480000</v>
          </cell>
          <cell r="B163" t="str">
            <v>PAMA</v>
          </cell>
          <cell r="C163" t="str">
            <v>P3000Bk18</v>
          </cell>
          <cell r="D163" t="str">
            <v>3740</v>
          </cell>
          <cell r="E163">
            <v>1448</v>
          </cell>
          <cell r="F163" t="str">
            <v>0000</v>
          </cell>
          <cell r="G163">
            <v>6492.955078125</v>
          </cell>
          <cell r="H163">
            <v>2.0529911518096924</v>
          </cell>
          <cell r="I163">
            <v>5.1330752372741699</v>
          </cell>
          <cell r="J163">
            <v>9.5686264038085938</v>
          </cell>
          <cell r="K163">
            <v>13.240511894226074</v>
          </cell>
        </row>
        <row r="164">
          <cell r="A164" t="str">
            <v>PAMAP3000Bk184000144840</v>
          </cell>
          <cell r="B164" t="str">
            <v>PAMA</v>
          </cell>
          <cell r="C164" t="str">
            <v>P3000Bk18</v>
          </cell>
          <cell r="D164" t="str">
            <v>4000</v>
          </cell>
          <cell r="E164">
            <v>1448</v>
          </cell>
          <cell r="F164">
            <v>40</v>
          </cell>
          <cell r="G164">
            <v>6366.7403833638491</v>
          </cell>
          <cell r="H164">
            <v>1.6827861992775943</v>
          </cell>
          <cell r="I164">
            <v>6.7708479448858805</v>
          </cell>
          <cell r="J164">
            <v>10.188226612040943</v>
          </cell>
          <cell r="K164">
            <v>14.285291832582926</v>
          </cell>
        </row>
        <row r="165">
          <cell r="A165" t="str">
            <v>PAMAP3000Bk182000144950</v>
          </cell>
          <cell r="B165" t="str">
            <v>PAMA</v>
          </cell>
          <cell r="C165" t="str">
            <v>P3000Bk18</v>
          </cell>
          <cell r="D165" t="str">
            <v>2000</v>
          </cell>
          <cell r="E165">
            <v>1449</v>
          </cell>
          <cell r="F165">
            <v>50</v>
          </cell>
          <cell r="G165">
            <v>6561.9263647409989</v>
          </cell>
          <cell r="H165">
            <v>0.65248872700742133</v>
          </cell>
          <cell r="I165">
            <v>5.8244263901408031</v>
          </cell>
          <cell r="J165">
            <v>9.0853295005340868</v>
          </cell>
          <cell r="K165">
            <v>12.76100118001642</v>
          </cell>
        </row>
        <row r="166">
          <cell r="A166" t="str">
            <v>PAMAP3000Bk182000144960</v>
          </cell>
          <cell r="B166" t="str">
            <v>PAMA</v>
          </cell>
          <cell r="C166" t="str">
            <v>P3000Bk18</v>
          </cell>
          <cell r="D166" t="str">
            <v>2000</v>
          </cell>
          <cell r="E166">
            <v>1449</v>
          </cell>
          <cell r="F166">
            <v>60</v>
          </cell>
          <cell r="G166">
            <v>6455.8251953125</v>
          </cell>
          <cell r="H166">
            <v>0.64118677377700806</v>
          </cell>
          <cell r="I166">
            <v>7.0166478157043457</v>
          </cell>
          <cell r="J166">
            <v>8.8540554046630859</v>
          </cell>
          <cell r="K166">
            <v>12.889260292053223</v>
          </cell>
        </row>
        <row r="167">
          <cell r="A167" t="str">
            <v>PAMAP3000Bk1830001449N010</v>
          </cell>
          <cell r="B167" t="str">
            <v>PAMA</v>
          </cell>
          <cell r="C167" t="str">
            <v>P3000Bk18</v>
          </cell>
          <cell r="D167" t="str">
            <v>3000</v>
          </cell>
          <cell r="E167">
            <v>1449</v>
          </cell>
          <cell r="F167" t="str">
            <v>N010</v>
          </cell>
          <cell r="G167">
            <v>6697.8175466075136</v>
          </cell>
          <cell r="H167">
            <v>1.0021863670175049</v>
          </cell>
          <cell r="I167">
            <v>4.3771922583097203</v>
          </cell>
          <cell r="J167">
            <v>9.0668962002940479</v>
          </cell>
          <cell r="K167">
            <v>13.053965646194458</v>
          </cell>
        </row>
        <row r="168">
          <cell r="A168" t="str">
            <v>PAMAP3000Bk18300014490000</v>
          </cell>
          <cell r="B168" t="str">
            <v>PAMA</v>
          </cell>
          <cell r="C168" t="str">
            <v>P3000Bk18</v>
          </cell>
          <cell r="D168" t="str">
            <v>3000</v>
          </cell>
          <cell r="E168">
            <v>1449</v>
          </cell>
          <cell r="F168" t="str">
            <v>0000</v>
          </cell>
          <cell r="G168">
            <v>6706.2276404439026</v>
          </cell>
          <cell r="H168">
            <v>0.90218157826635859</v>
          </cell>
          <cell r="I168">
            <v>4.2360370612409231</v>
          </cell>
          <cell r="J168">
            <v>9.0753657300023143</v>
          </cell>
          <cell r="K168">
            <v>13.060767050850774</v>
          </cell>
        </row>
        <row r="169">
          <cell r="A169" t="str">
            <v>PAMAP3000Bk183000144910</v>
          </cell>
          <cell r="B169" t="str">
            <v>PAMA</v>
          </cell>
          <cell r="C169" t="str">
            <v>P3000Bk18</v>
          </cell>
          <cell r="D169" t="str">
            <v>3000</v>
          </cell>
          <cell r="E169">
            <v>1449</v>
          </cell>
          <cell r="F169">
            <v>10</v>
          </cell>
          <cell r="G169">
            <v>6764.6025390625</v>
          </cell>
          <cell r="H169">
            <v>0.67073065042495728</v>
          </cell>
          <cell r="I169">
            <v>3.4857351779937744</v>
          </cell>
          <cell r="J169">
            <v>9.1013622283935547</v>
          </cell>
          <cell r="K169">
            <v>13.091511726379395</v>
          </cell>
        </row>
        <row r="170">
          <cell r="A170" t="str">
            <v>PAMAP3000Bk18374014490000</v>
          </cell>
          <cell r="B170" t="str">
            <v>PAMA</v>
          </cell>
          <cell r="C170" t="str">
            <v>P3000Bk18</v>
          </cell>
          <cell r="D170" t="str">
            <v>3740</v>
          </cell>
          <cell r="E170">
            <v>1449</v>
          </cell>
          <cell r="F170" t="str">
            <v>0000</v>
          </cell>
          <cell r="G170">
            <v>6572.1993295329221</v>
          </cell>
          <cell r="H170">
            <v>1.7926230448877052</v>
          </cell>
          <cell r="I170">
            <v>4.4274640698383827</v>
          </cell>
          <cell r="J170">
            <v>9.6550458544726236</v>
          </cell>
          <cell r="K170">
            <v>13.435977650645421</v>
          </cell>
        </row>
        <row r="171">
          <cell r="A171" t="str">
            <v>PAMAP3000Bk183740144910</v>
          </cell>
          <cell r="B171" t="str">
            <v>PAMA</v>
          </cell>
          <cell r="C171" t="str">
            <v>P3000Bk18</v>
          </cell>
          <cell r="D171" t="str">
            <v>3740</v>
          </cell>
          <cell r="E171">
            <v>1449</v>
          </cell>
          <cell r="F171">
            <v>10</v>
          </cell>
          <cell r="G171">
            <v>6590.8690111730239</v>
          </cell>
          <cell r="H171">
            <v>1.7302138970919476</v>
          </cell>
          <cell r="I171">
            <v>4.2346469260701554</v>
          </cell>
          <cell r="J171">
            <v>9.675066533328696</v>
          </cell>
          <cell r="K171">
            <v>13.42424601647339</v>
          </cell>
        </row>
        <row r="172">
          <cell r="A172" t="str">
            <v>PAMAP3000Bk1837401449N010</v>
          </cell>
          <cell r="B172" t="str">
            <v>PAMA</v>
          </cell>
          <cell r="C172" t="str">
            <v>P3000Bk18</v>
          </cell>
          <cell r="D172" t="str">
            <v>3740</v>
          </cell>
          <cell r="E172">
            <v>1449</v>
          </cell>
          <cell r="F172" t="str">
            <v>N010</v>
          </cell>
          <cell r="G172">
            <v>6608.00146484375</v>
          </cell>
          <cell r="H172">
            <v>1.8271404504776001</v>
          </cell>
          <cell r="I172">
            <v>4.1712465286254883</v>
          </cell>
          <cell r="J172">
            <v>9.6047401428222656</v>
          </cell>
          <cell r="K172">
            <v>13.32646656036377</v>
          </cell>
        </row>
        <row r="173">
          <cell r="A173" t="str">
            <v>PAMAP3000Bk184000144940</v>
          </cell>
          <cell r="B173" t="str">
            <v>PAMA</v>
          </cell>
          <cell r="C173" t="str">
            <v>P3000Bk18</v>
          </cell>
          <cell r="D173" t="str">
            <v>4000</v>
          </cell>
          <cell r="E173">
            <v>1449</v>
          </cell>
          <cell r="F173">
            <v>40</v>
          </cell>
          <cell r="G173">
            <v>6387.6910358192345</v>
          </cell>
          <cell r="H173">
            <v>1.7590558080196528</v>
          </cell>
          <cell r="I173">
            <v>6.3977359698169449</v>
          </cell>
          <cell r="J173">
            <v>10.168876745039459</v>
          </cell>
          <cell r="K173">
            <v>14.300709177082595</v>
          </cell>
        </row>
        <row r="174">
          <cell r="A174" t="str">
            <v>PAMAP3000Bk182000145050</v>
          </cell>
          <cell r="B174" t="str">
            <v>PAMA</v>
          </cell>
          <cell r="C174" t="str">
            <v>P3000Bk18</v>
          </cell>
          <cell r="D174" t="str">
            <v>2000</v>
          </cell>
          <cell r="E174">
            <v>1450</v>
          </cell>
          <cell r="F174">
            <v>50</v>
          </cell>
          <cell r="G174">
            <v>6642.9889942450127</v>
          </cell>
          <cell r="H174">
            <v>0.59970808521939856</v>
          </cell>
          <cell r="I174">
            <v>4.0643065152837199</v>
          </cell>
          <cell r="J174">
            <v>10.021584488178256</v>
          </cell>
          <cell r="K174">
            <v>13.334680254937906</v>
          </cell>
        </row>
        <row r="175">
          <cell r="A175" t="str">
            <v>PAMAP3000Bk1830001450N010</v>
          </cell>
          <cell r="B175" t="str">
            <v>PAMA</v>
          </cell>
          <cell r="C175" t="str">
            <v>P3000Bk18</v>
          </cell>
          <cell r="D175" t="str">
            <v>3000</v>
          </cell>
          <cell r="E175">
            <v>1450</v>
          </cell>
          <cell r="F175" t="str">
            <v>N010</v>
          </cell>
          <cell r="G175">
            <v>6701.3222678843813</v>
          </cell>
          <cell r="H175">
            <v>0.98792526497270139</v>
          </cell>
          <cell r="I175">
            <v>4.3332424746904206</v>
          </cell>
          <cell r="J175">
            <v>9.0870246840046942</v>
          </cell>
          <cell r="K175">
            <v>13.03702609264338</v>
          </cell>
        </row>
        <row r="176">
          <cell r="A176" t="str">
            <v>PAMAP3000Bk18300014500000</v>
          </cell>
          <cell r="B176" t="str">
            <v>PAMA</v>
          </cell>
          <cell r="C176" t="str">
            <v>P3000Bk18</v>
          </cell>
          <cell r="D176" t="str">
            <v>3000</v>
          </cell>
          <cell r="E176">
            <v>1450</v>
          </cell>
          <cell r="F176" t="str">
            <v>0000</v>
          </cell>
          <cell r="G176">
            <v>6700.6509996395034</v>
          </cell>
          <cell r="H176">
            <v>0.8691491734468445</v>
          </cell>
          <cell r="I176">
            <v>4.2121416770511653</v>
          </cell>
          <cell r="J176">
            <v>9.1172306920370154</v>
          </cell>
          <cell r="K176">
            <v>13.041036065382581</v>
          </cell>
        </row>
        <row r="177">
          <cell r="A177" t="str">
            <v>PAMAP3000Bk183000145010</v>
          </cell>
          <cell r="B177" t="str">
            <v>PAMA</v>
          </cell>
          <cell r="C177" t="str">
            <v>P3000Bk18</v>
          </cell>
          <cell r="D177" t="str">
            <v>3000</v>
          </cell>
          <cell r="E177">
            <v>1450</v>
          </cell>
          <cell r="F177">
            <v>10</v>
          </cell>
          <cell r="G177">
            <v>6740.3477313198155</v>
          </cell>
          <cell r="H177">
            <v>0.69337391256392578</v>
          </cell>
          <cell r="I177">
            <v>3.6596965575640725</v>
          </cell>
          <cell r="J177">
            <v>9.1357989687001826</v>
          </cell>
          <cell r="K177">
            <v>13.034674597664525</v>
          </cell>
        </row>
        <row r="178">
          <cell r="A178" t="str">
            <v>PAMAP3000Bk18374014500000</v>
          </cell>
          <cell r="B178" t="str">
            <v>PAMA</v>
          </cell>
          <cell r="C178" t="str">
            <v>P3000Bk18</v>
          </cell>
          <cell r="D178" t="str">
            <v>3740</v>
          </cell>
          <cell r="E178">
            <v>1450</v>
          </cell>
          <cell r="F178" t="str">
            <v>0000</v>
          </cell>
          <cell r="G178">
            <v>6654.5795801832865</v>
          </cell>
          <cell r="H178">
            <v>1.530617675112125</v>
          </cell>
          <cell r="I178">
            <v>3.7027787532780967</v>
          </cell>
          <cell r="J178">
            <v>9.8187870250826634</v>
          </cell>
          <cell r="K178">
            <v>13.692650140989008</v>
          </cell>
        </row>
        <row r="179">
          <cell r="A179" t="str">
            <v>PAMAP3000Bk183740145010</v>
          </cell>
          <cell r="B179" t="str">
            <v>PAMA</v>
          </cell>
          <cell r="C179" t="str">
            <v>P3000Bk18</v>
          </cell>
          <cell r="D179" t="str">
            <v>3740</v>
          </cell>
          <cell r="E179">
            <v>1450</v>
          </cell>
          <cell r="F179">
            <v>10</v>
          </cell>
          <cell r="G179">
            <v>6661.9966717214793</v>
          </cell>
          <cell r="H179">
            <v>1.4733369587517018</v>
          </cell>
          <cell r="I179">
            <v>3.6123596796957025</v>
          </cell>
          <cell r="J179">
            <v>9.8747311317091917</v>
          </cell>
          <cell r="K179">
            <v>13.754025834093781</v>
          </cell>
        </row>
        <row r="180">
          <cell r="A180" t="str">
            <v>PAMAP3000Bk1837401450N010</v>
          </cell>
          <cell r="B180" t="str">
            <v>PAMA</v>
          </cell>
          <cell r="C180" t="str">
            <v>P3000Bk18</v>
          </cell>
          <cell r="D180" t="str">
            <v>3740</v>
          </cell>
          <cell r="E180">
            <v>1450</v>
          </cell>
          <cell r="F180" t="str">
            <v>N010</v>
          </cell>
          <cell r="G180">
            <v>6641.07568359375</v>
          </cell>
          <cell r="H180">
            <v>1.751755952835083</v>
          </cell>
          <cell r="I180">
            <v>3.8751945495605469</v>
          </cell>
          <cell r="J180">
            <v>9.6419401168823242</v>
          </cell>
          <cell r="K180">
            <v>13.353110313415527</v>
          </cell>
        </row>
        <row r="181">
          <cell r="A181" t="str">
            <v>PAMAP3000Bk184000145040</v>
          </cell>
          <cell r="B181" t="str">
            <v>PAMA</v>
          </cell>
          <cell r="C181" t="str">
            <v>P3000Bk18</v>
          </cell>
          <cell r="D181" t="str">
            <v>4000</v>
          </cell>
          <cell r="E181">
            <v>1450</v>
          </cell>
          <cell r="F181">
            <v>40</v>
          </cell>
          <cell r="G181">
            <v>6347.7617489737331</v>
          </cell>
          <cell r="H181">
            <v>1.7585192665646416</v>
          </cell>
          <cell r="I181">
            <v>6.6971894313797771</v>
          </cell>
          <cell r="J181">
            <v>10.098460057679858</v>
          </cell>
          <cell r="K181">
            <v>14.212552263952567</v>
          </cell>
        </row>
        <row r="182">
          <cell r="A182" t="str">
            <v>PAMAP3000Bk182000145150</v>
          </cell>
          <cell r="B182" t="str">
            <v>PAMA</v>
          </cell>
          <cell r="C182" t="str">
            <v>P3000Bk18</v>
          </cell>
          <cell r="D182" t="str">
            <v>2000</v>
          </cell>
          <cell r="E182">
            <v>1451</v>
          </cell>
          <cell r="F182">
            <v>50</v>
          </cell>
          <cell r="G182">
            <v>6526.8911843027709</v>
          </cell>
          <cell r="H182">
            <v>0.59207438224936004</v>
          </cell>
          <cell r="I182">
            <v>6.5162213166725742</v>
          </cell>
          <cell r="J182">
            <v>8.9020138057960203</v>
          </cell>
          <cell r="K182">
            <v>12.629781508409151</v>
          </cell>
        </row>
        <row r="183">
          <cell r="A183" t="str">
            <v>PAMAP3000Bk182000145160</v>
          </cell>
          <cell r="B183" t="str">
            <v>PAMA</v>
          </cell>
          <cell r="C183" t="str">
            <v>P3000Bk18</v>
          </cell>
          <cell r="D183" t="str">
            <v>2000</v>
          </cell>
          <cell r="E183">
            <v>1451</v>
          </cell>
          <cell r="F183">
            <v>60</v>
          </cell>
          <cell r="G183">
            <v>6498.859375</v>
          </cell>
          <cell r="H183">
            <v>0.54444766044616699</v>
          </cell>
          <cell r="I183">
            <v>6.7812361717224121</v>
          </cell>
          <cell r="J183">
            <v>9.0791940689086914</v>
          </cell>
          <cell r="K183">
            <v>12.739015579223633</v>
          </cell>
        </row>
        <row r="184">
          <cell r="A184" t="str">
            <v>PAMAP3000Bk1830001451N010</v>
          </cell>
          <cell r="B184" t="str">
            <v>PAMA</v>
          </cell>
          <cell r="C184" t="str">
            <v>P3000Bk18</v>
          </cell>
          <cell r="D184" t="str">
            <v>3000</v>
          </cell>
          <cell r="E184">
            <v>1451</v>
          </cell>
          <cell r="F184" t="str">
            <v>N010</v>
          </cell>
          <cell r="G184">
            <v>6705.72939068095</v>
          </cell>
          <cell r="H184">
            <v>0.99081918171211836</v>
          </cell>
          <cell r="I184">
            <v>4.3309346367651624</v>
          </cell>
          <cell r="J184">
            <v>9.0755055930956363</v>
          </cell>
          <cell r="K184">
            <v>12.996554736885615</v>
          </cell>
        </row>
        <row r="185">
          <cell r="A185" t="str">
            <v>PAMAP3000Bk18300014510000</v>
          </cell>
          <cell r="B185" t="str">
            <v>PAMA</v>
          </cell>
          <cell r="C185" t="str">
            <v>P3000Bk18</v>
          </cell>
          <cell r="D185" t="str">
            <v>3000</v>
          </cell>
          <cell r="E185">
            <v>1451</v>
          </cell>
          <cell r="F185" t="str">
            <v>0000</v>
          </cell>
          <cell r="G185">
            <v>6700.2969915364365</v>
          </cell>
          <cell r="H185">
            <v>0.81438246680320092</v>
          </cell>
          <cell r="I185">
            <v>3.999499743780611</v>
          </cell>
          <cell r="J185">
            <v>9.1786325526318144</v>
          </cell>
          <cell r="K185">
            <v>12.999945074821992</v>
          </cell>
        </row>
        <row r="186">
          <cell r="A186" t="str">
            <v>PAMAP3000Bk183000145110</v>
          </cell>
          <cell r="B186" t="str">
            <v>PAMA</v>
          </cell>
          <cell r="C186" t="str">
            <v>P3000Bk18</v>
          </cell>
          <cell r="D186" t="str">
            <v>3000</v>
          </cell>
          <cell r="E186">
            <v>1451</v>
          </cell>
          <cell r="F186">
            <v>10</v>
          </cell>
          <cell r="G186">
            <v>6731.85498046875</v>
          </cell>
          <cell r="H186">
            <v>0.62735480070114136</v>
          </cell>
          <cell r="I186">
            <v>3.1920318603515625</v>
          </cell>
          <cell r="J186">
            <v>9.264617919921875</v>
          </cell>
          <cell r="K186">
            <v>12.92691707611084</v>
          </cell>
        </row>
        <row r="187">
          <cell r="A187" t="str">
            <v>PAMAP3000Bk18374014510000</v>
          </cell>
          <cell r="B187" t="str">
            <v>PAMA</v>
          </cell>
          <cell r="C187" t="str">
            <v>P3000Bk18</v>
          </cell>
          <cell r="D187" t="str">
            <v>3740</v>
          </cell>
          <cell r="E187">
            <v>1451</v>
          </cell>
          <cell r="F187" t="str">
            <v>0000</v>
          </cell>
          <cell r="G187">
            <v>6715.5510791761353</v>
          </cell>
          <cell r="H187">
            <v>1.3557913400702024</v>
          </cell>
          <cell r="I187">
            <v>3.1476183955638892</v>
          </cell>
          <cell r="J187">
            <v>10.007091463673458</v>
          </cell>
          <cell r="K187">
            <v>13.885554077400066</v>
          </cell>
        </row>
        <row r="188">
          <cell r="A188" t="str">
            <v>PAMAP3000Bk183740145110</v>
          </cell>
          <cell r="B188" t="str">
            <v>PAMA</v>
          </cell>
          <cell r="C188" t="str">
            <v>P3000Bk18</v>
          </cell>
          <cell r="D188" t="str">
            <v>3740</v>
          </cell>
          <cell r="E188">
            <v>1451</v>
          </cell>
          <cell r="F188">
            <v>10</v>
          </cell>
          <cell r="G188">
            <v>6714.8133282264171</v>
          </cell>
          <cell r="H188">
            <v>1.2964412525436815</v>
          </cell>
          <cell r="I188">
            <v>3.1339983512433363</v>
          </cell>
          <cell r="J188">
            <v>10.117731724158622</v>
          </cell>
          <cell r="K188">
            <v>14.032554338985575</v>
          </cell>
        </row>
        <row r="189">
          <cell r="A189" t="str">
            <v>PAMAP3000Bk1837401451N010</v>
          </cell>
          <cell r="B189" t="str">
            <v>PAMA</v>
          </cell>
          <cell r="C189" t="str">
            <v>P3000Bk18</v>
          </cell>
          <cell r="D189" t="str">
            <v>3740</v>
          </cell>
          <cell r="E189">
            <v>1451</v>
          </cell>
          <cell r="F189" t="str">
            <v>N010</v>
          </cell>
          <cell r="G189">
            <v>6717.9892578125</v>
          </cell>
          <cell r="H189">
            <v>1.5739476680755615</v>
          </cell>
          <cell r="I189">
            <v>3.1748356819152832</v>
          </cell>
          <cell r="J189">
            <v>9.7486982345581055</v>
          </cell>
          <cell r="K189">
            <v>13.419209480285645</v>
          </cell>
        </row>
        <row r="190">
          <cell r="A190" t="str">
            <v>PAMAP3000Bk184000145140</v>
          </cell>
          <cell r="B190" t="str">
            <v>PAMA</v>
          </cell>
          <cell r="C190" t="str">
            <v>P3000Bk18</v>
          </cell>
          <cell r="D190" t="str">
            <v>4000</v>
          </cell>
          <cell r="E190">
            <v>1451</v>
          </cell>
          <cell r="F190">
            <v>40</v>
          </cell>
          <cell r="G190">
            <v>6161.1538037970549</v>
          </cell>
          <cell r="H190">
            <v>1.6304779247919541</v>
          </cell>
          <cell r="I190">
            <v>8.3357306133830757</v>
          </cell>
          <cell r="J190">
            <v>10.172024358505828</v>
          </cell>
          <cell r="K190">
            <v>13.882949052669209</v>
          </cell>
        </row>
        <row r="191">
          <cell r="A191" t="str">
            <v>PAMAP3000Bk182000145250</v>
          </cell>
          <cell r="B191" t="str">
            <v>PAMA</v>
          </cell>
          <cell r="C191" t="str">
            <v>P3000Bk18</v>
          </cell>
          <cell r="D191" t="str">
            <v>2000</v>
          </cell>
          <cell r="E191">
            <v>1452</v>
          </cell>
          <cell r="F191">
            <v>50</v>
          </cell>
          <cell r="G191">
            <v>6553.8818545390404</v>
          </cell>
          <cell r="H191">
            <v>0.54860624837808758</v>
          </cell>
          <cell r="I191">
            <v>6.3183175739165769</v>
          </cell>
          <cell r="J191">
            <v>8.9427040700474638</v>
          </cell>
          <cell r="K191">
            <v>12.567727656331833</v>
          </cell>
        </row>
        <row r="192">
          <cell r="A192" t="str">
            <v>PAMAP3000Bk182000145260</v>
          </cell>
          <cell r="B192" t="str">
            <v>PAMA</v>
          </cell>
          <cell r="C192" t="str">
            <v>P3000Bk18</v>
          </cell>
          <cell r="D192" t="str">
            <v>2000</v>
          </cell>
          <cell r="E192">
            <v>1452</v>
          </cell>
          <cell r="F192">
            <v>60</v>
          </cell>
          <cell r="G192">
            <v>6484.0630181417591</v>
          </cell>
          <cell r="H192">
            <v>0.50994110768705303</v>
          </cell>
          <cell r="I192">
            <v>6.9834423616483043</v>
          </cell>
          <cell r="J192">
            <v>9.2054291248383215</v>
          </cell>
          <cell r="K192">
            <v>12.761759809653807</v>
          </cell>
        </row>
        <row r="193">
          <cell r="A193" t="str">
            <v>PAMAP3000Bk1830001452N010</v>
          </cell>
          <cell r="B193" t="str">
            <v>PAMA</v>
          </cell>
          <cell r="C193" t="str">
            <v>P3000Bk18</v>
          </cell>
          <cell r="D193" t="str">
            <v>3000</v>
          </cell>
          <cell r="E193">
            <v>1452</v>
          </cell>
          <cell r="F193" t="str">
            <v>N010</v>
          </cell>
          <cell r="G193">
            <v>6709.510809281719</v>
          </cell>
          <cell r="H193">
            <v>0.96731342314643265</v>
          </cell>
          <cell r="I193">
            <v>4.3078589392469597</v>
          </cell>
          <cell r="J193">
            <v>9.0873176732052148</v>
          </cell>
          <cell r="K193">
            <v>13.051253673835618</v>
          </cell>
        </row>
        <row r="194">
          <cell r="A194" t="str">
            <v>PAMAP3000Bk18300014520000</v>
          </cell>
          <cell r="B194" t="str">
            <v>PAMA</v>
          </cell>
          <cell r="C194" t="str">
            <v>P3000Bk18</v>
          </cell>
          <cell r="D194" t="str">
            <v>3000</v>
          </cell>
          <cell r="E194">
            <v>1452</v>
          </cell>
          <cell r="F194" t="str">
            <v>0000</v>
          </cell>
          <cell r="G194">
            <v>6706.9787131674384</v>
          </cell>
          <cell r="H194">
            <v>0.79331771435383824</v>
          </cell>
          <cell r="I194">
            <v>3.8985220926601811</v>
          </cell>
          <cell r="J194">
            <v>9.2210537716449199</v>
          </cell>
          <cell r="K194">
            <v>13.041284095132207</v>
          </cell>
        </row>
        <row r="195">
          <cell r="A195" t="str">
            <v>PAMAP3000Bk183000145210</v>
          </cell>
          <cell r="B195" t="str">
            <v>PAMA</v>
          </cell>
          <cell r="C195" t="str">
            <v>P3000Bk18</v>
          </cell>
          <cell r="D195" t="str">
            <v>3000</v>
          </cell>
          <cell r="E195">
            <v>1452</v>
          </cell>
          <cell r="F195">
            <v>10</v>
          </cell>
          <cell r="G195">
            <v>6736.810546875</v>
          </cell>
          <cell r="H195">
            <v>0.61431270837783813</v>
          </cell>
          <cell r="I195">
            <v>3.0739123821258545</v>
          </cell>
          <cell r="J195">
            <v>9.3435497283935547</v>
          </cell>
          <cell r="K195">
            <v>12.928668022155762</v>
          </cell>
        </row>
        <row r="196">
          <cell r="A196" t="str">
            <v>PAMAP3000Bk18374014520000</v>
          </cell>
          <cell r="B196" t="str">
            <v>PAMA</v>
          </cell>
          <cell r="C196" t="str">
            <v>P3000Bk18</v>
          </cell>
          <cell r="D196" t="str">
            <v>3740</v>
          </cell>
          <cell r="E196">
            <v>1452</v>
          </cell>
          <cell r="F196" t="str">
            <v>0000</v>
          </cell>
          <cell r="G196">
            <v>6716.3011448330517</v>
          </cell>
          <cell r="H196">
            <v>1.3615854657595776</v>
          </cell>
          <cell r="I196">
            <v>3.1871206745276508</v>
          </cell>
          <cell r="J196">
            <v>9.9238515240055758</v>
          </cell>
          <cell r="K196">
            <v>13.865705058881346</v>
          </cell>
        </row>
        <row r="197">
          <cell r="A197" t="str">
            <v>PAMAP3000Bk183740145210</v>
          </cell>
          <cell r="B197" t="str">
            <v>PAMA</v>
          </cell>
          <cell r="C197" t="str">
            <v>P3000Bk18</v>
          </cell>
          <cell r="D197" t="str">
            <v>3740</v>
          </cell>
          <cell r="E197">
            <v>1452</v>
          </cell>
          <cell r="F197">
            <v>10</v>
          </cell>
          <cell r="G197">
            <v>6718.0282047274795</v>
          </cell>
          <cell r="H197">
            <v>1.2944982360389921</v>
          </cell>
          <cell r="I197">
            <v>3.127045341982035</v>
          </cell>
          <cell r="J197">
            <v>10.085020353647808</v>
          </cell>
          <cell r="K197">
            <v>14.027930903870601</v>
          </cell>
        </row>
        <row r="198">
          <cell r="A198" t="str">
            <v>PAMAP3000Bk184000145230</v>
          </cell>
          <cell r="B198" t="str">
            <v>PAMA</v>
          </cell>
          <cell r="C198" t="str">
            <v>P3000Bk18</v>
          </cell>
          <cell r="D198" t="str">
            <v>4000</v>
          </cell>
          <cell r="E198">
            <v>1452</v>
          </cell>
          <cell r="F198">
            <v>30</v>
          </cell>
          <cell r="G198">
            <v>6256.1932436972711</v>
          </cell>
          <cell r="H198">
            <v>1.5305058609111604</v>
          </cell>
          <cell r="I198">
            <v>7.7030126635275442</v>
          </cell>
          <cell r="J198">
            <v>10.211236124621326</v>
          </cell>
          <cell r="K198">
            <v>14.318214550470996</v>
          </cell>
        </row>
        <row r="199">
          <cell r="A199" t="str">
            <v>PAMAP3000Bk184000145240</v>
          </cell>
          <cell r="B199" t="str">
            <v>PAMA</v>
          </cell>
          <cell r="C199" t="str">
            <v>P3000Bk18</v>
          </cell>
          <cell r="D199" t="str">
            <v>4000</v>
          </cell>
          <cell r="E199">
            <v>1452</v>
          </cell>
          <cell r="F199">
            <v>40</v>
          </cell>
          <cell r="G199">
            <v>6195.8758739019977</v>
          </cell>
          <cell r="H199">
            <v>1.6146305433127597</v>
          </cell>
          <cell r="I199">
            <v>8.1398171179733598</v>
          </cell>
          <cell r="J199">
            <v>10.096648225056073</v>
          </cell>
          <cell r="K199">
            <v>14.035495433014853</v>
          </cell>
        </row>
        <row r="200">
          <cell r="A200" t="str">
            <v>PAMAP3000Bk182000145350</v>
          </cell>
          <cell r="B200" t="str">
            <v>PAMA</v>
          </cell>
          <cell r="C200" t="str">
            <v>P3000Bk18</v>
          </cell>
          <cell r="D200" t="str">
            <v>2000</v>
          </cell>
          <cell r="E200">
            <v>1453</v>
          </cell>
          <cell r="F200">
            <v>50</v>
          </cell>
          <cell r="G200">
            <v>6521.3852240325568</v>
          </cell>
          <cell r="H200">
            <v>0.48943439006245404</v>
          </cell>
          <cell r="I200">
            <v>6.7004495292211272</v>
          </cell>
          <cell r="J200">
            <v>9.1346815299461763</v>
          </cell>
          <cell r="K200">
            <v>12.655668276758131</v>
          </cell>
        </row>
        <row r="201">
          <cell r="A201" t="str">
            <v>PAMAP3000Bk182000145360</v>
          </cell>
          <cell r="B201" t="str">
            <v>PAMA</v>
          </cell>
          <cell r="C201" t="str">
            <v>P3000Bk18</v>
          </cell>
          <cell r="D201" t="str">
            <v>2000</v>
          </cell>
          <cell r="E201">
            <v>1453</v>
          </cell>
          <cell r="F201">
            <v>60</v>
          </cell>
          <cell r="G201">
            <v>6384.71044921875</v>
          </cell>
          <cell r="H201">
            <v>0.4241231381893158</v>
          </cell>
          <cell r="I201">
            <v>8.2552251815795898</v>
          </cell>
          <cell r="J201">
            <v>9.6686992645263672</v>
          </cell>
          <cell r="K201">
            <v>12.913376808166504</v>
          </cell>
        </row>
        <row r="202">
          <cell r="A202" t="str">
            <v>PAMAP3000Bk1830001453N010</v>
          </cell>
          <cell r="B202" t="str">
            <v>PAMA</v>
          </cell>
          <cell r="C202" t="str">
            <v>P3000Bk18</v>
          </cell>
          <cell r="D202" t="str">
            <v>3000</v>
          </cell>
          <cell r="E202">
            <v>1453</v>
          </cell>
          <cell r="F202" t="str">
            <v>N010</v>
          </cell>
          <cell r="G202">
            <v>6718.829425419658</v>
          </cell>
          <cell r="H202">
            <v>0.91100992942740966</v>
          </cell>
          <cell r="I202">
            <v>4.2449743940227638</v>
          </cell>
          <cell r="J202">
            <v>9.0870205573975369</v>
          </cell>
          <cell r="K202">
            <v>13.15864676219846</v>
          </cell>
        </row>
        <row r="203">
          <cell r="A203" t="str">
            <v>PAMAP3000Bk18300014530000</v>
          </cell>
          <cell r="B203" t="str">
            <v>PAMA</v>
          </cell>
          <cell r="C203" t="str">
            <v>P3000Bk18</v>
          </cell>
          <cell r="D203" t="str">
            <v>3000</v>
          </cell>
          <cell r="E203">
            <v>1453</v>
          </cell>
          <cell r="F203" t="str">
            <v>0000</v>
          </cell>
          <cell r="G203">
            <v>6717.5705970100598</v>
          </cell>
          <cell r="H203">
            <v>0.84674578615163143</v>
          </cell>
          <cell r="I203">
            <v>4.1535730971785041</v>
          </cell>
          <cell r="J203">
            <v>9.1977327460597227</v>
          </cell>
          <cell r="K203">
            <v>13.233575696792704</v>
          </cell>
        </row>
        <row r="204">
          <cell r="A204" t="str">
            <v>PAMAP3000Bk183000145310</v>
          </cell>
          <cell r="B204" t="str">
            <v>PAMA</v>
          </cell>
          <cell r="C204" t="str">
            <v>P3000Bk18</v>
          </cell>
          <cell r="D204" t="str">
            <v>3000</v>
          </cell>
          <cell r="E204">
            <v>1453</v>
          </cell>
          <cell r="F204">
            <v>10</v>
          </cell>
          <cell r="G204">
            <v>6810.9011878288811</v>
          </cell>
          <cell r="H204">
            <v>0.59883159571478051</v>
          </cell>
          <cell r="I204">
            <v>3.1703344021499413</v>
          </cell>
          <cell r="J204">
            <v>9.2871587756433893</v>
          </cell>
          <cell r="K204">
            <v>13.123660989662516</v>
          </cell>
        </row>
        <row r="205">
          <cell r="A205" t="str">
            <v>PAMAP3000Bk183000145320</v>
          </cell>
          <cell r="B205" t="str">
            <v>PAMA</v>
          </cell>
          <cell r="C205" t="str">
            <v>P3000Bk18</v>
          </cell>
          <cell r="D205" t="str">
            <v>3000</v>
          </cell>
          <cell r="E205">
            <v>1453</v>
          </cell>
          <cell r="F205">
            <v>20</v>
          </cell>
          <cell r="G205">
            <v>6874.29443359375</v>
          </cell>
          <cell r="H205">
            <v>0.61284470558166504</v>
          </cell>
          <cell r="I205">
            <v>2.111583948135376</v>
          </cell>
          <cell r="J205">
            <v>10.293745994567871</v>
          </cell>
          <cell r="K205">
            <v>13.449857711791992</v>
          </cell>
        </row>
        <row r="206">
          <cell r="A206" t="str">
            <v>PAMAP3000Bk18374014530000</v>
          </cell>
          <cell r="B206" t="str">
            <v>PAMA</v>
          </cell>
          <cell r="C206" t="str">
            <v>P3000Bk18</v>
          </cell>
          <cell r="D206" t="str">
            <v>3740</v>
          </cell>
          <cell r="E206">
            <v>1453</v>
          </cell>
          <cell r="F206" t="str">
            <v>0000</v>
          </cell>
          <cell r="G206">
            <v>6698.4200904455938</v>
          </cell>
          <cell r="H206">
            <v>1.3126850887485935</v>
          </cell>
          <cell r="I206">
            <v>3.5208457808424747</v>
          </cell>
          <cell r="J206">
            <v>9.4038019165061115</v>
          </cell>
          <cell r="K206">
            <v>13.509729511798385</v>
          </cell>
        </row>
        <row r="207">
          <cell r="A207" t="str">
            <v>PAMAP3000Bk183740145310</v>
          </cell>
          <cell r="B207" t="str">
            <v>PAMA</v>
          </cell>
          <cell r="C207" t="str">
            <v>P3000Bk18</v>
          </cell>
          <cell r="D207" t="str">
            <v>3740</v>
          </cell>
          <cell r="E207">
            <v>1453</v>
          </cell>
          <cell r="F207">
            <v>10</v>
          </cell>
          <cell r="G207">
            <v>6680.1773930557401</v>
          </cell>
          <cell r="H207">
            <v>1.5604090239929347</v>
          </cell>
          <cell r="I207">
            <v>3.8004975234820151</v>
          </cell>
          <cell r="J207">
            <v>9.271600487138743</v>
          </cell>
          <cell r="K207">
            <v>13.49953489109118</v>
          </cell>
        </row>
        <row r="208">
          <cell r="A208" t="str">
            <v>PAMAP3000Bk184000145330</v>
          </cell>
          <cell r="B208" t="str">
            <v>PAMA</v>
          </cell>
          <cell r="C208" t="str">
            <v>P3000Bk18</v>
          </cell>
          <cell r="D208" t="str">
            <v>4000</v>
          </cell>
          <cell r="E208">
            <v>1453</v>
          </cell>
          <cell r="F208">
            <v>30</v>
          </cell>
          <cell r="G208">
            <v>6212.9541027564928</v>
          </cell>
          <cell r="H208">
            <v>1.3368488790167048</v>
          </cell>
          <cell r="I208">
            <v>8.1091032188429182</v>
          </cell>
          <cell r="J208">
            <v>9.8641533517152897</v>
          </cell>
          <cell r="K208">
            <v>14.502753313670894</v>
          </cell>
        </row>
        <row r="209">
          <cell r="A209" t="str">
            <v>PAMAP3000Bk184000145340</v>
          </cell>
          <cell r="B209" t="str">
            <v>PAMA</v>
          </cell>
          <cell r="C209" t="str">
            <v>P3000Bk18</v>
          </cell>
          <cell r="D209" t="str">
            <v>4000</v>
          </cell>
          <cell r="E209">
            <v>1453</v>
          </cell>
          <cell r="F209">
            <v>40</v>
          </cell>
          <cell r="G209">
            <v>6341.9854319717751</v>
          </cell>
          <cell r="H209">
            <v>1.7538403744897</v>
          </cell>
          <cell r="I209">
            <v>7.084960492199226</v>
          </cell>
          <cell r="J209">
            <v>9.7769173092386996</v>
          </cell>
          <cell r="K209">
            <v>14.192569643247721</v>
          </cell>
        </row>
        <row r="210">
          <cell r="A210" t="str">
            <v>PAMAP3000Bk18300014540000</v>
          </cell>
          <cell r="B210" t="str">
            <v>PAMA</v>
          </cell>
          <cell r="C210" t="str">
            <v>P3000Bk18</v>
          </cell>
          <cell r="D210" t="str">
            <v>3000</v>
          </cell>
          <cell r="E210">
            <v>1454</v>
          </cell>
          <cell r="F210" t="str">
            <v>0000</v>
          </cell>
          <cell r="G210">
            <v>6726.241114422136</v>
          </cell>
          <cell r="H210">
            <v>0.83805179173101485</v>
          </cell>
          <cell r="I210">
            <v>4.1654371540990818</v>
          </cell>
          <cell r="J210">
            <v>9.2083328697769851</v>
          </cell>
          <cell r="K210">
            <v>13.315656556793108</v>
          </cell>
        </row>
        <row r="211">
          <cell r="A211" t="str">
            <v>PAMAP3000Bk183000145410</v>
          </cell>
          <cell r="B211" t="str">
            <v>PAMA</v>
          </cell>
          <cell r="C211" t="str">
            <v>P3000Bk18</v>
          </cell>
          <cell r="D211" t="str">
            <v>3000</v>
          </cell>
          <cell r="E211">
            <v>1454</v>
          </cell>
          <cell r="F211">
            <v>10</v>
          </cell>
          <cell r="G211">
            <v>6770.4003115579944</v>
          </cell>
          <cell r="H211">
            <v>0.75481821786112335</v>
          </cell>
          <cell r="I211">
            <v>3.9672779590799863</v>
          </cell>
          <cell r="J211">
            <v>9.1335812804079133</v>
          </cell>
          <cell r="K211">
            <v>13.267899458220878</v>
          </cell>
        </row>
        <row r="212">
          <cell r="A212" t="str">
            <v>PAMAP3000Bk183000145420</v>
          </cell>
          <cell r="B212" t="str">
            <v>PAMA</v>
          </cell>
          <cell r="C212" t="str">
            <v>P3000Bk18</v>
          </cell>
          <cell r="D212" t="str">
            <v>3000</v>
          </cell>
          <cell r="E212">
            <v>1454</v>
          </cell>
          <cell r="F212">
            <v>20</v>
          </cell>
          <cell r="G212">
            <v>6629.59231156636</v>
          </cell>
          <cell r="H212">
            <v>1.2652928110996013</v>
          </cell>
          <cell r="I212">
            <v>4.9238874947416038</v>
          </cell>
          <cell r="J212">
            <v>9.4773388477475837</v>
          </cell>
          <cell r="K212">
            <v>13.885223753552562</v>
          </cell>
        </row>
        <row r="213">
          <cell r="A213" t="str">
            <v>PAMAP3000Bk183740145410</v>
          </cell>
          <cell r="B213" t="str">
            <v>PAMA</v>
          </cell>
          <cell r="C213" t="str">
            <v>P3000Bk18</v>
          </cell>
          <cell r="D213" t="str">
            <v>3740</v>
          </cell>
          <cell r="E213">
            <v>1454</v>
          </cell>
          <cell r="F213">
            <v>10</v>
          </cell>
          <cell r="G213">
            <v>6635.8756852697334</v>
          </cell>
          <cell r="H213">
            <v>1.7533662361014728</v>
          </cell>
          <cell r="I213">
            <v>4.8153970466630422</v>
          </cell>
          <cell r="J213">
            <v>8.1801701279622403</v>
          </cell>
          <cell r="K213">
            <v>13.211977719877504</v>
          </cell>
        </row>
        <row r="214">
          <cell r="A214" t="str">
            <v>PAMAP3000Bk183740145420</v>
          </cell>
          <cell r="B214" t="str">
            <v>PAMA</v>
          </cell>
          <cell r="C214" t="str">
            <v>P3000Bk18</v>
          </cell>
          <cell r="D214" t="str">
            <v>3740</v>
          </cell>
          <cell r="E214">
            <v>1454</v>
          </cell>
          <cell r="F214">
            <v>20</v>
          </cell>
          <cell r="G214">
            <v>6626.7728981069486</v>
          </cell>
          <cell r="H214">
            <v>1.8217603368596937</v>
          </cell>
          <cell r="I214">
            <v>5.1645629893004212</v>
          </cell>
          <cell r="J214">
            <v>7.7055918124142426</v>
          </cell>
          <cell r="K214">
            <v>13.103483333281863</v>
          </cell>
        </row>
        <row r="215">
          <cell r="A215" t="str">
            <v>PAMAP3000Bk184000145440</v>
          </cell>
          <cell r="B215" t="str">
            <v>PAMA</v>
          </cell>
          <cell r="C215" t="str">
            <v>P3000Bk18</v>
          </cell>
          <cell r="D215" t="str">
            <v>4000</v>
          </cell>
          <cell r="E215">
            <v>1454</v>
          </cell>
          <cell r="F215">
            <v>40</v>
          </cell>
          <cell r="G215">
            <v>6418.0567282818984</v>
          </cell>
          <cell r="H215">
            <v>1.7129671937519246</v>
          </cell>
          <cell r="I215">
            <v>6.5447911886670234</v>
          </cell>
          <cell r="J215">
            <v>9.3529503945724635</v>
          </cell>
          <cell r="K215">
            <v>14.06920289632262</v>
          </cell>
        </row>
        <row r="216">
          <cell r="A216" t="str">
            <v>PAMAP3000Bk184000145430</v>
          </cell>
          <cell r="B216" t="str">
            <v>PAMA</v>
          </cell>
          <cell r="C216" t="str">
            <v>P3000Bk18</v>
          </cell>
          <cell r="D216" t="str">
            <v>4000</v>
          </cell>
          <cell r="E216">
            <v>1454</v>
          </cell>
          <cell r="F216">
            <v>30</v>
          </cell>
          <cell r="G216">
            <v>6224.66796875</v>
          </cell>
          <cell r="H216">
            <v>1.3445130586624146</v>
          </cell>
          <cell r="I216">
            <v>7.995081901550293</v>
          </cell>
          <cell r="J216">
            <v>9.6843433380126953</v>
          </cell>
          <cell r="K216">
            <v>14.426749229431152</v>
          </cell>
        </row>
        <row r="217">
          <cell r="A217" t="str">
            <v>PAMAP3000Bk183000145510</v>
          </cell>
          <cell r="B217" t="str">
            <v>PAMA</v>
          </cell>
          <cell r="C217" t="str">
            <v>P3000Bk18</v>
          </cell>
          <cell r="D217" t="str">
            <v>3000</v>
          </cell>
          <cell r="E217">
            <v>1455</v>
          </cell>
          <cell r="F217">
            <v>10</v>
          </cell>
          <cell r="G217">
            <v>6713.9898852950901</v>
          </cell>
          <cell r="H217">
            <v>0.82387759675392191</v>
          </cell>
          <cell r="I217">
            <v>4.8000404268603463</v>
          </cell>
          <cell r="J217">
            <v>8.7880748526392782</v>
          </cell>
          <cell r="K217">
            <v>13.302080369587529</v>
          </cell>
        </row>
        <row r="218">
          <cell r="A218" t="str">
            <v>PAMAP3000Bk183000145520</v>
          </cell>
          <cell r="B218" t="str">
            <v>PAMA</v>
          </cell>
          <cell r="C218" t="str">
            <v>P3000Bk18</v>
          </cell>
          <cell r="D218" t="str">
            <v>3000</v>
          </cell>
          <cell r="E218">
            <v>1455</v>
          </cell>
          <cell r="F218">
            <v>20</v>
          </cell>
          <cell r="G218">
            <v>6696.871231388981</v>
          </cell>
          <cell r="H218">
            <v>0.86928619311936284</v>
          </cell>
          <cell r="I218">
            <v>5.1288211405094462</v>
          </cell>
          <cell r="J218">
            <v>8.6558942162612311</v>
          </cell>
          <cell r="K218">
            <v>13.254828190103385</v>
          </cell>
        </row>
        <row r="219">
          <cell r="A219" t="str">
            <v>PAMAP3000Bk183740145510</v>
          </cell>
          <cell r="B219" t="str">
            <v>PAMA</v>
          </cell>
          <cell r="C219" t="str">
            <v>P3000Bk18</v>
          </cell>
          <cell r="D219" t="str">
            <v>3740</v>
          </cell>
          <cell r="E219">
            <v>1455</v>
          </cell>
          <cell r="F219">
            <v>10</v>
          </cell>
          <cell r="G219">
            <v>6599.2628214414244</v>
          </cell>
          <cell r="H219">
            <v>2.0234168457835855</v>
          </cell>
          <cell r="I219">
            <v>5.7982351780460721</v>
          </cell>
          <cell r="J219">
            <v>7.3809235456950129</v>
          </cell>
          <cell r="K219">
            <v>12.820651338679999</v>
          </cell>
        </row>
        <row r="220">
          <cell r="A220" t="str">
            <v>PAMAP3000Bk183740145520</v>
          </cell>
          <cell r="B220" t="str">
            <v>PAMA</v>
          </cell>
          <cell r="C220" t="str">
            <v>P3000Bk18</v>
          </cell>
          <cell r="D220" t="str">
            <v>3740</v>
          </cell>
          <cell r="E220">
            <v>1455</v>
          </cell>
          <cell r="F220">
            <v>20</v>
          </cell>
          <cell r="G220">
            <v>6638.6860532268956</v>
          </cell>
          <cell r="H220">
            <v>1.9850927532993241</v>
          </cell>
          <cell r="I220">
            <v>5.6845439598654393</v>
          </cell>
          <cell r="J220">
            <v>6.9071756387122338</v>
          </cell>
          <cell r="K220">
            <v>12.931397751240379</v>
          </cell>
        </row>
        <row r="221">
          <cell r="A221" t="str">
            <v>PAMAP3000Bk183740145530</v>
          </cell>
          <cell r="B221" t="str">
            <v>PAMA</v>
          </cell>
          <cell r="C221" t="str">
            <v>P3000Bk18</v>
          </cell>
          <cell r="D221" t="str">
            <v>3740</v>
          </cell>
          <cell r="E221">
            <v>1455</v>
          </cell>
          <cell r="F221">
            <v>30</v>
          </cell>
          <cell r="G221">
            <v>6687.4157511987687</v>
          </cell>
          <cell r="H221">
            <v>1.8352283635806277</v>
          </cell>
          <cell r="I221">
            <v>5.1166142518495228</v>
          </cell>
          <cell r="J221">
            <v>6.7631307388420936</v>
          </cell>
          <cell r="K221">
            <v>13.146953969390644</v>
          </cell>
        </row>
        <row r="222">
          <cell r="A222" t="str">
            <v>PAMAP3000Bk184000145540</v>
          </cell>
          <cell r="B222" t="str">
            <v>PAMA</v>
          </cell>
          <cell r="C222" t="str">
            <v>P3000Bk18</v>
          </cell>
          <cell r="D222" t="str">
            <v>4000</v>
          </cell>
          <cell r="E222">
            <v>1455</v>
          </cell>
          <cell r="F222">
            <v>40</v>
          </cell>
          <cell r="G222">
            <v>6683.3379569141271</v>
          </cell>
          <cell r="H222">
            <v>1.639256600723664</v>
          </cell>
          <cell r="I222">
            <v>4.6833063677786706</v>
          </cell>
          <cell r="J222">
            <v>7.9574529668152767</v>
          </cell>
          <cell r="K222">
            <v>13.592413222984725</v>
          </cell>
        </row>
        <row r="223">
          <cell r="A223" t="str">
            <v>PAMAP3000Bk183000145610</v>
          </cell>
          <cell r="B223" t="str">
            <v>PAMA</v>
          </cell>
          <cell r="C223" t="str">
            <v>P3000Bk18</v>
          </cell>
          <cell r="D223" t="str">
            <v>3000</v>
          </cell>
          <cell r="E223">
            <v>1456</v>
          </cell>
          <cell r="F223">
            <v>10</v>
          </cell>
          <cell r="G223">
            <v>6716.0794316476977</v>
          </cell>
          <cell r="H223">
            <v>0.78482969867743302</v>
          </cell>
          <cell r="I223">
            <v>5.2764652226322815</v>
          </cell>
          <cell r="J223">
            <v>8.6803851136150829</v>
          </cell>
          <cell r="K223">
            <v>13.322726693775172</v>
          </cell>
        </row>
        <row r="224">
          <cell r="A224" t="str">
            <v>PAMAP3000Bk183000145620</v>
          </cell>
          <cell r="B224" t="str">
            <v>PAMA</v>
          </cell>
          <cell r="C224" t="str">
            <v>P3000Bk18</v>
          </cell>
          <cell r="D224" t="str">
            <v>3000</v>
          </cell>
          <cell r="E224">
            <v>1456</v>
          </cell>
          <cell r="F224">
            <v>20</v>
          </cell>
          <cell r="G224">
            <v>6743.4535550161136</v>
          </cell>
          <cell r="H224">
            <v>0.66624781210955319</v>
          </cell>
          <cell r="I224">
            <v>5.0884334875229271</v>
          </cell>
          <cell r="J224">
            <v>8.5911050686811734</v>
          </cell>
          <cell r="K224">
            <v>13.219039414810977</v>
          </cell>
        </row>
        <row r="225">
          <cell r="A225" t="str">
            <v>PAMAP3000Bk183740145620</v>
          </cell>
          <cell r="B225" t="str">
            <v>PAMA</v>
          </cell>
          <cell r="C225" t="str">
            <v>P3000Bk18</v>
          </cell>
          <cell r="D225" t="str">
            <v>3740</v>
          </cell>
          <cell r="E225">
            <v>1456</v>
          </cell>
          <cell r="F225">
            <v>20</v>
          </cell>
          <cell r="G225">
            <v>6644.6799594890672</v>
          </cell>
          <cell r="H225">
            <v>2.0402970486913028</v>
          </cell>
          <cell r="I225">
            <v>5.8566085395192005</v>
          </cell>
          <cell r="J225">
            <v>6.6328687947504266</v>
          </cell>
          <cell r="K225">
            <v>12.877835661223655</v>
          </cell>
        </row>
        <row r="226">
          <cell r="A226" t="str">
            <v>PAMAP3000Bk183740145630</v>
          </cell>
          <cell r="B226" t="str">
            <v>PAMA</v>
          </cell>
          <cell r="C226" t="str">
            <v>P3000Bk18</v>
          </cell>
          <cell r="D226" t="str">
            <v>3740</v>
          </cell>
          <cell r="E226">
            <v>1456</v>
          </cell>
          <cell r="F226">
            <v>30</v>
          </cell>
          <cell r="G226">
            <v>6621.8126645486791</v>
          </cell>
          <cell r="H226">
            <v>1.9299574760635489</v>
          </cell>
          <cell r="I226">
            <v>5.6379141531348349</v>
          </cell>
          <cell r="J226">
            <v>6.9751115600037483</v>
          </cell>
          <cell r="K226">
            <v>12.921300129870341</v>
          </cell>
        </row>
        <row r="227">
          <cell r="A227" t="str">
            <v>PAMAP3000Bk184000145640</v>
          </cell>
          <cell r="B227" t="str">
            <v>PAMA</v>
          </cell>
          <cell r="C227" t="str">
            <v>P3000Bk18</v>
          </cell>
          <cell r="D227" t="str">
            <v>4000</v>
          </cell>
          <cell r="E227">
            <v>1456</v>
          </cell>
          <cell r="F227">
            <v>40</v>
          </cell>
          <cell r="G227">
            <v>6667.0571824823619</v>
          </cell>
          <cell r="H227">
            <v>1.5364350649857681</v>
          </cell>
          <cell r="I227">
            <v>4.5244839394309908</v>
          </cell>
          <cell r="J227">
            <v>8.2226977775388157</v>
          </cell>
          <cell r="K227">
            <v>13.776275063224997</v>
          </cell>
        </row>
        <row r="228">
          <cell r="A228" t="str">
            <v>PAMAP3000Bk183000145710</v>
          </cell>
          <cell r="B228" t="str">
            <v>PAMA</v>
          </cell>
          <cell r="C228" t="str">
            <v>P3000Bk18</v>
          </cell>
          <cell r="D228" t="str">
            <v>3000</v>
          </cell>
          <cell r="E228">
            <v>1457</v>
          </cell>
          <cell r="F228">
            <v>10</v>
          </cell>
          <cell r="G228">
            <v>6772.7804733661551</v>
          </cell>
          <cell r="H228">
            <v>0.68425045756832426</v>
          </cell>
          <cell r="I228">
            <v>7.0173880519766065</v>
          </cell>
          <cell r="J228">
            <v>8.2843609872670463</v>
          </cell>
          <cell r="K228">
            <v>13.320822376260647</v>
          </cell>
        </row>
        <row r="229">
          <cell r="A229" t="str">
            <v>PAMAP3000Bk183000145720</v>
          </cell>
          <cell r="B229" t="str">
            <v>PAMA</v>
          </cell>
          <cell r="C229" t="str">
            <v>P3000Bk18</v>
          </cell>
          <cell r="D229" t="str">
            <v>3000</v>
          </cell>
          <cell r="E229">
            <v>1457</v>
          </cell>
          <cell r="F229">
            <v>20</v>
          </cell>
          <cell r="G229">
            <v>6826.892631661276</v>
          </cell>
          <cell r="H229">
            <v>0.53576468268876098</v>
          </cell>
          <cell r="I229">
            <v>5.8116272937584652</v>
          </cell>
          <cell r="J229">
            <v>8.4516888768519181</v>
          </cell>
          <cell r="K229">
            <v>13.211288671616453</v>
          </cell>
        </row>
        <row r="230">
          <cell r="A230" t="str">
            <v>PAMAP3000Bk183000145730</v>
          </cell>
          <cell r="B230" t="str">
            <v>PAMA</v>
          </cell>
          <cell r="C230" t="str">
            <v>P3000Bk18</v>
          </cell>
          <cell r="D230" t="str">
            <v>3000</v>
          </cell>
          <cell r="E230">
            <v>1457</v>
          </cell>
          <cell r="F230">
            <v>30</v>
          </cell>
          <cell r="G230">
            <v>6816.85693359375</v>
          </cell>
          <cell r="H230">
            <v>0.46153190732002258</v>
          </cell>
          <cell r="I230">
            <v>3.9254660606384277</v>
          </cell>
          <cell r="J230">
            <v>8.9216032028198242</v>
          </cell>
          <cell r="K230">
            <v>13.053813934326172</v>
          </cell>
        </row>
        <row r="231">
          <cell r="A231" t="str">
            <v>PAMAP3000Bk183740145720</v>
          </cell>
          <cell r="B231" t="str">
            <v>PAMA</v>
          </cell>
          <cell r="C231" t="str">
            <v>P3000Bk18</v>
          </cell>
          <cell r="D231" t="str">
            <v>3740</v>
          </cell>
          <cell r="E231">
            <v>1457</v>
          </cell>
          <cell r="F231">
            <v>20</v>
          </cell>
          <cell r="G231">
            <v>6645.0478242504232</v>
          </cell>
          <cell r="H231">
            <v>1.4867656481087614</v>
          </cell>
          <cell r="I231">
            <v>4.6287049868817487</v>
          </cell>
          <cell r="J231">
            <v>7.6651411398620155</v>
          </cell>
          <cell r="K231">
            <v>12.840678866365216</v>
          </cell>
        </row>
        <row r="232">
          <cell r="A232" t="str">
            <v>PAMAP3000Bk183740145730</v>
          </cell>
          <cell r="B232" t="str">
            <v>PAMA</v>
          </cell>
          <cell r="C232" t="str">
            <v>P3000Bk18</v>
          </cell>
          <cell r="D232" t="str">
            <v>3740</v>
          </cell>
          <cell r="E232">
            <v>1457</v>
          </cell>
          <cell r="F232">
            <v>30</v>
          </cell>
          <cell r="G232">
            <v>6596.4240302800681</v>
          </cell>
          <cell r="H232">
            <v>1.4711383905892217</v>
          </cell>
          <cell r="I232">
            <v>4.7424705744122271</v>
          </cell>
          <cell r="J232">
            <v>8.1792757717964104</v>
          </cell>
          <cell r="K232">
            <v>13.023549823269585</v>
          </cell>
        </row>
        <row r="233">
          <cell r="A233" t="str">
            <v>PAMAP3000Bk184000145740</v>
          </cell>
          <cell r="B233" t="str">
            <v>PAMA</v>
          </cell>
          <cell r="C233" t="str">
            <v>P3000Bk18</v>
          </cell>
          <cell r="D233" t="str">
            <v>4000</v>
          </cell>
          <cell r="E233">
            <v>1457</v>
          </cell>
          <cell r="F233">
            <v>40</v>
          </cell>
          <cell r="G233">
            <v>6581.2459111603885</v>
          </cell>
          <cell r="H233">
            <v>1.4231792514266735</v>
          </cell>
          <cell r="I233">
            <v>4.6051907441849522</v>
          </cell>
          <cell r="J233">
            <v>9.1805536238440286</v>
          </cell>
          <cell r="K233">
            <v>14.293465690941009</v>
          </cell>
        </row>
        <row r="234">
          <cell r="A234" t="str">
            <v>PAMAP3000Bk183000145810</v>
          </cell>
          <cell r="B234" t="str">
            <v>PAMA</v>
          </cell>
          <cell r="C234" t="str">
            <v>P3000Bk18</v>
          </cell>
          <cell r="D234" t="str">
            <v>3000</v>
          </cell>
          <cell r="E234">
            <v>1458</v>
          </cell>
          <cell r="F234">
            <v>10</v>
          </cell>
          <cell r="G234">
            <v>6753.1446245692005</v>
          </cell>
          <cell r="H234">
            <v>0.6346105573364641</v>
          </cell>
          <cell r="I234">
            <v>5.8141709958494143</v>
          </cell>
          <cell r="J234">
            <v>8.6749276211644126</v>
          </cell>
          <cell r="K234">
            <v>13.317682236599108</v>
          </cell>
        </row>
        <row r="235">
          <cell r="A235" t="str">
            <v>PAMAP3000Bk183000145820</v>
          </cell>
          <cell r="B235" t="str">
            <v>PAMA</v>
          </cell>
          <cell r="C235" t="str">
            <v>P3000Bk18</v>
          </cell>
          <cell r="D235" t="str">
            <v>3000</v>
          </cell>
          <cell r="E235">
            <v>1458</v>
          </cell>
          <cell r="F235">
            <v>20</v>
          </cell>
          <cell r="G235">
            <v>6873.9029583944239</v>
          </cell>
          <cell r="H235">
            <v>0.44677605410341076</v>
          </cell>
          <cell r="I235">
            <v>4.0966313514127117</v>
          </cell>
          <cell r="J235">
            <v>8.7628024214422311</v>
          </cell>
          <cell r="K235">
            <v>13.099760676043271</v>
          </cell>
        </row>
        <row r="236">
          <cell r="A236" t="str">
            <v>PAMAP3000Bk183000145830</v>
          </cell>
          <cell r="B236" t="str">
            <v>PAMA</v>
          </cell>
          <cell r="C236" t="str">
            <v>P3000Bk18</v>
          </cell>
          <cell r="D236" t="str">
            <v>3000</v>
          </cell>
          <cell r="E236">
            <v>1458</v>
          </cell>
          <cell r="F236">
            <v>30</v>
          </cell>
          <cell r="G236">
            <v>6905.57177734375</v>
          </cell>
          <cell r="H236">
            <v>0.36599409580230713</v>
          </cell>
          <cell r="I236">
            <v>3.2519149780273438</v>
          </cell>
          <cell r="J236">
            <v>8.9196462631225586</v>
          </cell>
          <cell r="K236">
            <v>13.028433799743652</v>
          </cell>
        </row>
        <row r="237">
          <cell r="A237" t="str">
            <v>PAMAP3000Bk183740145820</v>
          </cell>
          <cell r="B237" t="str">
            <v>PAMA</v>
          </cell>
          <cell r="C237" t="str">
            <v>P3000Bk18</v>
          </cell>
          <cell r="D237" t="str">
            <v>3740</v>
          </cell>
          <cell r="E237">
            <v>1458</v>
          </cell>
          <cell r="F237">
            <v>20</v>
          </cell>
          <cell r="G237">
            <v>6692.1884765625</v>
          </cell>
          <cell r="H237">
            <v>0.87152624130249023</v>
          </cell>
          <cell r="I237">
            <v>3.1298472881317139</v>
          </cell>
          <cell r="J237">
            <v>8.7923688888549805</v>
          </cell>
          <cell r="K237">
            <v>12.853134155273438</v>
          </cell>
        </row>
        <row r="238">
          <cell r="A238" t="str">
            <v>PAMAP3000Bk183740145830</v>
          </cell>
          <cell r="B238" t="str">
            <v>PAMA</v>
          </cell>
          <cell r="C238" t="str">
            <v>P3000Bk18</v>
          </cell>
          <cell r="D238" t="str">
            <v>3740</v>
          </cell>
          <cell r="E238">
            <v>1458</v>
          </cell>
          <cell r="F238">
            <v>30</v>
          </cell>
          <cell r="G238">
            <v>6662.80859375</v>
          </cell>
          <cell r="H238">
            <v>0.9817579984664917</v>
          </cell>
          <cell r="I238">
            <v>3.3009331226348877</v>
          </cell>
          <cell r="J238">
            <v>9.3822288513183594</v>
          </cell>
          <cell r="K238">
            <v>13.204652786254883</v>
          </cell>
        </row>
        <row r="239">
          <cell r="A239" t="str">
            <v>PAMAP3000Bk184000145840</v>
          </cell>
          <cell r="B239" t="str">
            <v>PAMA</v>
          </cell>
          <cell r="C239" t="str">
            <v>P3000Bk18</v>
          </cell>
          <cell r="D239" t="str">
            <v>4000</v>
          </cell>
          <cell r="E239">
            <v>1458</v>
          </cell>
          <cell r="F239">
            <v>40</v>
          </cell>
          <cell r="G239">
            <v>6722.37841796875</v>
          </cell>
          <cell r="H239">
            <v>1.5522525310516357</v>
          </cell>
          <cell r="I239">
            <v>3.4681198596954346</v>
          </cell>
          <cell r="J239">
            <v>9.40814208984375</v>
          </cell>
          <cell r="K239">
            <v>13.900315284729004</v>
          </cell>
        </row>
        <row r="240">
          <cell r="A240" t="str">
            <v>PAMAP3000Bk183000145910</v>
          </cell>
          <cell r="B240" t="str">
            <v>PAMA</v>
          </cell>
          <cell r="C240" t="str">
            <v>P3000Bk18</v>
          </cell>
          <cell r="D240" t="str">
            <v>3000</v>
          </cell>
          <cell r="E240">
            <v>1459</v>
          </cell>
          <cell r="F240">
            <v>10</v>
          </cell>
          <cell r="G240">
            <v>6716.925654377339</v>
          </cell>
          <cell r="H240">
            <v>0.58713174037842897</v>
          </cell>
          <cell r="I240">
            <v>4.9235247032179368</v>
          </cell>
          <cell r="J240">
            <v>9.2263700236180917</v>
          </cell>
          <cell r="K240">
            <v>13.400193083227961</v>
          </cell>
        </row>
        <row r="241">
          <cell r="A241" t="str">
            <v>PAMAP3000Bk183000145920</v>
          </cell>
          <cell r="B241" t="str">
            <v>PAMA</v>
          </cell>
          <cell r="C241" t="str">
            <v>P3000Bk18</v>
          </cell>
          <cell r="D241" t="str">
            <v>3000</v>
          </cell>
          <cell r="E241">
            <v>1459</v>
          </cell>
          <cell r="F241">
            <v>20</v>
          </cell>
          <cell r="G241">
            <v>6767.2573517445835</v>
          </cell>
          <cell r="H241">
            <v>0.43577779420283974</v>
          </cell>
          <cell r="I241">
            <v>4.6685838117578484</v>
          </cell>
          <cell r="J241">
            <v>9.3782652252425063</v>
          </cell>
          <cell r="K241">
            <v>13.373351752857166</v>
          </cell>
        </row>
        <row r="242">
          <cell r="A242" t="str">
            <v>PAMAP3000Bk183000145930</v>
          </cell>
          <cell r="B242" t="str">
            <v>PAMA</v>
          </cell>
          <cell r="C242" t="str">
            <v>P3000Bk18</v>
          </cell>
          <cell r="D242" t="str">
            <v>3000</v>
          </cell>
          <cell r="E242">
            <v>1459</v>
          </cell>
          <cell r="F242">
            <v>30</v>
          </cell>
          <cell r="G242">
            <v>6877.90185546875</v>
          </cell>
          <cell r="H242">
            <v>0.30205175280570984</v>
          </cell>
          <cell r="I242">
            <v>3.7353279590606689</v>
          </cell>
          <cell r="J242">
            <v>9.3494329452514648</v>
          </cell>
          <cell r="K242">
            <v>13.333368301391602</v>
          </cell>
        </row>
        <row r="243">
          <cell r="A243" t="str">
            <v>PAMAP3000Bk183740145920</v>
          </cell>
          <cell r="B243" t="str">
            <v>PAMA</v>
          </cell>
          <cell r="C243" t="str">
            <v>P3000Bk18</v>
          </cell>
          <cell r="D243" t="str">
            <v>3740</v>
          </cell>
          <cell r="E243">
            <v>1459</v>
          </cell>
          <cell r="F243">
            <v>20</v>
          </cell>
          <cell r="G243">
            <v>6696.10595703125</v>
          </cell>
          <cell r="H243">
            <v>0.88568049669265747</v>
          </cell>
          <cell r="I243">
            <v>3.0666885375976563</v>
          </cell>
          <cell r="J243">
            <v>9.2447452545166016</v>
          </cell>
          <cell r="K243">
            <v>13.104433059692383</v>
          </cell>
        </row>
        <row r="244">
          <cell r="A244" t="str">
            <v>PAMAP3000Bk183740145930</v>
          </cell>
          <cell r="B244" t="str">
            <v>PAMA</v>
          </cell>
          <cell r="C244" t="str">
            <v>P3000Bk18</v>
          </cell>
          <cell r="D244" t="str">
            <v>3740</v>
          </cell>
          <cell r="E244">
            <v>1459</v>
          </cell>
          <cell r="F244">
            <v>30</v>
          </cell>
          <cell r="G244">
            <v>6690.09619140625</v>
          </cell>
          <cell r="H244">
            <v>0.94696658849716187</v>
          </cell>
          <cell r="I244">
            <v>3.0560498237609863</v>
          </cell>
          <cell r="J244">
            <v>9.5132293701171875</v>
          </cell>
          <cell r="K244">
            <v>13.246129035949707</v>
          </cell>
        </row>
        <row r="245">
          <cell r="A245" t="str">
            <v>PAMAP3000Bk183000146010</v>
          </cell>
          <cell r="B245" t="str">
            <v>PAMA</v>
          </cell>
          <cell r="C245" t="str">
            <v>P3000Bk18</v>
          </cell>
          <cell r="D245" t="str">
            <v>3000</v>
          </cell>
          <cell r="E245">
            <v>1460</v>
          </cell>
          <cell r="F245">
            <v>10</v>
          </cell>
          <cell r="G245">
            <v>6703.1357383652921</v>
          </cell>
          <cell r="H245">
            <v>0.59212376242929055</v>
          </cell>
          <cell r="I245">
            <v>4.7781050678350274</v>
          </cell>
          <cell r="J245">
            <v>9.3400766553634789</v>
          </cell>
          <cell r="K245">
            <v>13.508475411207199</v>
          </cell>
        </row>
        <row r="246">
          <cell r="A246" t="str">
            <v>PAMAP3000Bk183000146020</v>
          </cell>
          <cell r="B246" t="str">
            <v>PAMA</v>
          </cell>
          <cell r="C246" t="str">
            <v>P3000Bk18</v>
          </cell>
          <cell r="D246" t="str">
            <v>3000</v>
          </cell>
          <cell r="E246">
            <v>1460</v>
          </cell>
          <cell r="F246">
            <v>20</v>
          </cell>
          <cell r="G246">
            <v>6713.1241083245013</v>
          </cell>
          <cell r="H246">
            <v>0.52250822036756772</v>
          </cell>
          <cell r="I246">
            <v>4.8325071046156278</v>
          </cell>
          <cell r="J246">
            <v>9.4241899019737421</v>
          </cell>
          <cell r="K246">
            <v>13.527508421113913</v>
          </cell>
        </row>
        <row r="247">
          <cell r="A247" t="str">
            <v>PAMAP3000Bk183000146030</v>
          </cell>
          <cell r="B247" t="str">
            <v>PAMA</v>
          </cell>
          <cell r="C247" t="str">
            <v>P3000Bk18</v>
          </cell>
          <cell r="D247" t="str">
            <v>3000</v>
          </cell>
          <cell r="E247">
            <v>1460</v>
          </cell>
          <cell r="F247">
            <v>30</v>
          </cell>
          <cell r="G247">
            <v>6818.24755859375</v>
          </cell>
          <cell r="H247">
            <v>0.33432689309120178</v>
          </cell>
          <cell r="I247">
            <v>3.7702498435974121</v>
          </cell>
          <cell r="J247">
            <v>9.4275484085083008</v>
          </cell>
          <cell r="K247">
            <v>13.454911231994629</v>
          </cell>
        </row>
        <row r="248">
          <cell r="A248" t="str">
            <v>PAMAP3000Bk183740146020</v>
          </cell>
          <cell r="B248" t="str">
            <v>PAMA</v>
          </cell>
          <cell r="C248" t="str">
            <v>P3000Bk18</v>
          </cell>
          <cell r="D248" t="str">
            <v>3740</v>
          </cell>
          <cell r="E248">
            <v>1460</v>
          </cell>
          <cell r="F248">
            <v>20</v>
          </cell>
          <cell r="G248">
            <v>6720.3291015625</v>
          </cell>
          <cell r="H248">
            <v>0.87373220920562744</v>
          </cell>
          <cell r="I248">
            <v>2.8838508129119873</v>
          </cell>
          <cell r="J248">
            <v>9.4614076614379883</v>
          </cell>
          <cell r="K248">
            <v>13.149726867675781</v>
          </cell>
        </row>
        <row r="249">
          <cell r="A249" t="str">
            <v>PAMAP3000Bk183740146030</v>
          </cell>
          <cell r="B249" t="str">
            <v>PAMA</v>
          </cell>
          <cell r="C249" t="str">
            <v>P3000Bk18</v>
          </cell>
          <cell r="D249" t="str">
            <v>3740</v>
          </cell>
          <cell r="E249">
            <v>1460</v>
          </cell>
          <cell r="F249">
            <v>30</v>
          </cell>
          <cell r="G249">
            <v>6730.78515625</v>
          </cell>
          <cell r="H249">
            <v>0.9107968807220459</v>
          </cell>
          <cell r="I249">
            <v>2.8138279914855957</v>
          </cell>
          <cell r="J249">
            <v>9.5233306884765625</v>
          </cell>
          <cell r="K249">
            <v>13.165740966796875</v>
          </cell>
        </row>
        <row r="250">
          <cell r="A250" t="str">
            <v>PAMAP3000Bk184000146040</v>
          </cell>
          <cell r="B250" t="str">
            <v>PAMA</v>
          </cell>
          <cell r="C250" t="str">
            <v>P3000Bk18</v>
          </cell>
          <cell r="D250" t="str">
            <v>4000</v>
          </cell>
          <cell r="E250">
            <v>1460</v>
          </cell>
          <cell r="F250">
            <v>40</v>
          </cell>
          <cell r="G250">
            <v>6494.806832843803</v>
          </cell>
          <cell r="H250">
            <v>1.269204345596505</v>
          </cell>
          <cell r="I250">
            <v>4.5548113636443492</v>
          </cell>
          <cell r="J250">
            <v>10.8903794918113</v>
          </cell>
          <cell r="K250">
            <v>14.317320927418368</v>
          </cell>
        </row>
        <row r="251">
          <cell r="A251" t="str">
            <v>PAMAP3000Bk183000146110</v>
          </cell>
          <cell r="B251" t="str">
            <v>PAMA</v>
          </cell>
          <cell r="C251" t="str">
            <v>P3000Bk18</v>
          </cell>
          <cell r="D251" t="str">
            <v>3000</v>
          </cell>
          <cell r="E251">
            <v>1461</v>
          </cell>
          <cell r="F251">
            <v>10</v>
          </cell>
          <cell r="G251">
            <v>6701.9127848367571</v>
          </cell>
          <cell r="H251">
            <v>0.6607438469300847</v>
          </cell>
          <cell r="I251">
            <v>4.4362631632317102</v>
          </cell>
          <cell r="J251">
            <v>9.3116301641167958</v>
          </cell>
          <cell r="K251">
            <v>13.614588931535797</v>
          </cell>
        </row>
        <row r="252">
          <cell r="A252" t="str">
            <v>PAMAP3000Bk183000146120</v>
          </cell>
          <cell r="B252" t="str">
            <v>PAMA</v>
          </cell>
          <cell r="C252" t="str">
            <v>P3000Bk18</v>
          </cell>
          <cell r="D252" t="str">
            <v>3000</v>
          </cell>
          <cell r="E252">
            <v>1461</v>
          </cell>
          <cell r="F252">
            <v>20</v>
          </cell>
          <cell r="G252">
            <v>6704.732105196862</v>
          </cell>
          <cell r="H252">
            <v>0.61282085468997349</v>
          </cell>
          <cell r="I252">
            <v>4.3648682697346803</v>
          </cell>
          <cell r="J252">
            <v>9.2791156930402323</v>
          </cell>
          <cell r="K252">
            <v>13.655587334329654</v>
          </cell>
        </row>
        <row r="253">
          <cell r="A253" t="str">
            <v>PAMAP3000Bk183000146130</v>
          </cell>
          <cell r="B253" t="str">
            <v>PAMA</v>
          </cell>
          <cell r="C253" t="str">
            <v>P3000Bk18</v>
          </cell>
          <cell r="D253" t="str">
            <v>3000</v>
          </cell>
          <cell r="E253">
            <v>1461</v>
          </cell>
          <cell r="F253">
            <v>30</v>
          </cell>
          <cell r="G253">
            <v>6762.64697265625</v>
          </cell>
          <cell r="H253">
            <v>0.38279831409454346</v>
          </cell>
          <cell r="I253">
            <v>3.7797579765319824</v>
          </cell>
          <cell r="J253">
            <v>9.2616605758666992</v>
          </cell>
          <cell r="K253">
            <v>13.619297981262207</v>
          </cell>
        </row>
        <row r="254">
          <cell r="A254" t="str">
            <v>PAMAP3000Bk183740146120</v>
          </cell>
          <cell r="B254" t="str">
            <v>PAMA</v>
          </cell>
          <cell r="C254" t="str">
            <v>P3000Bk18</v>
          </cell>
          <cell r="D254" t="str">
            <v>3740</v>
          </cell>
          <cell r="E254">
            <v>1461</v>
          </cell>
          <cell r="F254">
            <v>20</v>
          </cell>
          <cell r="G254">
            <v>6747.98095703125</v>
          </cell>
          <cell r="H254">
            <v>0.85380053520202637</v>
          </cell>
          <cell r="I254">
            <v>2.7072234153747559</v>
          </cell>
          <cell r="J254">
            <v>9.5453815460205078</v>
          </cell>
          <cell r="K254">
            <v>13.109504699707031</v>
          </cell>
        </row>
        <row r="255">
          <cell r="A255" t="str">
            <v>PAMAP3000Bk183740146130</v>
          </cell>
          <cell r="B255" t="str">
            <v>PAMA</v>
          </cell>
          <cell r="C255" t="str">
            <v>P3000Bk18</v>
          </cell>
          <cell r="D255" t="str">
            <v>3740</v>
          </cell>
          <cell r="E255">
            <v>1461</v>
          </cell>
          <cell r="F255">
            <v>30</v>
          </cell>
          <cell r="G255">
            <v>6775.1923828125</v>
          </cell>
          <cell r="H255">
            <v>0.89813828468322754</v>
          </cell>
          <cell r="I255">
            <v>2.603074312210083</v>
          </cell>
          <cell r="J255">
            <v>9.5251321792602539</v>
          </cell>
          <cell r="K255">
            <v>13.038779258728027</v>
          </cell>
        </row>
        <row r="256">
          <cell r="A256" t="str">
            <v>PAMAP3000Bk184000146140</v>
          </cell>
          <cell r="B256" t="str">
            <v>PAMA</v>
          </cell>
          <cell r="C256" t="str">
            <v>P3000Bk18</v>
          </cell>
          <cell r="D256" t="str">
            <v>4000</v>
          </cell>
          <cell r="E256">
            <v>1461</v>
          </cell>
          <cell r="F256">
            <v>40</v>
          </cell>
          <cell r="G256">
            <v>6499.2854894601587</v>
          </cell>
          <cell r="H256">
            <v>1.3586199235389476</v>
          </cell>
          <cell r="I256">
            <v>4.8838033136964647</v>
          </cell>
          <cell r="J256">
            <v>10.426642285366135</v>
          </cell>
          <cell r="K256">
            <v>14.162101522112447</v>
          </cell>
        </row>
        <row r="257">
          <cell r="A257" t="str">
            <v>PAMAP3000Bk183000146210</v>
          </cell>
          <cell r="B257" t="str">
            <v>PAMA</v>
          </cell>
          <cell r="C257" t="str">
            <v>P3000Bk18</v>
          </cell>
          <cell r="D257" t="str">
            <v>3000</v>
          </cell>
          <cell r="E257">
            <v>1462</v>
          </cell>
          <cell r="F257">
            <v>10</v>
          </cell>
          <cell r="G257">
            <v>6692.9922484132612</v>
          </cell>
          <cell r="H257">
            <v>0.55521985932032392</v>
          </cell>
          <cell r="I257">
            <v>4.4672367192520994</v>
          </cell>
          <cell r="J257">
            <v>9.2548410985189538</v>
          </cell>
          <cell r="K257">
            <v>13.525554122699601</v>
          </cell>
        </row>
        <row r="258">
          <cell r="A258" t="str">
            <v>PAMAP3000Bk183000146220</v>
          </cell>
          <cell r="B258" t="str">
            <v>PAMA</v>
          </cell>
          <cell r="C258" t="str">
            <v>P3000Bk18</v>
          </cell>
          <cell r="D258" t="str">
            <v>3000</v>
          </cell>
          <cell r="E258">
            <v>1462</v>
          </cell>
          <cell r="F258">
            <v>20</v>
          </cell>
          <cell r="G258">
            <v>6704.547004612813</v>
          </cell>
          <cell r="H258">
            <v>0.6571601967713866</v>
          </cell>
          <cell r="I258">
            <v>4.219823274482259</v>
          </cell>
          <cell r="J258">
            <v>9.3379829545160611</v>
          </cell>
          <cell r="K258">
            <v>13.652790449762328</v>
          </cell>
        </row>
        <row r="259">
          <cell r="A259" t="str">
            <v>PAMAP3000Bk183740146220</v>
          </cell>
          <cell r="B259" t="str">
            <v>PAMA</v>
          </cell>
          <cell r="C259" t="str">
            <v>P3000Bk18</v>
          </cell>
          <cell r="D259" t="str">
            <v>3740</v>
          </cell>
          <cell r="E259">
            <v>1462</v>
          </cell>
          <cell r="F259">
            <v>20</v>
          </cell>
          <cell r="G259">
            <v>6794.3525390625</v>
          </cell>
          <cell r="H259">
            <v>0.82200139760971069</v>
          </cell>
          <cell r="I259">
            <v>2.4964373111724854</v>
          </cell>
          <cell r="J259">
            <v>9.6400251388549805</v>
          </cell>
          <cell r="K259">
            <v>13.031208992004395</v>
          </cell>
        </row>
        <row r="260">
          <cell r="A260" t="str">
            <v>PAMAP3000Bk183740146230</v>
          </cell>
          <cell r="B260" t="str">
            <v>PAMA</v>
          </cell>
          <cell r="C260" t="str">
            <v>P3000Bk18</v>
          </cell>
          <cell r="D260" t="str">
            <v>3740</v>
          </cell>
          <cell r="E260">
            <v>1462</v>
          </cell>
          <cell r="F260">
            <v>30</v>
          </cell>
          <cell r="G260">
            <v>6819.25</v>
          </cell>
          <cell r="H260">
            <v>0.86514395475387573</v>
          </cell>
          <cell r="I260">
            <v>2.4376685619354248</v>
          </cell>
          <cell r="J260">
            <v>9.6485023498535156</v>
          </cell>
          <cell r="K260">
            <v>12.955693244934082</v>
          </cell>
        </row>
        <row r="261">
          <cell r="A261" t="str">
            <v>PAMAP3000Bk184000146240</v>
          </cell>
          <cell r="B261" t="str">
            <v>PAMA</v>
          </cell>
          <cell r="C261" t="str">
            <v>P3000Bk18</v>
          </cell>
          <cell r="D261" t="str">
            <v>4000</v>
          </cell>
          <cell r="E261">
            <v>1462</v>
          </cell>
          <cell r="F261">
            <v>40</v>
          </cell>
          <cell r="G261">
            <v>6439.7556027254932</v>
          </cell>
          <cell r="H261">
            <v>1.2781009349694443</v>
          </cell>
          <cell r="I261">
            <v>5.5888175589913569</v>
          </cell>
          <cell r="J261">
            <v>10.237431106073968</v>
          </cell>
          <cell r="K261">
            <v>14.167098184681311</v>
          </cell>
        </row>
        <row r="262">
          <cell r="A262" t="str">
            <v>PAMAP3000Bk184000146250</v>
          </cell>
          <cell r="B262" t="str">
            <v>PAMA</v>
          </cell>
          <cell r="C262" t="str">
            <v>P3000Bk18</v>
          </cell>
          <cell r="D262" t="str">
            <v>4000</v>
          </cell>
          <cell r="E262">
            <v>1462</v>
          </cell>
          <cell r="F262">
            <v>50</v>
          </cell>
          <cell r="G262">
            <v>6432.6754248628022</v>
          </cell>
          <cell r="H262">
            <v>1.279376559978167</v>
          </cell>
          <cell r="I262">
            <v>5.6688616330012396</v>
          </cell>
          <cell r="J262">
            <v>10.183749543865133</v>
          </cell>
          <cell r="K262">
            <v>14.169697690421874</v>
          </cell>
        </row>
        <row r="263">
          <cell r="A263" t="str">
            <v>PAMAP3000Bk183000146320</v>
          </cell>
          <cell r="B263" t="str">
            <v>PAMA</v>
          </cell>
          <cell r="C263" t="str">
            <v>P3000Bk18</v>
          </cell>
          <cell r="D263" t="str">
            <v>3000</v>
          </cell>
          <cell r="E263">
            <v>1463</v>
          </cell>
          <cell r="F263">
            <v>20</v>
          </cell>
          <cell r="G263">
            <v>6702.0067412002154</v>
          </cell>
          <cell r="H263">
            <v>0.66718077739969939</v>
          </cell>
          <cell r="I263">
            <v>4.0919367645404332</v>
          </cell>
          <cell r="J263">
            <v>9.4134894865746954</v>
          </cell>
          <cell r="K263">
            <v>13.676061490677045</v>
          </cell>
        </row>
        <row r="264">
          <cell r="A264" t="str">
            <v>PAMAP3000Bk183740146320</v>
          </cell>
          <cell r="B264" t="str">
            <v>PAMA</v>
          </cell>
          <cell r="C264" t="str">
            <v>P3000Bk18</v>
          </cell>
          <cell r="D264" t="str">
            <v>3740</v>
          </cell>
          <cell r="E264">
            <v>1463</v>
          </cell>
          <cell r="F264">
            <v>20</v>
          </cell>
          <cell r="G264">
            <v>6837.48046875</v>
          </cell>
          <cell r="H264">
            <v>0.64040589332580566</v>
          </cell>
          <cell r="I264">
            <v>2.1965112686157227</v>
          </cell>
          <cell r="J264">
            <v>9.6635055541992188</v>
          </cell>
          <cell r="K264">
            <v>12.928888320922852</v>
          </cell>
        </row>
        <row r="265">
          <cell r="A265" t="str">
            <v>PAMAP3000Bk183740146330</v>
          </cell>
          <cell r="B265" t="str">
            <v>PAMA</v>
          </cell>
          <cell r="C265" t="str">
            <v>P3000Bk18</v>
          </cell>
          <cell r="D265" t="str">
            <v>3740</v>
          </cell>
          <cell r="E265">
            <v>1463</v>
          </cell>
          <cell r="F265">
            <v>30</v>
          </cell>
          <cell r="G265">
            <v>6901.67724609375</v>
          </cell>
          <cell r="H265">
            <v>0.56829673051834106</v>
          </cell>
          <cell r="I265">
            <v>1.9547330141067505</v>
          </cell>
          <cell r="J265">
            <v>9.7113771438598633</v>
          </cell>
          <cell r="K265">
            <v>12.672794342041016</v>
          </cell>
        </row>
        <row r="266">
          <cell r="A266" t="str">
            <v>PAMAP3000Bk183000146420</v>
          </cell>
          <cell r="B266" t="str">
            <v>PAMA</v>
          </cell>
          <cell r="C266" t="str">
            <v>P3000Bk18</v>
          </cell>
          <cell r="D266" t="str">
            <v>3000</v>
          </cell>
          <cell r="E266">
            <v>1464</v>
          </cell>
          <cell r="F266">
            <v>20</v>
          </cell>
          <cell r="G266">
            <v>6706.2581457425567</v>
          </cell>
          <cell r="H266">
            <v>0.60022813563945088</v>
          </cell>
          <cell r="I266">
            <v>3.9648686393489978</v>
          </cell>
          <cell r="J266">
            <v>9.4778123155150986</v>
          </cell>
          <cell r="K266">
            <v>13.687766839693497</v>
          </cell>
        </row>
        <row r="267">
          <cell r="A267" t="str">
            <v>PAMAP3000Bk183000146430</v>
          </cell>
          <cell r="B267" t="str">
            <v>PAMA</v>
          </cell>
          <cell r="C267" t="str">
            <v>P3000Bk18</v>
          </cell>
          <cell r="D267" t="str">
            <v>3000</v>
          </cell>
          <cell r="E267">
            <v>1464</v>
          </cell>
          <cell r="F267">
            <v>30</v>
          </cell>
          <cell r="G267">
            <v>6778.64208984375</v>
          </cell>
          <cell r="H267">
            <v>0.38857558369636536</v>
          </cell>
          <cell r="I267">
            <v>3.2564742565155029</v>
          </cell>
          <cell r="J267">
            <v>9.5280857086181641</v>
          </cell>
          <cell r="K267">
            <v>13.626413345336914</v>
          </cell>
        </row>
        <row r="268">
          <cell r="A268" t="str">
            <v>PAMAP3000Bk183740146420</v>
          </cell>
          <cell r="B268" t="str">
            <v>PAMA</v>
          </cell>
          <cell r="C268" t="str">
            <v>P3000Bk18</v>
          </cell>
          <cell r="D268" t="str">
            <v>3740</v>
          </cell>
          <cell r="E268">
            <v>1464</v>
          </cell>
          <cell r="F268">
            <v>20</v>
          </cell>
          <cell r="G268">
            <v>6822.37890625</v>
          </cell>
          <cell r="H268">
            <v>0.53255242109298706</v>
          </cell>
          <cell r="I268">
            <v>2.1140332221984863</v>
          </cell>
          <cell r="J268">
            <v>9.5336360931396484</v>
          </cell>
          <cell r="K268">
            <v>12.984329223632813</v>
          </cell>
        </row>
        <row r="269">
          <cell r="A269" t="str">
            <v>PAMAP3000Bk183740146430</v>
          </cell>
          <cell r="B269" t="str">
            <v>PAMA</v>
          </cell>
          <cell r="C269" t="str">
            <v>P3000Bk18</v>
          </cell>
          <cell r="D269" t="str">
            <v>3740</v>
          </cell>
          <cell r="E269">
            <v>1464</v>
          </cell>
          <cell r="F269">
            <v>30</v>
          </cell>
          <cell r="G269">
            <v>6906.69140625</v>
          </cell>
          <cell r="H269">
            <v>0.43163532018661499</v>
          </cell>
          <cell r="I269">
            <v>1.7823500633239746</v>
          </cell>
          <cell r="J269">
            <v>9.6809778213500977</v>
          </cell>
          <cell r="K269">
            <v>12.761934280395508</v>
          </cell>
        </row>
        <row r="270">
          <cell r="A270" t="str">
            <v>PAMAP3000Bk183000146520</v>
          </cell>
          <cell r="B270" t="str">
            <v>PAMA</v>
          </cell>
          <cell r="C270" t="str">
            <v>P3000Bk18</v>
          </cell>
          <cell r="D270" t="str">
            <v>3000</v>
          </cell>
          <cell r="E270">
            <v>1465</v>
          </cell>
          <cell r="F270">
            <v>20</v>
          </cell>
          <cell r="G270">
            <v>6713.1502892761164</v>
          </cell>
          <cell r="H270">
            <v>0.56330090197045513</v>
          </cell>
          <cell r="I270">
            <v>3.8108691059370305</v>
          </cell>
          <cell r="J270">
            <v>9.6039269123694435</v>
          </cell>
          <cell r="K270">
            <v>13.757415576930152</v>
          </cell>
        </row>
        <row r="271">
          <cell r="A271" t="str">
            <v>PAMAP3000Bk183000146530</v>
          </cell>
          <cell r="B271" t="str">
            <v>PAMA</v>
          </cell>
          <cell r="C271" t="str">
            <v>P3000Bk18</v>
          </cell>
          <cell r="D271" t="str">
            <v>3000</v>
          </cell>
          <cell r="E271">
            <v>1465</v>
          </cell>
          <cell r="F271">
            <v>30</v>
          </cell>
          <cell r="G271">
            <v>6800.2093588345861</v>
          </cell>
          <cell r="H271">
            <v>0.37404285480532107</v>
          </cell>
          <cell r="I271">
            <v>2.9600936471361594</v>
          </cell>
          <cell r="J271">
            <v>9.7271141067008475</v>
          </cell>
          <cell r="K271">
            <v>13.701998154029994</v>
          </cell>
        </row>
        <row r="272">
          <cell r="A272" t="str">
            <v>PAMAP3000Bk183000146620</v>
          </cell>
          <cell r="B272" t="str">
            <v>PAMA</v>
          </cell>
          <cell r="C272" t="str">
            <v>P3000Bk18</v>
          </cell>
          <cell r="D272" t="str">
            <v>3000</v>
          </cell>
          <cell r="E272">
            <v>1466</v>
          </cell>
          <cell r="F272">
            <v>20</v>
          </cell>
          <cell r="G272">
            <v>6714.7213177250424</v>
          </cell>
          <cell r="H272">
            <v>0.53842084768869514</v>
          </cell>
          <cell r="I272">
            <v>3.7808941156104585</v>
          </cell>
          <cell r="J272">
            <v>9.7307350095379466</v>
          </cell>
          <cell r="K272">
            <v>13.886111192482694</v>
          </cell>
        </row>
        <row r="273">
          <cell r="A273" t="str">
            <v>PAMAP3000Bk183000146630</v>
          </cell>
          <cell r="B273" t="str">
            <v>PAMA</v>
          </cell>
          <cell r="C273" t="str">
            <v>P3000Bk18</v>
          </cell>
          <cell r="D273" t="str">
            <v>3000</v>
          </cell>
          <cell r="E273">
            <v>1466</v>
          </cell>
          <cell r="F273">
            <v>30</v>
          </cell>
          <cell r="G273">
            <v>6724.5142662926119</v>
          </cell>
          <cell r="H273">
            <v>0.52500979452046204</v>
          </cell>
          <cell r="I273">
            <v>3.6484744546911614</v>
          </cell>
          <cell r="J273">
            <v>9.8368970509089042</v>
          </cell>
          <cell r="K273">
            <v>13.949335707171185</v>
          </cell>
        </row>
        <row r="274">
          <cell r="A274" t="str">
            <v>PAMAP3000Bk183000146720</v>
          </cell>
          <cell r="B274" t="str">
            <v>PAMA</v>
          </cell>
          <cell r="C274" t="str">
            <v>P3000Bk18</v>
          </cell>
          <cell r="D274" t="str">
            <v>3000</v>
          </cell>
          <cell r="E274">
            <v>1467</v>
          </cell>
          <cell r="F274">
            <v>20</v>
          </cell>
          <cell r="G274">
            <v>6725.1524370858997</v>
          </cell>
          <cell r="H274">
            <v>0.51748467675397158</v>
          </cell>
          <cell r="I274">
            <v>3.7454713439273806</v>
          </cell>
          <cell r="J274">
            <v>9.7470079187497873</v>
          </cell>
          <cell r="K274">
            <v>13.979947311284825</v>
          </cell>
        </row>
        <row r="275">
          <cell r="A275" t="str">
            <v>PAMAP3000Bk183000146730</v>
          </cell>
          <cell r="B275" t="str">
            <v>PAMA</v>
          </cell>
          <cell r="C275" t="str">
            <v>P3000Bk18</v>
          </cell>
          <cell r="D275" t="str">
            <v>3000</v>
          </cell>
          <cell r="E275">
            <v>1467</v>
          </cell>
          <cell r="F275">
            <v>30</v>
          </cell>
          <cell r="G275">
            <v>6733.1039886267181</v>
          </cell>
          <cell r="H275">
            <v>0.50471480732664009</v>
          </cell>
          <cell r="I275">
            <v>3.6717224636495711</v>
          </cell>
          <cell r="J275">
            <v>9.8935305774840039</v>
          </cell>
          <cell r="K275">
            <v>14.22856128101818</v>
          </cell>
        </row>
        <row r="276">
          <cell r="A276" t="str">
            <v>PAMAP3000Bk183740146730</v>
          </cell>
          <cell r="B276" t="str">
            <v>PAMA</v>
          </cell>
          <cell r="C276" t="str">
            <v>P3000Bk18</v>
          </cell>
          <cell r="D276" t="str">
            <v>3740</v>
          </cell>
          <cell r="E276">
            <v>1467</v>
          </cell>
          <cell r="F276">
            <v>30</v>
          </cell>
          <cell r="G276">
            <v>6640.83935546875</v>
          </cell>
          <cell r="H276">
            <v>0.68850803375244141</v>
          </cell>
          <cell r="I276">
            <v>3.5034847259521484</v>
          </cell>
          <cell r="J276">
            <v>9.7354412078857422</v>
          </cell>
          <cell r="K276">
            <v>13.355995178222656</v>
          </cell>
        </row>
        <row r="277">
          <cell r="A277" t="str">
            <v>PAMAP3000Bk183000146820</v>
          </cell>
          <cell r="B277" t="str">
            <v>PAMA</v>
          </cell>
          <cell r="C277" t="str">
            <v>P3000Bk18</v>
          </cell>
          <cell r="D277" t="str">
            <v>3000</v>
          </cell>
          <cell r="E277">
            <v>1468</v>
          </cell>
          <cell r="F277">
            <v>20</v>
          </cell>
          <cell r="G277">
            <v>6753.5459044390182</v>
          </cell>
          <cell r="H277">
            <v>0.43213153982475094</v>
          </cell>
          <cell r="I277">
            <v>3.5957300028504986</v>
          </cell>
          <cell r="J277">
            <v>9.7263916123707617</v>
          </cell>
          <cell r="K277">
            <v>14.024558684857904</v>
          </cell>
        </row>
        <row r="278">
          <cell r="A278" t="str">
            <v>PAMAP3000Bk183000146830</v>
          </cell>
          <cell r="B278" t="str">
            <v>PAMA</v>
          </cell>
          <cell r="C278" t="str">
            <v>P3000Bk18</v>
          </cell>
          <cell r="D278" t="str">
            <v>3000</v>
          </cell>
          <cell r="E278">
            <v>1468</v>
          </cell>
          <cell r="F278">
            <v>30</v>
          </cell>
          <cell r="G278">
            <v>6736.9110167243007</v>
          </cell>
          <cell r="H278">
            <v>0.47830495682227125</v>
          </cell>
          <cell r="I278">
            <v>3.8746707320660891</v>
          </cell>
          <cell r="J278">
            <v>9.7210729530085391</v>
          </cell>
          <cell r="K278">
            <v>14.169034892933272</v>
          </cell>
        </row>
        <row r="279">
          <cell r="A279" t="str">
            <v>PAMAP3000Bk183740146830</v>
          </cell>
          <cell r="B279" t="str">
            <v>PAMA</v>
          </cell>
          <cell r="C279" t="str">
            <v>P3000Bk18</v>
          </cell>
          <cell r="D279" t="str">
            <v>3740</v>
          </cell>
          <cell r="E279">
            <v>1468</v>
          </cell>
          <cell r="F279">
            <v>30</v>
          </cell>
          <cell r="G279">
            <v>6623.2685546875</v>
          </cell>
          <cell r="H279">
            <v>0.69125103950500488</v>
          </cell>
          <cell r="I279">
            <v>3.74078369140625</v>
          </cell>
          <cell r="J279">
            <v>9.7076416015625</v>
          </cell>
          <cell r="K279">
            <v>13.335256576538086</v>
          </cell>
        </row>
        <row r="280">
          <cell r="A280" t="str">
            <v>PAMAP3000Bk183740146840</v>
          </cell>
          <cell r="B280" t="str">
            <v>PAMA</v>
          </cell>
          <cell r="C280" t="str">
            <v>P3000Bk18</v>
          </cell>
          <cell r="D280" t="str">
            <v>3740</v>
          </cell>
          <cell r="E280">
            <v>1468</v>
          </cell>
          <cell r="F280">
            <v>40</v>
          </cell>
          <cell r="G280">
            <v>6661.77294921875</v>
          </cell>
          <cell r="H280">
            <v>0.643868088722229</v>
          </cell>
          <cell r="I280">
            <v>3.1395740509033203</v>
          </cell>
          <cell r="J280">
            <v>9.9908170700073242</v>
          </cell>
          <cell r="K280">
            <v>13.734190940856934</v>
          </cell>
        </row>
        <row r="281">
          <cell r="A281" t="str">
            <v>PAMAP3000Bk183000146930</v>
          </cell>
          <cell r="B281" t="str">
            <v>PAMA</v>
          </cell>
          <cell r="C281" t="str">
            <v>P3000Bk18</v>
          </cell>
          <cell r="D281" t="str">
            <v>3000</v>
          </cell>
          <cell r="E281">
            <v>1469</v>
          </cell>
          <cell r="F281">
            <v>30</v>
          </cell>
          <cell r="G281">
            <v>6793.7967858488428</v>
          </cell>
          <cell r="H281">
            <v>0.28387101379207963</v>
          </cell>
          <cell r="I281">
            <v>4.6129372477891577</v>
          </cell>
          <cell r="J281">
            <v>9.073772078479994</v>
          </cell>
          <cell r="K281">
            <v>13.728366397690552</v>
          </cell>
        </row>
        <row r="282">
          <cell r="A282" t="str">
            <v>PAMAP3000Bk183000146940</v>
          </cell>
          <cell r="B282" t="str">
            <v>PAMA</v>
          </cell>
          <cell r="C282" t="str">
            <v>P3000Bk18</v>
          </cell>
          <cell r="D282" t="str">
            <v>3000</v>
          </cell>
          <cell r="E282">
            <v>1469</v>
          </cell>
          <cell r="F282">
            <v>40</v>
          </cell>
          <cell r="G282">
            <v>6833.708984375</v>
          </cell>
          <cell r="H282">
            <v>0.15275835990905762</v>
          </cell>
          <cell r="I282">
            <v>5.3080449104309082</v>
          </cell>
          <cell r="J282">
            <v>8.5985488891601563</v>
          </cell>
          <cell r="K282">
            <v>13.496891975402832</v>
          </cell>
        </row>
        <row r="283">
          <cell r="A283" t="str">
            <v>PAMAP3000Bk183740146940</v>
          </cell>
          <cell r="B283" t="str">
            <v>PAMA</v>
          </cell>
          <cell r="C283" t="str">
            <v>P3000Bk18</v>
          </cell>
          <cell r="D283" t="str">
            <v>3740</v>
          </cell>
          <cell r="E283">
            <v>1469</v>
          </cell>
          <cell r="F283">
            <v>40</v>
          </cell>
          <cell r="G283">
            <v>6744.228515625</v>
          </cell>
          <cell r="H283">
            <v>0.47294273972511292</v>
          </cell>
          <cell r="I283">
            <v>2.0521395206451416</v>
          </cell>
          <cell r="J283">
            <v>10.497194290161133</v>
          </cell>
          <cell r="K283">
            <v>14.449752807617188</v>
          </cell>
        </row>
        <row r="284">
          <cell r="A284" t="str">
            <v/>
          </cell>
        </row>
        <row r="285">
          <cell r="A285" t="str">
            <v>PAMAP3000Bk143740124670</v>
          </cell>
          <cell r="B285" t="str">
            <v>PAMA</v>
          </cell>
          <cell r="C285" t="str">
            <v>P3000Bk14</v>
          </cell>
          <cell r="D285" t="str">
            <v>3740</v>
          </cell>
          <cell r="E285">
            <v>1246</v>
          </cell>
          <cell r="F285">
            <v>70</v>
          </cell>
          <cell r="G285">
            <v>6069.70068359375</v>
          </cell>
          <cell r="H285">
            <v>2.6682305335998535</v>
          </cell>
          <cell r="I285">
            <v>5.9915742874145508</v>
          </cell>
          <cell r="J285">
            <v>10.709959983825684</v>
          </cell>
          <cell r="K285">
            <v>15.092737197875977</v>
          </cell>
        </row>
        <row r="286">
          <cell r="A286" t="str">
            <v>PAMAP3000Bk143950125380</v>
          </cell>
          <cell r="B286" t="str">
            <v>PAMA</v>
          </cell>
          <cell r="C286" t="str">
            <v>P3000Bk14</v>
          </cell>
          <cell r="D286" t="str">
            <v>3950</v>
          </cell>
          <cell r="E286">
            <v>1253</v>
          </cell>
          <cell r="F286">
            <v>80</v>
          </cell>
          <cell r="G286">
            <v>6576.45361328125</v>
          </cell>
          <cell r="H286">
            <v>0.84371429681777954</v>
          </cell>
          <cell r="I286">
            <v>3.5797398090362549</v>
          </cell>
          <cell r="J286">
            <v>10.924531936645508</v>
          </cell>
          <cell r="K286">
            <v>15.714213371276855</v>
          </cell>
        </row>
        <row r="287">
          <cell r="A287" t="str">
            <v>PAMAP3000Bk143800125470</v>
          </cell>
          <cell r="B287" t="str">
            <v>PAMA</v>
          </cell>
          <cell r="C287" t="str">
            <v>P3000Bk14</v>
          </cell>
          <cell r="D287" t="str">
            <v>3800</v>
          </cell>
          <cell r="E287">
            <v>1254</v>
          </cell>
          <cell r="F287">
            <v>70</v>
          </cell>
          <cell r="G287">
            <v>6440.537109375</v>
          </cell>
          <cell r="H287">
            <v>4.054539680480957</v>
          </cell>
          <cell r="I287">
            <v>4.9842557907104492</v>
          </cell>
          <cell r="J287">
            <v>9.5994720458984375</v>
          </cell>
          <cell r="K287">
            <v>14.035455703735352</v>
          </cell>
        </row>
        <row r="288">
          <cell r="A288" t="str">
            <v>PAMAP3000Bk143900125470</v>
          </cell>
          <cell r="B288" t="str">
            <v>PAMA</v>
          </cell>
          <cell r="C288" t="str">
            <v>P3000Bk14</v>
          </cell>
          <cell r="D288" t="str">
            <v>3900</v>
          </cell>
          <cell r="E288">
            <v>1254</v>
          </cell>
          <cell r="F288">
            <v>70</v>
          </cell>
          <cell r="G288">
            <v>6419.39208984375</v>
          </cell>
          <cell r="H288">
            <v>2.7390120029449463</v>
          </cell>
          <cell r="I288">
            <v>3.6343450546264648</v>
          </cell>
          <cell r="J288">
            <v>10.46126651763916</v>
          </cell>
          <cell r="K288">
            <v>14.371523857116699</v>
          </cell>
        </row>
        <row r="289">
          <cell r="A289" t="str">
            <v>PAMAP3000Bk143950125480</v>
          </cell>
          <cell r="B289" t="str">
            <v>PAMA</v>
          </cell>
          <cell r="C289" t="str">
            <v>P3000Bk14</v>
          </cell>
          <cell r="D289" t="str">
            <v>3950</v>
          </cell>
          <cell r="E289">
            <v>1254</v>
          </cell>
          <cell r="F289">
            <v>80</v>
          </cell>
          <cell r="G289">
            <v>6588.5380859375</v>
          </cell>
          <cell r="H289">
            <v>0.82809138298034668</v>
          </cell>
          <cell r="I289">
            <v>3.6133315563201904</v>
          </cell>
          <cell r="J289">
            <v>10.877971649169922</v>
          </cell>
          <cell r="K289">
            <v>15.705465316772461</v>
          </cell>
        </row>
        <row r="290">
          <cell r="A290" t="str">
            <v>PAMAP3000Bk143800125570</v>
          </cell>
          <cell r="B290" t="str">
            <v>PAMA</v>
          </cell>
          <cell r="C290" t="str">
            <v>P3000Bk14</v>
          </cell>
          <cell r="D290" t="str">
            <v>3800</v>
          </cell>
          <cell r="E290">
            <v>1255</v>
          </cell>
          <cell r="F290">
            <v>70</v>
          </cell>
          <cell r="G290">
            <v>6534.0703125</v>
          </cell>
          <cell r="H290">
            <v>3.596552848815918</v>
          </cell>
          <cell r="I290">
            <v>4.1925673484802246</v>
          </cell>
          <cell r="J290">
            <v>9.7556390762329102</v>
          </cell>
          <cell r="K290">
            <v>14.263879776000977</v>
          </cell>
        </row>
        <row r="291">
          <cell r="A291" t="str">
            <v>PAMAP3000Bk143900125570</v>
          </cell>
          <cell r="B291" t="str">
            <v>PAMA</v>
          </cell>
          <cell r="C291" t="str">
            <v>P3000Bk14</v>
          </cell>
          <cell r="D291" t="str">
            <v>3900</v>
          </cell>
          <cell r="E291">
            <v>1255</v>
          </cell>
          <cell r="F291">
            <v>70</v>
          </cell>
          <cell r="G291">
            <v>6493.3642578125</v>
          </cell>
          <cell r="H291">
            <v>3.1800730228424072</v>
          </cell>
          <cell r="I291">
            <v>3.0885248184204102</v>
          </cell>
          <cell r="J291">
            <v>10.575417518615723</v>
          </cell>
          <cell r="K291">
            <v>14.840985298156738</v>
          </cell>
        </row>
        <row r="292">
          <cell r="A292" t="str">
            <v>PAMAP3000Bk143900125580</v>
          </cell>
          <cell r="B292" t="str">
            <v>PAMA</v>
          </cell>
          <cell r="C292" t="str">
            <v>P3000Bk14</v>
          </cell>
          <cell r="D292" t="str">
            <v>3900</v>
          </cell>
          <cell r="E292">
            <v>1255</v>
          </cell>
          <cell r="F292">
            <v>80</v>
          </cell>
          <cell r="G292">
            <v>6512.24365234375</v>
          </cell>
          <cell r="H292">
            <v>3.2970116138458252</v>
          </cell>
          <cell r="I292">
            <v>2.9130997657775879</v>
          </cell>
          <cell r="J292">
            <v>10.618743896484375</v>
          </cell>
          <cell r="K292">
            <v>14.987330436706543</v>
          </cell>
        </row>
        <row r="293">
          <cell r="A293" t="str">
            <v>PAMAP3000Bk143950125570</v>
          </cell>
          <cell r="B293" t="str">
            <v>PAMA</v>
          </cell>
          <cell r="C293" t="str">
            <v>P3000Bk14</v>
          </cell>
          <cell r="D293" t="str">
            <v>3950</v>
          </cell>
          <cell r="E293">
            <v>1255</v>
          </cell>
          <cell r="F293">
            <v>70</v>
          </cell>
          <cell r="G293">
            <v>6677.31103515625</v>
          </cell>
          <cell r="H293">
            <v>0.8595924973487854</v>
          </cell>
          <cell r="I293">
            <v>3.6649191379547119</v>
          </cell>
          <cell r="J293">
            <v>10.972020149230957</v>
          </cell>
          <cell r="K293">
            <v>15.287919044494629</v>
          </cell>
        </row>
        <row r="294">
          <cell r="A294" t="str">
            <v>PAMAP3000Bk143950125580</v>
          </cell>
          <cell r="B294" t="str">
            <v>PAMA</v>
          </cell>
          <cell r="C294" t="str">
            <v>P3000Bk14</v>
          </cell>
          <cell r="D294" t="str">
            <v>3950</v>
          </cell>
          <cell r="E294">
            <v>1255</v>
          </cell>
          <cell r="F294">
            <v>80</v>
          </cell>
          <cell r="G294">
            <v>6683.419921875</v>
          </cell>
          <cell r="H294">
            <v>0.86662471294403076</v>
          </cell>
          <cell r="I294">
            <v>3.6916224956512451</v>
          </cell>
          <cell r="J294">
            <v>10.927684783935547</v>
          </cell>
          <cell r="K294">
            <v>15.291233062744141</v>
          </cell>
        </row>
        <row r="295">
          <cell r="A295" t="str">
            <v>PAMAP3000Bk143800125670</v>
          </cell>
          <cell r="B295" t="str">
            <v>PAMA</v>
          </cell>
          <cell r="C295" t="str">
            <v>P3000Bk14</v>
          </cell>
          <cell r="D295" t="str">
            <v>3800</v>
          </cell>
          <cell r="E295">
            <v>1256</v>
          </cell>
          <cell r="F295">
            <v>70</v>
          </cell>
          <cell r="G295">
            <v>6508.10546875</v>
          </cell>
          <cell r="H295">
            <v>3.3338241577148438</v>
          </cell>
          <cell r="I295">
            <v>4.1079988479614258</v>
          </cell>
          <cell r="J295">
            <v>10.032388687133789</v>
          </cell>
          <cell r="K295">
            <v>14.380411148071289</v>
          </cell>
        </row>
        <row r="296">
          <cell r="A296" t="str">
            <v>PAMAP3000Bk143900125670</v>
          </cell>
          <cell r="B296" t="str">
            <v>PAMA</v>
          </cell>
          <cell r="C296" t="str">
            <v>P3000Bk14</v>
          </cell>
          <cell r="D296" t="str">
            <v>3900</v>
          </cell>
          <cell r="E296">
            <v>1256</v>
          </cell>
          <cell r="F296">
            <v>70</v>
          </cell>
          <cell r="G296">
            <v>6475.58935546875</v>
          </cell>
          <cell r="H296">
            <v>2.9253325462341309</v>
          </cell>
          <cell r="I296">
            <v>3.8067493438720703</v>
          </cell>
          <cell r="J296">
            <v>10.428679466247559</v>
          </cell>
          <cell r="K296">
            <v>14.362761497497559</v>
          </cell>
        </row>
        <row r="297">
          <cell r="A297" t="str">
            <v>PAMAP3000Bk143950125670</v>
          </cell>
          <cell r="B297" t="str">
            <v>PAMA</v>
          </cell>
          <cell r="C297" t="str">
            <v>P3000Bk14</v>
          </cell>
          <cell r="D297" t="str">
            <v>3950</v>
          </cell>
          <cell r="E297">
            <v>1256</v>
          </cell>
          <cell r="F297">
            <v>70</v>
          </cell>
          <cell r="G297">
            <v>6615.1455078125</v>
          </cell>
          <cell r="H297">
            <v>0.80040949583053589</v>
          </cell>
          <cell r="I297">
            <v>3.5084085464477539</v>
          </cell>
          <cell r="J297">
            <v>11.040250778198242</v>
          </cell>
          <cell r="K297">
            <v>15.455516815185547</v>
          </cell>
        </row>
        <row r="298">
          <cell r="A298" t="str">
            <v>PAMAP3000Bk143950125680</v>
          </cell>
          <cell r="B298" t="str">
            <v>PAMA</v>
          </cell>
          <cell r="C298" t="str">
            <v>P3000Bk14</v>
          </cell>
          <cell r="D298" t="str">
            <v>3950</v>
          </cell>
          <cell r="E298">
            <v>1256</v>
          </cell>
          <cell r="F298">
            <v>80</v>
          </cell>
          <cell r="G298">
            <v>6635.662109375</v>
          </cell>
          <cell r="H298">
            <v>0.80854952335357666</v>
          </cell>
          <cell r="I298">
            <v>3.5327141284942627</v>
          </cell>
          <cell r="J298">
            <v>10.970699310302734</v>
          </cell>
          <cell r="K298">
            <v>15.410035133361816</v>
          </cell>
        </row>
        <row r="299">
          <cell r="A299" t="str">
            <v>PAMAP3000Bk143800125760</v>
          </cell>
          <cell r="B299" t="str">
            <v>PAMA</v>
          </cell>
          <cell r="C299" t="str">
            <v>P3000Bk14</v>
          </cell>
          <cell r="D299" t="str">
            <v>3800</v>
          </cell>
          <cell r="E299">
            <v>1257</v>
          </cell>
          <cell r="F299">
            <v>60</v>
          </cell>
          <cell r="G299">
            <v>6347.4228515625</v>
          </cell>
          <cell r="H299">
            <v>3.1207547187805176</v>
          </cell>
          <cell r="I299">
            <v>4.2615146636962891</v>
          </cell>
          <cell r="J299">
            <v>11.345478057861328</v>
          </cell>
          <cell r="K299">
            <v>14.93975830078125</v>
          </cell>
        </row>
        <row r="300">
          <cell r="A300" t="str">
            <v>PAMAP3000Bk143800125770</v>
          </cell>
          <cell r="B300" t="str">
            <v>PAMA</v>
          </cell>
          <cell r="C300" t="str">
            <v>P3000Bk14</v>
          </cell>
          <cell r="D300" t="str">
            <v>3800</v>
          </cell>
          <cell r="E300">
            <v>1257</v>
          </cell>
          <cell r="F300">
            <v>70</v>
          </cell>
          <cell r="G300">
            <v>6433.32177734375</v>
          </cell>
          <cell r="H300">
            <v>3.1386427879333496</v>
          </cell>
          <cell r="I300">
            <v>4.170379638671875</v>
          </cell>
          <cell r="J300">
            <v>10.620028495788574</v>
          </cell>
          <cell r="K300">
            <v>14.588440895080566</v>
          </cell>
        </row>
        <row r="301">
          <cell r="A301" t="str">
            <v>PAMAP3000Bk143900125760</v>
          </cell>
          <cell r="B301" t="str">
            <v>PAMA</v>
          </cell>
          <cell r="C301" t="str">
            <v>P3000Bk14</v>
          </cell>
          <cell r="D301" t="str">
            <v>3900</v>
          </cell>
          <cell r="E301">
            <v>1257</v>
          </cell>
          <cell r="F301">
            <v>60</v>
          </cell>
          <cell r="G301">
            <v>6364.8154296875</v>
          </cell>
          <cell r="H301">
            <v>2.5102725028991699</v>
          </cell>
          <cell r="I301">
            <v>5.6083106994628906</v>
          </cell>
          <cell r="J301">
            <v>10.416627883911133</v>
          </cell>
          <cell r="K301">
            <v>13.444467544555664</v>
          </cell>
        </row>
        <row r="302">
          <cell r="A302" t="str">
            <v>PAMAP3000Bk143900125770</v>
          </cell>
          <cell r="B302" t="str">
            <v>PAMA</v>
          </cell>
          <cell r="C302" t="str">
            <v>P3000Bk14</v>
          </cell>
          <cell r="D302" t="str">
            <v>3900</v>
          </cell>
          <cell r="E302">
            <v>1257</v>
          </cell>
          <cell r="F302">
            <v>70</v>
          </cell>
          <cell r="G302">
            <v>6414.5732421875</v>
          </cell>
          <cell r="H302">
            <v>2.5207633972167969</v>
          </cell>
          <cell r="I302">
            <v>5.0497169494628906</v>
          </cell>
          <cell r="J302">
            <v>10.378485679626465</v>
          </cell>
          <cell r="K302">
            <v>13.737331390380859</v>
          </cell>
        </row>
        <row r="303">
          <cell r="A303" t="str">
            <v>PAMAP3000Bk143950125770</v>
          </cell>
          <cell r="B303" t="str">
            <v>PAMA</v>
          </cell>
          <cell r="C303" t="str">
            <v>P3000Bk14</v>
          </cell>
          <cell r="D303" t="str">
            <v>3950</v>
          </cell>
          <cell r="E303">
            <v>1257</v>
          </cell>
          <cell r="F303">
            <v>70</v>
          </cell>
          <cell r="G303">
            <v>6548.13037109375</v>
          </cell>
          <cell r="H303">
            <v>0.6684417724609375</v>
          </cell>
          <cell r="I303">
            <v>3.2031736373901367</v>
          </cell>
          <cell r="J303">
            <v>10.986025810241699</v>
          </cell>
          <cell r="K303">
            <v>15.62297534942627</v>
          </cell>
        </row>
        <row r="304">
          <cell r="A304" t="str">
            <v>PAMAP3000Bk143950125780</v>
          </cell>
          <cell r="B304" t="str">
            <v>PAMA</v>
          </cell>
          <cell r="C304" t="str">
            <v>P3000Bk14</v>
          </cell>
          <cell r="D304" t="str">
            <v>3950</v>
          </cell>
          <cell r="E304">
            <v>1257</v>
          </cell>
          <cell r="F304">
            <v>80</v>
          </cell>
          <cell r="G304">
            <v>6567.32568359375</v>
          </cell>
          <cell r="H304">
            <v>0.70715159177780151</v>
          </cell>
          <cell r="I304">
            <v>3.25264573097229</v>
          </cell>
          <cell r="J304">
            <v>10.769972801208496</v>
          </cell>
          <cell r="K304">
            <v>15.670827865600586</v>
          </cell>
        </row>
        <row r="305">
          <cell r="A305" t="str">
            <v>PAMAP3000Bk143800125860</v>
          </cell>
          <cell r="B305" t="str">
            <v>PAMA</v>
          </cell>
          <cell r="C305" t="str">
            <v>P3000Bk14</v>
          </cell>
          <cell r="D305" t="str">
            <v>3800</v>
          </cell>
          <cell r="E305">
            <v>1258</v>
          </cell>
          <cell r="F305">
            <v>60</v>
          </cell>
          <cell r="G305">
            <v>6415.2470703125</v>
          </cell>
          <cell r="H305">
            <v>3.0557146072387695</v>
          </cell>
          <cell r="I305">
            <v>4.1344528198242188</v>
          </cell>
          <cell r="J305">
            <v>10.850200653076172</v>
          </cell>
          <cell r="K305">
            <v>14.493459701538086</v>
          </cell>
        </row>
        <row r="306">
          <cell r="A306" t="str">
            <v>PAMAP3000Bk143800125870</v>
          </cell>
          <cell r="B306" t="str">
            <v>PAMA</v>
          </cell>
          <cell r="C306" t="str">
            <v>P3000Bk14</v>
          </cell>
          <cell r="D306" t="str">
            <v>3800</v>
          </cell>
          <cell r="E306">
            <v>1258</v>
          </cell>
          <cell r="F306">
            <v>70</v>
          </cell>
          <cell r="G306">
            <v>6427.51708984375</v>
          </cell>
          <cell r="H306">
            <v>3.0560595989227295</v>
          </cell>
          <cell r="I306">
            <v>4.1273336410522461</v>
          </cell>
          <cell r="J306">
            <v>10.734550476074219</v>
          </cell>
          <cell r="K306">
            <v>14.472548484802246</v>
          </cell>
        </row>
        <row r="307">
          <cell r="A307" t="str">
            <v>PAMAP3000Bk143900125860</v>
          </cell>
          <cell r="B307" t="str">
            <v>PAMA</v>
          </cell>
          <cell r="C307" t="str">
            <v>P3000Bk14</v>
          </cell>
          <cell r="D307" t="str">
            <v>3900</v>
          </cell>
          <cell r="E307">
            <v>1258</v>
          </cell>
          <cell r="F307">
            <v>60</v>
          </cell>
          <cell r="G307">
            <v>6234.42919921875</v>
          </cell>
          <cell r="H307">
            <v>2.5163784027099609</v>
          </cell>
          <cell r="I307">
            <v>7.4650273323059082</v>
          </cell>
          <cell r="J307">
            <v>10.397541046142578</v>
          </cell>
          <cell r="K307">
            <v>12.795032501220703</v>
          </cell>
        </row>
        <row r="308">
          <cell r="A308" t="str">
            <v>PAMAP3000Bk143900125870</v>
          </cell>
          <cell r="B308" t="str">
            <v>PAMA</v>
          </cell>
          <cell r="C308" t="str">
            <v>P3000Bk14</v>
          </cell>
          <cell r="D308" t="str">
            <v>3900</v>
          </cell>
          <cell r="E308">
            <v>1258</v>
          </cell>
          <cell r="F308">
            <v>70</v>
          </cell>
          <cell r="G308">
            <v>6337.353515625</v>
          </cell>
          <cell r="H308">
            <v>2.565335750579834</v>
          </cell>
          <cell r="I308">
            <v>5.9351382255554199</v>
          </cell>
          <cell r="J308">
            <v>10.410576820373535</v>
          </cell>
          <cell r="K308">
            <v>13.262860298156738</v>
          </cell>
        </row>
        <row r="309">
          <cell r="A309" t="str">
            <v>PAMAP3000Bk143950125860</v>
          </cell>
          <cell r="B309" t="str">
            <v>PAMA</v>
          </cell>
          <cell r="C309" t="str">
            <v>P3000Bk14</v>
          </cell>
          <cell r="D309" t="str">
            <v>3950</v>
          </cell>
          <cell r="E309">
            <v>1258</v>
          </cell>
          <cell r="F309">
            <v>60</v>
          </cell>
          <cell r="G309">
            <v>6454.56005859375</v>
          </cell>
          <cell r="H309">
            <v>0.46210312843322754</v>
          </cell>
          <cell r="I309">
            <v>3.0355250835418701</v>
          </cell>
          <cell r="J309">
            <v>12.373992919921875</v>
          </cell>
          <cell r="K309">
            <v>15.29454231262207</v>
          </cell>
        </row>
        <row r="310">
          <cell r="A310" t="str">
            <v>PAMAP3000Bk143950125870</v>
          </cell>
          <cell r="B310" t="str">
            <v>PAMA</v>
          </cell>
          <cell r="C310" t="str">
            <v>P3000Bk14</v>
          </cell>
          <cell r="D310" t="str">
            <v>3950</v>
          </cell>
          <cell r="E310">
            <v>1258</v>
          </cell>
          <cell r="F310">
            <v>70</v>
          </cell>
          <cell r="G310">
            <v>6470.39501953125</v>
          </cell>
          <cell r="H310">
            <v>0.47055134177207947</v>
          </cell>
          <cell r="I310">
            <v>3.0346863269805908</v>
          </cell>
          <cell r="J310">
            <v>12.175094604492188</v>
          </cell>
          <cell r="K310">
            <v>15.323701858520508</v>
          </cell>
        </row>
        <row r="311">
          <cell r="A311" t="str">
            <v>PAMAP3000Bk143800125960</v>
          </cell>
          <cell r="B311" t="str">
            <v>PAMA</v>
          </cell>
          <cell r="C311" t="str">
            <v>P3000Bk14</v>
          </cell>
          <cell r="D311" t="str">
            <v>3800</v>
          </cell>
          <cell r="E311">
            <v>1259</v>
          </cell>
          <cell r="F311">
            <v>60</v>
          </cell>
          <cell r="G311">
            <v>6486.576171875</v>
          </cell>
          <cell r="H311">
            <v>2.9971351623535156</v>
          </cell>
          <cell r="I311">
            <v>3.9969255924224854</v>
          </cell>
          <cell r="J311">
            <v>10.287970542907715</v>
          </cell>
          <cell r="K311">
            <v>14.143231391906738</v>
          </cell>
        </row>
        <row r="312">
          <cell r="A312" t="str">
            <v>PAMAP3000Bk143800125970</v>
          </cell>
          <cell r="B312" t="str">
            <v>PAMA</v>
          </cell>
          <cell r="C312" t="str">
            <v>P3000Bk14</v>
          </cell>
          <cell r="D312" t="str">
            <v>3800</v>
          </cell>
          <cell r="E312">
            <v>1259</v>
          </cell>
          <cell r="F312">
            <v>70</v>
          </cell>
          <cell r="G312">
            <v>6494.95556640625</v>
          </cell>
          <cell r="H312">
            <v>2.9964346885681152</v>
          </cell>
          <cell r="I312">
            <v>3.9683983325958252</v>
          </cell>
          <cell r="J312">
            <v>10.227014541625977</v>
          </cell>
          <cell r="K312">
            <v>14.122812271118164</v>
          </cell>
        </row>
        <row r="313">
          <cell r="A313" t="str">
            <v>PAMAP3000Bk143900125960</v>
          </cell>
          <cell r="B313" t="str">
            <v>PAMA</v>
          </cell>
          <cell r="C313" t="str">
            <v>P3000Bk14</v>
          </cell>
          <cell r="D313" t="str">
            <v>3900</v>
          </cell>
          <cell r="E313">
            <v>1259</v>
          </cell>
          <cell r="F313">
            <v>60</v>
          </cell>
          <cell r="G313">
            <v>6404.48583984375</v>
          </cell>
          <cell r="H313">
            <v>2.6961653232574463</v>
          </cell>
          <cell r="I313">
            <v>4.876823902130127</v>
          </cell>
          <cell r="J313">
            <v>10.336850166320801</v>
          </cell>
          <cell r="K313">
            <v>13.557785034179688</v>
          </cell>
        </row>
        <row r="314">
          <cell r="A314" t="str">
            <v>PAMAP3000Bk143900125970</v>
          </cell>
          <cell r="B314" t="str">
            <v>PAMA</v>
          </cell>
          <cell r="C314" t="str">
            <v>P3000Bk14</v>
          </cell>
          <cell r="D314" t="str">
            <v>3900</v>
          </cell>
          <cell r="E314">
            <v>1259</v>
          </cell>
          <cell r="F314">
            <v>70</v>
          </cell>
          <cell r="G314">
            <v>6437.0546875</v>
          </cell>
          <cell r="H314">
            <v>2.7762339115142822</v>
          </cell>
          <cell r="I314">
            <v>4.3134980201721191</v>
          </cell>
          <cell r="J314">
            <v>10.392333030700684</v>
          </cell>
          <cell r="K314">
            <v>13.80077075958252</v>
          </cell>
        </row>
        <row r="315">
          <cell r="A315" t="str">
            <v>PAMAP3000Bk143950125960</v>
          </cell>
          <cell r="B315" t="str">
            <v>PAMA</v>
          </cell>
          <cell r="C315" t="str">
            <v>P3000Bk14</v>
          </cell>
          <cell r="D315" t="str">
            <v>3950</v>
          </cell>
          <cell r="E315">
            <v>1259</v>
          </cell>
          <cell r="F315">
            <v>60</v>
          </cell>
          <cell r="G315">
            <v>6480.53076171875</v>
          </cell>
          <cell r="H315">
            <v>0.62716495990753174</v>
          </cell>
          <cell r="I315">
            <v>3.0097248554229736</v>
          </cell>
          <cell r="J315">
            <v>11.7515869140625</v>
          </cell>
          <cell r="K315">
            <v>15.491603851318359</v>
          </cell>
        </row>
        <row r="316">
          <cell r="A316" t="str">
            <v>PAMAP3000Bk143950125970</v>
          </cell>
          <cell r="B316" t="str">
            <v>PAMA</v>
          </cell>
          <cell r="C316" t="str">
            <v>P3000Bk14</v>
          </cell>
          <cell r="D316" t="str">
            <v>3950</v>
          </cell>
          <cell r="E316">
            <v>1259</v>
          </cell>
          <cell r="F316">
            <v>70</v>
          </cell>
          <cell r="G316">
            <v>6483.05517578125</v>
          </cell>
          <cell r="H316">
            <v>0.61065340042114258</v>
          </cell>
          <cell r="I316">
            <v>2.9567995071411133</v>
          </cell>
          <cell r="J316">
            <v>11.77071475982666</v>
          </cell>
          <cell r="K316">
            <v>15.464324951171875</v>
          </cell>
        </row>
        <row r="317">
          <cell r="A317" t="str">
            <v>PAMAP3000Bk143800126060</v>
          </cell>
          <cell r="B317" t="str">
            <v>PAMA</v>
          </cell>
          <cell r="C317" t="str">
            <v>P3000Bk14</v>
          </cell>
          <cell r="D317" t="str">
            <v>3800</v>
          </cell>
          <cell r="E317">
            <v>1260</v>
          </cell>
          <cell r="F317">
            <v>60</v>
          </cell>
          <cell r="G317">
            <v>6506.30615234375</v>
          </cell>
          <cell r="H317">
            <v>3.0179994106292725</v>
          </cell>
          <cell r="I317">
            <v>4.0468368530273438</v>
          </cell>
          <cell r="J317">
            <v>10.028081893920898</v>
          </cell>
          <cell r="K317">
            <v>14.091830253601074</v>
          </cell>
        </row>
        <row r="318">
          <cell r="A318" t="str">
            <v>PAMAP3000Bk143900126060</v>
          </cell>
          <cell r="B318" t="str">
            <v>PAMA</v>
          </cell>
          <cell r="C318" t="str">
            <v>P3000Bk14</v>
          </cell>
          <cell r="D318" t="str">
            <v>3900</v>
          </cell>
          <cell r="E318">
            <v>1260</v>
          </cell>
          <cell r="F318">
            <v>60</v>
          </cell>
          <cell r="G318">
            <v>6458.9462890625</v>
          </cell>
          <cell r="H318">
            <v>2.6968619823455811</v>
          </cell>
          <cell r="I318">
            <v>4.1758370399475098</v>
          </cell>
          <cell r="J318">
            <v>10.177362442016602</v>
          </cell>
          <cell r="K318">
            <v>13.601271629333496</v>
          </cell>
        </row>
        <row r="319">
          <cell r="A319" t="str">
            <v>PAMAP3000Bk143900126070</v>
          </cell>
          <cell r="B319" t="str">
            <v>PAMA</v>
          </cell>
          <cell r="C319" t="str">
            <v>P3000Bk14</v>
          </cell>
          <cell r="D319" t="str">
            <v>3900</v>
          </cell>
          <cell r="E319">
            <v>1260</v>
          </cell>
          <cell r="F319">
            <v>70</v>
          </cell>
          <cell r="G319">
            <v>6462.943359375</v>
          </cell>
          <cell r="H319">
            <v>2.7237076759338379</v>
          </cell>
          <cell r="I319">
            <v>4.1058769226074219</v>
          </cell>
          <cell r="J319">
            <v>10.13984489440918</v>
          </cell>
          <cell r="K319">
            <v>13.569452285766602</v>
          </cell>
        </row>
        <row r="320">
          <cell r="A320" t="str">
            <v>PAMAP3000Bk143950126060</v>
          </cell>
          <cell r="B320" t="str">
            <v>PAMA</v>
          </cell>
          <cell r="C320" t="str">
            <v>P3000Bk14</v>
          </cell>
          <cell r="D320" t="str">
            <v>3950</v>
          </cell>
          <cell r="E320">
            <v>1260</v>
          </cell>
          <cell r="F320">
            <v>60</v>
          </cell>
          <cell r="G320">
            <v>6478.13525390625</v>
          </cell>
          <cell r="H320">
            <v>0.67967337369918823</v>
          </cell>
          <cell r="I320">
            <v>3.0071661472320557</v>
          </cell>
          <cell r="J320">
            <v>11.703776359558105</v>
          </cell>
          <cell r="K320">
            <v>15.537946701049805</v>
          </cell>
        </row>
        <row r="321">
          <cell r="A321" t="str">
            <v>PAMAP3000Bk143950126070</v>
          </cell>
          <cell r="B321" t="str">
            <v>PAMA</v>
          </cell>
          <cell r="C321" t="str">
            <v>P3000Bk14</v>
          </cell>
          <cell r="D321" t="str">
            <v>3950</v>
          </cell>
          <cell r="E321">
            <v>1260</v>
          </cell>
          <cell r="F321">
            <v>70</v>
          </cell>
          <cell r="G321">
            <v>6485.06005859375</v>
          </cell>
          <cell r="H321">
            <v>0.67456144094467163</v>
          </cell>
          <cell r="I321">
            <v>2.8663144111633301</v>
          </cell>
          <cell r="J321">
            <v>11.749893188476563</v>
          </cell>
          <cell r="K321">
            <v>15.492847442626953</v>
          </cell>
        </row>
        <row r="322">
          <cell r="A322" t="str">
            <v>PAMAP3000Bk143800126160</v>
          </cell>
          <cell r="B322" t="str">
            <v>PAMA</v>
          </cell>
          <cell r="C322" t="str">
            <v>P3000Bk14</v>
          </cell>
          <cell r="D322" t="str">
            <v>3800</v>
          </cell>
          <cell r="E322">
            <v>1261</v>
          </cell>
          <cell r="F322">
            <v>60</v>
          </cell>
          <cell r="G322">
            <v>6530.87890625</v>
          </cell>
          <cell r="H322">
            <v>2.978961706161499</v>
          </cell>
          <cell r="I322">
            <v>4.0676093101501465</v>
          </cell>
          <cell r="J322">
            <v>9.7787284851074219</v>
          </cell>
          <cell r="K322">
            <v>13.878633499145508</v>
          </cell>
        </row>
        <row r="323">
          <cell r="A323" t="str">
            <v>PAMAP3000Bk143800126170</v>
          </cell>
          <cell r="B323" t="str">
            <v>PAMA</v>
          </cell>
          <cell r="C323" t="str">
            <v>P3000Bk14</v>
          </cell>
          <cell r="D323" t="str">
            <v>3800</v>
          </cell>
          <cell r="E323">
            <v>1261</v>
          </cell>
          <cell r="F323">
            <v>70</v>
          </cell>
          <cell r="G323">
            <v>6534.57421875</v>
          </cell>
          <cell r="H323">
            <v>2.9609651565551758</v>
          </cell>
          <cell r="I323">
            <v>4.0782985687255859</v>
          </cell>
          <cell r="J323">
            <v>9.7184867858886719</v>
          </cell>
          <cell r="K323">
            <v>13.838578224182129</v>
          </cell>
        </row>
        <row r="324">
          <cell r="A324" t="str">
            <v>PAMAP3000Bk143900126160</v>
          </cell>
          <cell r="B324" t="str">
            <v>PAMA</v>
          </cell>
          <cell r="C324" t="str">
            <v>P3000Bk14</v>
          </cell>
          <cell r="D324" t="str">
            <v>3900</v>
          </cell>
          <cell r="E324">
            <v>1261</v>
          </cell>
          <cell r="F324">
            <v>60</v>
          </cell>
          <cell r="G324">
            <v>6475.494140625</v>
          </cell>
          <cell r="H324">
            <v>2.6436147689819336</v>
          </cell>
          <cell r="I324">
            <v>4.0813789367675781</v>
          </cell>
          <cell r="J324">
            <v>10.132770538330078</v>
          </cell>
          <cell r="K324">
            <v>13.587868690490723</v>
          </cell>
        </row>
        <row r="325">
          <cell r="A325" t="str">
            <v>PAMAP3000Bk143900126170</v>
          </cell>
          <cell r="B325" t="str">
            <v>PAMA</v>
          </cell>
          <cell r="C325" t="str">
            <v>P3000Bk14</v>
          </cell>
          <cell r="D325" t="str">
            <v>3900</v>
          </cell>
          <cell r="E325">
            <v>1261</v>
          </cell>
          <cell r="F325">
            <v>70</v>
          </cell>
          <cell r="G325">
            <v>6476.57958984375</v>
          </cell>
          <cell r="H325">
            <v>2.6701042652130127</v>
          </cell>
          <cell r="I325">
            <v>4.0579037666320801</v>
          </cell>
          <cell r="J325">
            <v>10.105984687805176</v>
          </cell>
          <cell r="K325">
            <v>13.55593204498291</v>
          </cell>
        </row>
        <row r="326">
          <cell r="A326" t="str">
            <v>PAMAP3000Bk143950126160</v>
          </cell>
          <cell r="B326" t="str">
            <v>PAMA</v>
          </cell>
          <cell r="C326" t="str">
            <v>P3000Bk14</v>
          </cell>
          <cell r="D326" t="str">
            <v>3950</v>
          </cell>
          <cell r="E326">
            <v>1261</v>
          </cell>
          <cell r="F326">
            <v>60</v>
          </cell>
          <cell r="G326">
            <v>6466.830078125</v>
          </cell>
          <cell r="H326">
            <v>0.6985858678817749</v>
          </cell>
          <cell r="I326">
            <v>3.0767693519592285</v>
          </cell>
          <cell r="J326">
            <v>11.775262832641602</v>
          </cell>
          <cell r="K326">
            <v>15.573657989501953</v>
          </cell>
        </row>
        <row r="327">
          <cell r="A327" t="str">
            <v>PAMAP3000Bk143950126170</v>
          </cell>
          <cell r="B327" t="str">
            <v>PAMA</v>
          </cell>
          <cell r="C327" t="str">
            <v>P3000Bk14</v>
          </cell>
          <cell r="D327" t="str">
            <v>3950</v>
          </cell>
          <cell r="E327">
            <v>1261</v>
          </cell>
          <cell r="F327">
            <v>70</v>
          </cell>
          <cell r="G327">
            <v>6475.34375</v>
          </cell>
          <cell r="H327">
            <v>0.69347178936004639</v>
          </cell>
          <cell r="I327">
            <v>2.930898904800415</v>
          </cell>
          <cell r="J327">
            <v>11.837798118591309</v>
          </cell>
          <cell r="K327">
            <v>15.52949333190918</v>
          </cell>
        </row>
        <row r="328">
          <cell r="A328" t="str">
            <v>PAMAP3000Bk143800126260</v>
          </cell>
          <cell r="B328" t="str">
            <v>PAMA</v>
          </cell>
          <cell r="C328" t="str">
            <v>P3000Bk14</v>
          </cell>
          <cell r="D328" t="str">
            <v>3800</v>
          </cell>
          <cell r="E328">
            <v>1262</v>
          </cell>
          <cell r="F328">
            <v>60</v>
          </cell>
          <cell r="G328">
            <v>6498.5546875</v>
          </cell>
          <cell r="H328">
            <v>2.6825499534606934</v>
          </cell>
          <cell r="I328">
            <v>3.9003896713256836</v>
          </cell>
          <cell r="J328">
            <v>10.128667831420898</v>
          </cell>
          <cell r="K328">
            <v>14.218194961547852</v>
          </cell>
        </row>
        <row r="329">
          <cell r="A329" t="str">
            <v>PAMAP3000Bk143800126270</v>
          </cell>
          <cell r="B329" t="str">
            <v>PAMA</v>
          </cell>
          <cell r="C329" t="str">
            <v>P3000Bk14</v>
          </cell>
          <cell r="D329" t="str">
            <v>3800</v>
          </cell>
          <cell r="E329">
            <v>1262</v>
          </cell>
          <cell r="F329">
            <v>70</v>
          </cell>
          <cell r="G329">
            <v>6511.31005859375</v>
          </cell>
          <cell r="H329">
            <v>2.8263332843780518</v>
          </cell>
          <cell r="I329">
            <v>4.008915901184082</v>
          </cell>
          <cell r="J329">
            <v>9.9332036972045898</v>
          </cell>
          <cell r="K329">
            <v>14.070747375488281</v>
          </cell>
        </row>
        <row r="330">
          <cell r="A330" t="str">
            <v>PAMAP3000Bk143900126260</v>
          </cell>
          <cell r="B330" t="str">
            <v>PAMA</v>
          </cell>
          <cell r="C330" t="str">
            <v>P3000Bk14</v>
          </cell>
          <cell r="D330" t="str">
            <v>3900</v>
          </cell>
          <cell r="E330">
            <v>1262</v>
          </cell>
          <cell r="F330">
            <v>60</v>
          </cell>
          <cell r="G330">
            <v>6509.7255859375</v>
          </cell>
          <cell r="H330">
            <v>2.4515461921691895</v>
          </cell>
          <cell r="I330">
            <v>4.0717692375183105</v>
          </cell>
          <cell r="J330">
            <v>10.092495918273926</v>
          </cell>
          <cell r="K330">
            <v>13.459587097167969</v>
          </cell>
        </row>
        <row r="331">
          <cell r="A331" t="str">
            <v>PAMAP3000Bk143900126270</v>
          </cell>
          <cell r="B331" t="str">
            <v>PAMA</v>
          </cell>
          <cell r="C331" t="str">
            <v>P3000Bk14</v>
          </cell>
          <cell r="D331" t="str">
            <v>3900</v>
          </cell>
          <cell r="E331">
            <v>1262</v>
          </cell>
          <cell r="F331">
            <v>70</v>
          </cell>
          <cell r="G331">
            <v>6518.64501953125</v>
          </cell>
          <cell r="H331">
            <v>2.3866655826568604</v>
          </cell>
          <cell r="I331">
            <v>4.1191539764404297</v>
          </cell>
          <cell r="J331">
            <v>10.064688682556152</v>
          </cell>
          <cell r="K331">
            <v>13.340851783752441</v>
          </cell>
        </row>
        <row r="332">
          <cell r="A332" t="str">
            <v>PAMAP3000Bk143950126260</v>
          </cell>
          <cell r="B332" t="str">
            <v>PAMA</v>
          </cell>
          <cell r="C332" t="str">
            <v>P3000Bk14</v>
          </cell>
          <cell r="D332" t="str">
            <v>3950</v>
          </cell>
          <cell r="E332">
            <v>1262</v>
          </cell>
          <cell r="F332">
            <v>60</v>
          </cell>
          <cell r="G332">
            <v>6446.73095703125</v>
          </cell>
          <cell r="H332">
            <v>0.71404784917831421</v>
          </cell>
          <cell r="I332">
            <v>3.2111697196960449</v>
          </cell>
          <cell r="J332">
            <v>11.818455696105957</v>
          </cell>
          <cell r="K332">
            <v>15.643520355224609</v>
          </cell>
        </row>
        <row r="333">
          <cell r="A333" t="str">
            <v>PAMAP3000Bk143950126270</v>
          </cell>
          <cell r="B333" t="str">
            <v>PAMA</v>
          </cell>
          <cell r="C333" t="str">
            <v>P3000Bk14</v>
          </cell>
          <cell r="D333" t="str">
            <v>3950</v>
          </cell>
          <cell r="E333">
            <v>1262</v>
          </cell>
          <cell r="F333">
            <v>70</v>
          </cell>
          <cell r="G333">
            <v>6440.0283203125</v>
          </cell>
          <cell r="H333">
            <v>0.70653825998306274</v>
          </cell>
          <cell r="I333">
            <v>3.092606782913208</v>
          </cell>
          <cell r="J333">
            <v>11.924185752868652</v>
          </cell>
          <cell r="K333">
            <v>15.653366088867188</v>
          </cell>
        </row>
        <row r="334">
          <cell r="A334" t="str">
            <v>PAMAP3000Bk143800126360</v>
          </cell>
          <cell r="B334" t="str">
            <v>PAMA</v>
          </cell>
          <cell r="C334" t="str">
            <v>P3000Bk14</v>
          </cell>
          <cell r="D334" t="str">
            <v>3800</v>
          </cell>
          <cell r="E334">
            <v>1263</v>
          </cell>
          <cell r="F334">
            <v>60</v>
          </cell>
          <cell r="G334">
            <v>6492.96826171875</v>
          </cell>
          <cell r="H334">
            <v>2.4287126064300537</v>
          </cell>
          <cell r="I334">
            <v>3.6190087795257568</v>
          </cell>
          <cell r="J334">
            <v>10.453314781188965</v>
          </cell>
          <cell r="K334">
            <v>14.432967185974121</v>
          </cell>
        </row>
        <row r="335">
          <cell r="A335" t="str">
            <v>PAMAP3000Bk143900126360</v>
          </cell>
          <cell r="B335" t="str">
            <v>PAMA</v>
          </cell>
          <cell r="C335" t="str">
            <v>P3000Bk14</v>
          </cell>
          <cell r="D335" t="str">
            <v>3900</v>
          </cell>
          <cell r="E335">
            <v>1263</v>
          </cell>
          <cell r="F335">
            <v>60</v>
          </cell>
          <cell r="G335">
            <v>6526.21240234375</v>
          </cell>
          <cell r="H335">
            <v>2.3472080230712891</v>
          </cell>
          <cell r="I335">
            <v>4.0642995834350586</v>
          </cell>
          <cell r="J335">
            <v>10.081747055053711</v>
          </cell>
          <cell r="K335">
            <v>13.442099571228027</v>
          </cell>
        </row>
        <row r="336">
          <cell r="A336" t="str">
            <v>PAMAP3000Bk143900126370</v>
          </cell>
          <cell r="B336" t="str">
            <v>PAMA</v>
          </cell>
          <cell r="C336" t="str">
            <v>P3000Bk14</v>
          </cell>
          <cell r="D336" t="str">
            <v>3900</v>
          </cell>
          <cell r="E336">
            <v>1263</v>
          </cell>
          <cell r="F336">
            <v>70</v>
          </cell>
          <cell r="G336">
            <v>6541.54833984375</v>
          </cell>
          <cell r="H336">
            <v>2.2360215187072754</v>
          </cell>
          <cell r="I336">
            <v>4.1890368461608887</v>
          </cell>
          <cell r="J336">
            <v>10.016740798950195</v>
          </cell>
          <cell r="K336">
            <v>13.16319465637207</v>
          </cell>
        </row>
        <row r="337">
          <cell r="A337" t="str">
            <v>PAMAP3000Bk143950126360</v>
          </cell>
          <cell r="B337" t="str">
            <v>PAMA</v>
          </cell>
          <cell r="C337" t="str">
            <v>P3000Bk14</v>
          </cell>
          <cell r="D337" t="str">
            <v>3950</v>
          </cell>
          <cell r="E337">
            <v>1263</v>
          </cell>
          <cell r="F337">
            <v>60</v>
          </cell>
          <cell r="G337">
            <v>6435.8046875</v>
          </cell>
          <cell r="H337">
            <v>0.75844722986221313</v>
          </cell>
          <cell r="I337">
            <v>3.4392459392547607</v>
          </cell>
          <cell r="J337">
            <v>11.740628242492676</v>
          </cell>
          <cell r="K337">
            <v>15.709613800048828</v>
          </cell>
        </row>
        <row r="338">
          <cell r="A338" t="str">
            <v>PAMAP3000Bk143950126370</v>
          </cell>
          <cell r="B338" t="str">
            <v>PAMA</v>
          </cell>
          <cell r="C338" t="str">
            <v>P3000Bk14</v>
          </cell>
          <cell r="D338" t="str">
            <v>3950</v>
          </cell>
          <cell r="E338">
            <v>1263</v>
          </cell>
          <cell r="F338">
            <v>70</v>
          </cell>
          <cell r="G338">
            <v>6431.75537109375</v>
          </cell>
          <cell r="H338">
            <v>0.75914561748504639</v>
          </cell>
          <cell r="I338">
            <v>3.3032152652740479</v>
          </cell>
          <cell r="J338">
            <v>11.830023765563965</v>
          </cell>
          <cell r="K338">
            <v>15.736119270324707</v>
          </cell>
        </row>
        <row r="339">
          <cell r="A339" t="str">
            <v>PAMAP3000Bk143800126460</v>
          </cell>
          <cell r="B339" t="str">
            <v>PAMA</v>
          </cell>
          <cell r="C339" t="str">
            <v>P3000Bk14</v>
          </cell>
          <cell r="D339" t="str">
            <v>3800</v>
          </cell>
          <cell r="E339">
            <v>1264</v>
          </cell>
          <cell r="F339">
            <v>60</v>
          </cell>
          <cell r="G339">
            <v>6503.14453125</v>
          </cell>
          <cell r="H339">
            <v>2.127133846282959</v>
          </cell>
          <cell r="I339">
            <v>3.1798965930938721</v>
          </cell>
          <cell r="J339">
            <v>10.988068580627441</v>
          </cell>
          <cell r="K339">
            <v>14.759986877441406</v>
          </cell>
        </row>
        <row r="340">
          <cell r="A340" t="str">
            <v>PAMAP3000Bk143900126460</v>
          </cell>
          <cell r="B340" t="str">
            <v>PAMA</v>
          </cell>
          <cell r="C340" t="str">
            <v>P3000Bk14</v>
          </cell>
          <cell r="D340" t="str">
            <v>3900</v>
          </cell>
          <cell r="E340">
            <v>1264</v>
          </cell>
          <cell r="F340">
            <v>60</v>
          </cell>
          <cell r="G340">
            <v>6518.9794921875</v>
          </cell>
          <cell r="H340">
            <v>2.4712128639221191</v>
          </cell>
          <cell r="I340">
            <v>3.9409768581390381</v>
          </cell>
          <cell r="J340">
            <v>10.12583065032959</v>
          </cell>
          <cell r="K340">
            <v>13.714715957641602</v>
          </cell>
        </row>
        <row r="341">
          <cell r="A341" t="str">
            <v>PAMAP3000Bk143950126460</v>
          </cell>
          <cell r="B341" t="str">
            <v>PAMA</v>
          </cell>
          <cell r="C341" t="str">
            <v>P3000Bk14</v>
          </cell>
          <cell r="D341" t="str">
            <v>3950</v>
          </cell>
          <cell r="E341">
            <v>1264</v>
          </cell>
          <cell r="F341">
            <v>60</v>
          </cell>
          <cell r="G341">
            <v>6447.958984375</v>
          </cell>
          <cell r="H341">
            <v>0.80756604671478271</v>
          </cell>
          <cell r="I341">
            <v>3.7024424076080322</v>
          </cell>
          <cell r="J341">
            <v>11.541347503662109</v>
          </cell>
          <cell r="K341">
            <v>15.676753044128418</v>
          </cell>
        </row>
        <row r="342">
          <cell r="A342" t="str">
            <v>PAMAP3000Bk143950126470</v>
          </cell>
          <cell r="B342" t="str">
            <v>PAMA</v>
          </cell>
          <cell r="C342" t="str">
            <v>P3000Bk14</v>
          </cell>
          <cell r="D342" t="str">
            <v>3950</v>
          </cell>
          <cell r="E342">
            <v>1264</v>
          </cell>
          <cell r="F342">
            <v>70</v>
          </cell>
          <cell r="G342">
            <v>6458.66162109375</v>
          </cell>
          <cell r="H342">
            <v>0.87117177248001099</v>
          </cell>
          <cell r="I342">
            <v>3.509793758392334</v>
          </cell>
          <cell r="J342">
            <v>11.503537178039551</v>
          </cell>
          <cell r="K342">
            <v>15.696591377258301</v>
          </cell>
        </row>
        <row r="343">
          <cell r="A343" t="str">
            <v>PAMAP3000Bk143800126560</v>
          </cell>
          <cell r="B343" t="str">
            <v>PAMA</v>
          </cell>
          <cell r="C343" t="str">
            <v>P3000Bk14</v>
          </cell>
          <cell r="D343" t="str">
            <v>3800</v>
          </cell>
          <cell r="E343">
            <v>1265</v>
          </cell>
          <cell r="F343">
            <v>60</v>
          </cell>
          <cell r="G343">
            <v>6511.63525390625</v>
          </cell>
          <cell r="H343">
            <v>1.8593662977218628</v>
          </cell>
          <cell r="I343">
            <v>2.8101644515991211</v>
          </cell>
          <cell r="J343">
            <v>11.644244194030762</v>
          </cell>
          <cell r="K343">
            <v>15.176633834838867</v>
          </cell>
        </row>
        <row r="344">
          <cell r="A344" t="str">
            <v>PAMAP3000Bk143900126560</v>
          </cell>
          <cell r="B344" t="str">
            <v>PAMA</v>
          </cell>
          <cell r="C344" t="str">
            <v>P3000Bk14</v>
          </cell>
          <cell r="D344" t="str">
            <v>3900</v>
          </cell>
          <cell r="E344">
            <v>1265</v>
          </cell>
          <cell r="F344">
            <v>60</v>
          </cell>
          <cell r="G344">
            <v>6524.3798828125</v>
          </cell>
          <cell r="H344">
            <v>2.5557961463928223</v>
          </cell>
          <cell r="I344">
            <v>3.8620312213897705</v>
          </cell>
          <cell r="J344">
            <v>10.115707397460938</v>
          </cell>
          <cell r="K344">
            <v>13.761116027832031</v>
          </cell>
        </row>
        <row r="345">
          <cell r="A345" t="str">
            <v>PAMAP3000Bk143950126560</v>
          </cell>
          <cell r="B345" t="str">
            <v>PAMA</v>
          </cell>
          <cell r="C345" t="str">
            <v>P3000Bk14</v>
          </cell>
          <cell r="D345" t="str">
            <v>3950</v>
          </cell>
          <cell r="E345">
            <v>1265</v>
          </cell>
          <cell r="F345">
            <v>60</v>
          </cell>
          <cell r="G345">
            <v>6473.10009765625</v>
          </cell>
          <cell r="H345">
            <v>0.75585281848907471</v>
          </cell>
          <cell r="I345">
            <v>4.4002108573913574</v>
          </cell>
          <cell r="J345">
            <v>11.343803405761719</v>
          </cell>
          <cell r="K345">
            <v>15.553079605102539</v>
          </cell>
        </row>
        <row r="346">
          <cell r="A346" t="str">
            <v>PAMAP3000Bk143950126570</v>
          </cell>
          <cell r="B346" t="str">
            <v>PAMA</v>
          </cell>
          <cell r="C346" t="str">
            <v>P3000Bk14</v>
          </cell>
          <cell r="D346" t="str">
            <v>3950</v>
          </cell>
          <cell r="E346">
            <v>1265</v>
          </cell>
          <cell r="F346">
            <v>70</v>
          </cell>
          <cell r="G346">
            <v>6454.36376953125</v>
          </cell>
          <cell r="H346">
            <v>0.75221776962280273</v>
          </cell>
          <cell r="I346">
            <v>4.3855161666870117</v>
          </cell>
          <cell r="J346">
            <v>11.449576377868652</v>
          </cell>
          <cell r="K346">
            <v>15.641433715820313</v>
          </cell>
        </row>
        <row r="347">
          <cell r="A347" t="str">
            <v>PAMAP3000Bk143800126660</v>
          </cell>
          <cell r="B347" t="str">
            <v>PAMA</v>
          </cell>
          <cell r="C347" t="str">
            <v>P3000Bk14</v>
          </cell>
          <cell r="D347" t="str">
            <v>3800</v>
          </cell>
          <cell r="E347">
            <v>1266</v>
          </cell>
          <cell r="F347">
            <v>60</v>
          </cell>
          <cell r="G347">
            <v>6502.28515625</v>
          </cell>
          <cell r="H347">
            <v>2.016287088394165</v>
          </cell>
          <cell r="I347">
            <v>3.3474538326263428</v>
          </cell>
          <cell r="J347">
            <v>10.828232765197754</v>
          </cell>
          <cell r="K347">
            <v>14.59376049041748</v>
          </cell>
        </row>
        <row r="348">
          <cell r="A348" t="str">
            <v>PAMAP3000Bk143900126660</v>
          </cell>
          <cell r="B348" t="str">
            <v>PAMA</v>
          </cell>
          <cell r="C348" t="str">
            <v>P3000Bk14</v>
          </cell>
          <cell r="D348" t="str">
            <v>3900</v>
          </cell>
          <cell r="E348">
            <v>1266</v>
          </cell>
          <cell r="F348">
            <v>60</v>
          </cell>
          <cell r="G348">
            <v>6529.3359375</v>
          </cell>
          <cell r="H348">
            <v>2.5690114498138428</v>
          </cell>
          <cell r="I348">
            <v>3.7984235286712646</v>
          </cell>
          <cell r="J348">
            <v>10.061671257019043</v>
          </cell>
          <cell r="K348">
            <v>13.637857437133789</v>
          </cell>
        </row>
        <row r="349">
          <cell r="A349" t="str">
            <v>PAMAP3000Bk143950126660</v>
          </cell>
          <cell r="B349" t="str">
            <v>PAMA</v>
          </cell>
          <cell r="C349" t="str">
            <v>P3000Bk14</v>
          </cell>
          <cell r="D349" t="str">
            <v>3950</v>
          </cell>
          <cell r="E349">
            <v>1266</v>
          </cell>
          <cell r="F349">
            <v>60</v>
          </cell>
          <cell r="G349">
            <v>6439.61572265625</v>
          </cell>
          <cell r="H349">
            <v>0.80708527565002441</v>
          </cell>
          <cell r="I349">
            <v>5.19415283203125</v>
          </cell>
          <cell r="J349">
            <v>11.143983840942383</v>
          </cell>
          <cell r="K349">
            <v>15.336166381835938</v>
          </cell>
        </row>
        <row r="350">
          <cell r="A350" t="str">
            <v>PAMAP3000Bk143950126670</v>
          </cell>
          <cell r="B350" t="str">
            <v>PAMA</v>
          </cell>
          <cell r="C350" t="str">
            <v>P3000Bk14</v>
          </cell>
          <cell r="D350" t="str">
            <v>3950</v>
          </cell>
          <cell r="E350">
            <v>1266</v>
          </cell>
          <cell r="F350">
            <v>70</v>
          </cell>
          <cell r="G350">
            <v>6368.28076171875</v>
          </cell>
          <cell r="H350">
            <v>0.93847697973251343</v>
          </cell>
          <cell r="I350">
            <v>6.8098287582397461</v>
          </cell>
          <cell r="J350">
            <v>10.672281265258789</v>
          </cell>
          <cell r="K350">
            <v>14.700418472290039</v>
          </cell>
        </row>
        <row r="351">
          <cell r="A351" t="str">
            <v>PAMAP3000Bk143800126760</v>
          </cell>
          <cell r="B351" t="str">
            <v>PAMA</v>
          </cell>
          <cell r="C351" t="str">
            <v>P3000Bk14</v>
          </cell>
          <cell r="D351" t="str">
            <v>3800</v>
          </cell>
          <cell r="E351">
            <v>1267</v>
          </cell>
          <cell r="F351">
            <v>60</v>
          </cell>
          <cell r="G351">
            <v>6507.462890625</v>
          </cell>
          <cell r="H351">
            <v>2.0920946598052979</v>
          </cell>
          <cell r="I351">
            <v>3.6728527545928955</v>
          </cell>
          <cell r="J351">
            <v>10.603329658508301</v>
          </cell>
          <cell r="K351">
            <v>14.499624252319336</v>
          </cell>
        </row>
        <row r="352">
          <cell r="A352" t="str">
            <v>PAMAP3000Bk143900126760</v>
          </cell>
          <cell r="B352" t="str">
            <v>PAMA</v>
          </cell>
          <cell r="C352" t="str">
            <v>P3000Bk14</v>
          </cell>
          <cell r="D352" t="str">
            <v>3900</v>
          </cell>
          <cell r="E352">
            <v>1267</v>
          </cell>
          <cell r="F352">
            <v>60</v>
          </cell>
          <cell r="G352">
            <v>6551.44921875</v>
          </cell>
          <cell r="H352">
            <v>2.5700764656066895</v>
          </cell>
          <cell r="I352">
            <v>3.9044198989868164</v>
          </cell>
          <cell r="J352">
            <v>9.6963262557983398</v>
          </cell>
          <cell r="K352">
            <v>13.082315444946289</v>
          </cell>
        </row>
        <row r="353">
          <cell r="A353" t="str">
            <v>PAMAP3000Bk143950126760</v>
          </cell>
          <cell r="B353" t="str">
            <v>PAMA</v>
          </cell>
          <cell r="C353" t="str">
            <v>P3000Bk14</v>
          </cell>
          <cell r="D353" t="str">
            <v>3950</v>
          </cell>
          <cell r="E353">
            <v>1267</v>
          </cell>
          <cell r="F353">
            <v>60</v>
          </cell>
          <cell r="G353">
            <v>6390.99853515625</v>
          </cell>
          <cell r="H353">
            <v>0.92302811145782471</v>
          </cell>
          <cell r="I353">
            <v>5.8268795013427734</v>
          </cell>
          <cell r="J353">
            <v>10.797680854797363</v>
          </cell>
          <cell r="K353">
            <v>15.023469924926758</v>
          </cell>
        </row>
        <row r="354">
          <cell r="A354" t="str">
            <v>PAMAP3000Bk143800126860</v>
          </cell>
          <cell r="B354" t="str">
            <v>PAMA</v>
          </cell>
          <cell r="C354" t="str">
            <v>P3000Bk14</v>
          </cell>
          <cell r="D354" t="str">
            <v>3800</v>
          </cell>
          <cell r="E354">
            <v>1268</v>
          </cell>
          <cell r="F354">
            <v>60</v>
          </cell>
          <cell r="G354">
            <v>6513.232421875</v>
          </cell>
          <cell r="H354">
            <v>2.1975533962249756</v>
          </cell>
          <cell r="I354">
            <v>4.0522704124450684</v>
          </cell>
          <cell r="J354">
            <v>10.511311531066895</v>
          </cell>
          <cell r="K354">
            <v>14.676701545715332</v>
          </cell>
        </row>
        <row r="355">
          <cell r="A355" t="str">
            <v>PAMAP3000Bk143900126860</v>
          </cell>
          <cell r="B355" t="str">
            <v>PAMA</v>
          </cell>
          <cell r="C355" t="str">
            <v>P3000Bk14</v>
          </cell>
          <cell r="D355" t="str">
            <v>3900</v>
          </cell>
          <cell r="E355">
            <v>1268</v>
          </cell>
          <cell r="F355">
            <v>60</v>
          </cell>
          <cell r="G355">
            <v>6552.16259765625</v>
          </cell>
          <cell r="H355">
            <v>2.362360954284668</v>
          </cell>
          <cell r="I355">
            <v>3.2247598171234131</v>
          </cell>
          <cell r="J355">
            <v>10.570947647094727</v>
          </cell>
          <cell r="K355">
            <v>13.786298751831055</v>
          </cell>
        </row>
        <row r="356">
          <cell r="A356" t="str">
            <v>PAMAP3000Bk143950126860</v>
          </cell>
          <cell r="B356" t="str">
            <v>PAMA</v>
          </cell>
          <cell r="C356" t="str">
            <v>P3000Bk14</v>
          </cell>
          <cell r="D356" t="str">
            <v>3950</v>
          </cell>
          <cell r="E356">
            <v>1268</v>
          </cell>
          <cell r="F356">
            <v>60</v>
          </cell>
          <cell r="G356">
            <v>6478.615234375</v>
          </cell>
          <cell r="H356">
            <v>0.73325175046920776</v>
          </cell>
          <cell r="I356">
            <v>3.0498125553131104</v>
          </cell>
          <cell r="J356">
            <v>11.317737579345703</v>
          </cell>
          <cell r="K356">
            <v>15.942520141601563</v>
          </cell>
        </row>
        <row r="357">
          <cell r="A357" t="str">
            <v>PAMAP3000Bk143800126960</v>
          </cell>
          <cell r="B357" t="str">
            <v>PAMA</v>
          </cell>
          <cell r="C357" t="str">
            <v>P3000Bk14</v>
          </cell>
          <cell r="D357" t="str">
            <v>3800</v>
          </cell>
          <cell r="E357">
            <v>1269</v>
          </cell>
          <cell r="F357">
            <v>60</v>
          </cell>
          <cell r="G357">
            <v>6556.25390625</v>
          </cell>
          <cell r="H357">
            <v>2.1334664821624756</v>
          </cell>
          <cell r="I357">
            <v>3.4660325050354004</v>
          </cell>
          <cell r="J357">
            <v>10.408498764038086</v>
          </cell>
          <cell r="K357">
            <v>13.979595184326172</v>
          </cell>
        </row>
        <row r="358">
          <cell r="A358" t="str">
            <v>PAMAP3000Bk143900126960</v>
          </cell>
          <cell r="B358" t="str">
            <v>PAMA</v>
          </cell>
          <cell r="C358" t="str">
            <v>P3000Bk14</v>
          </cell>
          <cell r="D358" t="str">
            <v>3900</v>
          </cell>
          <cell r="E358">
            <v>1269</v>
          </cell>
          <cell r="F358">
            <v>60</v>
          </cell>
          <cell r="G358">
            <v>6496.23193359375</v>
          </cell>
          <cell r="H358">
            <v>2.4126129150390625</v>
          </cell>
          <cell r="I358">
            <v>3.5189611911773682</v>
          </cell>
          <cell r="J358">
            <v>10.672961235046387</v>
          </cell>
          <cell r="K358">
            <v>13.931198120117188</v>
          </cell>
        </row>
        <row r="359">
          <cell r="A359" t="str">
            <v>PAMAP3000Bk143950126960</v>
          </cell>
          <cell r="B359" t="str">
            <v>PAMA</v>
          </cell>
          <cell r="C359" t="str">
            <v>P3000Bk14</v>
          </cell>
          <cell r="D359" t="str">
            <v>3950</v>
          </cell>
          <cell r="E359">
            <v>1269</v>
          </cell>
          <cell r="F359">
            <v>60</v>
          </cell>
          <cell r="G359">
            <v>6428.72607421875</v>
          </cell>
          <cell r="H359">
            <v>0.8602757453918457</v>
          </cell>
          <cell r="I359">
            <v>3.7219169139862061</v>
          </cell>
          <cell r="J359">
            <v>11.423766136169434</v>
          </cell>
          <cell r="K359">
            <v>15.86057186126709</v>
          </cell>
        </row>
        <row r="360">
          <cell r="A360" t="str">
            <v>PAMAP3000Bk143800127060</v>
          </cell>
          <cell r="B360" t="str">
            <v>PAMA</v>
          </cell>
          <cell r="C360" t="str">
            <v>P3000Bk14</v>
          </cell>
          <cell r="D360" t="str">
            <v>3800</v>
          </cell>
          <cell r="E360">
            <v>1270</v>
          </cell>
          <cell r="F360">
            <v>60</v>
          </cell>
          <cell r="G360">
            <v>6597.31591796875</v>
          </cell>
          <cell r="H360">
            <v>2.0106635093688965</v>
          </cell>
          <cell r="I360">
            <v>3.4324996471405029</v>
          </cell>
          <cell r="J360">
            <v>10.239762306213379</v>
          </cell>
          <cell r="K360">
            <v>13.822306632995605</v>
          </cell>
        </row>
        <row r="361">
          <cell r="A361" t="str">
            <v>PAMAP3000Bk143900127060</v>
          </cell>
          <cell r="B361" t="str">
            <v>PAMA</v>
          </cell>
          <cell r="C361" t="str">
            <v>P3000Bk14</v>
          </cell>
          <cell r="D361" t="str">
            <v>3900</v>
          </cell>
          <cell r="E361">
            <v>1270</v>
          </cell>
          <cell r="F361">
            <v>60</v>
          </cell>
          <cell r="G361">
            <v>6440.0732421875</v>
          </cell>
          <cell r="H361">
            <v>2.3141810894012451</v>
          </cell>
          <cell r="I361">
            <v>3.0398919582366943</v>
          </cell>
          <cell r="J361">
            <v>11.506807327270508</v>
          </cell>
          <cell r="K361">
            <v>14.238973617553711</v>
          </cell>
        </row>
        <row r="362">
          <cell r="A362" t="str">
            <v>PAMAP3000Bk143950127060</v>
          </cell>
          <cell r="B362" t="str">
            <v>PAMA</v>
          </cell>
          <cell r="C362" t="str">
            <v>P3000Bk14</v>
          </cell>
          <cell r="D362" t="str">
            <v>3950</v>
          </cell>
          <cell r="E362">
            <v>1270</v>
          </cell>
          <cell r="F362">
            <v>60</v>
          </cell>
          <cell r="G362">
            <v>6450.13623046875</v>
          </cell>
          <cell r="H362">
            <v>0.76143217086791992</v>
          </cell>
          <cell r="I362">
            <v>3.4872221946716309</v>
          </cell>
          <cell r="J362">
            <v>11.251389503479004</v>
          </cell>
          <cell r="K362">
            <v>15.803399085998535</v>
          </cell>
        </row>
        <row r="363">
          <cell r="A363" t="str">
            <v>PAMAP3000Bk143800127160</v>
          </cell>
          <cell r="B363" t="str">
            <v>PAMA</v>
          </cell>
          <cell r="C363" t="str">
            <v>P3000Bk14</v>
          </cell>
          <cell r="D363" t="str">
            <v>3800</v>
          </cell>
          <cell r="E363">
            <v>1271</v>
          </cell>
          <cell r="F363">
            <v>60</v>
          </cell>
          <cell r="G363">
            <v>6440.22119140625</v>
          </cell>
          <cell r="H363">
            <v>2.379868745803833</v>
          </cell>
          <cell r="I363">
            <v>4.547966480255127</v>
          </cell>
          <cell r="J363">
            <v>10.648418426513672</v>
          </cell>
          <cell r="K363">
            <v>14.138108253479004</v>
          </cell>
        </row>
        <row r="364">
          <cell r="A364" t="str">
            <v>PAMAP3000Bk143900127160</v>
          </cell>
          <cell r="B364" t="str">
            <v>PAMA</v>
          </cell>
          <cell r="C364" t="str">
            <v>P3000Bk14</v>
          </cell>
          <cell r="D364" t="str">
            <v>3900</v>
          </cell>
          <cell r="E364">
            <v>1271</v>
          </cell>
          <cell r="F364">
            <v>60</v>
          </cell>
          <cell r="G364">
            <v>6474.1865234375</v>
          </cell>
          <cell r="H364">
            <v>2.5256397724151611</v>
          </cell>
          <cell r="I364">
            <v>4.3128719329833984</v>
          </cell>
          <cell r="J364">
            <v>10.299088478088379</v>
          </cell>
          <cell r="K364">
            <v>13.894516944885254</v>
          </cell>
        </row>
        <row r="365">
          <cell r="A365" t="str">
            <v>PAMAP3000Bk143950127160</v>
          </cell>
          <cell r="B365" t="str">
            <v>PAMA</v>
          </cell>
          <cell r="C365" t="str">
            <v>P3000Bk14</v>
          </cell>
          <cell r="D365" t="str">
            <v>3950</v>
          </cell>
          <cell r="E365">
            <v>1271</v>
          </cell>
          <cell r="F365">
            <v>60</v>
          </cell>
          <cell r="G365">
            <v>6458.21142578125</v>
          </cell>
          <cell r="H365">
            <v>0.73822426795959473</v>
          </cell>
          <cell r="I365">
            <v>3.3330659866333008</v>
          </cell>
          <cell r="J365">
            <v>11.266058921813965</v>
          </cell>
          <cell r="K365">
            <v>15.697454452514648</v>
          </cell>
        </row>
        <row r="366">
          <cell r="A366" t="str">
            <v>PAMAP3000Bk143800127260</v>
          </cell>
          <cell r="B366" t="str">
            <v>PAMA</v>
          </cell>
          <cell r="C366" t="str">
            <v>P3000Bk14</v>
          </cell>
          <cell r="D366" t="str">
            <v>3800</v>
          </cell>
          <cell r="E366">
            <v>1272</v>
          </cell>
          <cell r="F366">
            <v>60</v>
          </cell>
          <cell r="G366">
            <v>6398.2861328125</v>
          </cell>
          <cell r="H366">
            <v>2.3157763481140137</v>
          </cell>
          <cell r="I366">
            <v>3.6593215465545654</v>
          </cell>
          <cell r="J366">
            <v>10.574155807495117</v>
          </cell>
          <cell r="K366">
            <v>14.569539070129395</v>
          </cell>
        </row>
        <row r="367">
          <cell r="A367" t="str">
            <v>PAMAP3000Bk143900127260</v>
          </cell>
          <cell r="B367" t="str">
            <v>PAMA</v>
          </cell>
          <cell r="C367" t="str">
            <v>P3000Bk14</v>
          </cell>
          <cell r="D367" t="str">
            <v>3900</v>
          </cell>
          <cell r="E367">
            <v>1272</v>
          </cell>
          <cell r="F367">
            <v>60</v>
          </cell>
          <cell r="G367">
            <v>6461.92724609375</v>
          </cell>
          <cell r="H367">
            <v>2.6335973739624023</v>
          </cell>
          <cell r="I367">
            <v>5.2357983589172363</v>
          </cell>
          <cell r="J367">
            <v>10.031967163085938</v>
          </cell>
          <cell r="K367">
            <v>13.821720123291016</v>
          </cell>
        </row>
        <row r="368">
          <cell r="A368" t="str">
            <v>PAMAP3000Bk143950127260</v>
          </cell>
          <cell r="B368" t="str">
            <v>PAMA</v>
          </cell>
          <cell r="C368" t="str">
            <v>P3000Bk14</v>
          </cell>
          <cell r="D368" t="str">
            <v>3950</v>
          </cell>
          <cell r="E368">
            <v>1272</v>
          </cell>
          <cell r="F368">
            <v>60</v>
          </cell>
          <cell r="G368">
            <v>6391.66796875</v>
          </cell>
          <cell r="H368">
            <v>1.0107399225234985</v>
          </cell>
          <cell r="I368">
            <v>3.7140486240386963</v>
          </cell>
          <cell r="J368">
            <v>11.593777656555176</v>
          </cell>
          <cell r="K368">
            <v>15.512749671936035</v>
          </cell>
        </row>
        <row r="369">
          <cell r="A369" t="str">
            <v>PAMAP3000Bk143800127360</v>
          </cell>
          <cell r="B369" t="str">
            <v>PAMA</v>
          </cell>
          <cell r="C369" t="str">
            <v>P3000Bk14</v>
          </cell>
          <cell r="D369" t="str">
            <v>3800</v>
          </cell>
          <cell r="E369">
            <v>1273</v>
          </cell>
          <cell r="F369">
            <v>60</v>
          </cell>
          <cell r="G369">
            <v>6546.75341796875</v>
          </cell>
          <cell r="H369">
            <v>2.2594215869903564</v>
          </cell>
          <cell r="I369">
            <v>3.49662184715271</v>
          </cell>
          <cell r="J369">
            <v>10.314529418945313</v>
          </cell>
          <cell r="K369">
            <v>14.344682693481445</v>
          </cell>
        </row>
        <row r="370">
          <cell r="A370" t="str">
            <v>PAMAP3000Bk143900127360</v>
          </cell>
          <cell r="B370" t="str">
            <v>PAMA</v>
          </cell>
          <cell r="C370" t="str">
            <v>P3000Bk14</v>
          </cell>
          <cell r="D370" t="str">
            <v>3900</v>
          </cell>
          <cell r="E370">
            <v>1273</v>
          </cell>
          <cell r="F370">
            <v>60</v>
          </cell>
          <cell r="G370">
            <v>6391.59326171875</v>
          </cell>
          <cell r="H370">
            <v>2.7862727642059326</v>
          </cell>
          <cell r="I370">
            <v>6.4099140167236328</v>
          </cell>
          <cell r="J370">
            <v>10.313268661499023</v>
          </cell>
          <cell r="K370">
            <v>14.12175464630127</v>
          </cell>
        </row>
        <row r="371">
          <cell r="A371" t="str">
            <v>PAMAP3000Bk143950127360</v>
          </cell>
          <cell r="B371" t="str">
            <v>PAMA</v>
          </cell>
          <cell r="C371" t="str">
            <v>P3000Bk14</v>
          </cell>
          <cell r="D371" t="str">
            <v>3950</v>
          </cell>
          <cell r="E371">
            <v>1273</v>
          </cell>
          <cell r="F371">
            <v>60</v>
          </cell>
          <cell r="G371">
            <v>6371.0830078125</v>
          </cell>
          <cell r="H371">
            <v>1.130858302116394</v>
          </cell>
          <cell r="I371">
            <v>3.8126251697540283</v>
          </cell>
          <cell r="J371">
            <v>11.787260055541992</v>
          </cell>
          <cell r="K371">
            <v>15.463230133056641</v>
          </cell>
        </row>
        <row r="372">
          <cell r="A372" t="str">
            <v>PAMAP3000Bk143800127460</v>
          </cell>
          <cell r="B372" t="str">
            <v>PAMA</v>
          </cell>
          <cell r="C372" t="str">
            <v>P3000Bk14</v>
          </cell>
          <cell r="D372" t="str">
            <v>3800</v>
          </cell>
          <cell r="E372">
            <v>1274</v>
          </cell>
          <cell r="F372">
            <v>60</v>
          </cell>
          <cell r="G372">
            <v>6536.39599609375</v>
          </cell>
          <cell r="H372">
            <v>2.3060932159423828</v>
          </cell>
          <cell r="I372">
            <v>3.7176487445831299</v>
          </cell>
          <cell r="J372">
            <v>10.477006912231445</v>
          </cell>
          <cell r="K372">
            <v>14.37044620513916</v>
          </cell>
        </row>
        <row r="373">
          <cell r="A373" t="str">
            <v>PAMAP3000Bk143900127460</v>
          </cell>
          <cell r="B373" t="str">
            <v>PAMA</v>
          </cell>
          <cell r="C373" t="str">
            <v>P3000Bk14</v>
          </cell>
          <cell r="D373" t="str">
            <v>3900</v>
          </cell>
          <cell r="E373">
            <v>1274</v>
          </cell>
          <cell r="F373">
            <v>60</v>
          </cell>
          <cell r="G373">
            <v>6414.80517578125</v>
          </cell>
          <cell r="H373">
            <v>2.5916526317596436</v>
          </cell>
          <cell r="I373">
            <v>5.8603267669677734</v>
          </cell>
          <cell r="J373">
            <v>10.398931503295898</v>
          </cell>
          <cell r="K373">
            <v>14.168028831481934</v>
          </cell>
        </row>
        <row r="374">
          <cell r="A374" t="str">
            <v>PAMAP3000Bk143950127460</v>
          </cell>
          <cell r="B374" t="str">
            <v>PAMA</v>
          </cell>
          <cell r="C374" t="str">
            <v>P3000Bk14</v>
          </cell>
          <cell r="D374" t="str">
            <v>3950</v>
          </cell>
          <cell r="E374">
            <v>1274</v>
          </cell>
          <cell r="F374">
            <v>60</v>
          </cell>
          <cell r="G374">
            <v>6399.982421875</v>
          </cell>
          <cell r="H374">
            <v>1.0977325439453125</v>
          </cell>
          <cell r="I374">
            <v>4.086249828338623</v>
          </cell>
          <cell r="J374">
            <v>11.480720520019531</v>
          </cell>
          <cell r="K374">
            <v>15.191357612609863</v>
          </cell>
        </row>
        <row r="375">
          <cell r="A375" t="str">
            <v>PAMAP3000Bk143800127560</v>
          </cell>
          <cell r="B375" t="str">
            <v>PAMA</v>
          </cell>
          <cell r="C375" t="str">
            <v>P3000Bk14</v>
          </cell>
          <cell r="D375" t="str">
            <v>3800</v>
          </cell>
          <cell r="E375">
            <v>1275</v>
          </cell>
          <cell r="F375">
            <v>60</v>
          </cell>
          <cell r="G375">
            <v>6517.71337890625</v>
          </cell>
          <cell r="H375">
            <v>2.3030896186828613</v>
          </cell>
          <cell r="I375">
            <v>3.7868955135345459</v>
          </cell>
          <cell r="J375">
            <v>10.555416107177734</v>
          </cell>
          <cell r="K375">
            <v>14.503558158874512</v>
          </cell>
        </row>
        <row r="376">
          <cell r="A376" t="str">
            <v>PAMAP3000Bk143900127560</v>
          </cell>
          <cell r="B376" t="str">
            <v>PAMA</v>
          </cell>
          <cell r="C376" t="str">
            <v>P3000Bk14</v>
          </cell>
          <cell r="D376" t="str">
            <v>3900</v>
          </cell>
          <cell r="E376">
            <v>1275</v>
          </cell>
          <cell r="F376">
            <v>60</v>
          </cell>
          <cell r="G376">
            <v>6430.40771484375</v>
          </cell>
          <cell r="H376">
            <v>2.3811285495758057</v>
          </cell>
          <cell r="I376">
            <v>5.4954056739807129</v>
          </cell>
          <cell r="J376">
            <v>10.38941764831543</v>
          </cell>
          <cell r="K376">
            <v>14.079384803771973</v>
          </cell>
        </row>
        <row r="377">
          <cell r="A377" t="str">
            <v>PAMAP3000Bk143950127560</v>
          </cell>
          <cell r="B377" t="str">
            <v>PAMA</v>
          </cell>
          <cell r="C377" t="str">
            <v>P3000Bk14</v>
          </cell>
          <cell r="D377" t="str">
            <v>3950</v>
          </cell>
          <cell r="E377">
            <v>1275</v>
          </cell>
          <cell r="F377">
            <v>60</v>
          </cell>
          <cell r="G377">
            <v>6428.640625</v>
          </cell>
          <cell r="H377">
            <v>1.148436427116394</v>
          </cell>
          <cell r="I377">
            <v>4.2282838821411133</v>
          </cell>
          <cell r="J377">
            <v>11.322267532348633</v>
          </cell>
          <cell r="K377">
            <v>15.060848236083984</v>
          </cell>
        </row>
        <row r="378">
          <cell r="A378" t="str">
            <v>PAMAP3000Bk143800127660</v>
          </cell>
          <cell r="B378" t="str">
            <v>PAMA</v>
          </cell>
          <cell r="C378" t="str">
            <v>P3000Bk14</v>
          </cell>
          <cell r="D378" t="str">
            <v>3800</v>
          </cell>
          <cell r="E378">
            <v>1276</v>
          </cell>
          <cell r="F378">
            <v>60</v>
          </cell>
          <cell r="G378">
            <v>6498.45068359375</v>
          </cell>
          <cell r="H378">
            <v>2.2196698188781738</v>
          </cell>
          <cell r="I378">
            <v>3.6538252830505371</v>
          </cell>
          <cell r="J378">
            <v>10.6639404296875</v>
          </cell>
          <cell r="K378">
            <v>14.79177188873291</v>
          </cell>
        </row>
        <row r="379">
          <cell r="A379" t="str">
            <v>PAMAP3000Bk143900127660</v>
          </cell>
          <cell r="B379" t="str">
            <v>PAMA</v>
          </cell>
          <cell r="C379" t="str">
            <v>P3000Bk14</v>
          </cell>
          <cell r="D379" t="str">
            <v>3900</v>
          </cell>
          <cell r="E379">
            <v>1276</v>
          </cell>
          <cell r="F379">
            <v>60</v>
          </cell>
          <cell r="G379">
            <v>6031.1005859375</v>
          </cell>
          <cell r="H379">
            <v>2.4693176746368408</v>
          </cell>
          <cell r="I379">
            <v>8.4165706634521484</v>
          </cell>
          <cell r="J379">
            <v>11.419436454772949</v>
          </cell>
          <cell r="K379">
            <v>15.007478713989258</v>
          </cell>
        </row>
        <row r="380">
          <cell r="A380" t="str">
            <v>PAMAP3000Bk143950127660</v>
          </cell>
          <cell r="B380" t="str">
            <v>PAMA</v>
          </cell>
          <cell r="C380" t="str">
            <v>P3000Bk14</v>
          </cell>
          <cell r="D380" t="str">
            <v>3950</v>
          </cell>
          <cell r="E380">
            <v>1276</v>
          </cell>
          <cell r="F380">
            <v>60</v>
          </cell>
          <cell r="G380">
            <v>6448.3076171875</v>
          </cell>
          <cell r="H380">
            <v>1.2040551900863647</v>
          </cell>
          <cell r="I380">
            <v>3.953446626663208</v>
          </cell>
          <cell r="J380">
            <v>11.366127014160156</v>
          </cell>
          <cell r="K380">
            <v>15.195120811462402</v>
          </cell>
        </row>
        <row r="381">
          <cell r="A381" t="str">
            <v>PAMAP3000Bk143900127760</v>
          </cell>
          <cell r="B381" t="str">
            <v>PAMA</v>
          </cell>
          <cell r="C381" t="str">
            <v>P3000Bk14</v>
          </cell>
          <cell r="D381" t="str">
            <v>3900</v>
          </cell>
          <cell r="E381">
            <v>1277</v>
          </cell>
          <cell r="F381">
            <v>60</v>
          </cell>
          <cell r="G381">
            <v>6125.451171875</v>
          </cell>
          <cell r="H381">
            <v>2.4566051959991455</v>
          </cell>
          <cell r="I381">
            <v>7.3797879219055176</v>
          </cell>
          <cell r="J381">
            <v>11.33481502532959</v>
          </cell>
          <cell r="K381">
            <v>14.993888854980469</v>
          </cell>
        </row>
        <row r="382">
          <cell r="A382" t="str">
            <v>PAMAP3000Bk143950127760</v>
          </cell>
          <cell r="B382" t="str">
            <v>PAMA</v>
          </cell>
          <cell r="C382" t="str">
            <v>P3000Bk14</v>
          </cell>
          <cell r="D382" t="str">
            <v>3950</v>
          </cell>
          <cell r="E382">
            <v>1277</v>
          </cell>
          <cell r="F382">
            <v>60</v>
          </cell>
          <cell r="G382">
            <v>6439.59521484375</v>
          </cell>
          <cell r="H382">
            <v>1.1549830436706543</v>
          </cell>
          <cell r="I382">
            <v>4.0239648818969727</v>
          </cell>
          <cell r="J382">
            <v>11.342667579650879</v>
          </cell>
          <cell r="K382">
            <v>15.343453407287598</v>
          </cell>
        </row>
        <row r="383">
          <cell r="A383" t="str">
            <v>PAMAP3000Bk143900127860</v>
          </cell>
          <cell r="B383" t="str">
            <v>PAMA</v>
          </cell>
          <cell r="C383" t="str">
            <v>P3000Bk14</v>
          </cell>
          <cell r="D383" t="str">
            <v>3900</v>
          </cell>
          <cell r="E383">
            <v>1278</v>
          </cell>
          <cell r="F383">
            <v>60</v>
          </cell>
          <cell r="G383">
            <v>6301.255859375</v>
          </cell>
          <cell r="H383">
            <v>2.4072856903076172</v>
          </cell>
          <cell r="I383">
            <v>5.3637857437133789</v>
          </cell>
          <cell r="J383">
            <v>11.248376846313477</v>
          </cell>
          <cell r="K383">
            <v>15.041226387023926</v>
          </cell>
        </row>
        <row r="384">
          <cell r="A384" t="str">
            <v>PAMAP3000Bk143950127860</v>
          </cell>
          <cell r="B384" t="str">
            <v>PAMA</v>
          </cell>
          <cell r="C384" t="str">
            <v>P3000Bk14</v>
          </cell>
          <cell r="D384" t="str">
            <v>3950</v>
          </cell>
          <cell r="E384">
            <v>1278</v>
          </cell>
          <cell r="F384">
            <v>60</v>
          </cell>
          <cell r="G384">
            <v>6428.29736328125</v>
          </cell>
          <cell r="H384">
            <v>1.179008960723877</v>
          </cell>
          <cell r="I384">
            <v>4.2211465835571289</v>
          </cell>
          <cell r="J384">
            <v>11.366190910339355</v>
          </cell>
          <cell r="K384">
            <v>15.430672645568848</v>
          </cell>
        </row>
        <row r="385">
          <cell r="A385" t="str">
            <v>PAMAP3000Bk143800127960</v>
          </cell>
          <cell r="B385" t="str">
            <v>PAMA</v>
          </cell>
          <cell r="C385" t="str">
            <v>P3000Bk14</v>
          </cell>
          <cell r="D385" t="str">
            <v>3800</v>
          </cell>
          <cell r="E385">
            <v>1279</v>
          </cell>
          <cell r="F385">
            <v>60</v>
          </cell>
          <cell r="G385">
            <v>6589.51708984375</v>
          </cell>
          <cell r="H385">
            <v>2.9164555072784424</v>
          </cell>
          <cell r="I385">
            <v>3.3907663822174072</v>
          </cell>
          <cell r="J385">
            <v>10.739023208618164</v>
          </cell>
          <cell r="K385">
            <v>15.369894027709961</v>
          </cell>
        </row>
        <row r="386">
          <cell r="A386" t="str">
            <v>PAMAP3000Bk143900127960</v>
          </cell>
          <cell r="B386" t="str">
            <v>PAMA</v>
          </cell>
          <cell r="C386" t="str">
            <v>P3000Bk14</v>
          </cell>
          <cell r="D386" t="str">
            <v>3900</v>
          </cell>
          <cell r="E386">
            <v>1279</v>
          </cell>
          <cell r="F386">
            <v>60</v>
          </cell>
          <cell r="G386">
            <v>6333.52099609375</v>
          </cell>
          <cell r="H386">
            <v>2.447944164276123</v>
          </cell>
          <cell r="I386">
            <v>4.6247076988220215</v>
          </cell>
          <cell r="J386">
            <v>11.491592407226563</v>
          </cell>
          <cell r="K386">
            <v>15.324371337890625</v>
          </cell>
        </row>
        <row r="387">
          <cell r="A387" t="str">
            <v>PAMAP3000Bk143950127960</v>
          </cell>
          <cell r="B387" t="str">
            <v>PAMA</v>
          </cell>
          <cell r="C387" t="str">
            <v>P3000Bk14</v>
          </cell>
          <cell r="D387" t="str">
            <v>3950</v>
          </cell>
          <cell r="E387">
            <v>1279</v>
          </cell>
          <cell r="F387">
            <v>60</v>
          </cell>
          <cell r="G387">
            <v>6429.51123046875</v>
          </cell>
          <cell r="H387">
            <v>1.081391453742981</v>
          </cell>
          <cell r="I387">
            <v>4.2572445869445801</v>
          </cell>
          <cell r="J387">
            <v>11.447832107543945</v>
          </cell>
          <cell r="K387">
            <v>15.583183288574219</v>
          </cell>
        </row>
        <row r="388">
          <cell r="A388" t="str">
            <v>PAMAP3000Bk143900128060</v>
          </cell>
          <cell r="B388" t="str">
            <v>PAMA</v>
          </cell>
          <cell r="C388" t="str">
            <v>P3000Bk14</v>
          </cell>
          <cell r="D388" t="str">
            <v>3900</v>
          </cell>
          <cell r="E388">
            <v>1280</v>
          </cell>
          <cell r="F388">
            <v>60</v>
          </cell>
          <cell r="G388">
            <v>6407.22607421875</v>
          </cell>
          <cell r="H388">
            <v>2.1796338558197021</v>
          </cell>
          <cell r="I388">
            <v>4.3529019355773926</v>
          </cell>
          <cell r="J388">
            <v>11.457202911376953</v>
          </cell>
          <cell r="K388">
            <v>15.253381729125977</v>
          </cell>
        </row>
        <row r="389">
          <cell r="A389" t="str">
            <v>PAMAP3000Bk143950128060</v>
          </cell>
          <cell r="B389" t="str">
            <v>PAMA</v>
          </cell>
          <cell r="C389" t="str">
            <v>P3000Bk14</v>
          </cell>
          <cell r="D389" t="str">
            <v>3950</v>
          </cell>
          <cell r="E389">
            <v>1280</v>
          </cell>
          <cell r="F389">
            <v>60</v>
          </cell>
          <cell r="G389">
            <v>6431.89306640625</v>
          </cell>
          <cell r="H389">
            <v>0.96635055541992188</v>
          </cell>
          <cell r="I389">
            <v>4.158078670501709</v>
          </cell>
          <cell r="J389">
            <v>11.37096118927002</v>
          </cell>
          <cell r="K389">
            <v>15.581202507019043</v>
          </cell>
        </row>
        <row r="390">
          <cell r="A390" t="str">
            <v>PAMAP3000Bk143900128160</v>
          </cell>
          <cell r="B390" t="str">
            <v>PAMA</v>
          </cell>
          <cell r="C390" t="str">
            <v>P3000Bk14</v>
          </cell>
          <cell r="D390" t="str">
            <v>3900</v>
          </cell>
          <cell r="E390">
            <v>1281</v>
          </cell>
          <cell r="F390">
            <v>60</v>
          </cell>
          <cell r="G390">
            <v>6639.83544921875</v>
          </cell>
          <cell r="H390">
            <v>0.99387902021408081</v>
          </cell>
          <cell r="I390">
            <v>3.2512516975402832</v>
          </cell>
          <cell r="J390">
            <v>11.619872093200684</v>
          </cell>
          <cell r="K390">
            <v>15.213354110717773</v>
          </cell>
        </row>
        <row r="391">
          <cell r="A391" t="str">
            <v>PAMAP3000Bk143950128160</v>
          </cell>
          <cell r="B391" t="str">
            <v>PAMA</v>
          </cell>
          <cell r="C391" t="str">
            <v>P3000Bk14</v>
          </cell>
          <cell r="D391" t="str">
            <v>3950</v>
          </cell>
          <cell r="E391">
            <v>1281</v>
          </cell>
          <cell r="F391">
            <v>60</v>
          </cell>
          <cell r="G391">
            <v>6420.7607421875</v>
          </cell>
          <cell r="H391">
            <v>1.0314896106719971</v>
          </cell>
          <cell r="I391">
            <v>4.4517331123352051</v>
          </cell>
          <cell r="J391">
            <v>11.16915225982666</v>
          </cell>
          <cell r="K391">
            <v>15.39464282989502</v>
          </cell>
        </row>
        <row r="392">
          <cell r="A392" t="str">
            <v>PAMAP3000Bk143900128260</v>
          </cell>
          <cell r="B392" t="str">
            <v>PAMA</v>
          </cell>
          <cell r="C392" t="str">
            <v>P3000Bk14</v>
          </cell>
          <cell r="D392" t="str">
            <v>3900</v>
          </cell>
          <cell r="E392">
            <v>1282</v>
          </cell>
          <cell r="F392">
            <v>60</v>
          </cell>
          <cell r="G392">
            <v>6536.00439453125</v>
          </cell>
          <cell r="H392">
            <v>1.0499154329299927</v>
          </cell>
          <cell r="I392">
            <v>3.228994607925415</v>
          </cell>
          <cell r="J392">
            <v>11.428092956542969</v>
          </cell>
          <cell r="K392">
            <v>14.97681999206543</v>
          </cell>
        </row>
        <row r="393">
          <cell r="A393" t="str">
            <v>PAMAP3000Bk143950128260</v>
          </cell>
          <cell r="B393" t="str">
            <v>PAMA</v>
          </cell>
          <cell r="C393" t="str">
            <v>P3000Bk14</v>
          </cell>
          <cell r="D393" t="str">
            <v>3950</v>
          </cell>
          <cell r="E393">
            <v>1282</v>
          </cell>
          <cell r="F393">
            <v>60</v>
          </cell>
          <cell r="G393">
            <v>6412.6748046875</v>
          </cell>
          <cell r="H393">
            <v>1.1629376411437988</v>
          </cell>
          <cell r="I393">
            <v>4.700901985168457</v>
          </cell>
          <cell r="J393">
            <v>11.165065765380859</v>
          </cell>
          <cell r="K393">
            <v>15.529324531555176</v>
          </cell>
        </row>
        <row r="394">
          <cell r="A394" t="str">
            <v>PAMAP3000Bk143950128360</v>
          </cell>
          <cell r="B394" t="str">
            <v>PAMA</v>
          </cell>
          <cell r="C394" t="str">
            <v>P3000Bk14</v>
          </cell>
          <cell r="D394" t="str">
            <v>3950</v>
          </cell>
          <cell r="E394">
            <v>1283</v>
          </cell>
          <cell r="F394">
            <v>60</v>
          </cell>
          <cell r="G394">
            <v>6391.11865234375</v>
          </cell>
          <cell r="H394">
            <v>1.4466105699539185</v>
          </cell>
          <cell r="I394">
            <v>4.7389736175537109</v>
          </cell>
          <cell r="J394">
            <v>11.292689323425293</v>
          </cell>
          <cell r="K394">
            <v>16.036247253417969</v>
          </cell>
        </row>
        <row r="395">
          <cell r="A395" t="str">
            <v>PAMAP3000Bk144700128360</v>
          </cell>
          <cell r="B395" t="str">
            <v>PAMA</v>
          </cell>
          <cell r="C395" t="str">
            <v>P3000Bk14</v>
          </cell>
          <cell r="D395" t="str">
            <v>4700</v>
          </cell>
          <cell r="E395">
            <v>1283</v>
          </cell>
          <cell r="F395">
            <v>60</v>
          </cell>
          <cell r="G395">
            <v>6406.72509765625</v>
          </cell>
          <cell r="H395">
            <v>2.3631436824798584</v>
          </cell>
          <cell r="I395">
            <v>4.8373837471008301</v>
          </cell>
          <cell r="J395">
            <v>11.29383373260498</v>
          </cell>
          <cell r="K395">
            <v>15.682184219360352</v>
          </cell>
        </row>
        <row r="396">
          <cell r="A396" t="str">
            <v>PAMAP3000Bk143740128460</v>
          </cell>
          <cell r="B396" t="str">
            <v>PAMA</v>
          </cell>
          <cell r="C396" t="str">
            <v>P3000Bk14</v>
          </cell>
          <cell r="D396" t="str">
            <v>3740</v>
          </cell>
          <cell r="E396">
            <v>1284</v>
          </cell>
          <cell r="F396">
            <v>60</v>
          </cell>
          <cell r="G396">
            <v>6508.72998046875</v>
          </cell>
          <cell r="H396">
            <v>0.92655885219573975</v>
          </cell>
          <cell r="I396">
            <v>4.2212724685668945</v>
          </cell>
          <cell r="J396">
            <v>10.287400245666504</v>
          </cell>
          <cell r="K396">
            <v>14.043746948242188</v>
          </cell>
        </row>
        <row r="397">
          <cell r="A397" t="str">
            <v>PAMAP3000Bk143800128460</v>
          </cell>
          <cell r="B397" t="str">
            <v>PAMA</v>
          </cell>
          <cell r="C397" t="str">
            <v>P3000Bk14</v>
          </cell>
          <cell r="D397" t="str">
            <v>3800</v>
          </cell>
          <cell r="E397">
            <v>1284</v>
          </cell>
          <cell r="F397">
            <v>60</v>
          </cell>
          <cell r="G397">
            <v>6400.02099609375</v>
          </cell>
          <cell r="H397">
            <v>2.3629183769226074</v>
          </cell>
          <cell r="I397">
            <v>4.026634693145752</v>
          </cell>
          <cell r="J397">
            <v>11.447190284729004</v>
          </cell>
          <cell r="K397">
            <v>15.277700424194336</v>
          </cell>
        </row>
        <row r="398">
          <cell r="A398" t="str">
            <v>PAMAP3000Bk143950128460</v>
          </cell>
          <cell r="B398" t="str">
            <v>PAMA</v>
          </cell>
          <cell r="C398" t="str">
            <v>P3000Bk14</v>
          </cell>
          <cell r="D398" t="str">
            <v>3950</v>
          </cell>
          <cell r="E398">
            <v>1284</v>
          </cell>
          <cell r="F398">
            <v>60</v>
          </cell>
          <cell r="G398">
            <v>6419.98095703125</v>
          </cell>
          <cell r="H398">
            <v>1.3839555978775024</v>
          </cell>
          <cell r="I398">
            <v>3.9923949241638184</v>
          </cell>
          <cell r="J398">
            <v>11.420341491699219</v>
          </cell>
          <cell r="K398">
            <v>15.410137176513672</v>
          </cell>
        </row>
        <row r="399">
          <cell r="A399" t="str">
            <v>PAMAP3000Bk144700128460</v>
          </cell>
          <cell r="B399" t="str">
            <v>PAMA</v>
          </cell>
          <cell r="C399" t="str">
            <v>P3000Bk14</v>
          </cell>
          <cell r="D399" t="str">
            <v>4700</v>
          </cell>
          <cell r="E399">
            <v>1284</v>
          </cell>
          <cell r="F399">
            <v>60</v>
          </cell>
          <cell r="G399">
            <v>6403.7890625</v>
          </cell>
          <cell r="H399">
            <v>2.3723537921905518</v>
          </cell>
          <cell r="I399">
            <v>4.8920941352844238</v>
          </cell>
          <cell r="J399">
            <v>11.174304008483887</v>
          </cell>
          <cell r="K399">
            <v>15.496312141418457</v>
          </cell>
        </row>
        <row r="400">
          <cell r="A400" t="str">
            <v>PAMAP3000Bk143740128540</v>
          </cell>
          <cell r="B400" t="str">
            <v>PAMA</v>
          </cell>
          <cell r="C400" t="str">
            <v>P3000Bk14</v>
          </cell>
          <cell r="D400" t="str">
            <v>3740</v>
          </cell>
          <cell r="E400">
            <v>1285</v>
          </cell>
          <cell r="F400">
            <v>40</v>
          </cell>
          <cell r="G400">
            <v>6575.4912109375</v>
          </cell>
          <cell r="H400">
            <v>0.65464597940444946</v>
          </cell>
          <cell r="I400">
            <v>2.703134298324585</v>
          </cell>
          <cell r="J400">
            <v>10.784580230712891</v>
          </cell>
          <cell r="K400">
            <v>14.252981185913086</v>
          </cell>
        </row>
        <row r="401">
          <cell r="A401" t="str">
            <v>PAMAP3000Bk143740128550</v>
          </cell>
          <cell r="B401" t="str">
            <v>PAMA</v>
          </cell>
          <cell r="C401" t="str">
            <v>P3000Bk14</v>
          </cell>
          <cell r="D401" t="str">
            <v>3740</v>
          </cell>
          <cell r="E401">
            <v>1285</v>
          </cell>
          <cell r="F401">
            <v>50</v>
          </cell>
          <cell r="G401">
            <v>6572.40966796875</v>
          </cell>
          <cell r="H401">
            <v>0.66548532247543335</v>
          </cell>
          <cell r="I401">
            <v>2.7536623477935791</v>
          </cell>
          <cell r="J401">
            <v>10.747658729553223</v>
          </cell>
          <cell r="K401">
            <v>14.134462356567383</v>
          </cell>
        </row>
        <row r="402">
          <cell r="A402" t="str">
            <v>PAMAP3000Bk143740128560</v>
          </cell>
          <cell r="B402" t="str">
            <v>PAMA</v>
          </cell>
          <cell r="C402" t="str">
            <v>P3000Bk14</v>
          </cell>
          <cell r="D402" t="str">
            <v>3740</v>
          </cell>
          <cell r="E402">
            <v>1285</v>
          </cell>
          <cell r="F402">
            <v>60</v>
          </cell>
          <cell r="G402">
            <v>6633.30322265625</v>
          </cell>
          <cell r="H402">
            <v>0.68554860353469849</v>
          </cell>
          <cell r="I402">
            <v>2.6402649879455566</v>
          </cell>
          <cell r="J402">
            <v>10.210521697998047</v>
          </cell>
          <cell r="K402">
            <v>13.796043395996094</v>
          </cell>
        </row>
        <row r="403">
          <cell r="A403" t="str">
            <v>PAMAP3000Bk143800128540</v>
          </cell>
          <cell r="B403" t="str">
            <v>PAMA</v>
          </cell>
          <cell r="C403" t="str">
            <v>P3000Bk14</v>
          </cell>
          <cell r="D403" t="str">
            <v>3800</v>
          </cell>
          <cell r="E403">
            <v>1285</v>
          </cell>
          <cell r="F403">
            <v>40</v>
          </cell>
          <cell r="G403">
            <v>6429.41064453125</v>
          </cell>
          <cell r="H403">
            <v>2.2788739204406738</v>
          </cell>
          <cell r="I403">
            <v>3.826164722442627</v>
          </cell>
          <cell r="J403">
            <v>11.166582107543945</v>
          </cell>
          <cell r="K403">
            <v>14.969082832336426</v>
          </cell>
        </row>
        <row r="404">
          <cell r="A404" t="str">
            <v>PAMAP3000Bk143800128550</v>
          </cell>
          <cell r="B404" t="str">
            <v>PAMA</v>
          </cell>
          <cell r="C404" t="str">
            <v>P3000Bk14</v>
          </cell>
          <cell r="D404" t="str">
            <v>3800</v>
          </cell>
          <cell r="E404">
            <v>1285</v>
          </cell>
          <cell r="F404">
            <v>50</v>
          </cell>
          <cell r="G404">
            <v>6425.41455078125</v>
          </cell>
          <cell r="H404">
            <v>2.3210821151733398</v>
          </cell>
          <cell r="I404">
            <v>3.8669095039367676</v>
          </cell>
          <cell r="J404">
            <v>11.271980285644531</v>
          </cell>
          <cell r="K404">
            <v>15.121230125427246</v>
          </cell>
        </row>
        <row r="405">
          <cell r="A405" t="str">
            <v>PAMAP3000Bk143800128560</v>
          </cell>
          <cell r="B405" t="str">
            <v>PAMA</v>
          </cell>
          <cell r="C405" t="str">
            <v>P3000Bk14</v>
          </cell>
          <cell r="D405" t="str">
            <v>3800</v>
          </cell>
          <cell r="E405">
            <v>1285</v>
          </cell>
          <cell r="F405">
            <v>60</v>
          </cell>
          <cell r="G405">
            <v>6403.83544921875</v>
          </cell>
          <cell r="H405">
            <v>2.3654727935791016</v>
          </cell>
          <cell r="I405">
            <v>4.001826286315918</v>
          </cell>
          <cell r="J405">
            <v>11.443147659301758</v>
          </cell>
          <cell r="K405">
            <v>15.259711265563965</v>
          </cell>
        </row>
        <row r="406">
          <cell r="A406" t="str">
            <v>PAMAP3000Bk143950128550</v>
          </cell>
          <cell r="B406" t="str">
            <v>PAMA</v>
          </cell>
          <cell r="C406" t="str">
            <v>P3000Bk14</v>
          </cell>
          <cell r="D406" t="str">
            <v>3950</v>
          </cell>
          <cell r="E406">
            <v>1285</v>
          </cell>
          <cell r="F406">
            <v>50</v>
          </cell>
          <cell r="G406">
            <v>6418.4580078125</v>
          </cell>
          <cell r="H406">
            <v>1.4384778738021851</v>
          </cell>
          <cell r="I406">
            <v>4.0788998603820801</v>
          </cell>
          <cell r="J406">
            <v>11.258143424987793</v>
          </cell>
          <cell r="K406">
            <v>15.014472007751465</v>
          </cell>
        </row>
        <row r="407">
          <cell r="A407" t="str">
            <v>PAMAP3000Bk143950128560</v>
          </cell>
          <cell r="B407" t="str">
            <v>PAMA</v>
          </cell>
          <cell r="C407" t="str">
            <v>P3000Bk14</v>
          </cell>
          <cell r="D407" t="str">
            <v>3950</v>
          </cell>
          <cell r="E407">
            <v>1285</v>
          </cell>
          <cell r="F407">
            <v>60</v>
          </cell>
          <cell r="G407">
            <v>6426.61474609375</v>
          </cell>
          <cell r="H407">
            <v>1.3852348327636719</v>
          </cell>
          <cell r="I407">
            <v>3.9527115821838379</v>
          </cell>
          <cell r="J407">
            <v>11.291767120361328</v>
          </cell>
          <cell r="K407">
            <v>15.193367958068848</v>
          </cell>
        </row>
        <row r="408">
          <cell r="A408" t="str">
            <v>PAMAP3000Bk143740128630</v>
          </cell>
          <cell r="B408" t="str">
            <v>PAMA</v>
          </cell>
          <cell r="C408" t="str">
            <v>P3000Bk14</v>
          </cell>
          <cell r="D408" t="str">
            <v>3740</v>
          </cell>
          <cell r="E408">
            <v>1286</v>
          </cell>
          <cell r="F408">
            <v>30</v>
          </cell>
          <cell r="G408">
            <v>6529.80908203125</v>
          </cell>
          <cell r="H408">
            <v>0.58242416381835938</v>
          </cell>
          <cell r="I408">
            <v>3.3079876899719238</v>
          </cell>
          <cell r="J408">
            <v>10.96279239654541</v>
          </cell>
          <cell r="K408">
            <v>14.340967178344727</v>
          </cell>
        </row>
        <row r="409">
          <cell r="A409" t="str">
            <v>PAMAP3000Bk143740128640</v>
          </cell>
          <cell r="B409" t="str">
            <v>PAMA</v>
          </cell>
          <cell r="C409" t="str">
            <v>P3000Bk14</v>
          </cell>
          <cell r="D409" t="str">
            <v>3740</v>
          </cell>
          <cell r="E409">
            <v>1286</v>
          </cell>
          <cell r="F409">
            <v>40</v>
          </cell>
          <cell r="G409">
            <v>6568.1142578125</v>
          </cell>
          <cell r="H409">
            <v>0.61587309837341309</v>
          </cell>
          <cell r="I409">
            <v>2.9203627109527588</v>
          </cell>
          <cell r="J409">
            <v>10.798818588256836</v>
          </cell>
          <cell r="K409">
            <v>14.244939804077148</v>
          </cell>
        </row>
        <row r="410">
          <cell r="A410" t="str">
            <v>PAMAP3000Bk143740128650</v>
          </cell>
          <cell r="B410" t="str">
            <v>PAMA</v>
          </cell>
          <cell r="C410" t="str">
            <v>P3000Bk14</v>
          </cell>
          <cell r="D410" t="str">
            <v>3740</v>
          </cell>
          <cell r="E410">
            <v>1286</v>
          </cell>
          <cell r="F410">
            <v>50</v>
          </cell>
          <cell r="G410">
            <v>6674.64599609375</v>
          </cell>
          <cell r="H410">
            <v>0.61187052726745605</v>
          </cell>
          <cell r="I410">
            <v>2.0288434028625488</v>
          </cell>
          <cell r="J410">
            <v>10.270716667175293</v>
          </cell>
          <cell r="K410">
            <v>13.750404357910156</v>
          </cell>
        </row>
        <row r="411">
          <cell r="A411" t="str">
            <v>PAMAP3000Bk143740128660</v>
          </cell>
          <cell r="B411" t="str">
            <v>PAMA</v>
          </cell>
          <cell r="C411" t="str">
            <v>P3000Bk14</v>
          </cell>
          <cell r="D411" t="str">
            <v>3740</v>
          </cell>
          <cell r="E411">
            <v>1286</v>
          </cell>
          <cell r="F411">
            <v>60</v>
          </cell>
          <cell r="G411">
            <v>6695.3154296875</v>
          </cell>
          <cell r="H411">
            <v>0.60228121280670166</v>
          </cell>
          <cell r="I411">
            <v>1.8950644731521606</v>
          </cell>
          <cell r="J411">
            <v>10.130634307861328</v>
          </cell>
          <cell r="K411">
            <v>13.610135078430176</v>
          </cell>
        </row>
        <row r="412">
          <cell r="A412" t="str">
            <v>PAMAP3000Bk143800128640</v>
          </cell>
          <cell r="B412" t="str">
            <v>PAMA</v>
          </cell>
          <cell r="C412" t="str">
            <v>P3000Bk14</v>
          </cell>
          <cell r="D412" t="str">
            <v>3800</v>
          </cell>
          <cell r="E412">
            <v>1286</v>
          </cell>
          <cell r="F412">
            <v>40</v>
          </cell>
          <cell r="G412">
            <v>6428.990234375</v>
          </cell>
          <cell r="H412">
            <v>2.2134933471679688</v>
          </cell>
          <cell r="I412">
            <v>3.7714738845825195</v>
          </cell>
          <cell r="J412">
            <v>11.179539680480957</v>
          </cell>
          <cell r="K412">
            <v>14.464951515197754</v>
          </cell>
        </row>
        <row r="413">
          <cell r="A413" t="str">
            <v>PAMAP3000Bk143800128650</v>
          </cell>
          <cell r="B413" t="str">
            <v>PAMA</v>
          </cell>
          <cell r="C413" t="str">
            <v>P3000Bk14</v>
          </cell>
          <cell r="D413" t="str">
            <v>3800</v>
          </cell>
          <cell r="E413">
            <v>1286</v>
          </cell>
          <cell r="F413">
            <v>50</v>
          </cell>
          <cell r="G413">
            <v>6456.39306640625</v>
          </cell>
          <cell r="H413">
            <v>2.2606687545776367</v>
          </cell>
          <cell r="I413">
            <v>3.6268608570098877</v>
          </cell>
          <cell r="J413">
            <v>11.142078399658203</v>
          </cell>
          <cell r="K413">
            <v>14.728482246398926</v>
          </cell>
        </row>
        <row r="414">
          <cell r="A414" t="str">
            <v>PAMAP3000Bk143950128650</v>
          </cell>
          <cell r="B414" t="str">
            <v>PAMA</v>
          </cell>
          <cell r="C414" t="str">
            <v>P3000Bk14</v>
          </cell>
          <cell r="D414" t="str">
            <v>3950</v>
          </cell>
          <cell r="E414">
            <v>1286</v>
          </cell>
          <cell r="F414">
            <v>50</v>
          </cell>
          <cell r="G414">
            <v>6393.50146484375</v>
          </cell>
          <cell r="H414">
            <v>1.5167056322097778</v>
          </cell>
          <cell r="I414">
            <v>4.0352697372436523</v>
          </cell>
          <cell r="J414">
            <v>11.511468887329102</v>
          </cell>
          <cell r="K414">
            <v>14.790623664855957</v>
          </cell>
        </row>
        <row r="415">
          <cell r="A415" t="str">
            <v>PAMAP3000Bk143740128730</v>
          </cell>
          <cell r="B415" t="str">
            <v>PAMA</v>
          </cell>
          <cell r="C415" t="str">
            <v>P3000Bk14</v>
          </cell>
          <cell r="D415" t="str">
            <v>3740</v>
          </cell>
          <cell r="E415">
            <v>1287</v>
          </cell>
          <cell r="F415">
            <v>30</v>
          </cell>
          <cell r="G415">
            <v>6552.5166015625</v>
          </cell>
          <cell r="H415">
            <v>0.59483784437179565</v>
          </cell>
          <cell r="I415">
            <v>3.0256888866424561</v>
          </cell>
          <cell r="J415">
            <v>10.90491771697998</v>
          </cell>
          <cell r="K415">
            <v>14.291440963745117</v>
          </cell>
        </row>
        <row r="416">
          <cell r="A416" t="str">
            <v>PAMAP3000Bk143740128740</v>
          </cell>
          <cell r="B416" t="str">
            <v>PAMA</v>
          </cell>
          <cell r="C416" t="str">
            <v>P3000Bk14</v>
          </cell>
          <cell r="D416" t="str">
            <v>3740</v>
          </cell>
          <cell r="E416">
            <v>1287</v>
          </cell>
          <cell r="F416">
            <v>40</v>
          </cell>
          <cell r="G416">
            <v>6573.912109375</v>
          </cell>
          <cell r="H416">
            <v>0.61449474096298218</v>
          </cell>
          <cell r="I416">
            <v>2.781198263168335</v>
          </cell>
          <cell r="J416">
            <v>10.893414497375488</v>
          </cell>
          <cell r="K416">
            <v>14.321965217590332</v>
          </cell>
        </row>
        <row r="417">
          <cell r="A417" t="str">
            <v>PAMAP3000Bk143740128750</v>
          </cell>
          <cell r="B417" t="str">
            <v>PAMA</v>
          </cell>
          <cell r="C417" t="str">
            <v>P3000Bk14</v>
          </cell>
          <cell r="D417" t="str">
            <v>3740</v>
          </cell>
          <cell r="E417">
            <v>1287</v>
          </cell>
          <cell r="F417">
            <v>50</v>
          </cell>
          <cell r="G417">
            <v>6597.3154296875</v>
          </cell>
          <cell r="H417">
            <v>0.59759992361068726</v>
          </cell>
          <cell r="I417">
            <v>2.151186466217041</v>
          </cell>
          <cell r="J417">
            <v>11.327269554138184</v>
          </cell>
          <cell r="K417">
            <v>14.726597785949707</v>
          </cell>
        </row>
        <row r="418">
          <cell r="A418" t="str">
            <v>PAMAP3000Bk143800128740</v>
          </cell>
          <cell r="B418" t="str">
            <v>PAMA</v>
          </cell>
          <cell r="C418" t="str">
            <v>P3000Bk14</v>
          </cell>
          <cell r="D418" t="str">
            <v>3800</v>
          </cell>
          <cell r="E418">
            <v>1287</v>
          </cell>
          <cell r="F418">
            <v>40</v>
          </cell>
          <cell r="G418">
            <v>6428.75732421875</v>
          </cell>
          <cell r="H418">
            <v>2.1810178756713867</v>
          </cell>
          <cell r="I418">
            <v>3.7549693584442139</v>
          </cell>
          <cell r="J418">
            <v>11.137893676757813</v>
          </cell>
          <cell r="K418">
            <v>14.181715965270996</v>
          </cell>
        </row>
        <row r="419">
          <cell r="A419" t="str">
            <v>PAMAP3000Bk143800128750</v>
          </cell>
          <cell r="B419" t="str">
            <v>PAMA</v>
          </cell>
          <cell r="C419" t="str">
            <v>P3000Bk14</v>
          </cell>
          <cell r="D419" t="str">
            <v>3800</v>
          </cell>
          <cell r="E419">
            <v>1287</v>
          </cell>
          <cell r="F419">
            <v>50</v>
          </cell>
          <cell r="G419">
            <v>6461.333984375</v>
          </cell>
          <cell r="H419">
            <v>2.2427377700805664</v>
          </cell>
          <cell r="I419">
            <v>3.5865027904510498</v>
          </cell>
          <cell r="J419">
            <v>11.095645904541016</v>
          </cell>
          <cell r="K419">
            <v>14.574081420898438</v>
          </cell>
        </row>
        <row r="420">
          <cell r="A420" t="str">
            <v>PAMAP3000Bk143950128750</v>
          </cell>
          <cell r="B420" t="str">
            <v>PAMA</v>
          </cell>
          <cell r="C420" t="str">
            <v>P3000Bk14</v>
          </cell>
          <cell r="D420" t="str">
            <v>3950</v>
          </cell>
          <cell r="E420">
            <v>1287</v>
          </cell>
          <cell r="F420">
            <v>50</v>
          </cell>
          <cell r="G420">
            <v>6386.33251953125</v>
          </cell>
          <cell r="H420">
            <v>1.4418895244598389</v>
          </cell>
          <cell r="I420">
            <v>3.9729635715484619</v>
          </cell>
          <cell r="J420">
            <v>11.488846778869629</v>
          </cell>
          <cell r="K420">
            <v>14.724540710449219</v>
          </cell>
        </row>
        <row r="421">
          <cell r="A421" t="str">
            <v>PAMAP3000Bk144700128760</v>
          </cell>
          <cell r="B421" t="str">
            <v>PAMA</v>
          </cell>
          <cell r="C421" t="str">
            <v>P3000Bk14</v>
          </cell>
          <cell r="D421" t="str">
            <v>4700</v>
          </cell>
          <cell r="E421">
            <v>1287</v>
          </cell>
          <cell r="F421">
            <v>60</v>
          </cell>
          <cell r="G421">
            <v>6412.41455078125</v>
          </cell>
          <cell r="H421">
            <v>2.2035915851593018</v>
          </cell>
          <cell r="I421">
            <v>4.319908618927002</v>
          </cell>
          <cell r="J421">
            <v>11.17445182800293</v>
          </cell>
          <cell r="K421">
            <v>14.767709732055664</v>
          </cell>
        </row>
        <row r="422">
          <cell r="A422" t="str">
            <v>PAMAP3000Bk144700128770</v>
          </cell>
          <cell r="B422" t="str">
            <v>PAMA</v>
          </cell>
          <cell r="C422" t="str">
            <v>P3000Bk14</v>
          </cell>
          <cell r="D422" t="str">
            <v>4700</v>
          </cell>
          <cell r="E422">
            <v>1287</v>
          </cell>
          <cell r="F422">
            <v>70</v>
          </cell>
          <cell r="G422">
            <v>6412.72119140625</v>
          </cell>
          <cell r="H422">
            <v>2.2010972499847412</v>
          </cell>
          <cell r="I422">
            <v>4.3190245628356934</v>
          </cell>
          <cell r="J422">
            <v>11.180574417114258</v>
          </cell>
          <cell r="K422">
            <v>14.776558876037598</v>
          </cell>
        </row>
        <row r="423">
          <cell r="A423" t="str">
            <v>PAMAP3000Bk143740128830</v>
          </cell>
          <cell r="B423" t="str">
            <v>PAMA</v>
          </cell>
          <cell r="C423" t="str">
            <v>P3000Bk14</v>
          </cell>
          <cell r="D423" t="str">
            <v>3740</v>
          </cell>
          <cell r="E423">
            <v>1288</v>
          </cell>
          <cell r="F423">
            <v>30</v>
          </cell>
          <cell r="G423">
            <v>6626.5146484375</v>
          </cell>
          <cell r="H423">
            <v>0.60977309942245483</v>
          </cell>
          <cell r="I423">
            <v>2.2342755794525146</v>
          </cell>
          <cell r="J423">
            <v>10.581318855285645</v>
          </cell>
          <cell r="K423">
            <v>13.894075393676758</v>
          </cell>
        </row>
        <row r="424">
          <cell r="A424" t="str">
            <v>PAMAP3000Bk143740128840</v>
          </cell>
          <cell r="B424" t="str">
            <v>PAMA</v>
          </cell>
          <cell r="C424" t="str">
            <v>P3000Bk14</v>
          </cell>
          <cell r="D424" t="str">
            <v>3740</v>
          </cell>
          <cell r="E424">
            <v>1288</v>
          </cell>
          <cell r="F424">
            <v>40</v>
          </cell>
          <cell r="G424">
            <v>6621.0673828125</v>
          </cell>
          <cell r="H424">
            <v>0.65951299667358398</v>
          </cell>
          <cell r="I424">
            <v>2.2443571090698242</v>
          </cell>
          <cell r="J424">
            <v>10.692529678344727</v>
          </cell>
          <cell r="K424">
            <v>14.193705558776855</v>
          </cell>
        </row>
        <row r="425">
          <cell r="A425" t="str">
            <v>PAMAP3000Bk143740128850</v>
          </cell>
          <cell r="B425" t="str">
            <v>PAMA</v>
          </cell>
          <cell r="C425" t="str">
            <v>P3000Bk14</v>
          </cell>
          <cell r="D425" t="str">
            <v>3740</v>
          </cell>
          <cell r="E425">
            <v>1288</v>
          </cell>
          <cell r="F425">
            <v>50</v>
          </cell>
          <cell r="G425">
            <v>6629.7783203125</v>
          </cell>
          <cell r="H425">
            <v>0.74446803331375122</v>
          </cell>
          <cell r="I425">
            <v>2.1247692108154297</v>
          </cell>
          <cell r="J425">
            <v>10.698022842407227</v>
          </cell>
          <cell r="K425">
            <v>14.504471778869629</v>
          </cell>
        </row>
        <row r="426">
          <cell r="A426" t="str">
            <v>PAMAP3000Bk143800128840</v>
          </cell>
          <cell r="B426" t="str">
            <v>PAMA</v>
          </cell>
          <cell r="C426" t="str">
            <v>P3000Bk14</v>
          </cell>
          <cell r="D426" t="str">
            <v>3800</v>
          </cell>
          <cell r="E426">
            <v>1288</v>
          </cell>
          <cell r="F426">
            <v>40</v>
          </cell>
          <cell r="G426">
            <v>6458.6318359375</v>
          </cell>
          <cell r="H426">
            <v>2.229417085647583</v>
          </cell>
          <cell r="I426">
            <v>3.7141077518463135</v>
          </cell>
          <cell r="J426">
            <v>10.818217277526855</v>
          </cell>
          <cell r="K426">
            <v>14.640510559082031</v>
          </cell>
        </row>
        <row r="427">
          <cell r="A427" t="str">
            <v>PAMAP3000Bk143800128850</v>
          </cell>
          <cell r="B427" t="str">
            <v>PAMA</v>
          </cell>
          <cell r="C427" t="str">
            <v>P3000Bk14</v>
          </cell>
          <cell r="D427" t="str">
            <v>3800</v>
          </cell>
          <cell r="E427">
            <v>1288</v>
          </cell>
          <cell r="F427">
            <v>50</v>
          </cell>
          <cell r="G427">
            <v>6480.72265625</v>
          </cell>
          <cell r="H427">
            <v>2.2814121246337891</v>
          </cell>
          <cell r="I427">
            <v>3.5771787166595459</v>
          </cell>
          <cell r="J427">
            <v>10.734227180480957</v>
          </cell>
          <cell r="K427">
            <v>14.626564979553223</v>
          </cell>
        </row>
        <row r="428">
          <cell r="A428" t="str">
            <v>PAMAP3000Bk143950128850</v>
          </cell>
          <cell r="B428" t="str">
            <v>PAMA</v>
          </cell>
          <cell r="C428" t="str">
            <v>P3000Bk14</v>
          </cell>
          <cell r="D428" t="str">
            <v>3950</v>
          </cell>
          <cell r="E428">
            <v>1288</v>
          </cell>
          <cell r="F428">
            <v>50</v>
          </cell>
          <cell r="G428">
            <v>6414.17529296875</v>
          </cell>
          <cell r="H428">
            <v>1.3209555149078369</v>
          </cell>
          <cell r="I428">
            <v>3.9575445652008057</v>
          </cell>
          <cell r="J428">
            <v>11.19112491607666</v>
          </cell>
          <cell r="K428">
            <v>14.635889053344727</v>
          </cell>
        </row>
        <row r="429">
          <cell r="A429" t="str">
            <v>PAMAP3000Bk144700128860</v>
          </cell>
          <cell r="B429" t="str">
            <v>PAMA</v>
          </cell>
          <cell r="C429" t="str">
            <v>P3000Bk14</v>
          </cell>
          <cell r="D429" t="str">
            <v>4700</v>
          </cell>
          <cell r="E429">
            <v>1288</v>
          </cell>
          <cell r="F429">
            <v>60</v>
          </cell>
          <cell r="G429">
            <v>6403.7734375</v>
          </cell>
          <cell r="H429">
            <v>2.5167863368988037</v>
          </cell>
          <cell r="I429">
            <v>4.938446044921875</v>
          </cell>
          <cell r="J429">
            <v>10.710433959960938</v>
          </cell>
          <cell r="K429">
            <v>14.314840316772461</v>
          </cell>
        </row>
        <row r="430">
          <cell r="A430" t="str">
            <v>PAMAP3000Bk144700128870</v>
          </cell>
          <cell r="B430" t="str">
            <v>PAMA</v>
          </cell>
          <cell r="C430" t="str">
            <v>P3000Bk14</v>
          </cell>
          <cell r="D430" t="str">
            <v>4700</v>
          </cell>
          <cell r="E430">
            <v>1288</v>
          </cell>
          <cell r="F430">
            <v>70</v>
          </cell>
          <cell r="G430">
            <v>6411.40576171875</v>
          </cell>
          <cell r="H430">
            <v>2.2726974487304688</v>
          </cell>
          <cell r="I430">
            <v>4.4517064094543457</v>
          </cell>
          <cell r="J430">
            <v>11.077840805053711</v>
          </cell>
          <cell r="K430">
            <v>14.679256439208984</v>
          </cell>
        </row>
        <row r="431">
          <cell r="A431" t="str">
            <v>PAMAP3000Bk143740128930</v>
          </cell>
          <cell r="B431" t="str">
            <v>PAMA</v>
          </cell>
          <cell r="C431" t="str">
            <v>P3000Bk14</v>
          </cell>
          <cell r="D431" t="str">
            <v>3740</v>
          </cell>
          <cell r="E431">
            <v>1289</v>
          </cell>
          <cell r="F431">
            <v>30</v>
          </cell>
          <cell r="G431">
            <v>6639.15576171875</v>
          </cell>
          <cell r="H431">
            <v>0.60942721366882324</v>
          </cell>
          <cell r="I431">
            <v>2.1209743022918701</v>
          </cell>
          <cell r="J431">
            <v>10.491814613342285</v>
          </cell>
          <cell r="K431">
            <v>13.712224006652832</v>
          </cell>
        </row>
        <row r="432">
          <cell r="A432" t="str">
            <v>PAMAP3000Bk143740128940</v>
          </cell>
          <cell r="B432" t="str">
            <v>PAMA</v>
          </cell>
          <cell r="C432" t="str">
            <v>P3000Bk14</v>
          </cell>
          <cell r="D432" t="str">
            <v>3740</v>
          </cell>
          <cell r="E432">
            <v>1289</v>
          </cell>
          <cell r="F432">
            <v>40</v>
          </cell>
          <cell r="G432">
            <v>6621.58447265625</v>
          </cell>
          <cell r="H432">
            <v>0.70269143581390381</v>
          </cell>
          <cell r="I432">
            <v>2.2194395065307617</v>
          </cell>
          <cell r="J432">
            <v>10.637463569641113</v>
          </cell>
          <cell r="K432">
            <v>14.099039077758789</v>
          </cell>
        </row>
        <row r="433">
          <cell r="A433" t="str">
            <v>PAMAP3000Bk143740128950</v>
          </cell>
          <cell r="B433" t="str">
            <v>PAMA</v>
          </cell>
          <cell r="C433" t="str">
            <v>P3000Bk14</v>
          </cell>
          <cell r="D433" t="str">
            <v>3740</v>
          </cell>
          <cell r="E433">
            <v>1289</v>
          </cell>
          <cell r="F433">
            <v>50</v>
          </cell>
          <cell r="G433">
            <v>6645.0244140625</v>
          </cell>
          <cell r="H433">
            <v>0.6885451078414917</v>
          </cell>
          <cell r="I433">
            <v>2.1516292095184326</v>
          </cell>
          <cell r="J433">
            <v>10.474061012268066</v>
          </cell>
          <cell r="K433">
            <v>13.945143699645996</v>
          </cell>
        </row>
        <row r="434">
          <cell r="A434" t="str">
            <v>PAMAP3000Bk143800128940</v>
          </cell>
          <cell r="B434" t="str">
            <v>PAMA</v>
          </cell>
          <cell r="C434" t="str">
            <v>P3000Bk14</v>
          </cell>
          <cell r="D434" t="str">
            <v>3800</v>
          </cell>
          <cell r="E434">
            <v>1289</v>
          </cell>
          <cell r="F434">
            <v>40</v>
          </cell>
          <cell r="G434">
            <v>6457.296875</v>
          </cell>
          <cell r="H434">
            <v>2.1727261543273926</v>
          </cell>
          <cell r="I434">
            <v>3.7602009773254395</v>
          </cell>
          <cell r="J434">
            <v>10.667623519897461</v>
          </cell>
          <cell r="K434">
            <v>14.711442947387695</v>
          </cell>
        </row>
        <row r="435">
          <cell r="A435" t="str">
            <v>PAMAP3000Bk143800128950</v>
          </cell>
          <cell r="B435" t="str">
            <v>PAMA</v>
          </cell>
          <cell r="C435" t="str">
            <v>P3000Bk14</v>
          </cell>
          <cell r="D435" t="str">
            <v>3800</v>
          </cell>
          <cell r="E435">
            <v>1289</v>
          </cell>
          <cell r="F435">
            <v>50</v>
          </cell>
          <cell r="G435">
            <v>6465.5595703125</v>
          </cell>
          <cell r="H435">
            <v>2.1347360610961914</v>
          </cell>
          <cell r="I435">
            <v>3.6612064838409424</v>
          </cell>
          <cell r="J435">
            <v>10.46278190612793</v>
          </cell>
          <cell r="K435">
            <v>14.673061370849609</v>
          </cell>
        </row>
        <row r="436">
          <cell r="A436" t="str">
            <v>PAMAP3000Bk143950128950</v>
          </cell>
          <cell r="B436" t="str">
            <v>PAMA</v>
          </cell>
          <cell r="C436" t="str">
            <v>P3000Bk14</v>
          </cell>
          <cell r="D436" t="str">
            <v>3950</v>
          </cell>
          <cell r="E436">
            <v>1289</v>
          </cell>
          <cell r="F436">
            <v>50</v>
          </cell>
          <cell r="G436">
            <v>6427.15673828125</v>
          </cell>
          <cell r="H436">
            <v>1.2226908206939697</v>
          </cell>
          <cell r="I436">
            <v>4.0208120346069336</v>
          </cell>
          <cell r="J436">
            <v>11.061919212341309</v>
          </cell>
          <cell r="K436">
            <v>14.674375534057617</v>
          </cell>
        </row>
        <row r="437">
          <cell r="A437" t="str">
            <v>PAMAP3000Bk144700128960</v>
          </cell>
          <cell r="B437" t="str">
            <v>PAMA</v>
          </cell>
          <cell r="C437" t="str">
            <v>P3000Bk14</v>
          </cell>
          <cell r="D437" t="str">
            <v>4700</v>
          </cell>
          <cell r="E437">
            <v>1289</v>
          </cell>
          <cell r="F437">
            <v>60</v>
          </cell>
          <cell r="G437">
            <v>6403.0107421875</v>
          </cell>
          <cell r="H437">
            <v>2.5472321510314941</v>
          </cell>
          <cell r="I437">
            <v>5.0015439987182617</v>
          </cell>
          <cell r="J437">
            <v>10.665182113647461</v>
          </cell>
          <cell r="K437">
            <v>14.263705253601074</v>
          </cell>
        </row>
        <row r="438">
          <cell r="A438" t="str">
            <v>PAMAP3000Bk144700128970</v>
          </cell>
          <cell r="B438" t="str">
            <v>PAMA</v>
          </cell>
          <cell r="C438" t="str">
            <v>P3000Bk14</v>
          </cell>
          <cell r="D438" t="str">
            <v>4700</v>
          </cell>
          <cell r="E438">
            <v>1289</v>
          </cell>
          <cell r="F438">
            <v>70</v>
          </cell>
          <cell r="G438">
            <v>6399.60302734375</v>
          </cell>
          <cell r="H438">
            <v>2.6672577857971191</v>
          </cell>
          <cell r="I438">
            <v>5.2634258270263672</v>
          </cell>
          <cell r="J438">
            <v>10.482817649841309</v>
          </cell>
          <cell r="K438">
            <v>14.036830902099609</v>
          </cell>
        </row>
        <row r="439">
          <cell r="A439" t="str">
            <v>PAMAP3000Bk143740129040</v>
          </cell>
          <cell r="B439" t="str">
            <v>PAMA</v>
          </cell>
          <cell r="C439" t="str">
            <v>P3000Bk14</v>
          </cell>
          <cell r="D439" t="str">
            <v>3740</v>
          </cell>
          <cell r="E439">
            <v>1290</v>
          </cell>
          <cell r="F439">
            <v>40</v>
          </cell>
          <cell r="G439">
            <v>6614.7421875</v>
          </cell>
          <cell r="H439">
            <v>0.80014735460281372</v>
          </cell>
          <cell r="I439">
            <v>2.2629415988922119</v>
          </cell>
          <cell r="J439">
            <v>10.567717552185059</v>
          </cell>
          <cell r="K439">
            <v>14.069877624511719</v>
          </cell>
        </row>
        <row r="440">
          <cell r="A440" t="str">
            <v>PAMAP3000Bk143740129050</v>
          </cell>
          <cell r="B440" t="str">
            <v>PAMA</v>
          </cell>
          <cell r="C440" t="str">
            <v>P3000Bk14</v>
          </cell>
          <cell r="D440" t="str">
            <v>3740</v>
          </cell>
          <cell r="E440">
            <v>1290</v>
          </cell>
          <cell r="F440">
            <v>50</v>
          </cell>
          <cell r="G440">
            <v>6630.46484375</v>
          </cell>
          <cell r="H440">
            <v>0.7022242546081543</v>
          </cell>
          <cell r="I440">
            <v>2.2014586925506592</v>
          </cell>
          <cell r="J440">
            <v>10.51777458190918</v>
          </cell>
          <cell r="K440">
            <v>14.052750587463379</v>
          </cell>
        </row>
        <row r="441">
          <cell r="A441" t="str">
            <v>PAMAP3000Bk143740129060</v>
          </cell>
          <cell r="B441" t="str">
            <v>PAMA</v>
          </cell>
          <cell r="C441" t="str">
            <v>P3000Bk14</v>
          </cell>
          <cell r="D441" t="str">
            <v>3740</v>
          </cell>
          <cell r="E441">
            <v>1290</v>
          </cell>
          <cell r="F441">
            <v>60</v>
          </cell>
          <cell r="G441">
            <v>6629.9375</v>
          </cell>
          <cell r="H441">
            <v>0.65849626064300537</v>
          </cell>
          <cell r="I441">
            <v>2.2119016647338867</v>
          </cell>
          <cell r="J441">
            <v>10.508645057678223</v>
          </cell>
          <cell r="K441">
            <v>14.238903045654297</v>
          </cell>
        </row>
        <row r="442">
          <cell r="A442" t="str">
            <v>PAMAP3000Bk143800129040</v>
          </cell>
          <cell r="B442" t="str">
            <v>PAMA</v>
          </cell>
          <cell r="C442" t="str">
            <v>P3000Bk14</v>
          </cell>
          <cell r="D442" t="str">
            <v>3800</v>
          </cell>
          <cell r="E442">
            <v>1290</v>
          </cell>
          <cell r="F442">
            <v>40</v>
          </cell>
          <cell r="G442">
            <v>6457.8017578125</v>
          </cell>
          <cell r="H442">
            <v>2.0517477989196777</v>
          </cell>
          <cell r="I442">
            <v>3.863121509552002</v>
          </cell>
          <cell r="J442">
            <v>10.623302459716797</v>
          </cell>
          <cell r="K442">
            <v>14.835474967956543</v>
          </cell>
        </row>
        <row r="443">
          <cell r="A443" t="str">
            <v>PAMAP3000Bk143800129050</v>
          </cell>
          <cell r="B443" t="str">
            <v>PAMA</v>
          </cell>
          <cell r="C443" t="str">
            <v>P3000Bk14</v>
          </cell>
          <cell r="D443" t="str">
            <v>3800</v>
          </cell>
          <cell r="E443">
            <v>1290</v>
          </cell>
          <cell r="F443">
            <v>50</v>
          </cell>
          <cell r="G443">
            <v>6493.95458984375</v>
          </cell>
          <cell r="H443">
            <v>1.9131230115890503</v>
          </cell>
          <cell r="I443">
            <v>3.764976978302002</v>
          </cell>
          <cell r="J443">
            <v>10.219354629516602</v>
          </cell>
          <cell r="K443">
            <v>14.85883617401123</v>
          </cell>
        </row>
        <row r="444">
          <cell r="A444" t="str">
            <v>PAMAP3000Bk143950129050</v>
          </cell>
          <cell r="B444" t="str">
            <v>PAMA</v>
          </cell>
          <cell r="C444" t="str">
            <v>P3000Bk14</v>
          </cell>
          <cell r="D444" t="str">
            <v>3950</v>
          </cell>
          <cell r="E444">
            <v>1290</v>
          </cell>
          <cell r="F444">
            <v>50</v>
          </cell>
          <cell r="G444">
            <v>6447.1748046875</v>
          </cell>
          <cell r="H444">
            <v>1.1836481094360352</v>
          </cell>
          <cell r="I444">
            <v>3.8448131084442139</v>
          </cell>
          <cell r="J444">
            <v>11.229087829589844</v>
          </cell>
          <cell r="K444">
            <v>14.898111343383789</v>
          </cell>
        </row>
        <row r="445">
          <cell r="A445" t="str">
            <v>PAMAP3000Bk144700129060</v>
          </cell>
          <cell r="B445" t="str">
            <v>PAMA</v>
          </cell>
          <cell r="C445" t="str">
            <v>P3000Bk14</v>
          </cell>
          <cell r="D445" t="str">
            <v>4700</v>
          </cell>
          <cell r="E445">
            <v>1290</v>
          </cell>
          <cell r="F445">
            <v>60</v>
          </cell>
          <cell r="G445">
            <v>6394.69140625</v>
          </cell>
          <cell r="H445">
            <v>2.8834755420684814</v>
          </cell>
          <cell r="I445">
            <v>5.7222471237182617</v>
          </cell>
          <cell r="J445">
            <v>10.164995193481445</v>
          </cell>
          <cell r="K445">
            <v>13.595165252685547</v>
          </cell>
        </row>
        <row r="446">
          <cell r="A446" t="str">
            <v>PAMAP3000Bk144700129070</v>
          </cell>
          <cell r="B446" t="str">
            <v>PAMA</v>
          </cell>
          <cell r="C446" t="str">
            <v>P3000Bk14</v>
          </cell>
          <cell r="D446" t="str">
            <v>4700</v>
          </cell>
          <cell r="E446">
            <v>1290</v>
          </cell>
          <cell r="F446">
            <v>70</v>
          </cell>
          <cell r="G446">
            <v>6392.21142578125</v>
          </cell>
          <cell r="H446">
            <v>2.8635351657867432</v>
          </cell>
          <cell r="I446">
            <v>5.7141313552856445</v>
          </cell>
          <cell r="J446">
            <v>10.177079200744629</v>
          </cell>
          <cell r="K446">
            <v>13.603096008300781</v>
          </cell>
        </row>
        <row r="447">
          <cell r="A447" t="str">
            <v>PAMAP3000Bk143740129140</v>
          </cell>
          <cell r="B447" t="str">
            <v>PAMA</v>
          </cell>
          <cell r="C447" t="str">
            <v>P3000Bk14</v>
          </cell>
          <cell r="D447" t="str">
            <v>3740</v>
          </cell>
          <cell r="E447">
            <v>1291</v>
          </cell>
          <cell r="F447">
            <v>40</v>
          </cell>
          <cell r="G447">
            <v>6593.23681640625</v>
          </cell>
          <cell r="H447">
            <v>0.79618734121322632</v>
          </cell>
          <cell r="I447">
            <v>2.2896082401275635</v>
          </cell>
          <cell r="J447">
            <v>10.87392520904541</v>
          </cell>
          <cell r="K447">
            <v>14.201714515686035</v>
          </cell>
        </row>
        <row r="448">
          <cell r="A448" t="str">
            <v>PAMAP3000Bk143740129150</v>
          </cell>
          <cell r="B448" t="str">
            <v>PAMA</v>
          </cell>
          <cell r="C448" t="str">
            <v>P3000Bk14</v>
          </cell>
          <cell r="D448" t="str">
            <v>3740</v>
          </cell>
          <cell r="E448">
            <v>1291</v>
          </cell>
          <cell r="F448">
            <v>50</v>
          </cell>
          <cell r="G448">
            <v>6602.85498046875</v>
          </cell>
          <cell r="H448">
            <v>0.73362374305725098</v>
          </cell>
          <cell r="I448">
            <v>2.2039852142333984</v>
          </cell>
          <cell r="J448">
            <v>10.776090621948242</v>
          </cell>
          <cell r="K448">
            <v>14.324569702148438</v>
          </cell>
        </row>
        <row r="449">
          <cell r="A449" t="str">
            <v>PAMAP3000Bk143740129160</v>
          </cell>
          <cell r="B449" t="str">
            <v>PAMA</v>
          </cell>
          <cell r="C449" t="str">
            <v>P3000Bk14</v>
          </cell>
          <cell r="D449" t="str">
            <v>3740</v>
          </cell>
          <cell r="E449">
            <v>1291</v>
          </cell>
          <cell r="F449">
            <v>60</v>
          </cell>
          <cell r="G449">
            <v>6597.97021484375</v>
          </cell>
          <cell r="H449">
            <v>0.70882010459899902</v>
          </cell>
          <cell r="I449">
            <v>2.1435930728912354</v>
          </cell>
          <cell r="J449">
            <v>10.89940071105957</v>
          </cell>
          <cell r="K449">
            <v>14.43547248840332</v>
          </cell>
        </row>
        <row r="450">
          <cell r="A450" t="str">
            <v>PAMAP3000Bk143800129140</v>
          </cell>
          <cell r="B450" t="str">
            <v>PAMA</v>
          </cell>
          <cell r="C450" t="str">
            <v>P3000Bk14</v>
          </cell>
          <cell r="D450" t="str">
            <v>3800</v>
          </cell>
          <cell r="E450">
            <v>1291</v>
          </cell>
          <cell r="F450">
            <v>40</v>
          </cell>
          <cell r="G450">
            <v>6455.70458984375</v>
          </cell>
          <cell r="H450">
            <v>2.0031213760375977</v>
          </cell>
          <cell r="I450">
            <v>3.9049968719482422</v>
          </cell>
          <cell r="J450">
            <v>10.742111206054688</v>
          </cell>
          <cell r="K450">
            <v>14.865971565246582</v>
          </cell>
        </row>
        <row r="451">
          <cell r="A451" t="str">
            <v>PAMAP3000Bk143800129150</v>
          </cell>
          <cell r="B451" t="str">
            <v>PAMA</v>
          </cell>
          <cell r="C451" t="str">
            <v>P3000Bk14</v>
          </cell>
          <cell r="D451" t="str">
            <v>3800</v>
          </cell>
          <cell r="E451">
            <v>1291</v>
          </cell>
          <cell r="F451">
            <v>50</v>
          </cell>
          <cell r="G451">
            <v>6487.029296875</v>
          </cell>
          <cell r="H451">
            <v>1.8892350196838379</v>
          </cell>
          <cell r="I451">
            <v>3.798734188079834</v>
          </cell>
          <cell r="J451">
            <v>10.499130249023438</v>
          </cell>
          <cell r="K451">
            <v>14.878444671630859</v>
          </cell>
        </row>
        <row r="452">
          <cell r="A452" t="str">
            <v>PAMAP3000Bk143950129150</v>
          </cell>
          <cell r="B452" t="str">
            <v>PAMA</v>
          </cell>
          <cell r="C452" t="str">
            <v>P3000Bk14</v>
          </cell>
          <cell r="D452" t="str">
            <v>3950</v>
          </cell>
          <cell r="E452">
            <v>1291</v>
          </cell>
          <cell r="F452">
            <v>50</v>
          </cell>
          <cell r="G452">
            <v>6445.6474609375</v>
          </cell>
          <cell r="H452">
            <v>1.1183464527130127</v>
          </cell>
          <cell r="I452">
            <v>3.8289375305175781</v>
          </cell>
          <cell r="J452">
            <v>11.311984062194824</v>
          </cell>
          <cell r="K452">
            <v>14.960861206054688</v>
          </cell>
        </row>
        <row r="453">
          <cell r="A453" t="str">
            <v>PAMAP3000Bk144700129160</v>
          </cell>
          <cell r="B453" t="str">
            <v>PAMA</v>
          </cell>
          <cell r="C453" t="str">
            <v>P3000Bk14</v>
          </cell>
          <cell r="D453" t="str">
            <v>4700</v>
          </cell>
          <cell r="E453">
            <v>1291</v>
          </cell>
          <cell r="F453">
            <v>60</v>
          </cell>
          <cell r="G453">
            <v>6433.890625</v>
          </cell>
          <cell r="H453">
            <v>3.1846587657928467</v>
          </cell>
          <cell r="I453">
            <v>5.6462116241455078</v>
          </cell>
          <cell r="J453">
            <v>10.150912284851074</v>
          </cell>
          <cell r="K453">
            <v>13.729421615600586</v>
          </cell>
        </row>
        <row r="454">
          <cell r="A454" t="str">
            <v>PAMAP3000Bk143740129240</v>
          </cell>
          <cell r="B454" t="str">
            <v>PAMA</v>
          </cell>
          <cell r="C454" t="str">
            <v>P3000Bk14</v>
          </cell>
          <cell r="D454" t="str">
            <v>3740</v>
          </cell>
          <cell r="E454">
            <v>1292</v>
          </cell>
          <cell r="F454">
            <v>40</v>
          </cell>
          <cell r="G454">
            <v>6550.78369140625</v>
          </cell>
          <cell r="H454">
            <v>0.83911514282226563</v>
          </cell>
          <cell r="I454">
            <v>2.4342103004455566</v>
          </cell>
          <cell r="J454">
            <v>11.383938789367676</v>
          </cell>
          <cell r="K454">
            <v>14.043749809265137</v>
          </cell>
        </row>
        <row r="455">
          <cell r="A455" t="str">
            <v>PAMAP3000Bk143800129240</v>
          </cell>
          <cell r="B455" t="str">
            <v>PAMA</v>
          </cell>
          <cell r="C455" t="str">
            <v>P3000Bk14</v>
          </cell>
          <cell r="D455" t="str">
            <v>3800</v>
          </cell>
          <cell r="E455">
            <v>1292</v>
          </cell>
          <cell r="F455">
            <v>40</v>
          </cell>
          <cell r="G455">
            <v>6445.90478515625</v>
          </cell>
          <cell r="H455">
            <v>1.984960675239563</v>
          </cell>
          <cell r="I455">
            <v>3.9062590599060059</v>
          </cell>
          <cell r="J455">
            <v>10.960159301757813</v>
          </cell>
          <cell r="K455">
            <v>14.802207946777344</v>
          </cell>
        </row>
        <row r="456">
          <cell r="A456" t="str">
            <v>PAMAP3000Bk143800129250</v>
          </cell>
          <cell r="B456" t="str">
            <v>PAMA</v>
          </cell>
          <cell r="C456" t="str">
            <v>P3000Bk14</v>
          </cell>
          <cell r="D456" t="str">
            <v>3800</v>
          </cell>
          <cell r="E456">
            <v>1292</v>
          </cell>
          <cell r="F456">
            <v>50</v>
          </cell>
          <cell r="G456">
            <v>6452.974609375</v>
          </cell>
          <cell r="H456">
            <v>1.9595960378646851</v>
          </cell>
          <cell r="I456">
            <v>3.8257951736450195</v>
          </cell>
          <cell r="J456">
            <v>11.028071403503418</v>
          </cell>
          <cell r="K456">
            <v>14.768954277038574</v>
          </cell>
        </row>
        <row r="457">
          <cell r="A457" t="str">
            <v>PAMAP3000Bk143950129250</v>
          </cell>
          <cell r="B457" t="str">
            <v>PAMA</v>
          </cell>
          <cell r="C457" t="str">
            <v>P3000Bk14</v>
          </cell>
          <cell r="D457" t="str">
            <v>3950</v>
          </cell>
          <cell r="E457">
            <v>1292</v>
          </cell>
          <cell r="F457">
            <v>50</v>
          </cell>
          <cell r="G457">
            <v>6381.87451171875</v>
          </cell>
          <cell r="H457">
            <v>0.89135456085205078</v>
          </cell>
          <cell r="I457">
            <v>4.3680534362792969</v>
          </cell>
          <cell r="J457">
            <v>11.219654083251953</v>
          </cell>
          <cell r="K457">
            <v>14.765008926391602</v>
          </cell>
        </row>
        <row r="458">
          <cell r="A458" t="str">
            <v>PAMAP3000Bk143740129340</v>
          </cell>
          <cell r="B458" t="str">
            <v>PAMA</v>
          </cell>
          <cell r="C458" t="str">
            <v>P3000Bk14</v>
          </cell>
          <cell r="D458" t="str">
            <v>3740</v>
          </cell>
          <cell r="E458">
            <v>1293</v>
          </cell>
          <cell r="F458">
            <v>40</v>
          </cell>
          <cell r="G458">
            <v>6548.0673828125</v>
          </cell>
          <cell r="H458">
            <v>0.83537822961807251</v>
          </cell>
          <cell r="I458">
            <v>2.4894981384277344</v>
          </cell>
          <cell r="J458">
            <v>11.280426979064941</v>
          </cell>
          <cell r="K458">
            <v>14.352338790893555</v>
          </cell>
        </row>
        <row r="459">
          <cell r="A459" t="str">
            <v>PAMAP3000Bk143800129350</v>
          </cell>
          <cell r="B459" t="str">
            <v>PAMA</v>
          </cell>
          <cell r="C459" t="str">
            <v>P3000Bk14</v>
          </cell>
          <cell r="D459" t="str">
            <v>3800</v>
          </cell>
          <cell r="E459">
            <v>1293</v>
          </cell>
          <cell r="F459">
            <v>50</v>
          </cell>
          <cell r="G459">
            <v>6431.52197265625</v>
          </cell>
          <cell r="H459">
            <v>1.9471868276596069</v>
          </cell>
          <cell r="I459">
            <v>4.056004524230957</v>
          </cell>
          <cell r="J459">
            <v>11.131354331970215</v>
          </cell>
          <cell r="K459">
            <v>14.663510322570801</v>
          </cell>
        </row>
        <row r="460">
          <cell r="A460" t="str">
            <v>PAMAP3000Bk143950129350</v>
          </cell>
          <cell r="B460" t="str">
            <v>PAMA</v>
          </cell>
          <cell r="C460" t="str">
            <v>P3000Bk14</v>
          </cell>
          <cell r="D460" t="str">
            <v>3950</v>
          </cell>
          <cell r="E460">
            <v>1293</v>
          </cell>
          <cell r="F460">
            <v>50</v>
          </cell>
          <cell r="G460">
            <v>6301.46533203125</v>
          </cell>
          <cell r="H460">
            <v>0.74565255641937256</v>
          </cell>
          <cell r="I460">
            <v>4.9832282066345215</v>
          </cell>
          <cell r="J460">
            <v>11.345396041870117</v>
          </cell>
          <cell r="K460">
            <v>14.685587882995605</v>
          </cell>
        </row>
        <row r="461">
          <cell r="A461" t="str">
            <v>PAMAP3000Bk144700129370</v>
          </cell>
          <cell r="B461" t="str">
            <v>PAMA</v>
          </cell>
          <cell r="C461" t="str">
            <v>P3000Bk14</v>
          </cell>
          <cell r="D461" t="str">
            <v>4700</v>
          </cell>
          <cell r="E461">
            <v>1293</v>
          </cell>
          <cell r="F461">
            <v>70</v>
          </cell>
          <cell r="G461">
            <v>6449.03955078125</v>
          </cell>
          <cell r="H461">
            <v>3.2779097557067871</v>
          </cell>
          <cell r="I461">
            <v>5.6211791038513184</v>
          </cell>
          <cell r="J461">
            <v>10.160411834716797</v>
          </cell>
          <cell r="K461">
            <v>13.764256477355957</v>
          </cell>
        </row>
        <row r="462">
          <cell r="A462" t="str">
            <v>PAMAP3000Bk144800129380</v>
          </cell>
          <cell r="B462" t="str">
            <v>PAMA</v>
          </cell>
          <cell r="C462" t="str">
            <v>P3000Bk14</v>
          </cell>
          <cell r="D462" t="str">
            <v>4800</v>
          </cell>
          <cell r="E462">
            <v>1293</v>
          </cell>
          <cell r="F462">
            <v>80</v>
          </cell>
          <cell r="G462">
            <v>6389.63671875</v>
          </cell>
          <cell r="H462">
            <v>1.0970362424850464</v>
          </cell>
          <cell r="I462">
            <v>3.6121022701263428</v>
          </cell>
          <cell r="J462">
            <v>12.116364479064941</v>
          </cell>
          <cell r="K462">
            <v>15.747817039489746</v>
          </cell>
        </row>
        <row r="463">
          <cell r="A463" t="str">
            <v>PAMAP3000Bk143740129440</v>
          </cell>
          <cell r="B463" t="str">
            <v>PAMA</v>
          </cell>
          <cell r="C463" t="str">
            <v>P3000Bk14</v>
          </cell>
          <cell r="D463" t="str">
            <v>3740</v>
          </cell>
          <cell r="E463">
            <v>1294</v>
          </cell>
          <cell r="F463">
            <v>40</v>
          </cell>
          <cell r="G463">
            <v>6550.646484375</v>
          </cell>
          <cell r="H463">
            <v>0.79550403356552124</v>
          </cell>
          <cell r="I463">
            <v>2.4402940273284912</v>
          </cell>
          <cell r="J463">
            <v>11.053974151611328</v>
          </cell>
          <cell r="K463">
            <v>14.64272403717041</v>
          </cell>
        </row>
        <row r="464">
          <cell r="A464" t="str">
            <v>PAMAP3000Bk143740129450</v>
          </cell>
          <cell r="B464" t="str">
            <v>PAMA</v>
          </cell>
          <cell r="C464" t="str">
            <v>P3000Bk14</v>
          </cell>
          <cell r="D464" t="str">
            <v>3740</v>
          </cell>
          <cell r="E464">
            <v>1294</v>
          </cell>
          <cell r="F464">
            <v>50</v>
          </cell>
          <cell r="G464">
            <v>6471.02783203125</v>
          </cell>
          <cell r="H464">
            <v>0.83034712076187134</v>
          </cell>
          <cell r="I464">
            <v>2.9328782558441162</v>
          </cell>
          <cell r="J464">
            <v>11.90882396697998</v>
          </cell>
          <cell r="K464">
            <v>15.536343574523926</v>
          </cell>
        </row>
        <row r="465">
          <cell r="A465" t="str">
            <v>PAMAP3000Bk143740129460</v>
          </cell>
          <cell r="B465" t="str">
            <v>PAMA</v>
          </cell>
          <cell r="C465" t="str">
            <v>P3000Bk14</v>
          </cell>
          <cell r="D465" t="str">
            <v>3740</v>
          </cell>
          <cell r="E465">
            <v>1294</v>
          </cell>
          <cell r="F465">
            <v>60</v>
          </cell>
          <cell r="G465">
            <v>6449.74560546875</v>
          </cell>
          <cell r="H465">
            <v>0.84026223421096802</v>
          </cell>
          <cell r="I465">
            <v>2.9646828174591064</v>
          </cell>
          <cell r="J465">
            <v>12.157147407531738</v>
          </cell>
          <cell r="K465">
            <v>15.869823455810547</v>
          </cell>
        </row>
        <row r="466">
          <cell r="A466" t="str">
            <v>PAMAP3000Bk143800129450</v>
          </cell>
          <cell r="B466" t="str">
            <v>PAMA</v>
          </cell>
          <cell r="C466" t="str">
            <v>P3000Bk14</v>
          </cell>
          <cell r="D466" t="str">
            <v>3800</v>
          </cell>
          <cell r="E466">
            <v>1294</v>
          </cell>
          <cell r="F466">
            <v>50</v>
          </cell>
          <cell r="G466">
            <v>6435.6962890625</v>
          </cell>
          <cell r="H466">
            <v>1.8549749851226807</v>
          </cell>
          <cell r="I466">
            <v>4.2532382011413574</v>
          </cell>
          <cell r="J466">
            <v>11.074429512023926</v>
          </cell>
          <cell r="K466">
            <v>14.482784271240234</v>
          </cell>
        </row>
        <row r="467">
          <cell r="A467" t="str">
            <v>PAMAP3000Bk143950129450</v>
          </cell>
          <cell r="B467" t="str">
            <v>PAMA</v>
          </cell>
          <cell r="C467" t="str">
            <v>P3000Bk14</v>
          </cell>
          <cell r="D467" t="str">
            <v>3950</v>
          </cell>
          <cell r="E467">
            <v>1294</v>
          </cell>
          <cell r="F467">
            <v>50</v>
          </cell>
          <cell r="G467">
            <v>6371.021484375</v>
          </cell>
          <cell r="H467">
            <v>0.71730583906173706</v>
          </cell>
          <cell r="I467">
            <v>4.568537712097168</v>
          </cell>
          <cell r="J467">
            <v>11.437445640563965</v>
          </cell>
          <cell r="K467">
            <v>14.74675178527832</v>
          </cell>
        </row>
        <row r="468">
          <cell r="A468" t="str">
            <v>PAMAP3000Bk144700129460</v>
          </cell>
          <cell r="B468" t="str">
            <v>PAMA</v>
          </cell>
          <cell r="C468" t="str">
            <v>P3000Bk14</v>
          </cell>
          <cell r="D468" t="str">
            <v>4700</v>
          </cell>
          <cell r="E468">
            <v>1294</v>
          </cell>
          <cell r="F468">
            <v>60</v>
          </cell>
          <cell r="G468">
            <v>6456.88916015625</v>
          </cell>
          <cell r="H468">
            <v>3.2070095539093018</v>
          </cell>
          <cell r="I468">
            <v>5.5624203681945801</v>
          </cell>
          <cell r="J468">
            <v>10.173970222473145</v>
          </cell>
          <cell r="K468">
            <v>13.771201133728027</v>
          </cell>
        </row>
        <row r="469">
          <cell r="A469" t="str">
            <v>PAMAP3000Bk144700129470</v>
          </cell>
          <cell r="B469" t="str">
            <v>PAMA</v>
          </cell>
          <cell r="C469" t="str">
            <v>P3000Bk14</v>
          </cell>
          <cell r="D469" t="str">
            <v>4700</v>
          </cell>
          <cell r="E469">
            <v>1294</v>
          </cell>
          <cell r="F469">
            <v>70</v>
          </cell>
          <cell r="G469">
            <v>6465.9833984375</v>
          </cell>
          <cell r="H469">
            <v>3.2155177593231201</v>
          </cell>
          <cell r="I469">
            <v>5.5733709335327148</v>
          </cell>
          <cell r="J469">
            <v>10.15157413482666</v>
          </cell>
          <cell r="K469">
            <v>13.727791786193848</v>
          </cell>
        </row>
        <row r="470">
          <cell r="A470" t="str">
            <v>PAMAP3000Bk144800129480</v>
          </cell>
          <cell r="B470" t="str">
            <v>PAMA</v>
          </cell>
          <cell r="C470" t="str">
            <v>P3000Bk14</v>
          </cell>
          <cell r="D470" t="str">
            <v>4800</v>
          </cell>
          <cell r="E470">
            <v>1294</v>
          </cell>
          <cell r="F470">
            <v>80</v>
          </cell>
          <cell r="G470">
            <v>6367.7841796875</v>
          </cell>
          <cell r="H470">
            <v>1.0686898231506348</v>
          </cell>
          <cell r="I470">
            <v>3.7227725982666016</v>
          </cell>
          <cell r="J470">
            <v>12.183070182800293</v>
          </cell>
          <cell r="K470">
            <v>16.092742919921875</v>
          </cell>
        </row>
        <row r="471">
          <cell r="A471" t="str">
            <v>PAMAP3000Bk143740129540</v>
          </cell>
          <cell r="B471" t="str">
            <v>PAMA</v>
          </cell>
          <cell r="C471" t="str">
            <v>P3000Bk14</v>
          </cell>
          <cell r="D471" t="str">
            <v>3740</v>
          </cell>
          <cell r="E471">
            <v>1295</v>
          </cell>
          <cell r="F471">
            <v>40</v>
          </cell>
          <cell r="G471">
            <v>6521.3125</v>
          </cell>
          <cell r="H471">
            <v>0.84726125001907349</v>
          </cell>
          <cell r="I471">
            <v>2.8790950775146484</v>
          </cell>
          <cell r="J471">
            <v>11.081937789916992</v>
          </cell>
          <cell r="K471">
            <v>14.843232154846191</v>
          </cell>
        </row>
        <row r="472">
          <cell r="A472" t="str">
            <v>PAMAP3000Bk143740129550</v>
          </cell>
          <cell r="B472" t="str">
            <v>PAMA</v>
          </cell>
          <cell r="C472" t="str">
            <v>P3000Bk14</v>
          </cell>
          <cell r="D472" t="str">
            <v>3740</v>
          </cell>
          <cell r="E472">
            <v>1295</v>
          </cell>
          <cell r="F472">
            <v>50</v>
          </cell>
          <cell r="G472">
            <v>6452.08984375</v>
          </cell>
          <cell r="H472">
            <v>0.86060386896133423</v>
          </cell>
          <cell r="I472">
            <v>3.1238565444946289</v>
          </cell>
          <cell r="J472">
            <v>11.879572868347168</v>
          </cell>
          <cell r="K472">
            <v>15.651001930236816</v>
          </cell>
        </row>
        <row r="473">
          <cell r="A473" t="str">
            <v>PAMAP3000Bk143740129560</v>
          </cell>
          <cell r="B473" t="str">
            <v>PAMA</v>
          </cell>
          <cell r="C473" t="str">
            <v>P3000Bk14</v>
          </cell>
          <cell r="D473" t="str">
            <v>3740</v>
          </cell>
          <cell r="E473">
            <v>1295</v>
          </cell>
          <cell r="F473">
            <v>60</v>
          </cell>
          <cell r="G473">
            <v>6457.3388671875</v>
          </cell>
          <cell r="H473">
            <v>0.86836731433868408</v>
          </cell>
          <cell r="I473">
            <v>3.0080277919769287</v>
          </cell>
          <cell r="J473">
            <v>11.848484992980957</v>
          </cell>
          <cell r="K473">
            <v>15.685079574584961</v>
          </cell>
        </row>
        <row r="474">
          <cell r="A474" t="str">
            <v>PAMAP3000Bk143800129550</v>
          </cell>
          <cell r="B474" t="str">
            <v>PAMA</v>
          </cell>
          <cell r="C474" t="str">
            <v>P3000Bk14</v>
          </cell>
          <cell r="D474" t="str">
            <v>3800</v>
          </cell>
          <cell r="E474">
            <v>1295</v>
          </cell>
          <cell r="F474">
            <v>50</v>
          </cell>
          <cell r="G474">
            <v>6411.3876953125</v>
          </cell>
          <cell r="H474">
            <v>1.9010376930236816</v>
          </cell>
          <cell r="I474">
            <v>4.4962654113769531</v>
          </cell>
          <cell r="J474">
            <v>11.185351371765137</v>
          </cell>
          <cell r="K474">
            <v>14.568601608276367</v>
          </cell>
        </row>
        <row r="475">
          <cell r="A475" t="str">
            <v>PAMAP3000Bk143950129550</v>
          </cell>
          <cell r="B475" t="str">
            <v>PAMA</v>
          </cell>
          <cell r="C475" t="str">
            <v>P3000Bk14</v>
          </cell>
          <cell r="D475" t="str">
            <v>3950</v>
          </cell>
          <cell r="E475">
            <v>1295</v>
          </cell>
          <cell r="F475">
            <v>50</v>
          </cell>
          <cell r="G475">
            <v>6434.08349609375</v>
          </cell>
          <cell r="H475">
            <v>0.64835482835769653</v>
          </cell>
          <cell r="I475">
            <v>4.6023440361022949</v>
          </cell>
          <cell r="J475">
            <v>11.509764671325684</v>
          </cell>
          <cell r="K475">
            <v>14.974358558654785</v>
          </cell>
        </row>
        <row r="476">
          <cell r="A476" t="str">
            <v>PAMAP3000Bk143950129560</v>
          </cell>
          <cell r="B476" t="str">
            <v>PAMA</v>
          </cell>
          <cell r="C476" t="str">
            <v>P3000Bk14</v>
          </cell>
          <cell r="D476" t="str">
            <v>3950</v>
          </cell>
          <cell r="E476">
            <v>1295</v>
          </cell>
          <cell r="F476">
            <v>60</v>
          </cell>
          <cell r="G476">
            <v>6430.09130859375</v>
          </cell>
          <cell r="H476">
            <v>0.61516356468200684</v>
          </cell>
          <cell r="I476">
            <v>4.3599147796630859</v>
          </cell>
          <cell r="J476">
            <v>11.550996780395508</v>
          </cell>
          <cell r="K476">
            <v>15.055092811584473</v>
          </cell>
        </row>
        <row r="477">
          <cell r="A477" t="str">
            <v>PAMAP3000Bk144700129570</v>
          </cell>
          <cell r="B477" t="str">
            <v>PAMA</v>
          </cell>
          <cell r="C477" t="str">
            <v>P3000Bk14</v>
          </cell>
          <cell r="D477" t="str">
            <v>4700</v>
          </cell>
          <cell r="E477">
            <v>1295</v>
          </cell>
          <cell r="F477">
            <v>70</v>
          </cell>
          <cell r="G477">
            <v>6480.6318359375</v>
          </cell>
          <cell r="H477">
            <v>3.151202917098999</v>
          </cell>
          <cell r="I477">
            <v>5.4533591270446777</v>
          </cell>
          <cell r="J477">
            <v>10.166478157043457</v>
          </cell>
          <cell r="K477">
            <v>13.718961715698242</v>
          </cell>
        </row>
        <row r="478">
          <cell r="A478" t="str">
            <v>PAMAP3000Bk144800129580</v>
          </cell>
          <cell r="B478" t="str">
            <v>PAMA</v>
          </cell>
          <cell r="C478" t="str">
            <v>P3000Bk14</v>
          </cell>
          <cell r="D478" t="str">
            <v>4800</v>
          </cell>
          <cell r="E478">
            <v>1295</v>
          </cell>
          <cell r="F478">
            <v>80</v>
          </cell>
          <cell r="G478">
            <v>6348.6552734375</v>
          </cell>
          <cell r="H478">
            <v>1.3093497753143311</v>
          </cell>
          <cell r="I478">
            <v>4.0326070785522461</v>
          </cell>
          <cell r="J478">
            <v>12.195130348205566</v>
          </cell>
          <cell r="K478">
            <v>16.392463684082031</v>
          </cell>
        </row>
        <row r="479">
          <cell r="A479" t="str">
            <v>PAMAP3000Bk143740129640</v>
          </cell>
          <cell r="B479" t="str">
            <v>PAMA</v>
          </cell>
          <cell r="C479" t="str">
            <v>P3000Bk14</v>
          </cell>
          <cell r="D479" t="str">
            <v>3740</v>
          </cell>
          <cell r="E479">
            <v>1296</v>
          </cell>
          <cell r="F479">
            <v>40</v>
          </cell>
          <cell r="G479">
            <v>6513.68359375</v>
          </cell>
          <cell r="H479">
            <v>0.90942990779876709</v>
          </cell>
          <cell r="I479">
            <v>3.8442485332489014</v>
          </cell>
          <cell r="J479">
            <v>10.485220909118652</v>
          </cell>
          <cell r="K479">
            <v>14.475851058959961</v>
          </cell>
        </row>
        <row r="480">
          <cell r="A480" t="str">
            <v>PAMAP3000Bk143740129650</v>
          </cell>
          <cell r="B480" t="str">
            <v>PAMA</v>
          </cell>
          <cell r="C480" t="str">
            <v>P3000Bk14</v>
          </cell>
          <cell r="D480" t="str">
            <v>3740</v>
          </cell>
          <cell r="E480">
            <v>1296</v>
          </cell>
          <cell r="F480">
            <v>50</v>
          </cell>
          <cell r="G480">
            <v>6537.94775390625</v>
          </cell>
          <cell r="H480">
            <v>0.90572541952133179</v>
          </cell>
          <cell r="I480">
            <v>4.7872920036315918</v>
          </cell>
          <cell r="J480">
            <v>9.5704679489135742</v>
          </cell>
          <cell r="K480">
            <v>13.79167366027832</v>
          </cell>
        </row>
        <row r="481">
          <cell r="A481" t="str">
            <v>PAMAP3000Bk143740129660</v>
          </cell>
          <cell r="B481" t="str">
            <v>PAMA</v>
          </cell>
          <cell r="C481" t="str">
            <v>P3000Bk14</v>
          </cell>
          <cell r="D481" t="str">
            <v>3740</v>
          </cell>
          <cell r="E481">
            <v>1296</v>
          </cell>
          <cell r="F481">
            <v>60</v>
          </cell>
          <cell r="G481">
            <v>6605.005859375</v>
          </cell>
          <cell r="H481">
            <v>0.91731405258178711</v>
          </cell>
          <cell r="I481">
            <v>2.7976012229919434</v>
          </cell>
          <cell r="J481">
            <v>10.012729644775391</v>
          </cell>
          <cell r="K481">
            <v>14.424111366271973</v>
          </cell>
        </row>
        <row r="482">
          <cell r="A482" t="str">
            <v>PAMAP3000Bk143800129650</v>
          </cell>
          <cell r="B482" t="str">
            <v>PAMA</v>
          </cell>
          <cell r="C482" t="str">
            <v>P3000Bk14</v>
          </cell>
          <cell r="D482" t="str">
            <v>3800</v>
          </cell>
          <cell r="E482">
            <v>1296</v>
          </cell>
          <cell r="F482">
            <v>50</v>
          </cell>
          <cell r="G482">
            <v>6357.78369140625</v>
          </cell>
          <cell r="H482">
            <v>2.0530648231506348</v>
          </cell>
          <cell r="I482">
            <v>4.7016162872314453</v>
          </cell>
          <cell r="J482">
            <v>11.321136474609375</v>
          </cell>
          <cell r="K482">
            <v>14.821419715881348</v>
          </cell>
        </row>
        <row r="483">
          <cell r="A483" t="str">
            <v>PAMAP3000Bk143800129660</v>
          </cell>
          <cell r="B483" t="str">
            <v>PAMA</v>
          </cell>
          <cell r="C483" t="str">
            <v>P3000Bk14</v>
          </cell>
          <cell r="D483" t="str">
            <v>3800</v>
          </cell>
          <cell r="E483">
            <v>1296</v>
          </cell>
          <cell r="F483">
            <v>60</v>
          </cell>
          <cell r="G483">
            <v>6336.16455078125</v>
          </cell>
          <cell r="H483">
            <v>2.0457873344421387</v>
          </cell>
          <cell r="I483">
            <v>4.3068580627441406</v>
          </cell>
          <cell r="J483">
            <v>11.579461097717285</v>
          </cell>
          <cell r="K483">
            <v>14.995418548583984</v>
          </cell>
        </row>
        <row r="484">
          <cell r="A484" t="str">
            <v>PAMAP3000Bk143950129650</v>
          </cell>
          <cell r="B484" t="str">
            <v>PAMA</v>
          </cell>
          <cell r="C484" t="str">
            <v>P3000Bk14</v>
          </cell>
          <cell r="D484" t="str">
            <v>3950</v>
          </cell>
          <cell r="E484">
            <v>1296</v>
          </cell>
          <cell r="F484">
            <v>50</v>
          </cell>
          <cell r="G484">
            <v>6546.619140625</v>
          </cell>
          <cell r="H484">
            <v>0.53370028734207153</v>
          </cell>
          <cell r="I484">
            <v>5.3498678207397461</v>
          </cell>
          <cell r="J484">
            <v>11.535388946533203</v>
          </cell>
          <cell r="K484">
            <v>15.472470283508301</v>
          </cell>
        </row>
        <row r="485">
          <cell r="A485" t="str">
            <v>PAMAP3000Bk143950129660</v>
          </cell>
          <cell r="B485" t="str">
            <v>PAMA</v>
          </cell>
          <cell r="C485" t="str">
            <v>P3000Bk14</v>
          </cell>
          <cell r="D485" t="str">
            <v>3950</v>
          </cell>
          <cell r="E485">
            <v>1296</v>
          </cell>
          <cell r="F485">
            <v>60</v>
          </cell>
          <cell r="G485">
            <v>6472.28076171875</v>
          </cell>
          <cell r="H485">
            <v>0.59368950128555298</v>
          </cell>
          <cell r="I485">
            <v>4.5261263847351074</v>
          </cell>
          <cell r="J485">
            <v>11.493634223937988</v>
          </cell>
          <cell r="K485">
            <v>15.251062393188477</v>
          </cell>
        </row>
        <row r="486">
          <cell r="A486" t="str">
            <v>PAMAP3000Bk144700129670</v>
          </cell>
          <cell r="B486" t="str">
            <v>PAMA</v>
          </cell>
          <cell r="C486" t="str">
            <v>P3000Bk14</v>
          </cell>
          <cell r="D486" t="str">
            <v>4700</v>
          </cell>
          <cell r="E486">
            <v>1296</v>
          </cell>
          <cell r="F486">
            <v>70</v>
          </cell>
          <cell r="G486">
            <v>6491.9619140625</v>
          </cell>
          <cell r="H486">
            <v>3.1283118724822998</v>
          </cell>
          <cell r="I486">
            <v>5.14727783203125</v>
          </cell>
          <cell r="J486">
            <v>10.232836723327637</v>
          </cell>
          <cell r="K486">
            <v>13.710075378417969</v>
          </cell>
        </row>
        <row r="487">
          <cell r="A487" t="str">
            <v>PAMAP3000Bk144800129680</v>
          </cell>
          <cell r="B487" t="str">
            <v>PAMA</v>
          </cell>
          <cell r="C487" t="str">
            <v>P3000Bk14</v>
          </cell>
          <cell r="D487" t="str">
            <v>4800</v>
          </cell>
          <cell r="E487">
            <v>1296</v>
          </cell>
          <cell r="F487">
            <v>80</v>
          </cell>
          <cell r="G487">
            <v>6346.28369140625</v>
          </cell>
          <cell r="H487">
            <v>1.7251143455505371</v>
          </cell>
          <cell r="I487">
            <v>4.321563720703125</v>
          </cell>
          <cell r="J487">
            <v>12.016721725463867</v>
          </cell>
          <cell r="K487">
            <v>15.996230125427246</v>
          </cell>
        </row>
        <row r="488">
          <cell r="A488" t="str">
            <v>PAMAP3000Bk143740129740</v>
          </cell>
          <cell r="B488" t="str">
            <v>PAMA</v>
          </cell>
          <cell r="C488" t="str">
            <v>P3000Bk14</v>
          </cell>
          <cell r="D488" t="str">
            <v>3740</v>
          </cell>
          <cell r="E488">
            <v>1297</v>
          </cell>
          <cell r="F488">
            <v>40</v>
          </cell>
          <cell r="G488">
            <v>6503.42578125</v>
          </cell>
          <cell r="H488">
            <v>0.93948328495025635</v>
          </cell>
          <cell r="I488">
            <v>4.8516221046447754</v>
          </cell>
          <cell r="J488">
            <v>9.8808889389038086</v>
          </cell>
          <cell r="K488">
            <v>14.039617538452148</v>
          </cell>
        </row>
        <row r="489">
          <cell r="A489" t="str">
            <v>PAMAP3000Bk143740129750</v>
          </cell>
          <cell r="B489" t="str">
            <v>PAMA</v>
          </cell>
          <cell r="C489" t="str">
            <v>P3000Bk14</v>
          </cell>
          <cell r="D489" t="str">
            <v>3740</v>
          </cell>
          <cell r="E489">
            <v>1297</v>
          </cell>
          <cell r="F489">
            <v>50</v>
          </cell>
          <cell r="G489">
            <v>6410.74755859375</v>
          </cell>
          <cell r="H489">
            <v>1.0102479457855225</v>
          </cell>
          <cell r="I489">
            <v>4.8835935592651367</v>
          </cell>
          <cell r="J489">
            <v>10.716564178466797</v>
          </cell>
          <cell r="K489">
            <v>14.756936073303223</v>
          </cell>
        </row>
        <row r="490">
          <cell r="A490" t="str">
            <v>PAMAP3000Bk143740129760</v>
          </cell>
          <cell r="B490" t="str">
            <v>PAMA</v>
          </cell>
          <cell r="C490" t="str">
            <v>P3000Bk14</v>
          </cell>
          <cell r="D490" t="str">
            <v>3740</v>
          </cell>
          <cell r="E490">
            <v>1297</v>
          </cell>
          <cell r="F490">
            <v>60</v>
          </cell>
          <cell r="G490">
            <v>6265.2783203125</v>
          </cell>
          <cell r="H490">
            <v>1.1228106021881104</v>
          </cell>
          <cell r="I490">
            <v>3.962317943572998</v>
          </cell>
          <cell r="J490">
            <v>12.675674438476563</v>
          </cell>
          <cell r="K490">
            <v>16.644252777099609</v>
          </cell>
        </row>
        <row r="491">
          <cell r="A491" t="str">
            <v>PAMAP3000Bk143800129750</v>
          </cell>
          <cell r="B491" t="str">
            <v>PAMA</v>
          </cell>
          <cell r="C491" t="str">
            <v>P3000Bk14</v>
          </cell>
          <cell r="D491" t="str">
            <v>3800</v>
          </cell>
          <cell r="E491">
            <v>1297</v>
          </cell>
          <cell r="F491">
            <v>50</v>
          </cell>
          <cell r="G491">
            <v>6349.451171875</v>
          </cell>
          <cell r="H491">
            <v>2.1471807956695557</v>
          </cell>
          <cell r="I491">
            <v>4.7307939529418945</v>
          </cell>
          <cell r="J491">
            <v>11.331847190856934</v>
          </cell>
          <cell r="K491">
            <v>14.882966995239258</v>
          </cell>
        </row>
        <row r="492">
          <cell r="A492" t="str">
            <v>PAMAP3000Bk143800129760</v>
          </cell>
          <cell r="B492" t="str">
            <v>PAMA</v>
          </cell>
          <cell r="C492" t="str">
            <v>P3000Bk14</v>
          </cell>
          <cell r="D492" t="str">
            <v>3800</v>
          </cell>
          <cell r="E492">
            <v>1297</v>
          </cell>
          <cell r="F492">
            <v>60</v>
          </cell>
          <cell r="G492">
            <v>6331.45166015625</v>
          </cell>
          <cell r="H492">
            <v>2.0031378269195557</v>
          </cell>
          <cell r="I492">
            <v>4.0480608940124512</v>
          </cell>
          <cell r="J492">
            <v>11.791740417480469</v>
          </cell>
          <cell r="K492">
            <v>15.113679885864258</v>
          </cell>
        </row>
        <row r="493">
          <cell r="A493" t="str">
            <v>PAMAP3000Bk143950129750</v>
          </cell>
          <cell r="B493" t="str">
            <v>PAMA</v>
          </cell>
          <cell r="C493" t="str">
            <v>P3000Bk14</v>
          </cell>
          <cell r="D493" t="str">
            <v>3950</v>
          </cell>
          <cell r="E493">
            <v>1297</v>
          </cell>
          <cell r="F493">
            <v>50</v>
          </cell>
          <cell r="G493">
            <v>6474.11376953125</v>
          </cell>
          <cell r="H493">
            <v>0.60500478744506836</v>
          </cell>
          <cell r="I493">
            <v>4.4699559211730957</v>
          </cell>
          <cell r="J493">
            <v>11.423330307006836</v>
          </cell>
          <cell r="K493">
            <v>15.291207313537598</v>
          </cell>
        </row>
        <row r="494">
          <cell r="A494" t="str">
            <v>PAMAP3000Bk143950129760</v>
          </cell>
          <cell r="B494" t="str">
            <v>PAMA</v>
          </cell>
          <cell r="C494" t="str">
            <v>P3000Bk14</v>
          </cell>
          <cell r="D494" t="str">
            <v>3950</v>
          </cell>
          <cell r="E494">
            <v>1297</v>
          </cell>
          <cell r="F494">
            <v>60</v>
          </cell>
          <cell r="G494">
            <v>6435.54248046875</v>
          </cell>
          <cell r="H494">
            <v>0.6200568675994873</v>
          </cell>
          <cell r="I494">
            <v>4.0483870506286621</v>
          </cell>
          <cell r="J494">
            <v>11.373641967773438</v>
          </cell>
          <cell r="K494">
            <v>15.216785430908203</v>
          </cell>
        </row>
        <row r="495">
          <cell r="A495" t="str">
            <v>PAMAP3000Bk144700129770</v>
          </cell>
          <cell r="B495" t="str">
            <v>PAMA</v>
          </cell>
          <cell r="C495" t="str">
            <v>P3000Bk14</v>
          </cell>
          <cell r="D495" t="str">
            <v>4700</v>
          </cell>
          <cell r="E495">
            <v>1297</v>
          </cell>
          <cell r="F495">
            <v>70</v>
          </cell>
          <cell r="G495">
            <v>6503.9501953125</v>
          </cell>
          <cell r="H495">
            <v>3.1073436737060547</v>
          </cell>
          <cell r="I495">
            <v>4.739262580871582</v>
          </cell>
          <cell r="J495">
            <v>10.339942932128906</v>
          </cell>
          <cell r="K495">
            <v>13.461668014526367</v>
          </cell>
        </row>
        <row r="496">
          <cell r="A496" t="str">
            <v>PAMAP3000Bk144800129780</v>
          </cell>
          <cell r="B496" t="str">
            <v>PAMA</v>
          </cell>
          <cell r="C496" t="str">
            <v>P3000Bk14</v>
          </cell>
          <cell r="D496" t="str">
            <v>4800</v>
          </cell>
          <cell r="E496">
            <v>1297</v>
          </cell>
          <cell r="F496">
            <v>80</v>
          </cell>
          <cell r="G496">
            <v>6305.02294921875</v>
          </cell>
          <cell r="H496">
            <v>1.6189835071563721</v>
          </cell>
          <cell r="I496">
            <v>3.9792487621307373</v>
          </cell>
          <cell r="J496">
            <v>12.795123100280762</v>
          </cell>
          <cell r="K496">
            <v>16.102178573608398</v>
          </cell>
        </row>
        <row r="497">
          <cell r="A497" t="str">
            <v>PAMAP3000Bk143740129850</v>
          </cell>
          <cell r="B497" t="str">
            <v>PAMA</v>
          </cell>
          <cell r="C497" t="str">
            <v>P3000Bk14</v>
          </cell>
          <cell r="D497" t="str">
            <v>3740</v>
          </cell>
          <cell r="E497">
            <v>1298</v>
          </cell>
          <cell r="F497">
            <v>50</v>
          </cell>
          <cell r="G497">
            <v>6327.5205078125</v>
          </cell>
          <cell r="H497">
            <v>1.1259841918945313</v>
          </cell>
          <cell r="I497">
            <v>3.8639459609985352</v>
          </cell>
          <cell r="J497">
            <v>12.178414344787598</v>
          </cell>
          <cell r="K497">
            <v>16.126703262329102</v>
          </cell>
        </row>
        <row r="498">
          <cell r="A498" t="str">
            <v>PAMAP3000Bk143740129860</v>
          </cell>
          <cell r="B498" t="str">
            <v>PAMA</v>
          </cell>
          <cell r="C498" t="str">
            <v>P3000Bk14</v>
          </cell>
          <cell r="D498" t="str">
            <v>3740</v>
          </cell>
          <cell r="E498">
            <v>1298</v>
          </cell>
          <cell r="F498">
            <v>60</v>
          </cell>
          <cell r="G498">
            <v>6354.6669921875</v>
          </cell>
          <cell r="H498">
            <v>1.2391774654388428</v>
          </cell>
          <cell r="I498">
            <v>4.0511655807495117</v>
          </cell>
          <cell r="J498">
            <v>11.859704971313477</v>
          </cell>
          <cell r="K498">
            <v>16.261425018310547</v>
          </cell>
        </row>
        <row r="499">
          <cell r="A499" t="str">
            <v>PAMAP3000Bk143800129850</v>
          </cell>
          <cell r="B499" t="str">
            <v>PAMA</v>
          </cell>
          <cell r="C499" t="str">
            <v>P3000Bk14</v>
          </cell>
          <cell r="D499" t="str">
            <v>3800</v>
          </cell>
          <cell r="E499">
            <v>1298</v>
          </cell>
          <cell r="F499">
            <v>50</v>
          </cell>
          <cell r="G499">
            <v>6366.84326171875</v>
          </cell>
          <cell r="H499">
            <v>2.2767717838287354</v>
          </cell>
          <cell r="I499">
            <v>4.8579931259155273</v>
          </cell>
          <cell r="J499">
            <v>11.057572364807129</v>
          </cell>
          <cell r="K499">
            <v>14.725227355957031</v>
          </cell>
        </row>
        <row r="500">
          <cell r="A500" t="str">
            <v>PAMAP3000Bk143800129860</v>
          </cell>
          <cell r="B500" t="str">
            <v>PAMA</v>
          </cell>
          <cell r="C500" t="str">
            <v>P3000Bk14</v>
          </cell>
          <cell r="D500" t="str">
            <v>3800</v>
          </cell>
          <cell r="E500">
            <v>1298</v>
          </cell>
          <cell r="F500">
            <v>60</v>
          </cell>
          <cell r="G500">
            <v>6398.79833984375</v>
          </cell>
          <cell r="H500">
            <v>2.3680825233459473</v>
          </cell>
          <cell r="I500">
            <v>4.8558158874511719</v>
          </cell>
          <cell r="J500">
            <v>11.209339141845703</v>
          </cell>
          <cell r="K500">
            <v>15.071042060852051</v>
          </cell>
        </row>
        <row r="501">
          <cell r="A501" t="str">
            <v>PAMAP3000Bk143950129860</v>
          </cell>
          <cell r="B501" t="str">
            <v>PAMA</v>
          </cell>
          <cell r="C501" t="str">
            <v>P3000Bk14</v>
          </cell>
          <cell r="D501" t="str">
            <v>3950</v>
          </cell>
          <cell r="E501">
            <v>1298</v>
          </cell>
          <cell r="F501">
            <v>60</v>
          </cell>
          <cell r="G501">
            <v>6382.11328125</v>
          </cell>
          <cell r="H501">
            <v>0.63266491889953613</v>
          </cell>
          <cell r="I501">
            <v>3.6047894954681396</v>
          </cell>
          <cell r="J501">
            <v>11.2008056640625</v>
          </cell>
          <cell r="K501">
            <v>15.096199035644531</v>
          </cell>
        </row>
        <row r="502">
          <cell r="A502" t="str">
            <v>PAMAP3000Bk144700129870</v>
          </cell>
          <cell r="B502" t="str">
            <v>PAMA</v>
          </cell>
          <cell r="C502" t="str">
            <v>P3000Bk14</v>
          </cell>
          <cell r="D502" t="str">
            <v>4700</v>
          </cell>
          <cell r="E502">
            <v>1298</v>
          </cell>
          <cell r="F502">
            <v>70</v>
          </cell>
          <cell r="G502">
            <v>6520.8701171875</v>
          </cell>
          <cell r="H502">
            <v>3.0802133083343506</v>
          </cell>
          <cell r="I502">
            <v>4.1803188323974609</v>
          </cell>
          <cell r="J502">
            <v>10.51673698425293</v>
          </cell>
          <cell r="K502">
            <v>12.755753517150879</v>
          </cell>
        </row>
        <row r="503">
          <cell r="A503" t="str">
            <v>PAMAP3000Bk144800129880</v>
          </cell>
          <cell r="B503" t="str">
            <v>PAMA</v>
          </cell>
          <cell r="C503" t="str">
            <v>P3000Bk14</v>
          </cell>
          <cell r="D503" t="str">
            <v>4800</v>
          </cell>
          <cell r="E503">
            <v>1298</v>
          </cell>
          <cell r="F503">
            <v>80</v>
          </cell>
          <cell r="G503">
            <v>6276.9580078125</v>
          </cell>
          <cell r="H503">
            <v>1.37050461769104</v>
          </cell>
          <cell r="I503">
            <v>3.3329555988311768</v>
          </cell>
          <cell r="J503">
            <v>13.649947166442871</v>
          </cell>
          <cell r="K503">
            <v>16.184394836425781</v>
          </cell>
        </row>
        <row r="504">
          <cell r="A504" t="str">
            <v>PAMAP3000Bk143740129950</v>
          </cell>
          <cell r="B504" t="str">
            <v>PAMA</v>
          </cell>
          <cell r="C504" t="str">
            <v>P3000Bk14</v>
          </cell>
          <cell r="D504" t="str">
            <v>3740</v>
          </cell>
          <cell r="E504">
            <v>1299</v>
          </cell>
          <cell r="F504">
            <v>50</v>
          </cell>
          <cell r="G504">
            <v>6426.6064453125</v>
          </cell>
          <cell r="H504">
            <v>1.0541200637817383</v>
          </cell>
          <cell r="I504">
            <v>3.639955997467041</v>
          </cell>
          <cell r="J504">
            <v>11.395443916320801</v>
          </cell>
          <cell r="K504">
            <v>15.398504257202148</v>
          </cell>
        </row>
        <row r="505">
          <cell r="A505" t="str">
            <v>PAMAP3000Bk143740129960</v>
          </cell>
          <cell r="B505" t="str">
            <v>PAMA</v>
          </cell>
          <cell r="C505" t="str">
            <v>P3000Bk14</v>
          </cell>
          <cell r="D505" t="str">
            <v>3740</v>
          </cell>
          <cell r="E505">
            <v>1299</v>
          </cell>
          <cell r="F505">
            <v>60</v>
          </cell>
          <cell r="G505">
            <v>6419.99755859375</v>
          </cell>
          <cell r="H505">
            <v>1.085374116897583</v>
          </cell>
          <cell r="I505">
            <v>3.7271640300750732</v>
          </cell>
          <cell r="J505">
            <v>11.424917221069336</v>
          </cell>
          <cell r="K505">
            <v>15.526412010192871</v>
          </cell>
        </row>
        <row r="506">
          <cell r="A506" t="str">
            <v>PAMAP3000Bk143800129950</v>
          </cell>
          <cell r="B506" t="str">
            <v>PAMA</v>
          </cell>
          <cell r="C506" t="str">
            <v>P3000Bk14</v>
          </cell>
          <cell r="D506" t="str">
            <v>3800</v>
          </cell>
          <cell r="E506">
            <v>1299</v>
          </cell>
          <cell r="F506">
            <v>50</v>
          </cell>
          <cell r="G506">
            <v>6346.57958984375</v>
          </cell>
          <cell r="H506">
            <v>2.3743512630462646</v>
          </cell>
          <cell r="I506">
            <v>4.9427170753479004</v>
          </cell>
          <cell r="J506">
            <v>11.099432945251465</v>
          </cell>
          <cell r="K506">
            <v>14.678802490234375</v>
          </cell>
        </row>
        <row r="507">
          <cell r="A507" t="str">
            <v>PAMAP3000Bk143800129960</v>
          </cell>
          <cell r="B507" t="str">
            <v>PAMA</v>
          </cell>
          <cell r="C507" t="str">
            <v>P3000Bk14</v>
          </cell>
          <cell r="D507" t="str">
            <v>3800</v>
          </cell>
          <cell r="E507">
            <v>1299</v>
          </cell>
          <cell r="F507">
            <v>60</v>
          </cell>
          <cell r="G507">
            <v>6374.57666015625</v>
          </cell>
          <cell r="H507">
            <v>2.4015476703643799</v>
          </cell>
          <cell r="I507">
            <v>4.6769022941589355</v>
          </cell>
          <cell r="J507">
            <v>11.420258522033691</v>
          </cell>
          <cell r="K507">
            <v>14.986188888549805</v>
          </cell>
        </row>
        <row r="508">
          <cell r="A508" t="str">
            <v>PAMAP3000Bk143950129960</v>
          </cell>
          <cell r="B508" t="str">
            <v>PAMA</v>
          </cell>
          <cell r="C508" t="str">
            <v>P3000Bk14</v>
          </cell>
          <cell r="D508" t="str">
            <v>3950</v>
          </cell>
          <cell r="E508">
            <v>1299</v>
          </cell>
          <cell r="F508">
            <v>60</v>
          </cell>
          <cell r="G508">
            <v>6391.18505859375</v>
          </cell>
          <cell r="H508">
            <v>0.62158238887786865</v>
          </cell>
          <cell r="I508">
            <v>3.6339128017425537</v>
          </cell>
          <cell r="J508">
            <v>11.346964836120605</v>
          </cell>
          <cell r="K508">
            <v>15.199106216430664</v>
          </cell>
        </row>
        <row r="509">
          <cell r="A509" t="str">
            <v>PAMAP3000Bk144700129970</v>
          </cell>
          <cell r="B509" t="str">
            <v>PAMA</v>
          </cell>
          <cell r="C509" t="str">
            <v>P3000Bk14</v>
          </cell>
          <cell r="D509" t="str">
            <v>4700</v>
          </cell>
          <cell r="E509">
            <v>1299</v>
          </cell>
          <cell r="F509">
            <v>70</v>
          </cell>
          <cell r="G509">
            <v>6512.1201171875</v>
          </cell>
          <cell r="H509">
            <v>3.0145983695983887</v>
          </cell>
          <cell r="I509">
            <v>4.402015209197998</v>
          </cell>
          <cell r="J509">
            <v>10.450067520141602</v>
          </cell>
          <cell r="K509">
            <v>13.176799774169922</v>
          </cell>
        </row>
        <row r="510">
          <cell r="A510" t="str">
            <v>PAMAP3000Bk143740130050</v>
          </cell>
          <cell r="B510" t="str">
            <v>PAMA</v>
          </cell>
          <cell r="C510" t="str">
            <v>P3000Bk14</v>
          </cell>
          <cell r="D510" t="str">
            <v>3740</v>
          </cell>
          <cell r="E510">
            <v>1300</v>
          </cell>
          <cell r="F510">
            <v>50</v>
          </cell>
          <cell r="G510">
            <v>6439.42578125</v>
          </cell>
          <cell r="H510">
            <v>0.96650367975234985</v>
          </cell>
          <cell r="I510">
            <v>3.7610626220703125</v>
          </cell>
          <cell r="J510">
            <v>11.38597297668457</v>
          </cell>
          <cell r="K510">
            <v>15.117926597595215</v>
          </cell>
        </row>
        <row r="511">
          <cell r="A511" t="str">
            <v>PAMAP3000Bk143740130060</v>
          </cell>
          <cell r="B511" t="str">
            <v>PAMA</v>
          </cell>
          <cell r="C511" t="str">
            <v>P3000Bk14</v>
          </cell>
          <cell r="D511" t="str">
            <v>3740</v>
          </cell>
          <cell r="E511">
            <v>1300</v>
          </cell>
          <cell r="F511">
            <v>60</v>
          </cell>
          <cell r="G511">
            <v>6452.73095703125</v>
          </cell>
          <cell r="H511">
            <v>0.99075734615325928</v>
          </cell>
          <cell r="I511">
            <v>3.5520720481872559</v>
          </cell>
          <cell r="J511">
            <v>11.264899253845215</v>
          </cell>
          <cell r="K511">
            <v>15.172122001647949</v>
          </cell>
        </row>
        <row r="512">
          <cell r="A512" t="str">
            <v>PAMAP3000Bk143800130050</v>
          </cell>
          <cell r="B512" t="str">
            <v>PAMA</v>
          </cell>
          <cell r="C512" t="str">
            <v>P3000Bk14</v>
          </cell>
          <cell r="D512" t="str">
            <v>3800</v>
          </cell>
          <cell r="E512">
            <v>1300</v>
          </cell>
          <cell r="F512">
            <v>50</v>
          </cell>
          <cell r="G512">
            <v>6273.44677734375</v>
          </cell>
          <cell r="H512">
            <v>2.556865930557251</v>
          </cell>
          <cell r="I512">
            <v>5.4364018440246582</v>
          </cell>
          <cell r="J512">
            <v>11.309700012207031</v>
          </cell>
          <cell r="K512">
            <v>14.733855247497559</v>
          </cell>
        </row>
        <row r="513">
          <cell r="A513" t="str">
            <v>PAMAP3000Bk143800130060</v>
          </cell>
          <cell r="B513" t="str">
            <v>PAMA</v>
          </cell>
          <cell r="C513" t="str">
            <v>P3000Bk14</v>
          </cell>
          <cell r="D513" t="str">
            <v>3800</v>
          </cell>
          <cell r="E513">
            <v>1300</v>
          </cell>
          <cell r="F513">
            <v>60</v>
          </cell>
          <cell r="G513">
            <v>6245.7177734375</v>
          </cell>
          <cell r="H513">
            <v>2.4481096267700195</v>
          </cell>
          <cell r="I513">
            <v>5.498314380645752</v>
          </cell>
          <cell r="J513">
            <v>11.53717041015625</v>
          </cell>
          <cell r="K513">
            <v>14.966653823852539</v>
          </cell>
        </row>
        <row r="514">
          <cell r="A514" t="str">
            <v>PAMAP3000Bk143810130050</v>
          </cell>
          <cell r="B514" t="str">
            <v>PAMA</v>
          </cell>
          <cell r="C514" t="str">
            <v>P3000Bk14</v>
          </cell>
          <cell r="D514" t="str">
            <v>3810</v>
          </cell>
          <cell r="E514">
            <v>1300</v>
          </cell>
          <cell r="F514">
            <v>50</v>
          </cell>
          <cell r="G514">
            <v>6198.4189453125</v>
          </cell>
          <cell r="H514">
            <v>1.7942993640899658</v>
          </cell>
          <cell r="I514">
            <v>6.245734691619873</v>
          </cell>
          <cell r="J514">
            <v>11.057817459106445</v>
          </cell>
          <cell r="K514">
            <v>16.222846984863281</v>
          </cell>
        </row>
        <row r="515">
          <cell r="A515" t="str">
            <v>PAMAP3000Bk143950130060</v>
          </cell>
          <cell r="B515" t="str">
            <v>PAMA</v>
          </cell>
          <cell r="C515" t="str">
            <v>P3000Bk14</v>
          </cell>
          <cell r="D515" t="str">
            <v>3950</v>
          </cell>
          <cell r="E515">
            <v>1300</v>
          </cell>
          <cell r="F515">
            <v>60</v>
          </cell>
          <cell r="G515">
            <v>6376.25732421875</v>
          </cell>
          <cell r="H515">
            <v>0.5234796404838562</v>
          </cell>
          <cell r="I515">
            <v>3.7144110202789307</v>
          </cell>
          <cell r="J515">
            <v>11.835658073425293</v>
          </cell>
          <cell r="K515">
            <v>15.143295288085938</v>
          </cell>
        </row>
        <row r="516">
          <cell r="A516" t="str">
            <v>PAMAP3000Bk144700130070</v>
          </cell>
          <cell r="B516" t="str">
            <v>PAMA</v>
          </cell>
          <cell r="C516" t="str">
            <v>P3000Bk14</v>
          </cell>
          <cell r="D516" t="str">
            <v>4700</v>
          </cell>
          <cell r="E516">
            <v>1300</v>
          </cell>
          <cell r="F516">
            <v>70</v>
          </cell>
          <cell r="G516">
            <v>6487.84423828125</v>
          </cell>
          <cell r="H516">
            <v>2.9195442199707031</v>
          </cell>
          <cell r="I516">
            <v>4.8583827018737793</v>
          </cell>
          <cell r="J516">
            <v>10.234450340270996</v>
          </cell>
          <cell r="K516">
            <v>13.714997291564941</v>
          </cell>
        </row>
        <row r="517">
          <cell r="A517" t="str">
            <v>PAMAP3000Bk143740130150</v>
          </cell>
          <cell r="B517" t="str">
            <v>PAMA</v>
          </cell>
          <cell r="C517" t="str">
            <v>P3000Bk14</v>
          </cell>
          <cell r="D517" t="str">
            <v>3740</v>
          </cell>
          <cell r="E517">
            <v>1301</v>
          </cell>
          <cell r="F517">
            <v>50</v>
          </cell>
          <cell r="G517">
            <v>6441.1376953125</v>
          </cell>
          <cell r="H517">
            <v>1.0168765783309937</v>
          </cell>
          <cell r="I517">
            <v>3.7546761035919189</v>
          </cell>
          <cell r="J517">
            <v>11.34889030456543</v>
          </cell>
          <cell r="K517">
            <v>15.123302459716797</v>
          </cell>
        </row>
        <row r="518">
          <cell r="A518" t="str">
            <v>PAMAP3000Bk143740130160</v>
          </cell>
          <cell r="B518" t="str">
            <v>PAMA</v>
          </cell>
          <cell r="C518" t="str">
            <v>P3000Bk14</v>
          </cell>
          <cell r="D518" t="str">
            <v>3740</v>
          </cell>
          <cell r="E518">
            <v>1301</v>
          </cell>
          <cell r="F518">
            <v>60</v>
          </cell>
          <cell r="G518">
            <v>6451.43603515625</v>
          </cell>
          <cell r="H518">
            <v>1.1870540380477905</v>
          </cell>
          <cell r="I518">
            <v>3.2910943031311035</v>
          </cell>
          <cell r="J518">
            <v>11.243244171142578</v>
          </cell>
          <cell r="K518">
            <v>15.777072906494141</v>
          </cell>
        </row>
        <row r="519">
          <cell r="A519" t="str">
            <v>PAMAP3000Bk143800130150</v>
          </cell>
          <cell r="B519" t="str">
            <v>PAMA</v>
          </cell>
          <cell r="C519" t="str">
            <v>P3000Bk14</v>
          </cell>
          <cell r="D519" t="str">
            <v>3800</v>
          </cell>
          <cell r="E519">
            <v>1301</v>
          </cell>
          <cell r="F519">
            <v>50</v>
          </cell>
          <cell r="G519">
            <v>6279.7255859375</v>
          </cell>
          <cell r="H519">
            <v>2.781097412109375</v>
          </cell>
          <cell r="I519">
            <v>5.4580850601196289</v>
          </cell>
          <cell r="J519">
            <v>11.24342155456543</v>
          </cell>
          <cell r="K519">
            <v>14.610834121704102</v>
          </cell>
        </row>
        <row r="520">
          <cell r="A520" t="str">
            <v>PAMAP3000Bk143800130160</v>
          </cell>
          <cell r="B520" t="str">
            <v>PAMA</v>
          </cell>
          <cell r="C520" t="str">
            <v>P3000Bk14</v>
          </cell>
          <cell r="D520" t="str">
            <v>3800</v>
          </cell>
          <cell r="E520">
            <v>1301</v>
          </cell>
          <cell r="F520">
            <v>60</v>
          </cell>
          <cell r="G520">
            <v>6266.5654296875</v>
          </cell>
          <cell r="H520">
            <v>2.7080183029174805</v>
          </cell>
          <cell r="I520">
            <v>5.4018769264221191</v>
          </cell>
          <cell r="J520">
            <v>11.328916549682617</v>
          </cell>
          <cell r="K520">
            <v>14.79030704498291</v>
          </cell>
        </row>
        <row r="521">
          <cell r="A521" t="str">
            <v>PAMAP3000Bk143810130150</v>
          </cell>
          <cell r="B521" t="str">
            <v>PAMA</v>
          </cell>
          <cell r="C521" t="str">
            <v>P3000Bk14</v>
          </cell>
          <cell r="D521" t="str">
            <v>3810</v>
          </cell>
          <cell r="E521">
            <v>1301</v>
          </cell>
          <cell r="F521">
            <v>50</v>
          </cell>
          <cell r="G521">
            <v>6215.0419921875</v>
          </cell>
          <cell r="H521">
            <v>1.7278269529342651</v>
          </cell>
          <cell r="I521">
            <v>6.4118809700012207</v>
          </cell>
          <cell r="J521">
            <v>10.922395706176758</v>
          </cell>
          <cell r="K521">
            <v>16.115011215209961</v>
          </cell>
        </row>
        <row r="522">
          <cell r="A522" t="str">
            <v>PAMAP3000Bk143810130160</v>
          </cell>
          <cell r="B522" t="str">
            <v>PAMA</v>
          </cell>
          <cell r="C522" t="str">
            <v>P3000Bk14</v>
          </cell>
          <cell r="D522" t="str">
            <v>3810</v>
          </cell>
          <cell r="E522">
            <v>1301</v>
          </cell>
          <cell r="F522">
            <v>60</v>
          </cell>
          <cell r="G522">
            <v>6246.75830078125</v>
          </cell>
          <cell r="H522">
            <v>1.5353637933731079</v>
          </cell>
          <cell r="I522">
            <v>6.4572873115539551</v>
          </cell>
          <cell r="J522">
            <v>10.813413619995117</v>
          </cell>
          <cell r="K522">
            <v>15.957765579223633</v>
          </cell>
        </row>
        <row r="523">
          <cell r="A523" t="str">
            <v>PAMAP3000Bk143950130160</v>
          </cell>
          <cell r="B523" t="str">
            <v>PAMA</v>
          </cell>
          <cell r="C523" t="str">
            <v>P3000Bk14</v>
          </cell>
          <cell r="D523" t="str">
            <v>3950</v>
          </cell>
          <cell r="E523">
            <v>1301</v>
          </cell>
          <cell r="F523">
            <v>60</v>
          </cell>
          <cell r="G523">
            <v>6370.38916015625</v>
          </cell>
          <cell r="H523">
            <v>0.4992784857749939</v>
          </cell>
          <cell r="I523">
            <v>3.7224433422088623</v>
          </cell>
          <cell r="J523">
            <v>11.948260307312012</v>
          </cell>
          <cell r="K523">
            <v>15.295193672180176</v>
          </cell>
        </row>
        <row r="524">
          <cell r="A524" t="str">
            <v>PAMAP3000Bk144700130170</v>
          </cell>
          <cell r="B524" t="str">
            <v>PAMA</v>
          </cell>
          <cell r="C524" t="str">
            <v>P3000Bk14</v>
          </cell>
          <cell r="D524" t="str">
            <v>4700</v>
          </cell>
          <cell r="E524">
            <v>1301</v>
          </cell>
          <cell r="F524">
            <v>70</v>
          </cell>
          <cell r="G524">
            <v>6481.22802734375</v>
          </cell>
          <cell r="H524">
            <v>2.8637087345123291</v>
          </cell>
          <cell r="I524">
            <v>4.994354248046875</v>
          </cell>
          <cell r="J524">
            <v>10.068964004516602</v>
          </cell>
          <cell r="K524">
            <v>13.805569648742676</v>
          </cell>
        </row>
        <row r="525">
          <cell r="A525" t="str">
            <v>PAMAP3000Bk144700130180</v>
          </cell>
          <cell r="B525" t="str">
            <v>PAMA</v>
          </cell>
          <cell r="C525" t="str">
            <v>P3000Bk14</v>
          </cell>
          <cell r="D525" t="str">
            <v>4700</v>
          </cell>
          <cell r="E525">
            <v>1301</v>
          </cell>
          <cell r="F525">
            <v>80</v>
          </cell>
          <cell r="G525">
            <v>6491.57470703125</v>
          </cell>
          <cell r="H525">
            <v>2.8164017200469971</v>
          </cell>
          <cell r="I525">
            <v>5.0411405563354492</v>
          </cell>
          <cell r="J525">
            <v>9.8114213943481445</v>
          </cell>
          <cell r="K525">
            <v>13.734723091125488</v>
          </cell>
        </row>
        <row r="526">
          <cell r="A526" t="str">
            <v>PAMAP3000Bk144800130190</v>
          </cell>
          <cell r="B526" t="str">
            <v>PAMA</v>
          </cell>
          <cell r="C526" t="str">
            <v>P3000Bk14</v>
          </cell>
          <cell r="D526" t="str">
            <v>4800</v>
          </cell>
          <cell r="E526">
            <v>1301</v>
          </cell>
          <cell r="F526">
            <v>90</v>
          </cell>
          <cell r="G526">
            <v>6174.87109375</v>
          </cell>
          <cell r="H526">
            <v>0.81799083948135376</v>
          </cell>
          <cell r="I526">
            <v>3.377739429473877</v>
          </cell>
          <cell r="J526">
            <v>14.024626731872559</v>
          </cell>
          <cell r="K526">
            <v>18.428091049194336</v>
          </cell>
        </row>
        <row r="527">
          <cell r="A527" t="str">
            <v>PAMAP3000Bk143740130250</v>
          </cell>
          <cell r="B527" t="str">
            <v>PAMA</v>
          </cell>
          <cell r="C527" t="str">
            <v>P3000Bk14</v>
          </cell>
          <cell r="D527" t="str">
            <v>3740</v>
          </cell>
          <cell r="E527">
            <v>1302</v>
          </cell>
          <cell r="F527">
            <v>50</v>
          </cell>
          <cell r="G527">
            <v>6466.2666015625</v>
          </cell>
          <cell r="H527">
            <v>1.3004806041717529</v>
          </cell>
          <cell r="I527">
            <v>3.6957314014434814</v>
          </cell>
          <cell r="J527">
            <v>10.534928321838379</v>
          </cell>
          <cell r="K527">
            <v>14.373439788818359</v>
          </cell>
        </row>
        <row r="528">
          <cell r="A528" t="str">
            <v>PAMAP3000Bk143740130260</v>
          </cell>
          <cell r="B528" t="str">
            <v>PAMA</v>
          </cell>
          <cell r="C528" t="str">
            <v>P3000Bk14</v>
          </cell>
          <cell r="D528" t="str">
            <v>3740</v>
          </cell>
          <cell r="E528">
            <v>1302</v>
          </cell>
          <cell r="F528">
            <v>60</v>
          </cell>
          <cell r="G528">
            <v>6473.720703125</v>
          </cell>
          <cell r="H528">
            <v>1.1786888837814331</v>
          </cell>
          <cell r="I528">
            <v>3.1473097801208496</v>
          </cell>
          <cell r="J528">
            <v>10.977312088012695</v>
          </cell>
          <cell r="K528">
            <v>15.040103912353516</v>
          </cell>
        </row>
        <row r="529">
          <cell r="A529" t="str">
            <v>PAMAP3000Bk143800130250</v>
          </cell>
          <cell r="B529" t="str">
            <v>PAMA</v>
          </cell>
          <cell r="C529" t="str">
            <v>P3000Bk14</v>
          </cell>
          <cell r="D529" t="str">
            <v>3800</v>
          </cell>
          <cell r="E529">
            <v>1302</v>
          </cell>
          <cell r="F529">
            <v>50</v>
          </cell>
          <cell r="G529">
            <v>6287.74462890625</v>
          </cell>
          <cell r="H529">
            <v>2.8721160888671875</v>
          </cell>
          <cell r="I529">
            <v>5.3304386138916016</v>
          </cell>
          <cell r="J529">
            <v>11.221955299377441</v>
          </cell>
          <cell r="K529">
            <v>14.704965591430664</v>
          </cell>
        </row>
        <row r="530">
          <cell r="A530" t="str">
            <v>PAMAP3000Bk143800130260</v>
          </cell>
          <cell r="B530" t="str">
            <v>PAMA</v>
          </cell>
          <cell r="C530" t="str">
            <v>P3000Bk14</v>
          </cell>
          <cell r="D530" t="str">
            <v>3800</v>
          </cell>
          <cell r="E530">
            <v>1302</v>
          </cell>
          <cell r="F530">
            <v>60</v>
          </cell>
          <cell r="G530">
            <v>6300.20556640625</v>
          </cell>
          <cell r="H530">
            <v>3.0054619312286377</v>
          </cell>
          <cell r="I530">
            <v>4.927821159362793</v>
          </cell>
          <cell r="J530">
            <v>11.177337646484375</v>
          </cell>
          <cell r="K530">
            <v>14.683822631835938</v>
          </cell>
        </row>
        <row r="531">
          <cell r="A531" t="str">
            <v>PAMAP3000Bk143810130250</v>
          </cell>
          <cell r="B531" t="str">
            <v>PAMA</v>
          </cell>
          <cell r="C531" t="str">
            <v>P3000Bk14</v>
          </cell>
          <cell r="D531" t="str">
            <v>3810</v>
          </cell>
          <cell r="E531">
            <v>1302</v>
          </cell>
          <cell r="F531">
            <v>50</v>
          </cell>
          <cell r="G531">
            <v>6415.37841796875</v>
          </cell>
          <cell r="H531">
            <v>1.5109865665435791</v>
          </cell>
          <cell r="I531">
            <v>7.1731390953063965</v>
          </cell>
          <cell r="J531">
            <v>9.8757686614990234</v>
          </cell>
          <cell r="K531">
            <v>16.083425521850586</v>
          </cell>
        </row>
        <row r="532">
          <cell r="A532" t="str">
            <v>PAMAP3000Bk143810130260</v>
          </cell>
          <cell r="B532" t="str">
            <v>PAMA</v>
          </cell>
          <cell r="C532" t="str">
            <v>P3000Bk14</v>
          </cell>
          <cell r="D532" t="str">
            <v>3810</v>
          </cell>
          <cell r="E532">
            <v>1302</v>
          </cell>
          <cell r="F532">
            <v>60</v>
          </cell>
          <cell r="G532">
            <v>6318.49560546875</v>
          </cell>
          <cell r="H532">
            <v>1.6307497024536133</v>
          </cell>
          <cell r="I532">
            <v>7.0958452224731445</v>
          </cell>
          <cell r="J532">
            <v>10.200867652893066</v>
          </cell>
          <cell r="K532">
            <v>15.717543601989746</v>
          </cell>
        </row>
        <row r="533">
          <cell r="A533" t="str">
            <v>PAMAP3000Bk143950130250</v>
          </cell>
          <cell r="B533" t="str">
            <v>PAMA</v>
          </cell>
          <cell r="C533" t="str">
            <v>P3000Bk14</v>
          </cell>
          <cell r="D533" t="str">
            <v>3950</v>
          </cell>
          <cell r="E533">
            <v>1302</v>
          </cell>
          <cell r="F533">
            <v>50</v>
          </cell>
          <cell r="G533">
            <v>6306.35009765625</v>
          </cell>
          <cell r="H533">
            <v>0.44022229313850403</v>
          </cell>
          <cell r="I533">
            <v>3.653095006942749</v>
          </cell>
          <cell r="J533">
            <v>12.577069282531738</v>
          </cell>
          <cell r="K533">
            <v>15.68845272064209</v>
          </cell>
        </row>
        <row r="534">
          <cell r="A534" t="str">
            <v>PAMAP3000Bk143950130260</v>
          </cell>
          <cell r="B534" t="str">
            <v>PAMA</v>
          </cell>
          <cell r="C534" t="str">
            <v>P3000Bk14</v>
          </cell>
          <cell r="D534" t="str">
            <v>3950</v>
          </cell>
          <cell r="E534">
            <v>1302</v>
          </cell>
          <cell r="F534">
            <v>60</v>
          </cell>
          <cell r="G534">
            <v>6355.93798828125</v>
          </cell>
          <cell r="H534">
            <v>0.48259040713310242</v>
          </cell>
          <cell r="I534">
            <v>3.4523122310638428</v>
          </cell>
          <cell r="J534">
            <v>12.208524703979492</v>
          </cell>
          <cell r="K534">
            <v>15.814118385314941</v>
          </cell>
        </row>
        <row r="535">
          <cell r="A535" t="str">
            <v>PAMAP3000Bk143950130270</v>
          </cell>
          <cell r="B535" t="str">
            <v>PAMA</v>
          </cell>
          <cell r="C535" t="str">
            <v>P3000Bk14</v>
          </cell>
          <cell r="D535" t="str">
            <v>3950</v>
          </cell>
          <cell r="E535">
            <v>1302</v>
          </cell>
          <cell r="F535">
            <v>70</v>
          </cell>
          <cell r="G535">
            <v>6366.30517578125</v>
          </cell>
          <cell r="H535">
            <v>0.49613681435585022</v>
          </cell>
          <cell r="I535">
            <v>3.4512073993682861</v>
          </cell>
          <cell r="J535">
            <v>12.169038772583008</v>
          </cell>
          <cell r="K535">
            <v>15.978445053100586</v>
          </cell>
        </row>
        <row r="536">
          <cell r="A536" t="str">
            <v>PAMAP3000Bk144700130280</v>
          </cell>
          <cell r="B536" t="str">
            <v>PAMA</v>
          </cell>
          <cell r="C536" t="str">
            <v>P3000Bk14</v>
          </cell>
          <cell r="D536" t="str">
            <v>4700</v>
          </cell>
          <cell r="E536">
            <v>1302</v>
          </cell>
          <cell r="F536">
            <v>80</v>
          </cell>
          <cell r="G536">
            <v>6504.25830078125</v>
          </cell>
          <cell r="H536">
            <v>2.7651810646057129</v>
          </cell>
          <cell r="I536">
            <v>5.1005005836486816</v>
          </cell>
          <cell r="J536">
            <v>9.442378044128418</v>
          </cell>
          <cell r="K536">
            <v>13.600063323974609</v>
          </cell>
        </row>
        <row r="537">
          <cell r="A537" t="str">
            <v>PAMAP3000Bk143740130350</v>
          </cell>
          <cell r="B537" t="str">
            <v>PAMA</v>
          </cell>
          <cell r="C537" t="str">
            <v>P3000Bk14</v>
          </cell>
          <cell r="D537" t="str">
            <v>3740</v>
          </cell>
          <cell r="E537">
            <v>1303</v>
          </cell>
          <cell r="F537">
            <v>50</v>
          </cell>
          <cell r="G537">
            <v>6457.53955078125</v>
          </cell>
          <cell r="H537">
            <v>1.5855109691619873</v>
          </cell>
          <cell r="I537">
            <v>4.2184581756591797</v>
          </cell>
          <cell r="J537">
            <v>9.914851188659668</v>
          </cell>
          <cell r="K537">
            <v>13.664274215698242</v>
          </cell>
        </row>
        <row r="538">
          <cell r="A538" t="str">
            <v>PAMAP3000Bk143740130360</v>
          </cell>
          <cell r="B538" t="str">
            <v>PAMA</v>
          </cell>
          <cell r="C538" t="str">
            <v>P3000Bk14</v>
          </cell>
          <cell r="D538" t="str">
            <v>3740</v>
          </cell>
          <cell r="E538">
            <v>1303</v>
          </cell>
          <cell r="F538">
            <v>60</v>
          </cell>
          <cell r="G538">
            <v>6492.45068359375</v>
          </cell>
          <cell r="H538">
            <v>1.1636871099472046</v>
          </cell>
          <cell r="I538">
            <v>3.0727818012237549</v>
          </cell>
          <cell r="J538">
            <v>10.621159553527832</v>
          </cell>
          <cell r="K538">
            <v>14.376941680908203</v>
          </cell>
        </row>
        <row r="539">
          <cell r="A539" t="str">
            <v>PAMAP3000Bk143800130350</v>
          </cell>
          <cell r="B539" t="str">
            <v>PAMA</v>
          </cell>
          <cell r="C539" t="str">
            <v>P3000Bk14</v>
          </cell>
          <cell r="D539" t="str">
            <v>3800</v>
          </cell>
          <cell r="E539">
            <v>1303</v>
          </cell>
          <cell r="F539">
            <v>50</v>
          </cell>
          <cell r="G539">
            <v>6270.20361328125</v>
          </cell>
          <cell r="H539">
            <v>2.9495620727539063</v>
          </cell>
          <cell r="I539">
            <v>5.4962635040283203</v>
          </cell>
          <cell r="J539">
            <v>11.13992977142334</v>
          </cell>
          <cell r="K539">
            <v>14.715564727783203</v>
          </cell>
        </row>
        <row r="540">
          <cell r="A540" t="str">
            <v>PAMAP3000Bk143800130360</v>
          </cell>
          <cell r="B540" t="str">
            <v>PAMA</v>
          </cell>
          <cell r="C540" t="str">
            <v>P3000Bk14</v>
          </cell>
          <cell r="D540" t="str">
            <v>3800</v>
          </cell>
          <cell r="E540">
            <v>1303</v>
          </cell>
          <cell r="F540">
            <v>60</v>
          </cell>
          <cell r="G540">
            <v>6290.01123046875</v>
          </cell>
          <cell r="H540">
            <v>3.0199613571166992</v>
          </cell>
          <cell r="I540">
            <v>4.9257183074951172</v>
          </cell>
          <cell r="J540">
            <v>11.184473037719727</v>
          </cell>
          <cell r="K540">
            <v>14.702859878540039</v>
          </cell>
        </row>
        <row r="541">
          <cell r="A541" t="str">
            <v>PAMAP3000Bk143810130350</v>
          </cell>
          <cell r="B541" t="str">
            <v>PAMA</v>
          </cell>
          <cell r="C541" t="str">
            <v>P3000Bk14</v>
          </cell>
          <cell r="D541" t="str">
            <v>3810</v>
          </cell>
          <cell r="E541">
            <v>1303</v>
          </cell>
          <cell r="F541">
            <v>50</v>
          </cell>
          <cell r="G541">
            <v>6455.8037109375</v>
          </cell>
          <cell r="H541">
            <v>1.4704586267471313</v>
          </cell>
          <cell r="I541">
            <v>7.205357551574707</v>
          </cell>
          <cell r="J541">
            <v>9.7314262390136719</v>
          </cell>
          <cell r="K541">
            <v>16.17779541015625</v>
          </cell>
        </row>
        <row r="542">
          <cell r="A542" t="str">
            <v>PAMAP3000Bk143810130360</v>
          </cell>
          <cell r="B542" t="str">
            <v>PAMA</v>
          </cell>
          <cell r="C542" t="str">
            <v>P3000Bk14</v>
          </cell>
          <cell r="D542" t="str">
            <v>3810</v>
          </cell>
          <cell r="E542">
            <v>1303</v>
          </cell>
          <cell r="F542">
            <v>60</v>
          </cell>
          <cell r="G542">
            <v>6311.6318359375</v>
          </cell>
          <cell r="H542">
            <v>1.687963604927063</v>
          </cell>
          <cell r="I542">
            <v>7.4272913932800293</v>
          </cell>
          <cell r="J542">
            <v>10.071210861206055</v>
          </cell>
          <cell r="K542">
            <v>15.604804992675781</v>
          </cell>
        </row>
        <row r="543">
          <cell r="A543" t="str">
            <v>PAMAP3000Bk143950130350</v>
          </cell>
          <cell r="B543" t="str">
            <v>PAMA</v>
          </cell>
          <cell r="C543" t="str">
            <v>P3000Bk14</v>
          </cell>
          <cell r="D543" t="str">
            <v>3950</v>
          </cell>
          <cell r="E543">
            <v>1303</v>
          </cell>
          <cell r="F543">
            <v>50</v>
          </cell>
          <cell r="G543">
            <v>6342.73876953125</v>
          </cell>
          <cell r="H543">
            <v>0.46128693222999573</v>
          </cell>
          <cell r="I543">
            <v>3.6572268009185791</v>
          </cell>
          <cell r="J543">
            <v>12.242864608764648</v>
          </cell>
          <cell r="K543">
            <v>15.66209602355957</v>
          </cell>
        </row>
        <row r="544">
          <cell r="A544" t="str">
            <v>PAMAP3000Bk143950130360</v>
          </cell>
          <cell r="B544" t="str">
            <v>PAMA</v>
          </cell>
          <cell r="C544" t="str">
            <v>P3000Bk14</v>
          </cell>
          <cell r="D544" t="str">
            <v>3950</v>
          </cell>
          <cell r="E544">
            <v>1303</v>
          </cell>
          <cell r="F544">
            <v>60</v>
          </cell>
          <cell r="G544">
            <v>6357.498046875</v>
          </cell>
          <cell r="H544">
            <v>0.47026696801185608</v>
          </cell>
          <cell r="I544">
            <v>3.4800469875335693</v>
          </cell>
          <cell r="J544">
            <v>12.297983169555664</v>
          </cell>
          <cell r="K544">
            <v>15.947897911071777</v>
          </cell>
        </row>
        <row r="545">
          <cell r="A545" t="str">
            <v>PAMAP3000Bk143950130370</v>
          </cell>
          <cell r="B545" t="str">
            <v>PAMA</v>
          </cell>
          <cell r="C545" t="str">
            <v>P3000Bk14</v>
          </cell>
          <cell r="D545" t="str">
            <v>3950</v>
          </cell>
          <cell r="E545">
            <v>1303</v>
          </cell>
          <cell r="F545">
            <v>70</v>
          </cell>
          <cell r="G545">
            <v>6373.29150390625</v>
          </cell>
          <cell r="H545">
            <v>0.49800130724906921</v>
          </cell>
          <cell r="I545">
            <v>3.5438747406005859</v>
          </cell>
          <cell r="J545">
            <v>12.146885871887207</v>
          </cell>
          <cell r="K545">
            <v>16.015693664550781</v>
          </cell>
        </row>
        <row r="546">
          <cell r="A546" t="str">
            <v>PAMAP3000Bk144700130380</v>
          </cell>
          <cell r="B546" t="str">
            <v>PAMA</v>
          </cell>
          <cell r="C546" t="str">
            <v>P3000Bk14</v>
          </cell>
          <cell r="D546" t="str">
            <v>4700</v>
          </cell>
          <cell r="E546">
            <v>1303</v>
          </cell>
          <cell r="F546">
            <v>80</v>
          </cell>
          <cell r="G546">
            <v>6394.27490234375</v>
          </cell>
          <cell r="H546">
            <v>2.7704870700836182</v>
          </cell>
          <cell r="I546">
            <v>5.5253238677978516</v>
          </cell>
          <cell r="J546">
            <v>9.6277446746826172</v>
          </cell>
          <cell r="K546">
            <v>13.792815208435059</v>
          </cell>
        </row>
        <row r="547">
          <cell r="A547" t="str">
            <v>PAMAP3000Bk143000124250</v>
          </cell>
          <cell r="B547" t="str">
            <v>PAMA</v>
          </cell>
          <cell r="C547" t="str">
            <v>P3000Bk14</v>
          </cell>
          <cell r="D547" t="str">
            <v>3000</v>
          </cell>
          <cell r="E547">
            <v>1242</v>
          </cell>
          <cell r="F547">
            <v>50</v>
          </cell>
          <cell r="G547">
            <v>6757.376953125</v>
          </cell>
          <cell r="H547">
            <v>2.0703904628753662</v>
          </cell>
          <cell r="I547">
            <v>2.9126045703887939</v>
          </cell>
          <cell r="J547">
            <v>8.5175437927246094</v>
          </cell>
          <cell r="K547">
            <v>11.74909782409668</v>
          </cell>
        </row>
        <row r="548">
          <cell r="A548" t="str">
            <v>PAMAP3000Bk143000124340</v>
          </cell>
          <cell r="B548" t="str">
            <v>PAMA</v>
          </cell>
          <cell r="C548" t="str">
            <v>P3000Bk14</v>
          </cell>
          <cell r="D548" t="str">
            <v>3000</v>
          </cell>
          <cell r="E548">
            <v>1243</v>
          </cell>
          <cell r="F548">
            <v>40</v>
          </cell>
          <cell r="G548">
            <v>6607.37890625</v>
          </cell>
          <cell r="H548">
            <v>2.1757805347442627</v>
          </cell>
          <cell r="I548">
            <v>3.3222663402557373</v>
          </cell>
          <cell r="J548">
            <v>9.9495763778686523</v>
          </cell>
          <cell r="K548">
            <v>13.223405838012695</v>
          </cell>
        </row>
        <row r="549">
          <cell r="A549" t="str">
            <v>PAMAP3000Bk143000124350</v>
          </cell>
          <cell r="B549" t="str">
            <v>PAMA</v>
          </cell>
          <cell r="C549" t="str">
            <v>P3000Bk14</v>
          </cell>
          <cell r="D549" t="str">
            <v>3000</v>
          </cell>
          <cell r="E549">
            <v>1243</v>
          </cell>
          <cell r="F549">
            <v>50</v>
          </cell>
          <cell r="G549">
            <v>6667.25830078125</v>
          </cell>
          <cell r="H549">
            <v>2.1099965572357178</v>
          </cell>
          <cell r="I549">
            <v>3.1278877258300781</v>
          </cell>
          <cell r="J549">
            <v>9.4506340026855469</v>
          </cell>
          <cell r="K549">
            <v>12.918267250061035</v>
          </cell>
        </row>
        <row r="550">
          <cell r="A550" t="str">
            <v>PAMAP3000Bk143000124440</v>
          </cell>
          <cell r="B550" t="str">
            <v>PAMA</v>
          </cell>
          <cell r="C550" t="str">
            <v>P3000Bk14</v>
          </cell>
          <cell r="D550" t="str">
            <v>3000</v>
          </cell>
          <cell r="E550">
            <v>1244</v>
          </cell>
          <cell r="F550">
            <v>40</v>
          </cell>
          <cell r="G550">
            <v>6569.6328125</v>
          </cell>
          <cell r="H550">
            <v>2.1756072044372559</v>
          </cell>
          <cell r="I550">
            <v>3.4046258926391602</v>
          </cell>
          <cell r="J550">
            <v>10.244539260864258</v>
          </cell>
          <cell r="K550">
            <v>13.244466781616211</v>
          </cell>
        </row>
        <row r="551">
          <cell r="A551" t="str">
            <v>PAMAP3000Bk143000124450</v>
          </cell>
          <cell r="B551" t="str">
            <v>PAMA</v>
          </cell>
          <cell r="C551" t="str">
            <v>P3000Bk14</v>
          </cell>
          <cell r="D551" t="str">
            <v>3000</v>
          </cell>
          <cell r="E551">
            <v>1244</v>
          </cell>
          <cell r="F551">
            <v>50</v>
          </cell>
          <cell r="G551">
            <v>6528.90234375</v>
          </cell>
          <cell r="H551">
            <v>2.2087235450744629</v>
          </cell>
          <cell r="I551">
            <v>3.5354032516479492</v>
          </cell>
          <cell r="J551">
            <v>10.551652908325195</v>
          </cell>
          <cell r="K551">
            <v>13.242534637451172</v>
          </cell>
        </row>
        <row r="552">
          <cell r="A552" t="str">
            <v>PAMAP3000Bk143000124540</v>
          </cell>
          <cell r="B552" t="str">
            <v>PAMA</v>
          </cell>
          <cell r="C552" t="str">
            <v>P3000Bk14</v>
          </cell>
          <cell r="D552" t="str">
            <v>3000</v>
          </cell>
          <cell r="E552">
            <v>1245</v>
          </cell>
          <cell r="F552">
            <v>40</v>
          </cell>
          <cell r="G552">
            <v>6618.4455139199863</v>
          </cell>
          <cell r="H552">
            <v>1.850151523018069</v>
          </cell>
          <cell r="I552">
            <v>3.5856779126274447</v>
          </cell>
          <cell r="J552">
            <v>10.002694710284549</v>
          </cell>
          <cell r="K552">
            <v>13.360115850243895</v>
          </cell>
        </row>
        <row r="553">
          <cell r="A553" t="str">
            <v>PAMAP3000Bk143000124550</v>
          </cell>
          <cell r="B553" t="str">
            <v>PAMA</v>
          </cell>
          <cell r="C553" t="str">
            <v>P3000Bk14</v>
          </cell>
          <cell r="D553" t="str">
            <v>3000</v>
          </cell>
          <cell r="E553">
            <v>1245</v>
          </cell>
          <cell r="F553">
            <v>50</v>
          </cell>
          <cell r="G553">
            <v>6529.63671875</v>
          </cell>
          <cell r="H553">
            <v>2.1149237155914307</v>
          </cell>
          <cell r="I553">
            <v>3.4886860847473145</v>
          </cell>
          <cell r="J553">
            <v>10.660013198852539</v>
          </cell>
          <cell r="K553">
            <v>13.377083778381348</v>
          </cell>
        </row>
        <row r="554">
          <cell r="A554" t="str">
            <v>PAMAP3000Bk143000124640</v>
          </cell>
          <cell r="B554" t="str">
            <v>PAMA</v>
          </cell>
          <cell r="C554" t="str">
            <v>P3000Bk14</v>
          </cell>
          <cell r="D554" t="str">
            <v>3000</v>
          </cell>
          <cell r="E554">
            <v>1246</v>
          </cell>
          <cell r="F554">
            <v>40</v>
          </cell>
          <cell r="G554">
            <v>6607.388253346795</v>
          </cell>
          <cell r="H554">
            <v>1.9503057400795984</v>
          </cell>
          <cell r="I554">
            <v>3.1820727748388338</v>
          </cell>
          <cell r="J554">
            <v>10.215988530090787</v>
          </cell>
          <cell r="K554">
            <v>13.432526997481775</v>
          </cell>
        </row>
        <row r="555">
          <cell r="A555" t="str">
            <v>PAMAP3000Bk143000124650</v>
          </cell>
          <cell r="B555" t="str">
            <v>PAMA</v>
          </cell>
          <cell r="C555" t="str">
            <v>P3000Bk14</v>
          </cell>
          <cell r="D555" t="str">
            <v>3000</v>
          </cell>
          <cell r="E555">
            <v>1246</v>
          </cell>
          <cell r="F555">
            <v>50</v>
          </cell>
          <cell r="G555">
            <v>6558.603515625</v>
          </cell>
          <cell r="H555">
            <v>1.9974753856658936</v>
          </cell>
          <cell r="I555">
            <v>3.5269207954406738</v>
          </cell>
          <cell r="J555">
            <v>10.719334602355957</v>
          </cell>
          <cell r="K555">
            <v>13.721230506896973</v>
          </cell>
        </row>
        <row r="556">
          <cell r="A556" t="str">
            <v>PAMAP3000Bk143000124740</v>
          </cell>
          <cell r="B556" t="str">
            <v>PAMA</v>
          </cell>
          <cell r="C556" t="str">
            <v>P3000Bk14</v>
          </cell>
          <cell r="D556" t="str">
            <v>3000</v>
          </cell>
          <cell r="E556">
            <v>1247</v>
          </cell>
          <cell r="F556">
            <v>40</v>
          </cell>
          <cell r="G556">
            <v>6722.7748685956003</v>
          </cell>
          <cell r="H556">
            <v>1.7767615610026135</v>
          </cell>
          <cell r="I556">
            <v>2.7091033116279584</v>
          </cell>
          <cell r="J556">
            <v>9.9631667089804665</v>
          </cell>
          <cell r="K556">
            <v>13.258186853993774</v>
          </cell>
        </row>
        <row r="557">
          <cell r="A557" t="str">
            <v>PAMAP3000Bk143000124750</v>
          </cell>
          <cell r="B557" t="str">
            <v>PAMA</v>
          </cell>
          <cell r="C557" t="str">
            <v>P3000Bk14</v>
          </cell>
          <cell r="D557" t="str">
            <v>3000</v>
          </cell>
          <cell r="E557">
            <v>1247</v>
          </cell>
          <cell r="F557">
            <v>50</v>
          </cell>
          <cell r="G557">
            <v>6665.4052734375</v>
          </cell>
          <cell r="H557">
            <v>1.8371924161911011</v>
          </cell>
          <cell r="I557">
            <v>2.7658929824829102</v>
          </cell>
          <cell r="J557">
            <v>9.9618721008300781</v>
          </cell>
          <cell r="K557">
            <v>13.388705253601074</v>
          </cell>
        </row>
        <row r="558">
          <cell r="A558" t="str">
            <v>PAMAP3000Bk143000124840</v>
          </cell>
          <cell r="B558" t="str">
            <v>PAMA</v>
          </cell>
          <cell r="C558" t="str">
            <v>P3000Bk14</v>
          </cell>
          <cell r="D558" t="str">
            <v>3000</v>
          </cell>
          <cell r="E558">
            <v>1248</v>
          </cell>
          <cell r="F558">
            <v>40</v>
          </cell>
          <cell r="G558">
            <v>6788.75341796875</v>
          </cell>
          <cell r="H558">
            <v>2.3116738796234131</v>
          </cell>
          <cell r="I558">
            <v>3.0932011604309082</v>
          </cell>
          <cell r="J558">
            <v>9.4727163314819336</v>
          </cell>
          <cell r="K558">
            <v>13.322810173034668</v>
          </cell>
        </row>
        <row r="559">
          <cell r="A559" t="str">
            <v>PAMAP3000Bk143000124850</v>
          </cell>
          <cell r="B559" t="str">
            <v>PAMA</v>
          </cell>
          <cell r="C559" t="str">
            <v>P3000Bk14</v>
          </cell>
          <cell r="D559" t="str">
            <v>3000</v>
          </cell>
          <cell r="E559">
            <v>1248</v>
          </cell>
          <cell r="F559">
            <v>50</v>
          </cell>
          <cell r="G559">
            <v>6730.84765625</v>
          </cell>
          <cell r="H559">
            <v>2.0839288234710693</v>
          </cell>
          <cell r="I559">
            <v>2.9935622215270996</v>
          </cell>
          <cell r="J559">
            <v>9.5638628005981445</v>
          </cell>
          <cell r="K559">
            <v>13.474539756774902</v>
          </cell>
        </row>
        <row r="560">
          <cell r="A560" t="str">
            <v>PAMAP3000Bk143000124940</v>
          </cell>
          <cell r="B560" t="str">
            <v>PAMA</v>
          </cell>
          <cell r="C560" t="str">
            <v>P3000Bk14</v>
          </cell>
          <cell r="D560" t="str">
            <v>3000</v>
          </cell>
          <cell r="E560">
            <v>1249</v>
          </cell>
          <cell r="F560">
            <v>40</v>
          </cell>
          <cell r="G560">
            <v>6787.5556640625</v>
          </cell>
          <cell r="H560">
            <v>2.0137903690338135</v>
          </cell>
          <cell r="I560">
            <v>2.6972768306732178</v>
          </cell>
          <cell r="J560">
            <v>9.3364973068237305</v>
          </cell>
          <cell r="K560">
            <v>12.876547813415527</v>
          </cell>
        </row>
        <row r="561">
          <cell r="A561" t="str">
            <v>PAMAP3000Bk143000124950</v>
          </cell>
          <cell r="B561" t="str">
            <v>PAMA</v>
          </cell>
          <cell r="C561" t="str">
            <v>P3000Bk14</v>
          </cell>
          <cell r="D561" t="str">
            <v>3000</v>
          </cell>
          <cell r="E561">
            <v>1249</v>
          </cell>
          <cell r="F561">
            <v>50</v>
          </cell>
          <cell r="G561">
            <v>6708.2548828125</v>
          </cell>
          <cell r="H561">
            <v>1.9820603132247925</v>
          </cell>
          <cell r="I561">
            <v>2.7947545051574707</v>
          </cell>
          <cell r="J561">
            <v>9.6438560485839844</v>
          </cell>
          <cell r="K561">
            <v>13.163322448730469</v>
          </cell>
        </row>
        <row r="562">
          <cell r="A562" t="str">
            <v>PAMAP3000Bk143000125040</v>
          </cell>
          <cell r="B562" t="str">
            <v>PAMA</v>
          </cell>
          <cell r="C562" t="str">
            <v>P3000Bk14</v>
          </cell>
          <cell r="D562" t="str">
            <v>3000</v>
          </cell>
          <cell r="E562">
            <v>1250</v>
          </cell>
          <cell r="F562">
            <v>40</v>
          </cell>
          <cell r="G562">
            <v>6670.91064453125</v>
          </cell>
          <cell r="H562">
            <v>1.8938746452331543</v>
          </cell>
          <cell r="I562">
            <v>2.8215415477752686</v>
          </cell>
          <cell r="J562">
            <v>9.659083366394043</v>
          </cell>
          <cell r="K562">
            <v>13.184049606323242</v>
          </cell>
        </row>
        <row r="563">
          <cell r="A563" t="str">
            <v>PAMAP3000Bk143000125050</v>
          </cell>
          <cell r="B563" t="str">
            <v>PAMA</v>
          </cell>
          <cell r="C563" t="str">
            <v>P3000Bk14</v>
          </cell>
          <cell r="D563" t="str">
            <v>3000</v>
          </cell>
          <cell r="E563">
            <v>1250</v>
          </cell>
          <cell r="F563">
            <v>50</v>
          </cell>
          <cell r="G563">
            <v>6627.806640625</v>
          </cell>
          <cell r="H563">
            <v>1.8799750804901123</v>
          </cell>
          <cell r="I563">
            <v>2.8929920196533203</v>
          </cell>
          <cell r="J563">
            <v>9.7322092056274414</v>
          </cell>
          <cell r="K563">
            <v>13.262524604797363</v>
          </cell>
        </row>
        <row r="564">
          <cell r="A564" t="str">
            <v>PAMAP3000Bk143000125140</v>
          </cell>
          <cell r="B564" t="str">
            <v>PAMA</v>
          </cell>
          <cell r="C564" t="str">
            <v>P3000Bk14</v>
          </cell>
          <cell r="D564" t="str">
            <v>3000</v>
          </cell>
          <cell r="E564">
            <v>1251</v>
          </cell>
          <cell r="F564">
            <v>40</v>
          </cell>
          <cell r="G564">
            <v>6620.8564453125</v>
          </cell>
          <cell r="H564">
            <v>1.8726465702056885</v>
          </cell>
          <cell r="I564">
            <v>2.8674306869506836</v>
          </cell>
          <cell r="J564">
            <v>9.6985702514648438</v>
          </cell>
          <cell r="K564">
            <v>13.250304222106934</v>
          </cell>
        </row>
        <row r="565">
          <cell r="A565" t="str">
            <v>PAMAP3000Bk143000125150</v>
          </cell>
          <cell r="B565" t="str">
            <v>PAMA</v>
          </cell>
          <cell r="C565" t="str">
            <v>P3000Bk14</v>
          </cell>
          <cell r="D565" t="str">
            <v>3000</v>
          </cell>
          <cell r="E565">
            <v>1251</v>
          </cell>
          <cell r="F565">
            <v>50</v>
          </cell>
          <cell r="G565">
            <v>6611.58349609375</v>
          </cell>
          <cell r="H565">
            <v>1.867520809173584</v>
          </cell>
          <cell r="I565">
            <v>2.8265843391418457</v>
          </cell>
          <cell r="J565">
            <v>9.6946430206298828</v>
          </cell>
          <cell r="K565">
            <v>13.203788757324219</v>
          </cell>
        </row>
        <row r="566">
          <cell r="A566" t="str">
            <v>PAMAP3000Bk143000125240</v>
          </cell>
          <cell r="B566" t="str">
            <v>PAMA</v>
          </cell>
          <cell r="C566" t="str">
            <v>P3000Bk14</v>
          </cell>
          <cell r="D566" t="str">
            <v>3000</v>
          </cell>
          <cell r="E566">
            <v>1252</v>
          </cell>
          <cell r="F566">
            <v>40</v>
          </cell>
          <cell r="G566">
            <v>6608.43603515625</v>
          </cell>
          <cell r="H566">
            <v>1.8756245374679565</v>
          </cell>
          <cell r="I566">
            <v>2.836618185043335</v>
          </cell>
          <cell r="J566">
            <v>9.65069580078125</v>
          </cell>
          <cell r="K566">
            <v>13.220607757568359</v>
          </cell>
        </row>
        <row r="567">
          <cell r="A567" t="str">
            <v>PAMAP3000Bk143000125250</v>
          </cell>
          <cell r="B567" t="str">
            <v>PAMA</v>
          </cell>
          <cell r="C567" t="str">
            <v>P3000Bk14</v>
          </cell>
          <cell r="D567" t="str">
            <v>3000</v>
          </cell>
          <cell r="E567">
            <v>1252</v>
          </cell>
          <cell r="F567">
            <v>50</v>
          </cell>
          <cell r="G567">
            <v>6627.1140641820029</v>
          </cell>
          <cell r="H567">
            <v>1.8936856554336419</v>
          </cell>
          <cell r="I567">
            <v>2.8609177280829572</v>
          </cell>
          <cell r="J567">
            <v>9.4748544537886144</v>
          </cell>
          <cell r="K567">
            <v>13.131388240239399</v>
          </cell>
        </row>
        <row r="568">
          <cell r="A568" t="str">
            <v>PAMAP3000Bk143000125350</v>
          </cell>
          <cell r="B568" t="str">
            <v>PAMA</v>
          </cell>
          <cell r="C568" t="str">
            <v>P3000Bk14</v>
          </cell>
          <cell r="D568" t="str">
            <v>3000</v>
          </cell>
          <cell r="E568">
            <v>1253</v>
          </cell>
          <cell r="F568">
            <v>50</v>
          </cell>
          <cell r="G568">
            <v>6735.6387065370754</v>
          </cell>
          <cell r="H568">
            <v>1.9483128685130442</v>
          </cell>
          <cell r="I568">
            <v>2.9570227050341327</v>
          </cell>
          <cell r="J568">
            <v>8.7442849682638428</v>
          </cell>
          <cell r="K568">
            <v>12.998534209043219</v>
          </cell>
        </row>
        <row r="569">
          <cell r="A569" t="str">
            <v>PAMAP3000Bk144000125380</v>
          </cell>
          <cell r="B569" t="str">
            <v>PAMA</v>
          </cell>
          <cell r="C569" t="str">
            <v>P3000Bk14</v>
          </cell>
          <cell r="D569" t="str">
            <v>4000</v>
          </cell>
          <cell r="E569">
            <v>1253</v>
          </cell>
          <cell r="F569">
            <v>80</v>
          </cell>
          <cell r="G569">
            <v>6127.95263671875</v>
          </cell>
          <cell r="H569">
            <v>2.6280002593994141</v>
          </cell>
          <cell r="I569">
            <v>5.5999712944030762</v>
          </cell>
          <cell r="J569">
            <v>11.112101554870605</v>
          </cell>
          <cell r="K569">
            <v>15.219520568847656</v>
          </cell>
        </row>
        <row r="570">
          <cell r="A570" t="str">
            <v>PAMAP3000Bk144000125390</v>
          </cell>
          <cell r="B570" t="str">
            <v>PAMA</v>
          </cell>
          <cell r="C570" t="str">
            <v>P3000Bk14</v>
          </cell>
          <cell r="D570" t="str">
            <v>4000</v>
          </cell>
          <cell r="E570">
            <v>1253</v>
          </cell>
          <cell r="F570">
            <v>90</v>
          </cell>
          <cell r="G570">
            <v>6152.4287109375</v>
          </cell>
          <cell r="H570">
            <v>2.5857574939727783</v>
          </cell>
          <cell r="I570">
            <v>5.700439453125</v>
          </cell>
          <cell r="J570">
            <v>11.179789543151855</v>
          </cell>
          <cell r="K570">
            <v>15.465583801269531</v>
          </cell>
        </row>
        <row r="571">
          <cell r="A571" t="str">
            <v>PAMAP3000Bk144000125480</v>
          </cell>
          <cell r="B571" t="str">
            <v>PAMA</v>
          </cell>
          <cell r="C571" t="str">
            <v>P3000Bk14</v>
          </cell>
          <cell r="D571" t="str">
            <v>4000</v>
          </cell>
          <cell r="E571">
            <v>1254</v>
          </cell>
          <cell r="F571">
            <v>80</v>
          </cell>
          <cell r="G571">
            <v>6275.0299710823219</v>
          </cell>
          <cell r="H571">
            <v>2.4123018672611307</v>
          </cell>
          <cell r="I571">
            <v>4.8267144871629979</v>
          </cell>
          <cell r="J571">
            <v>11.131142456357054</v>
          </cell>
          <cell r="K571">
            <v>14.651779161591991</v>
          </cell>
        </row>
        <row r="572">
          <cell r="A572" t="str">
            <v>PAMAP3000Bk144000125490</v>
          </cell>
          <cell r="B572" t="str">
            <v>PAMA</v>
          </cell>
          <cell r="C572" t="str">
            <v>P3000Bk14</v>
          </cell>
          <cell r="D572" t="str">
            <v>4000</v>
          </cell>
          <cell r="E572">
            <v>1254</v>
          </cell>
          <cell r="F572">
            <v>90</v>
          </cell>
          <cell r="G572">
            <v>6243.423610282648</v>
          </cell>
          <cell r="H572">
            <v>2.4760490373871491</v>
          </cell>
          <cell r="I572">
            <v>4.6417940448154456</v>
          </cell>
          <cell r="J572">
            <v>11.21779179922771</v>
          </cell>
          <cell r="K572">
            <v>14.485004765876692</v>
          </cell>
        </row>
        <row r="573">
          <cell r="A573" t="str">
            <v>PAMAP3000Bk144000125580</v>
          </cell>
          <cell r="B573" t="str">
            <v>PAMA</v>
          </cell>
          <cell r="C573" t="str">
            <v>P3000Bk14</v>
          </cell>
          <cell r="D573" t="str">
            <v>4000</v>
          </cell>
          <cell r="E573">
            <v>1255</v>
          </cell>
          <cell r="F573">
            <v>80</v>
          </cell>
          <cell r="G573">
            <v>6326.6835105802265</v>
          </cell>
          <cell r="H573">
            <v>2.6832360066945578</v>
          </cell>
          <cell r="I573">
            <v>7.5250723253056293</v>
          </cell>
          <cell r="J573">
            <v>10.497376740166674</v>
          </cell>
          <cell r="K573">
            <v>14.052182578027761</v>
          </cell>
        </row>
        <row r="574">
          <cell r="A574" t="str">
            <v>PAMAP3000Bk144000125590</v>
          </cell>
          <cell r="B574" t="str">
            <v>PAMA</v>
          </cell>
          <cell r="C574" t="str">
            <v>P3000Bk14</v>
          </cell>
          <cell r="D574" t="str">
            <v>4000</v>
          </cell>
          <cell r="E574">
            <v>1255</v>
          </cell>
          <cell r="F574">
            <v>90</v>
          </cell>
          <cell r="G574">
            <v>6327.3041909307349</v>
          </cell>
          <cell r="H574">
            <v>2.6641642337528904</v>
          </cell>
          <cell r="I574">
            <v>7.2311281923842516</v>
          </cell>
          <cell r="J574">
            <v>10.615715973046273</v>
          </cell>
          <cell r="K574">
            <v>14.093681797425756</v>
          </cell>
        </row>
        <row r="575">
          <cell r="A575" t="str">
            <v>PAMAP3000Bk144000125680</v>
          </cell>
          <cell r="B575" t="str">
            <v>PAMA</v>
          </cell>
          <cell r="C575" t="str">
            <v>P3000Bk14</v>
          </cell>
          <cell r="D575" t="str">
            <v>4000</v>
          </cell>
          <cell r="E575">
            <v>1256</v>
          </cell>
          <cell r="F575">
            <v>80</v>
          </cell>
          <cell r="G575">
            <v>6228.68359375</v>
          </cell>
          <cell r="H575">
            <v>2.6863222122192383</v>
          </cell>
          <cell r="I575">
            <v>9.5177755355834961</v>
          </cell>
          <cell r="J575">
            <v>10.36683464050293</v>
          </cell>
          <cell r="K575">
            <v>13.929537773132324</v>
          </cell>
        </row>
        <row r="576">
          <cell r="A576" t="str">
            <v>PAMAP3000Bk144000125690</v>
          </cell>
          <cell r="B576" t="str">
            <v>PAMA</v>
          </cell>
          <cell r="C576" t="str">
            <v>P3000Bk14</v>
          </cell>
          <cell r="D576" t="str">
            <v>4000</v>
          </cell>
          <cell r="E576">
            <v>1256</v>
          </cell>
          <cell r="F576">
            <v>90</v>
          </cell>
          <cell r="G576">
            <v>6420.64990234375</v>
          </cell>
          <cell r="H576">
            <v>2.936643123626709</v>
          </cell>
          <cell r="I576">
            <v>9.0532979965209961</v>
          </cell>
          <cell r="J576">
            <v>9.9844560623168945</v>
          </cell>
          <cell r="K576">
            <v>13.628495216369629</v>
          </cell>
        </row>
        <row r="577">
          <cell r="A577" t="str">
            <v>PAMAP3000Bk144000125770</v>
          </cell>
          <cell r="B577" t="str">
            <v>PAMA</v>
          </cell>
          <cell r="C577" t="str">
            <v>P3000Bk14</v>
          </cell>
          <cell r="D577" t="str">
            <v>4000</v>
          </cell>
          <cell r="E577">
            <v>1257</v>
          </cell>
          <cell r="F577">
            <v>70</v>
          </cell>
          <cell r="G577">
            <v>6070.2334030265647</v>
          </cell>
          <cell r="H577">
            <v>2.4754579336485723</v>
          </cell>
          <cell r="I577">
            <v>9.0093420342857566</v>
          </cell>
          <cell r="J577">
            <v>10.75297432018086</v>
          </cell>
          <cell r="K577">
            <v>14.194367941319367</v>
          </cell>
        </row>
        <row r="578">
          <cell r="A578" t="str">
            <v>PAMAP3000Bk144000125780</v>
          </cell>
          <cell r="B578" t="str">
            <v>PAMA</v>
          </cell>
          <cell r="C578" t="str">
            <v>P3000Bk14</v>
          </cell>
          <cell r="D578" t="str">
            <v>4000</v>
          </cell>
          <cell r="E578">
            <v>1257</v>
          </cell>
          <cell r="F578">
            <v>80</v>
          </cell>
          <cell r="G578">
            <v>6046.923303032374</v>
          </cell>
          <cell r="H578">
            <v>2.5007702791693855</v>
          </cell>
          <cell r="I578">
            <v>9.4918098192247893</v>
          </cell>
          <cell r="J578">
            <v>10.782033957464639</v>
          </cell>
          <cell r="K578">
            <v>14.169885695595054</v>
          </cell>
        </row>
        <row r="579">
          <cell r="A579" t="str">
            <v>PAMAP3000Bk144000125870</v>
          </cell>
          <cell r="B579" t="str">
            <v>PAMA</v>
          </cell>
          <cell r="C579" t="str">
            <v>P3000Bk14</v>
          </cell>
          <cell r="D579" t="str">
            <v>4000</v>
          </cell>
          <cell r="E579">
            <v>1258</v>
          </cell>
          <cell r="F579">
            <v>70</v>
          </cell>
          <cell r="G579">
            <v>6381.7843605625922</v>
          </cell>
          <cell r="H579">
            <v>2.0169874249547712</v>
          </cell>
          <cell r="I579">
            <v>5.4508581635562132</v>
          </cell>
          <cell r="J579">
            <v>10.237361405039975</v>
          </cell>
          <cell r="K579">
            <v>13.91655705829668</v>
          </cell>
        </row>
        <row r="580">
          <cell r="A580" t="str">
            <v>PAMAP3000Bk144000125880</v>
          </cell>
          <cell r="B580" t="str">
            <v>PAMA</v>
          </cell>
          <cell r="C580" t="str">
            <v>P3000Bk14</v>
          </cell>
          <cell r="D580" t="str">
            <v>4000</v>
          </cell>
          <cell r="E580">
            <v>1258</v>
          </cell>
          <cell r="F580">
            <v>80</v>
          </cell>
          <cell r="G580">
            <v>6533.8248756500407</v>
          </cell>
          <cell r="H580">
            <v>2.0181902095066682</v>
          </cell>
          <cell r="I580">
            <v>3.8588224082116311</v>
          </cell>
          <cell r="J580">
            <v>10.373791998359328</v>
          </cell>
          <cell r="K580">
            <v>13.644077422384127</v>
          </cell>
        </row>
        <row r="581">
          <cell r="A581" t="str">
            <v>PAMAP3000Bk144000125960</v>
          </cell>
          <cell r="B581" t="str">
            <v>PAMA</v>
          </cell>
          <cell r="C581" t="str">
            <v>P3000Bk14</v>
          </cell>
          <cell r="D581" t="str">
            <v>4000</v>
          </cell>
          <cell r="E581">
            <v>1259</v>
          </cell>
          <cell r="F581">
            <v>60</v>
          </cell>
          <cell r="G581">
            <v>6072.4094639667392</v>
          </cell>
          <cell r="H581">
            <v>2.1050787704666898</v>
          </cell>
          <cell r="I581">
            <v>8.7037678471980495</v>
          </cell>
          <cell r="J581">
            <v>10.034666421548772</v>
          </cell>
          <cell r="K581">
            <v>14.278881856674777</v>
          </cell>
        </row>
        <row r="582">
          <cell r="A582" t="str">
            <v>PAMAP3000Bk144000125970</v>
          </cell>
          <cell r="B582" t="str">
            <v>PAMA</v>
          </cell>
          <cell r="C582" t="str">
            <v>P3000Bk14</v>
          </cell>
          <cell r="D582" t="str">
            <v>4000</v>
          </cell>
          <cell r="E582">
            <v>1259</v>
          </cell>
          <cell r="F582">
            <v>70</v>
          </cell>
          <cell r="G582">
            <v>6306.0698652853116</v>
          </cell>
          <cell r="H582">
            <v>2.0887541992730632</v>
          </cell>
          <cell r="I582">
            <v>6.0265256822418136</v>
          </cell>
          <cell r="J582">
            <v>10.248291483712764</v>
          </cell>
          <cell r="K582">
            <v>14.145428593618471</v>
          </cell>
        </row>
        <row r="583">
          <cell r="A583" t="str">
            <v>PAMAP3000Bk144000125980</v>
          </cell>
          <cell r="B583" t="str">
            <v>PAMA</v>
          </cell>
          <cell r="C583" t="str">
            <v>P3000Bk14</v>
          </cell>
          <cell r="D583" t="str">
            <v>4000</v>
          </cell>
          <cell r="E583">
            <v>1259</v>
          </cell>
          <cell r="F583">
            <v>80</v>
          </cell>
          <cell r="G583">
            <v>6311.1157370849669</v>
          </cell>
          <cell r="H583">
            <v>2.14018500780612</v>
          </cell>
          <cell r="I583">
            <v>5.6852005381372397</v>
          </cell>
          <cell r="J583">
            <v>10.271269385980803</v>
          </cell>
          <cell r="K583">
            <v>14.271823424334563</v>
          </cell>
        </row>
        <row r="584">
          <cell r="A584" t="str">
            <v>PAMAP3000Bk144000126060</v>
          </cell>
          <cell r="B584" t="str">
            <v>PAMA</v>
          </cell>
          <cell r="C584" t="str">
            <v>P3000Bk14</v>
          </cell>
          <cell r="D584" t="str">
            <v>4000</v>
          </cell>
          <cell r="E584">
            <v>1260</v>
          </cell>
          <cell r="F584">
            <v>60</v>
          </cell>
          <cell r="G584">
            <v>6255.1613537385992</v>
          </cell>
          <cell r="H584">
            <v>2.1926531343572107</v>
          </cell>
          <cell r="I584">
            <v>6.2568641378741896</v>
          </cell>
          <cell r="J584">
            <v>10.318772064596342</v>
          </cell>
          <cell r="K584">
            <v>14.526059979908069</v>
          </cell>
        </row>
        <row r="585">
          <cell r="A585" t="str">
            <v>PAMAP3000Bk144000126070</v>
          </cell>
          <cell r="B585" t="str">
            <v>PAMA</v>
          </cell>
          <cell r="C585" t="str">
            <v>P3000Bk14</v>
          </cell>
          <cell r="D585" t="str">
            <v>4000</v>
          </cell>
          <cell r="E585">
            <v>1260</v>
          </cell>
          <cell r="F585">
            <v>70</v>
          </cell>
          <cell r="G585">
            <v>6240.8845869601219</v>
          </cell>
          <cell r="H585">
            <v>2.1913752519649718</v>
          </cell>
          <cell r="I585">
            <v>6.4236058850807982</v>
          </cell>
          <cell r="J585">
            <v>10.265775954490552</v>
          </cell>
          <cell r="K585">
            <v>14.437128579057939</v>
          </cell>
        </row>
        <row r="586">
          <cell r="A586" t="str">
            <v>PAMAP3000Bk144000126080</v>
          </cell>
          <cell r="B586" t="str">
            <v>PAMA</v>
          </cell>
          <cell r="C586" t="str">
            <v>P3000Bk14</v>
          </cell>
          <cell r="D586" t="str">
            <v>4000</v>
          </cell>
          <cell r="E586">
            <v>1260</v>
          </cell>
          <cell r="F586">
            <v>80</v>
          </cell>
          <cell r="G586">
            <v>6149.9950954284268</v>
          </cell>
          <cell r="H586">
            <v>2.2093770393644512</v>
          </cell>
          <cell r="I586">
            <v>7.5248303901763238</v>
          </cell>
          <cell r="J586">
            <v>10.178296363782362</v>
          </cell>
          <cell r="K586">
            <v>14.307914703421073</v>
          </cell>
        </row>
        <row r="587">
          <cell r="A587" t="str">
            <v>PAMAP3000Bk144000126160</v>
          </cell>
          <cell r="B587" t="str">
            <v>PAMA</v>
          </cell>
          <cell r="C587" t="str">
            <v>P3000Bk14</v>
          </cell>
          <cell r="D587" t="str">
            <v>4000</v>
          </cell>
          <cell r="E587">
            <v>1261</v>
          </cell>
          <cell r="F587">
            <v>60</v>
          </cell>
          <cell r="G587">
            <v>6272.9332198976053</v>
          </cell>
          <cell r="H587">
            <v>2.2832603585213525</v>
          </cell>
          <cell r="I587">
            <v>5.8412388843104024</v>
          </cell>
          <cell r="J587">
            <v>10.411255475778622</v>
          </cell>
          <cell r="K587">
            <v>14.854087232276669</v>
          </cell>
        </row>
        <row r="588">
          <cell r="A588" t="str">
            <v>PAMAP3000Bk144000126170</v>
          </cell>
          <cell r="B588" t="str">
            <v>PAMA</v>
          </cell>
          <cell r="C588" t="str">
            <v>P3000Bk14</v>
          </cell>
          <cell r="D588" t="str">
            <v>4000</v>
          </cell>
          <cell r="E588">
            <v>1261</v>
          </cell>
          <cell r="F588">
            <v>70</v>
          </cell>
          <cell r="G588">
            <v>6277.2018750774287</v>
          </cell>
          <cell r="H588">
            <v>2.3120390422563171</v>
          </cell>
          <cell r="I588">
            <v>5.878389474606232</v>
          </cell>
          <cell r="J588">
            <v>10.267266695988404</v>
          </cell>
          <cell r="K588">
            <v>14.852667052304135</v>
          </cell>
        </row>
        <row r="589">
          <cell r="A589" t="str">
            <v>PAMAP3000Bk144000126180</v>
          </cell>
          <cell r="B589" t="str">
            <v>PAMA</v>
          </cell>
          <cell r="C589" t="str">
            <v>P3000Bk14</v>
          </cell>
          <cell r="D589" t="str">
            <v>4000</v>
          </cell>
          <cell r="E589">
            <v>1261</v>
          </cell>
          <cell r="F589">
            <v>80</v>
          </cell>
          <cell r="G589">
            <v>6398.163703198732</v>
          </cell>
          <cell r="H589">
            <v>2.3304573601856187</v>
          </cell>
          <cell r="I589">
            <v>4.5533728199803711</v>
          </cell>
          <cell r="J589">
            <v>10.07630771253992</v>
          </cell>
          <cell r="K589">
            <v>15.047010935381985</v>
          </cell>
        </row>
        <row r="590">
          <cell r="A590" t="str">
            <v>PAMAP3000Bk144000126260</v>
          </cell>
          <cell r="B590" t="str">
            <v>PAMA</v>
          </cell>
          <cell r="C590" t="str">
            <v>P3000Bk14</v>
          </cell>
          <cell r="D590" t="str">
            <v>4000</v>
          </cell>
          <cell r="E590">
            <v>1262</v>
          </cell>
          <cell r="F590">
            <v>60</v>
          </cell>
          <cell r="G590">
            <v>6288.9880706433332</v>
          </cell>
          <cell r="H590">
            <v>2.3365699878316297</v>
          </cell>
          <cell r="I590">
            <v>5.4820745318825521</v>
          </cell>
          <cell r="J590">
            <v>10.55462771804763</v>
          </cell>
          <cell r="K590">
            <v>15.12361650839957</v>
          </cell>
        </row>
        <row r="591">
          <cell r="A591" t="str">
            <v>PAMAP3000Bk144000126270</v>
          </cell>
          <cell r="B591" t="str">
            <v>PAMA</v>
          </cell>
          <cell r="C591" t="str">
            <v>P3000Bk14</v>
          </cell>
          <cell r="D591" t="str">
            <v>4000</v>
          </cell>
          <cell r="E591">
            <v>1262</v>
          </cell>
          <cell r="F591">
            <v>70</v>
          </cell>
          <cell r="G591">
            <v>6324.6521020636319</v>
          </cell>
          <cell r="H591">
            <v>2.3678661264884848</v>
          </cell>
          <cell r="I591">
            <v>5.1472914806399039</v>
          </cell>
          <cell r="J591">
            <v>10.441142113772408</v>
          </cell>
          <cell r="K591">
            <v>15.198459267636345</v>
          </cell>
        </row>
        <row r="592">
          <cell r="A592" t="str">
            <v>PAMAP3000Bk144000126360</v>
          </cell>
          <cell r="B592" t="str">
            <v>PAMA</v>
          </cell>
          <cell r="C592" t="str">
            <v>P3000Bk14</v>
          </cell>
          <cell r="D592" t="str">
            <v>4000</v>
          </cell>
          <cell r="E592">
            <v>1263</v>
          </cell>
          <cell r="F592">
            <v>60</v>
          </cell>
          <cell r="G592">
            <v>6262.9860081412044</v>
          </cell>
          <cell r="H592">
            <v>2.3317379224284163</v>
          </cell>
          <cell r="I592">
            <v>5.557234443068567</v>
          </cell>
          <cell r="J592">
            <v>10.831091090450977</v>
          </cell>
          <cell r="K592">
            <v>15.308050262496447</v>
          </cell>
        </row>
        <row r="593">
          <cell r="A593" t="str">
            <v>PAMAP3000Bk144000126370</v>
          </cell>
          <cell r="B593" t="str">
            <v>PAMA</v>
          </cell>
          <cell r="C593" t="str">
            <v>P3000Bk14</v>
          </cell>
          <cell r="D593" t="str">
            <v>4000</v>
          </cell>
          <cell r="E593">
            <v>1263</v>
          </cell>
          <cell r="F593">
            <v>70</v>
          </cell>
          <cell r="G593">
            <v>6289.6260561410072</v>
          </cell>
          <cell r="H593">
            <v>2.3207595540012593</v>
          </cell>
          <cell r="I593">
            <v>5.2541533323590324</v>
          </cell>
          <cell r="J593">
            <v>10.856349038624199</v>
          </cell>
          <cell r="K593">
            <v>15.327123811794511</v>
          </cell>
        </row>
        <row r="594">
          <cell r="A594" t="str">
            <v>PAMAP3000Bk144000126460</v>
          </cell>
          <cell r="B594" t="str">
            <v>PAMA</v>
          </cell>
          <cell r="C594" t="str">
            <v>P3000Bk14</v>
          </cell>
          <cell r="D594" t="str">
            <v>4000</v>
          </cell>
          <cell r="E594">
            <v>1264</v>
          </cell>
          <cell r="F594">
            <v>60</v>
          </cell>
          <cell r="G594">
            <v>6287.327381995211</v>
          </cell>
          <cell r="H594">
            <v>2.2397759182360732</v>
          </cell>
          <cell r="I594">
            <v>5.1419789361326211</v>
          </cell>
          <cell r="J594">
            <v>11.02143290738422</v>
          </cell>
          <cell r="K594">
            <v>15.415392725547779</v>
          </cell>
        </row>
        <row r="595">
          <cell r="A595" t="str">
            <v>PAMAP3000Bk144000126470</v>
          </cell>
          <cell r="B595" t="str">
            <v>PAMA</v>
          </cell>
          <cell r="C595" t="str">
            <v>P3000Bk14</v>
          </cell>
          <cell r="D595" t="str">
            <v>4000</v>
          </cell>
          <cell r="E595">
            <v>1264</v>
          </cell>
          <cell r="F595">
            <v>70</v>
          </cell>
          <cell r="G595">
            <v>6323.0579657252838</v>
          </cell>
          <cell r="H595">
            <v>2.1515342351164066</v>
          </cell>
          <cell r="I595">
            <v>4.7614834563235569</v>
          </cell>
          <cell r="J595">
            <v>11.176546130468214</v>
          </cell>
          <cell r="K595">
            <v>15.369553639894846</v>
          </cell>
        </row>
        <row r="596">
          <cell r="A596" t="str">
            <v>PAMAP3000Bk144000126560</v>
          </cell>
          <cell r="B596" t="str">
            <v>PAMA</v>
          </cell>
          <cell r="C596" t="str">
            <v>P3000Bk14</v>
          </cell>
          <cell r="D596" t="str">
            <v>4000</v>
          </cell>
          <cell r="E596">
            <v>1265</v>
          </cell>
          <cell r="F596">
            <v>60</v>
          </cell>
          <cell r="G596">
            <v>6316.5928370651145</v>
          </cell>
          <cell r="H596">
            <v>2.2848850139517327</v>
          </cell>
          <cell r="I596">
            <v>4.7743980691185914</v>
          </cell>
          <cell r="J596">
            <v>10.754232095288616</v>
          </cell>
          <cell r="K596">
            <v>15.37146425438506</v>
          </cell>
        </row>
        <row r="597">
          <cell r="A597" t="str">
            <v>PAMAP3000Bk144000126570</v>
          </cell>
          <cell r="B597" t="str">
            <v>PAMA</v>
          </cell>
          <cell r="C597" t="str">
            <v>P3000Bk14</v>
          </cell>
          <cell r="D597" t="str">
            <v>4000</v>
          </cell>
          <cell r="E597">
            <v>1265</v>
          </cell>
          <cell r="F597">
            <v>70</v>
          </cell>
          <cell r="G597">
            <v>6183.2099198059741</v>
          </cell>
          <cell r="H597">
            <v>2.2928220642425847</v>
          </cell>
          <cell r="I597">
            <v>5.654236620174804</v>
          </cell>
          <cell r="J597">
            <v>10.998881029699096</v>
          </cell>
          <cell r="K597">
            <v>16.783718326981457</v>
          </cell>
        </row>
        <row r="598">
          <cell r="A598" t="str">
            <v>PAMAP3000Bk144000126660</v>
          </cell>
          <cell r="B598" t="str">
            <v>PAMA</v>
          </cell>
          <cell r="C598" t="str">
            <v>P3000Bk14</v>
          </cell>
          <cell r="D598" t="str">
            <v>4000</v>
          </cell>
          <cell r="E598">
            <v>1266</v>
          </cell>
          <cell r="F598">
            <v>60</v>
          </cell>
          <cell r="G598">
            <v>6297.5537515928672</v>
          </cell>
          <cell r="H598">
            <v>2.302131512993145</v>
          </cell>
          <cell r="I598">
            <v>4.8978078124760343</v>
          </cell>
          <cell r="J598">
            <v>10.644472237101841</v>
          </cell>
          <cell r="K598">
            <v>15.41314528883894</v>
          </cell>
        </row>
        <row r="599">
          <cell r="A599" t="str">
            <v>PAMAP3000Bk144000126670</v>
          </cell>
          <cell r="B599" t="str">
            <v>PAMA</v>
          </cell>
          <cell r="C599" t="str">
            <v>P3000Bk14</v>
          </cell>
          <cell r="D599" t="str">
            <v>4000</v>
          </cell>
          <cell r="E599">
            <v>1266</v>
          </cell>
          <cell r="F599">
            <v>70</v>
          </cell>
          <cell r="G599">
            <v>6319.0039141455682</v>
          </cell>
          <cell r="H599">
            <v>2.3227371511718684</v>
          </cell>
          <cell r="I599">
            <v>4.7928025601485515</v>
          </cell>
          <cell r="J599">
            <v>10.594780176721457</v>
          </cell>
          <cell r="K599">
            <v>15.158004524764312</v>
          </cell>
        </row>
        <row r="600">
          <cell r="A600" t="str">
            <v>PAMAP3000Bk144000126760</v>
          </cell>
          <cell r="B600" t="str">
            <v>PAMA</v>
          </cell>
          <cell r="C600" t="str">
            <v>P3000Bk14</v>
          </cell>
          <cell r="D600" t="str">
            <v>4000</v>
          </cell>
          <cell r="E600">
            <v>1267</v>
          </cell>
          <cell r="F600">
            <v>60</v>
          </cell>
          <cell r="G600">
            <v>6278.5181777123762</v>
          </cell>
          <cell r="H600">
            <v>1.838270808384888</v>
          </cell>
          <cell r="I600">
            <v>4.7674576838344294</v>
          </cell>
          <cell r="J600">
            <v>10.863776328085251</v>
          </cell>
          <cell r="K600">
            <v>15.423509101556702</v>
          </cell>
        </row>
        <row r="601">
          <cell r="A601" t="str">
            <v>PAMAP3000Bk144000126770</v>
          </cell>
          <cell r="B601" t="str">
            <v>PAMA</v>
          </cell>
          <cell r="C601" t="str">
            <v>P3000Bk14</v>
          </cell>
          <cell r="D601" t="str">
            <v>4000</v>
          </cell>
          <cell r="E601">
            <v>1267</v>
          </cell>
          <cell r="F601">
            <v>70</v>
          </cell>
          <cell r="G601">
            <v>6058.3369140625</v>
          </cell>
          <cell r="H601">
            <v>1.453229546546936</v>
          </cell>
          <cell r="I601">
            <v>5.5563206672668457</v>
          </cell>
          <cell r="J601">
            <v>10.926746368408203</v>
          </cell>
          <cell r="K601">
            <v>17.291122436523438</v>
          </cell>
        </row>
        <row r="602">
          <cell r="A602" t="str">
            <v>PAMAP3000Bk144000126860</v>
          </cell>
          <cell r="B602" t="str">
            <v>PAMA</v>
          </cell>
          <cell r="C602" t="str">
            <v>P3000Bk14</v>
          </cell>
          <cell r="D602" t="str">
            <v>4000</v>
          </cell>
          <cell r="E602">
            <v>1268</v>
          </cell>
          <cell r="F602">
            <v>60</v>
          </cell>
          <cell r="G602">
            <v>6258.8645841310899</v>
          </cell>
          <cell r="H602">
            <v>1.2953550487183889</v>
          </cell>
          <cell r="I602">
            <v>4.3800044714946438</v>
          </cell>
          <cell r="J602">
            <v>11.003641511180003</v>
          </cell>
          <cell r="K602">
            <v>15.989172534683973</v>
          </cell>
        </row>
        <row r="603">
          <cell r="A603" t="str">
            <v>PAMAP3000Bk144000126870</v>
          </cell>
          <cell r="B603" t="str">
            <v>PAMA</v>
          </cell>
          <cell r="C603" t="str">
            <v>P3000Bk14</v>
          </cell>
          <cell r="D603" t="str">
            <v>4000</v>
          </cell>
          <cell r="E603">
            <v>1268</v>
          </cell>
          <cell r="F603">
            <v>70</v>
          </cell>
          <cell r="G603">
            <v>6352.5982380935502</v>
          </cell>
          <cell r="H603">
            <v>1.0386475467949661</v>
          </cell>
          <cell r="I603">
            <v>3.6293841637288327</v>
          </cell>
          <cell r="J603">
            <v>11.050283689943315</v>
          </cell>
          <cell r="K603">
            <v>15.563879361699353</v>
          </cell>
        </row>
        <row r="604">
          <cell r="A604" t="str">
            <v>PAMAP3000Bk144000126960</v>
          </cell>
          <cell r="B604" t="str">
            <v>PAMA</v>
          </cell>
          <cell r="C604" t="str">
            <v>P3000Bk14</v>
          </cell>
          <cell r="D604" t="str">
            <v>4000</v>
          </cell>
          <cell r="E604">
            <v>1269</v>
          </cell>
          <cell r="F604">
            <v>60</v>
          </cell>
          <cell r="G604">
            <v>6254.2670351782426</v>
          </cell>
          <cell r="H604">
            <v>2.228660680850576</v>
          </cell>
          <cell r="I604">
            <v>5.1741777311945194</v>
          </cell>
          <cell r="J604">
            <v>10.964066697361385</v>
          </cell>
          <cell r="K604">
            <v>15.5140716181198</v>
          </cell>
        </row>
        <row r="605">
          <cell r="A605" t="str">
            <v>PAMAP3000Bk144000126970</v>
          </cell>
          <cell r="B605" t="str">
            <v>PAMA</v>
          </cell>
          <cell r="C605" t="str">
            <v>P3000Bk14</v>
          </cell>
          <cell r="D605" t="str">
            <v>4000</v>
          </cell>
          <cell r="E605">
            <v>1269</v>
          </cell>
          <cell r="F605">
            <v>70</v>
          </cell>
          <cell r="G605">
            <v>6373.3803611805424</v>
          </cell>
          <cell r="H605">
            <v>2.7689897196864153</v>
          </cell>
          <cell r="I605">
            <v>4.9469386991504427</v>
          </cell>
          <cell r="J605">
            <v>10.803291632569151</v>
          </cell>
          <cell r="K605">
            <v>15.142314408208463</v>
          </cell>
        </row>
        <row r="606">
          <cell r="A606" t="str">
            <v>PAMAP3000Bk144000127060</v>
          </cell>
          <cell r="B606" t="str">
            <v>PAMA</v>
          </cell>
          <cell r="C606" t="str">
            <v>P3000Bk14</v>
          </cell>
          <cell r="D606" t="str">
            <v>4000</v>
          </cell>
          <cell r="E606">
            <v>1270</v>
          </cell>
          <cell r="F606">
            <v>60</v>
          </cell>
          <cell r="G606">
            <v>6387.01953125</v>
          </cell>
          <cell r="H606">
            <v>3.147444486618042</v>
          </cell>
          <cell r="I606">
            <v>5.2666549682617188</v>
          </cell>
          <cell r="J606">
            <v>10.703120231628418</v>
          </cell>
          <cell r="K606">
            <v>14.542691230773926</v>
          </cell>
        </row>
        <row r="607">
          <cell r="A607" t="str">
            <v>PAMAP3000Bk144000127070</v>
          </cell>
          <cell r="B607" t="str">
            <v>PAMA</v>
          </cell>
          <cell r="C607" t="str">
            <v>P3000Bk14</v>
          </cell>
          <cell r="D607" t="str">
            <v>4000</v>
          </cell>
          <cell r="E607">
            <v>1270</v>
          </cell>
          <cell r="F607">
            <v>70</v>
          </cell>
          <cell r="G607">
            <v>6491.51953125</v>
          </cell>
          <cell r="H607">
            <v>3.4225277900695801</v>
          </cell>
          <cell r="I607">
            <v>4.8068041801452637</v>
          </cell>
          <cell r="J607">
            <v>10.638163566589355</v>
          </cell>
          <cell r="K607">
            <v>14.616826057434082</v>
          </cell>
        </row>
        <row r="608">
          <cell r="A608" t="str">
            <v>PAMAP3000Bk144000127160</v>
          </cell>
          <cell r="B608" t="str">
            <v>PAMA</v>
          </cell>
          <cell r="C608" t="str">
            <v>P3000Bk14</v>
          </cell>
          <cell r="D608" t="str">
            <v>4000</v>
          </cell>
          <cell r="E608">
            <v>1271</v>
          </cell>
          <cell r="F608">
            <v>60</v>
          </cell>
          <cell r="G608">
            <v>6299.64990234375</v>
          </cell>
          <cell r="H608">
            <v>2.9189846515655518</v>
          </cell>
          <cell r="I608">
            <v>5.6977810859680176</v>
          </cell>
          <cell r="J608">
            <v>10.76044750213623</v>
          </cell>
          <cell r="K608">
            <v>14.420939445495605</v>
          </cell>
        </row>
        <row r="609">
          <cell r="A609" t="str">
            <v>PAMAP3000Bk144000127260</v>
          </cell>
          <cell r="B609" t="str">
            <v>PAMA</v>
          </cell>
          <cell r="C609" t="str">
            <v>P3000Bk14</v>
          </cell>
          <cell r="D609" t="str">
            <v>4000</v>
          </cell>
          <cell r="E609">
            <v>1272</v>
          </cell>
          <cell r="F609">
            <v>60</v>
          </cell>
          <cell r="G609">
            <v>6266.4765625</v>
          </cell>
          <cell r="H609">
            <v>2.8965065479278564</v>
          </cell>
          <cell r="I609">
            <v>5.7731418609619141</v>
          </cell>
          <cell r="J609">
            <v>10.814119338989258</v>
          </cell>
          <cell r="K609">
            <v>14.564528465270996</v>
          </cell>
        </row>
        <row r="610">
          <cell r="A610" t="str">
            <v>PAMAP3000Bk144000127360</v>
          </cell>
          <cell r="B610" t="str">
            <v>PAMA</v>
          </cell>
          <cell r="C610" t="str">
            <v>P3000Bk14</v>
          </cell>
          <cell r="D610" t="str">
            <v>4000</v>
          </cell>
          <cell r="E610">
            <v>1273</v>
          </cell>
          <cell r="F610">
            <v>60</v>
          </cell>
          <cell r="G610">
            <v>6253.0859375</v>
          </cell>
          <cell r="H610">
            <v>2.91605544090271</v>
          </cell>
          <cell r="I610">
            <v>5.5513343811035156</v>
          </cell>
          <cell r="J610">
            <v>10.881833076477051</v>
          </cell>
          <cell r="K610">
            <v>14.809018135070801</v>
          </cell>
        </row>
        <row r="611">
          <cell r="A611" t="str">
            <v>PAMAP3000Bk144000127460</v>
          </cell>
          <cell r="B611" t="str">
            <v>PAMA</v>
          </cell>
          <cell r="C611" t="str">
            <v>P3000Bk14</v>
          </cell>
          <cell r="D611" t="str">
            <v>4000</v>
          </cell>
          <cell r="E611">
            <v>1274</v>
          </cell>
          <cell r="F611">
            <v>60</v>
          </cell>
          <cell r="G611">
            <v>6252.96484375</v>
          </cell>
          <cell r="H611">
            <v>2.9347343444824219</v>
          </cell>
          <cell r="I611">
            <v>5.3226394653320313</v>
          </cell>
          <cell r="J611">
            <v>10.955310821533203</v>
          </cell>
          <cell r="K611">
            <v>14.969516754150391</v>
          </cell>
        </row>
        <row r="612">
          <cell r="A612" t="str">
            <v>PAMAP3000Bk144000127560</v>
          </cell>
          <cell r="B612" t="str">
            <v>PAMA</v>
          </cell>
          <cell r="C612" t="str">
            <v>P3000Bk14</v>
          </cell>
          <cell r="D612" t="str">
            <v>4000</v>
          </cell>
          <cell r="E612">
            <v>1275</v>
          </cell>
          <cell r="F612">
            <v>60</v>
          </cell>
          <cell r="G612">
            <v>6270.66943359375</v>
          </cell>
          <cell r="H612">
            <v>2.9198005199432373</v>
          </cell>
          <cell r="I612">
            <v>5.0075111389160156</v>
          </cell>
          <cell r="J612">
            <v>11.079591751098633</v>
          </cell>
          <cell r="K612">
            <v>15.094141006469727</v>
          </cell>
        </row>
        <row r="613">
          <cell r="A613" t="str">
            <v>PAMAP3000Bk144000127660</v>
          </cell>
          <cell r="B613" t="str">
            <v>PAMA</v>
          </cell>
          <cell r="C613" t="str">
            <v>P3000Bk14</v>
          </cell>
          <cell r="D613" t="str">
            <v>4000</v>
          </cell>
          <cell r="E613">
            <v>1276</v>
          </cell>
          <cell r="F613">
            <v>60</v>
          </cell>
          <cell r="G613">
            <v>6422.03125</v>
          </cell>
          <cell r="H613">
            <v>2.2976047992706299</v>
          </cell>
          <cell r="I613">
            <v>3.4818220138549805</v>
          </cell>
          <cell r="J613">
            <v>11.226924896240234</v>
          </cell>
          <cell r="K613">
            <v>15.440171241760254</v>
          </cell>
        </row>
        <row r="614">
          <cell r="A614" t="str">
            <v>PAMAP3000Bk144000127760</v>
          </cell>
          <cell r="B614" t="str">
            <v>PAMA</v>
          </cell>
          <cell r="C614" t="str">
            <v>P3000Bk14</v>
          </cell>
          <cell r="D614" t="str">
            <v>4000</v>
          </cell>
          <cell r="E614">
            <v>1277</v>
          </cell>
          <cell r="F614">
            <v>60</v>
          </cell>
          <cell r="G614">
            <v>6186.7352619936992</v>
          </cell>
          <cell r="H614">
            <v>2.10473385836017</v>
          </cell>
          <cell r="I614">
            <v>5.9025906752669615</v>
          </cell>
          <cell r="J614">
            <v>11.442970680558329</v>
          </cell>
          <cell r="K614">
            <v>16.085582266871519</v>
          </cell>
        </row>
        <row r="615">
          <cell r="A615" t="str">
            <v>PAMAP3000Bk144000127860</v>
          </cell>
          <cell r="B615" t="str">
            <v>PAMA</v>
          </cell>
          <cell r="C615" t="str">
            <v>P3000Bk14</v>
          </cell>
          <cell r="D615" t="str">
            <v>4000</v>
          </cell>
          <cell r="E615">
            <v>1278</v>
          </cell>
          <cell r="F615">
            <v>60</v>
          </cell>
          <cell r="G615">
            <v>5653.3720654897952</v>
          </cell>
          <cell r="H615">
            <v>1.5870145374317246</v>
          </cell>
          <cell r="I615">
            <v>11.813731058059911</v>
          </cell>
          <cell r="J615">
            <v>12.441615978327464</v>
          </cell>
          <cell r="K615">
            <v>16.530127418144716</v>
          </cell>
        </row>
        <row r="616">
          <cell r="A616" t="str">
            <v>PAMAP3000Bk144000127960</v>
          </cell>
          <cell r="B616" t="str">
            <v>PAMA</v>
          </cell>
          <cell r="C616" t="str">
            <v>P3000Bk14</v>
          </cell>
          <cell r="D616" t="str">
            <v>4000</v>
          </cell>
          <cell r="E616">
            <v>1279</v>
          </cell>
          <cell r="F616">
            <v>60</v>
          </cell>
          <cell r="G616">
            <v>5851.4762146652383</v>
          </cell>
          <cell r="H616">
            <v>2.0770183476383268</v>
          </cell>
          <cell r="I616">
            <v>9.9005186384372976</v>
          </cell>
          <cell r="J616">
            <v>11.865859494082505</v>
          </cell>
          <cell r="K616">
            <v>15.998960556304558</v>
          </cell>
        </row>
        <row r="617">
          <cell r="A617" t="str">
            <v>PAMAP3000Bk144000128060</v>
          </cell>
          <cell r="B617" t="str">
            <v>PAMA</v>
          </cell>
          <cell r="C617" t="str">
            <v>P3000Bk14</v>
          </cell>
          <cell r="D617" t="str">
            <v>4000</v>
          </cell>
          <cell r="E617">
            <v>1280</v>
          </cell>
          <cell r="F617">
            <v>60</v>
          </cell>
          <cell r="G617">
            <v>5965.6825198564138</v>
          </cell>
          <cell r="H617">
            <v>2.9740434654701215</v>
          </cell>
          <cell r="I617">
            <v>8.9326061468085047</v>
          </cell>
          <cell r="J617">
            <v>10.913733079236765</v>
          </cell>
          <cell r="K617">
            <v>15.415004379302694</v>
          </cell>
        </row>
        <row r="618">
          <cell r="A618" t="str">
            <v>PAMAP3000Bk144000128160</v>
          </cell>
          <cell r="B618" t="str">
            <v>PAMA</v>
          </cell>
          <cell r="C618" t="str">
            <v>P3000Bk14</v>
          </cell>
          <cell r="D618" t="str">
            <v>4000</v>
          </cell>
          <cell r="E618">
            <v>1281</v>
          </cell>
          <cell r="F618">
            <v>60</v>
          </cell>
          <cell r="G618">
            <v>6064.7534164840217</v>
          </cell>
          <cell r="H618">
            <v>2.7356089278519944</v>
          </cell>
          <cell r="I618">
            <v>7.439490199341237</v>
          </cell>
          <cell r="J618">
            <v>11.008266055290688</v>
          </cell>
          <cell r="K618">
            <v>15.534312386229088</v>
          </cell>
        </row>
        <row r="619">
          <cell r="A619" t="str">
            <v>PAMAP3000Bk144000128260</v>
          </cell>
          <cell r="B619" t="str">
            <v>PAMA</v>
          </cell>
          <cell r="C619" t="str">
            <v>P3000Bk14</v>
          </cell>
          <cell r="D619" t="str">
            <v>4000</v>
          </cell>
          <cell r="E619">
            <v>1282</v>
          </cell>
          <cell r="F619">
            <v>60</v>
          </cell>
          <cell r="G619">
            <v>6118.8303853732186</v>
          </cell>
          <cell r="H619">
            <v>2.5141956772257879</v>
          </cell>
          <cell r="I619">
            <v>7.0074293651781865</v>
          </cell>
          <cell r="J619">
            <v>11.026613407840472</v>
          </cell>
          <cell r="K619">
            <v>16.004982226261141</v>
          </cell>
        </row>
        <row r="620">
          <cell r="A620" t="str">
            <v>PAMAP3000Bk144000128360</v>
          </cell>
          <cell r="B620" t="str">
            <v>PAMA</v>
          </cell>
          <cell r="C620" t="str">
            <v>P3000Bk14</v>
          </cell>
          <cell r="D620" t="str">
            <v>4000</v>
          </cell>
          <cell r="E620">
            <v>1283</v>
          </cell>
          <cell r="F620">
            <v>60</v>
          </cell>
          <cell r="G620">
            <v>6043.0576867609034</v>
          </cell>
          <cell r="H620">
            <v>3.3354632202011736</v>
          </cell>
          <cell r="I620">
            <v>9.0133089717090744</v>
          </cell>
          <cell r="J620">
            <v>10.47620221762411</v>
          </cell>
          <cell r="K620">
            <v>14.932604038799875</v>
          </cell>
        </row>
        <row r="621">
          <cell r="A621" t="str">
            <v>PAMAP3000Bk144000128450</v>
          </cell>
          <cell r="B621" t="str">
            <v>PAMA</v>
          </cell>
          <cell r="C621" t="str">
            <v>P3000Bk14</v>
          </cell>
          <cell r="D621" t="str">
            <v>4000</v>
          </cell>
          <cell r="E621">
            <v>1284</v>
          </cell>
          <cell r="F621">
            <v>50</v>
          </cell>
          <cell r="G621">
            <v>6088.1728657600361</v>
          </cell>
          <cell r="H621">
            <v>3.1314318935689092</v>
          </cell>
          <cell r="I621">
            <v>9.0861388003705041</v>
          </cell>
          <cell r="J621">
            <v>10.312173485919514</v>
          </cell>
          <cell r="K621">
            <v>14.209096586694159</v>
          </cell>
        </row>
        <row r="622">
          <cell r="A622" t="str">
            <v>PAMAP3000Bk144000128460</v>
          </cell>
          <cell r="B622" t="str">
            <v>PAMA</v>
          </cell>
          <cell r="C622" t="str">
            <v>P3000Bk14</v>
          </cell>
          <cell r="D622" t="str">
            <v>4000</v>
          </cell>
          <cell r="E622">
            <v>1284</v>
          </cell>
          <cell r="F622">
            <v>60</v>
          </cell>
          <cell r="G622">
            <v>6066.3978934354163</v>
          </cell>
          <cell r="H622">
            <v>3.6482140338724447</v>
          </cell>
          <cell r="I622">
            <v>10.50825175875741</v>
          </cell>
          <cell r="J622">
            <v>9.5009193609634384</v>
          </cell>
          <cell r="K622">
            <v>13.729763935434125</v>
          </cell>
        </row>
        <row r="623">
          <cell r="A623" t="str">
            <v>PAMAP3000Bk144000128550</v>
          </cell>
          <cell r="B623" t="str">
            <v>PAMA</v>
          </cell>
          <cell r="C623" t="str">
            <v>P3000Bk14</v>
          </cell>
          <cell r="D623" t="str">
            <v>4000</v>
          </cell>
          <cell r="E623">
            <v>1285</v>
          </cell>
          <cell r="F623">
            <v>50</v>
          </cell>
          <cell r="G623">
            <v>6040.8464793226676</v>
          </cell>
          <cell r="H623">
            <v>3.0008868018242425</v>
          </cell>
          <cell r="I623">
            <v>9.1195602457837079</v>
          </cell>
          <cell r="J623">
            <v>10.57724046043942</v>
          </cell>
          <cell r="K623">
            <v>14.28744883262466</v>
          </cell>
        </row>
        <row r="624">
          <cell r="A624" t="str">
            <v>PAMAP3000Bk144000128560</v>
          </cell>
          <cell r="B624" t="str">
            <v>PAMA</v>
          </cell>
          <cell r="C624" t="str">
            <v>P3000Bk14</v>
          </cell>
          <cell r="D624" t="str">
            <v>4000</v>
          </cell>
          <cell r="E624">
            <v>1285</v>
          </cell>
          <cell r="F624">
            <v>60</v>
          </cell>
          <cell r="G624">
            <v>6053.2326545398546</v>
          </cell>
          <cell r="H624">
            <v>3.1063078719454889</v>
          </cell>
          <cell r="I624">
            <v>9.3436661027260755</v>
          </cell>
          <cell r="J624">
            <v>10.366078123184767</v>
          </cell>
          <cell r="K624">
            <v>14.175519987680081</v>
          </cell>
        </row>
        <row r="625">
          <cell r="A625" t="str">
            <v>PAMAP3000Bk144000128650</v>
          </cell>
          <cell r="B625" t="str">
            <v>PAMA</v>
          </cell>
          <cell r="C625" t="str">
            <v>P3000Bk14</v>
          </cell>
          <cell r="D625" t="str">
            <v>4000</v>
          </cell>
          <cell r="E625">
            <v>1286</v>
          </cell>
          <cell r="F625">
            <v>50</v>
          </cell>
          <cell r="G625">
            <v>6033.0367577545931</v>
          </cell>
          <cell r="H625">
            <v>2.7099794745026085</v>
          </cell>
          <cell r="I625">
            <v>8.4817552661147708</v>
          </cell>
          <cell r="J625">
            <v>11.021209404162862</v>
          </cell>
          <cell r="K625">
            <v>14.252609161322148</v>
          </cell>
        </row>
        <row r="626">
          <cell r="A626" t="str">
            <v>PAMAP3000Bk144000128660</v>
          </cell>
          <cell r="B626" t="str">
            <v>PAMA</v>
          </cell>
          <cell r="C626" t="str">
            <v>P3000Bk14</v>
          </cell>
          <cell r="D626" t="str">
            <v>4000</v>
          </cell>
          <cell r="E626">
            <v>1286</v>
          </cell>
          <cell r="F626">
            <v>60</v>
          </cell>
          <cell r="G626">
            <v>6127.8694376014018</v>
          </cell>
          <cell r="H626">
            <v>2.5926965253730732</v>
          </cell>
          <cell r="I626">
            <v>7.522306556416865</v>
          </cell>
          <cell r="J626">
            <v>11.137180123948282</v>
          </cell>
          <cell r="K626">
            <v>14.31353495835954</v>
          </cell>
        </row>
        <row r="627">
          <cell r="A627" t="str">
            <v>PAMAP3000Bk144000128750</v>
          </cell>
          <cell r="B627" t="str">
            <v>PAMA</v>
          </cell>
          <cell r="C627" t="str">
            <v>P3000Bk14</v>
          </cell>
          <cell r="D627" t="str">
            <v>4000</v>
          </cell>
          <cell r="E627">
            <v>1287</v>
          </cell>
          <cell r="F627">
            <v>50</v>
          </cell>
          <cell r="G627">
            <v>6052.269457935151</v>
          </cell>
          <cell r="H627">
            <v>2.5359431371958436</v>
          </cell>
          <cell r="I627">
            <v>7.064236524624171</v>
          </cell>
          <cell r="J627">
            <v>11.525404489497362</v>
          </cell>
          <cell r="K627">
            <v>14.062808257699604</v>
          </cell>
        </row>
        <row r="628">
          <cell r="A628" t="str">
            <v>PAMAP3000Bk144000128760</v>
          </cell>
          <cell r="B628" t="str">
            <v>PAMA</v>
          </cell>
          <cell r="C628" t="str">
            <v>P3000Bk14</v>
          </cell>
          <cell r="D628" t="str">
            <v>4000</v>
          </cell>
          <cell r="E628">
            <v>1287</v>
          </cell>
          <cell r="F628">
            <v>60</v>
          </cell>
          <cell r="G628">
            <v>6018.8337745208364</v>
          </cell>
          <cell r="H628">
            <v>2.5913231145177624</v>
          </cell>
          <cell r="I628">
            <v>8.0771380651046787</v>
          </cell>
          <cell r="J628">
            <v>11.25652847508228</v>
          </cell>
          <cell r="K628">
            <v>14.111725624921021</v>
          </cell>
        </row>
        <row r="629">
          <cell r="A629" t="str">
            <v>PAMAP3000Bk144000128850</v>
          </cell>
          <cell r="B629" t="str">
            <v>PAMA</v>
          </cell>
          <cell r="C629" t="str">
            <v>P3000Bk14</v>
          </cell>
          <cell r="D629" t="str">
            <v>4000</v>
          </cell>
          <cell r="E629">
            <v>1288</v>
          </cell>
          <cell r="F629">
            <v>50</v>
          </cell>
          <cell r="G629">
            <v>6103.5593189123119</v>
          </cell>
          <cell r="H629">
            <v>2.4242645559764409</v>
          </cell>
          <cell r="I629">
            <v>7.0378348939108593</v>
          </cell>
          <cell r="J629">
            <v>11.387166193611959</v>
          </cell>
          <cell r="K629">
            <v>14.262274488490675</v>
          </cell>
        </row>
        <row r="630">
          <cell r="A630" t="str">
            <v>PAMAP3000Bk144000128860</v>
          </cell>
          <cell r="B630" t="str">
            <v>PAMA</v>
          </cell>
          <cell r="C630" t="str">
            <v>P3000Bk14</v>
          </cell>
          <cell r="D630" t="str">
            <v>4000</v>
          </cell>
          <cell r="E630">
            <v>1288</v>
          </cell>
          <cell r="F630">
            <v>60</v>
          </cell>
          <cell r="G630">
            <v>5699.8872565736801</v>
          </cell>
          <cell r="H630">
            <v>2.7224386472446813</v>
          </cell>
          <cell r="I630">
            <v>12.884391162174669</v>
          </cell>
          <cell r="J630">
            <v>10.333878038907155</v>
          </cell>
          <cell r="K630">
            <v>13.787774672699319</v>
          </cell>
        </row>
        <row r="631">
          <cell r="A631" t="str">
            <v>PAMAP3000Bk144000128950</v>
          </cell>
          <cell r="B631" t="str">
            <v>PAMA</v>
          </cell>
          <cell r="C631" t="str">
            <v>P3000Bk14</v>
          </cell>
          <cell r="D631" t="str">
            <v>4000</v>
          </cell>
          <cell r="E631">
            <v>1289</v>
          </cell>
          <cell r="F631">
            <v>50</v>
          </cell>
          <cell r="G631">
            <v>6252.7409633717789</v>
          </cell>
          <cell r="H631">
            <v>2.2077900930400824</v>
          </cell>
          <cell r="I631">
            <v>7.377134744864537</v>
          </cell>
          <cell r="J631">
            <v>10.573870988042176</v>
          </cell>
          <cell r="K631">
            <v>14.781681272712147</v>
          </cell>
        </row>
        <row r="632">
          <cell r="A632" t="str">
            <v>PAMAP3000Bk144000128960</v>
          </cell>
          <cell r="B632" t="str">
            <v>PAMA</v>
          </cell>
          <cell r="C632" t="str">
            <v>P3000Bk14</v>
          </cell>
          <cell r="D632" t="str">
            <v>4000</v>
          </cell>
          <cell r="E632">
            <v>1289</v>
          </cell>
          <cell r="F632">
            <v>60</v>
          </cell>
          <cell r="G632">
            <v>6307.7941214987404</v>
          </cell>
          <cell r="H632">
            <v>2.2095679062568512</v>
          </cell>
          <cell r="I632">
            <v>6.1948603458377214</v>
          </cell>
          <cell r="J632">
            <v>10.983056455951333</v>
          </cell>
          <cell r="K632">
            <v>14.785874207968799</v>
          </cell>
        </row>
        <row r="633">
          <cell r="A633" t="str">
            <v>PAMAP3000Bk144000129050</v>
          </cell>
          <cell r="B633" t="str">
            <v>PAMA</v>
          </cell>
          <cell r="C633" t="str">
            <v>P3000Bk14</v>
          </cell>
          <cell r="D633" t="str">
            <v>4000</v>
          </cell>
          <cell r="E633">
            <v>1290</v>
          </cell>
          <cell r="F633">
            <v>50</v>
          </cell>
          <cell r="G633">
            <v>6075.1816281045303</v>
          </cell>
          <cell r="H633">
            <v>2.3878482484297039</v>
          </cell>
          <cell r="I633">
            <v>8.9430727206721627</v>
          </cell>
          <cell r="J633">
            <v>10.805749351936285</v>
          </cell>
          <cell r="K633">
            <v>14.602321268265294</v>
          </cell>
        </row>
        <row r="634">
          <cell r="A634" t="str">
            <v>PAMAP3000Bk144000129060</v>
          </cell>
          <cell r="B634" t="str">
            <v>PAMA</v>
          </cell>
          <cell r="C634" t="str">
            <v>P3000Bk14</v>
          </cell>
          <cell r="D634" t="str">
            <v>4000</v>
          </cell>
          <cell r="E634">
            <v>1290</v>
          </cell>
          <cell r="F634">
            <v>60</v>
          </cell>
          <cell r="G634">
            <v>6078.814930327957</v>
          </cell>
          <cell r="H634">
            <v>2.377610771822209</v>
          </cell>
          <cell r="I634">
            <v>8.7660947633621316</v>
          </cell>
          <cell r="J634">
            <v>10.942760633511691</v>
          </cell>
          <cell r="K634">
            <v>14.577031006638741</v>
          </cell>
        </row>
        <row r="635">
          <cell r="A635" t="str">
            <v>PAMAP3000Bk144000129160</v>
          </cell>
          <cell r="B635" t="str">
            <v>PAMA</v>
          </cell>
          <cell r="C635" t="str">
            <v>P3000Bk14</v>
          </cell>
          <cell r="D635" t="str">
            <v>4000</v>
          </cell>
          <cell r="E635">
            <v>1291</v>
          </cell>
          <cell r="F635">
            <v>60</v>
          </cell>
          <cell r="G635">
            <v>5974.3595103139551</v>
          </cell>
          <cell r="H635">
            <v>2.5402464202790522</v>
          </cell>
          <cell r="I635">
            <v>9.7355293936601459</v>
          </cell>
          <cell r="J635">
            <v>11.001186571283315</v>
          </cell>
          <cell r="K635">
            <v>14.525225703846031</v>
          </cell>
        </row>
        <row r="636">
          <cell r="A636" t="str">
            <v>PAMAP3000Bk144000129150</v>
          </cell>
          <cell r="B636" t="str">
            <v>PAMA</v>
          </cell>
          <cell r="C636" t="str">
            <v>P3000Bk14</v>
          </cell>
          <cell r="D636" t="str">
            <v>4000</v>
          </cell>
          <cell r="E636">
            <v>1291</v>
          </cell>
          <cell r="F636">
            <v>50</v>
          </cell>
          <cell r="G636">
            <v>5939.2664636163481</v>
          </cell>
          <cell r="H636">
            <v>2.6179955016089411</v>
          </cell>
          <cell r="I636">
            <v>10.149083261849064</v>
          </cell>
          <cell r="J636">
            <v>10.933860117846397</v>
          </cell>
          <cell r="K636">
            <v>14.552641783458011</v>
          </cell>
        </row>
        <row r="637">
          <cell r="A637" t="str">
            <v>PAMAP3000Bk144000129260</v>
          </cell>
          <cell r="B637" t="str">
            <v>PAMA</v>
          </cell>
          <cell r="C637" t="str">
            <v>P3000Bk14</v>
          </cell>
          <cell r="D637" t="str">
            <v>4000</v>
          </cell>
          <cell r="E637">
            <v>1292</v>
          </cell>
          <cell r="F637">
            <v>60</v>
          </cell>
          <cell r="G637">
            <v>5951.7086094921742</v>
          </cell>
          <cell r="H637">
            <v>2.8723750611408927</v>
          </cell>
          <cell r="I637">
            <v>9.684693173817303</v>
          </cell>
          <cell r="J637">
            <v>10.938258570783685</v>
          </cell>
          <cell r="K637">
            <v>14.551625984109556</v>
          </cell>
        </row>
        <row r="638">
          <cell r="A638" t="str">
            <v>PAMAP3000Bk144000129250</v>
          </cell>
          <cell r="B638" t="str">
            <v>PAMA</v>
          </cell>
          <cell r="C638" t="str">
            <v>P3000Bk14</v>
          </cell>
          <cell r="D638" t="str">
            <v>4000</v>
          </cell>
          <cell r="E638">
            <v>1292</v>
          </cell>
          <cell r="F638">
            <v>50</v>
          </cell>
          <cell r="G638">
            <v>5940.3832313389921</v>
          </cell>
          <cell r="H638">
            <v>2.7408326252840607</v>
          </cell>
          <cell r="I638">
            <v>9.9608092576909666</v>
          </cell>
          <cell r="J638">
            <v>11.042212262140968</v>
          </cell>
          <cell r="K638">
            <v>14.721136379598271</v>
          </cell>
        </row>
        <row r="639">
          <cell r="A639" t="str">
            <v>PAMAP3000Bk144000129360</v>
          </cell>
          <cell r="B639" t="str">
            <v>PAMA</v>
          </cell>
          <cell r="C639" t="str">
            <v>P3000Bk14</v>
          </cell>
          <cell r="D639" t="str">
            <v>4000</v>
          </cell>
          <cell r="E639">
            <v>1293</v>
          </cell>
          <cell r="F639">
            <v>60</v>
          </cell>
          <cell r="G639">
            <v>6011.0727848307224</v>
          </cell>
          <cell r="H639">
            <v>2.9491474684455636</v>
          </cell>
          <cell r="I639">
            <v>8.9011601153375679</v>
          </cell>
          <cell r="J639">
            <v>10.949911200012982</v>
          </cell>
          <cell r="K639">
            <v>14.588146043018568</v>
          </cell>
        </row>
        <row r="640">
          <cell r="A640" t="str">
            <v>PAMAP3000Bk144000129460</v>
          </cell>
          <cell r="B640" t="str">
            <v>PAMA</v>
          </cell>
          <cell r="C640" t="str">
            <v>P3000Bk14</v>
          </cell>
          <cell r="D640" t="str">
            <v>4000</v>
          </cell>
          <cell r="E640">
            <v>1294</v>
          </cell>
          <cell r="F640">
            <v>60</v>
          </cell>
          <cell r="G640">
            <v>6198.9635387985636</v>
          </cell>
          <cell r="H640">
            <v>2.8230132039895879</v>
          </cell>
          <cell r="I640">
            <v>7.2607406462961546</v>
          </cell>
          <cell r="J640">
            <v>10.615030553710683</v>
          </cell>
          <cell r="K640">
            <v>14.226473748755154</v>
          </cell>
        </row>
        <row r="641">
          <cell r="A641" t="str">
            <v>PAMAP3000Bk144000129560</v>
          </cell>
          <cell r="B641" t="str">
            <v>PAMA</v>
          </cell>
          <cell r="C641" t="str">
            <v>P3000Bk14</v>
          </cell>
          <cell r="D641" t="str">
            <v>4000</v>
          </cell>
          <cell r="E641">
            <v>1295</v>
          </cell>
          <cell r="F641">
            <v>60</v>
          </cell>
          <cell r="G641">
            <v>6117.9604192154493</v>
          </cell>
          <cell r="H641">
            <v>2.9840096343723781</v>
          </cell>
          <cell r="I641">
            <v>8.434122998693919</v>
          </cell>
          <cell r="J641">
            <v>10.488651482127047</v>
          </cell>
          <cell r="K641">
            <v>14.199415719532158</v>
          </cell>
        </row>
        <row r="642">
          <cell r="A642" t="str">
            <v>PAMAP3000Bk144000129660</v>
          </cell>
          <cell r="B642" t="str">
            <v>PAMA</v>
          </cell>
          <cell r="C642" t="str">
            <v>P3000Bk14</v>
          </cell>
          <cell r="D642" t="str">
            <v>4000</v>
          </cell>
          <cell r="E642">
            <v>1296</v>
          </cell>
          <cell r="F642">
            <v>60</v>
          </cell>
          <cell r="G642">
            <v>6019.9167248303393</v>
          </cell>
          <cell r="H642">
            <v>3.5583854816631479</v>
          </cell>
          <cell r="I642">
            <v>9.8517437075452978</v>
          </cell>
          <cell r="J642">
            <v>10.239932506051765</v>
          </cell>
          <cell r="K642">
            <v>14.217364958506142</v>
          </cell>
        </row>
        <row r="643">
          <cell r="A643" t="str">
            <v>PAMAP3000Bk144000129760</v>
          </cell>
          <cell r="B643" t="str">
            <v>PAMA</v>
          </cell>
          <cell r="C643" t="str">
            <v>P3000Bk14</v>
          </cell>
          <cell r="D643" t="str">
            <v>4000</v>
          </cell>
          <cell r="E643">
            <v>1297</v>
          </cell>
          <cell r="F643">
            <v>60</v>
          </cell>
          <cell r="G643">
            <v>6015.8143614719838</v>
          </cell>
          <cell r="H643">
            <v>3.5393421295249032</v>
          </cell>
          <cell r="I643">
            <v>10.08656540799916</v>
          </cell>
          <cell r="J643">
            <v>10.106038770906475</v>
          </cell>
          <cell r="K643">
            <v>14.195955360859536</v>
          </cell>
        </row>
        <row r="644">
          <cell r="A644" t="str">
            <v>PAMAP3000Bk144000129770</v>
          </cell>
          <cell r="B644" t="str">
            <v>PAMA</v>
          </cell>
          <cell r="C644" t="str">
            <v>P3000Bk14</v>
          </cell>
          <cell r="D644" t="str">
            <v>4000</v>
          </cell>
          <cell r="E644">
            <v>1297</v>
          </cell>
          <cell r="F644">
            <v>70</v>
          </cell>
          <cell r="G644">
            <v>5918.231532198668</v>
          </cell>
          <cell r="H644">
            <v>3.0156797906160131</v>
          </cell>
          <cell r="I644">
            <v>11.175261089377704</v>
          </cell>
          <cell r="J644">
            <v>9.7457136844216006</v>
          </cell>
          <cell r="K644">
            <v>13.74967569790236</v>
          </cell>
        </row>
        <row r="645">
          <cell r="A645" t="str">
            <v>PAMAP3000Bk144000129860</v>
          </cell>
          <cell r="B645" t="str">
            <v>PAMA</v>
          </cell>
          <cell r="C645" t="str">
            <v>P3000Bk14</v>
          </cell>
          <cell r="D645" t="str">
            <v>4000</v>
          </cell>
          <cell r="E645">
            <v>1298</v>
          </cell>
          <cell r="F645">
            <v>60</v>
          </cell>
          <cell r="G645">
            <v>5806.944445714259</v>
          </cell>
          <cell r="H645">
            <v>1.8455094622442252</v>
          </cell>
          <cell r="I645">
            <v>12.657773959546384</v>
          </cell>
          <cell r="J645">
            <v>9.0133319982577689</v>
          </cell>
          <cell r="K645">
            <v>13.0818464568769</v>
          </cell>
        </row>
        <row r="646">
          <cell r="A646" t="str">
            <v>PAMAP3000Bk144000129870</v>
          </cell>
          <cell r="B646" t="str">
            <v>PAMA</v>
          </cell>
          <cell r="C646" t="str">
            <v>P3000Bk14</v>
          </cell>
          <cell r="D646" t="str">
            <v>4000</v>
          </cell>
          <cell r="E646">
            <v>1298</v>
          </cell>
          <cell r="F646">
            <v>70</v>
          </cell>
          <cell r="G646">
            <v>5654.8994140625</v>
          </cell>
          <cell r="H646">
            <v>1.3354591131210327</v>
          </cell>
          <cell r="I646">
            <v>14.576786994934082</v>
          </cell>
          <cell r="J646">
            <v>8.2220296859741211</v>
          </cell>
          <cell r="K646">
            <v>12.300751686096191</v>
          </cell>
        </row>
        <row r="647">
          <cell r="A647" t="str">
            <v>PAMAP3000Bk144000129960</v>
          </cell>
          <cell r="B647" t="str">
            <v>PAMA</v>
          </cell>
          <cell r="C647" t="str">
            <v>P3000Bk14</v>
          </cell>
          <cell r="D647" t="str">
            <v>4000</v>
          </cell>
          <cell r="E647">
            <v>1299</v>
          </cell>
          <cell r="F647">
            <v>60</v>
          </cell>
          <cell r="G647">
            <v>5953.7983761208943</v>
          </cell>
          <cell r="H647">
            <v>2.0063840078819415</v>
          </cell>
          <cell r="I647">
            <v>11.507965845550238</v>
          </cell>
          <cell r="J647">
            <v>9.2416044514622655</v>
          </cell>
          <cell r="K647">
            <v>13.502950552784554</v>
          </cell>
        </row>
        <row r="648">
          <cell r="A648" t="str">
            <v>PAMAP3000Bk144000129970</v>
          </cell>
          <cell r="B648" t="str">
            <v>PAMA</v>
          </cell>
          <cell r="C648" t="str">
            <v>P3000Bk14</v>
          </cell>
          <cell r="D648" t="str">
            <v>4000</v>
          </cell>
          <cell r="E648">
            <v>1299</v>
          </cell>
          <cell r="F648">
            <v>70</v>
          </cell>
          <cell r="G648">
            <v>5730.4111647903492</v>
          </cell>
          <cell r="H648">
            <v>1.47723282024509</v>
          </cell>
          <cell r="I648">
            <v>13.866949380571429</v>
          </cell>
          <cell r="J648">
            <v>8.42065482348473</v>
          </cell>
          <cell r="K648">
            <v>12.58374839385875</v>
          </cell>
        </row>
        <row r="649">
          <cell r="A649" t="str">
            <v>PAMAP3000Bk144000130060</v>
          </cell>
          <cell r="B649" t="str">
            <v>PAMA</v>
          </cell>
          <cell r="C649" t="str">
            <v>P3000Bk14</v>
          </cell>
          <cell r="D649" t="str">
            <v>4000</v>
          </cell>
          <cell r="E649">
            <v>1300</v>
          </cell>
          <cell r="F649">
            <v>60</v>
          </cell>
          <cell r="G649">
            <v>6063.1825968926869</v>
          </cell>
          <cell r="H649">
            <v>2.1574750395411866</v>
          </cell>
          <cell r="I649">
            <v>10.440227645056495</v>
          </cell>
          <cell r="J649">
            <v>9.6851027792949971</v>
          </cell>
          <cell r="K649">
            <v>13.92210468771246</v>
          </cell>
        </row>
        <row r="650">
          <cell r="A650" t="str">
            <v>PAMAP3000Bk144000130070</v>
          </cell>
          <cell r="B650" t="str">
            <v>PAMA</v>
          </cell>
          <cell r="C650" t="str">
            <v>P3000Bk14</v>
          </cell>
          <cell r="D650" t="str">
            <v>4000</v>
          </cell>
          <cell r="E650">
            <v>1300</v>
          </cell>
          <cell r="F650">
            <v>70</v>
          </cell>
          <cell r="G650">
            <v>6130.5754368974003</v>
          </cell>
          <cell r="H650">
            <v>2.2777864730490935</v>
          </cell>
          <cell r="I650">
            <v>10.566504312016409</v>
          </cell>
          <cell r="J650">
            <v>9.2532917408425632</v>
          </cell>
          <cell r="K650">
            <v>13.793976437246934</v>
          </cell>
        </row>
        <row r="651">
          <cell r="A651" t="str">
            <v>PAMAP3000Bk144000130160</v>
          </cell>
          <cell r="B651" t="str">
            <v>PAMA</v>
          </cell>
          <cell r="C651" t="str">
            <v>P3000Bk14</v>
          </cell>
          <cell r="D651" t="str">
            <v>4000</v>
          </cell>
          <cell r="E651">
            <v>1301</v>
          </cell>
          <cell r="F651">
            <v>60</v>
          </cell>
          <cell r="G651">
            <v>6005.9647700693131</v>
          </cell>
          <cell r="H651">
            <v>1.929675821614264</v>
          </cell>
          <cell r="I651">
            <v>9.0482629621729558</v>
          </cell>
          <cell r="J651">
            <v>10.851572511447795</v>
          </cell>
          <cell r="K651">
            <v>14.593878262163967</v>
          </cell>
        </row>
        <row r="652">
          <cell r="A652" t="str">
            <v>PAMAP3000Bk144000130170</v>
          </cell>
          <cell r="B652" t="str">
            <v>PAMA</v>
          </cell>
          <cell r="C652" t="str">
            <v>P3000Bk14</v>
          </cell>
          <cell r="D652" t="str">
            <v>4000</v>
          </cell>
          <cell r="E652">
            <v>1301</v>
          </cell>
          <cell r="F652">
            <v>70</v>
          </cell>
          <cell r="G652">
            <v>6079.4175923919274</v>
          </cell>
          <cell r="H652">
            <v>2.1568733473857704</v>
          </cell>
          <cell r="I652">
            <v>9.6404575545491671</v>
          </cell>
          <cell r="J652">
            <v>10.265173195118196</v>
          </cell>
          <cell r="K652">
            <v>14.306723594711938</v>
          </cell>
        </row>
        <row r="653">
          <cell r="A653" t="str">
            <v>PAMAP3000Bk144000130260</v>
          </cell>
          <cell r="B653" t="str">
            <v>PAMA</v>
          </cell>
          <cell r="C653" t="str">
            <v>P3000Bk14</v>
          </cell>
          <cell r="D653" t="str">
            <v>4000</v>
          </cell>
          <cell r="E653">
            <v>1302</v>
          </cell>
          <cell r="F653">
            <v>60</v>
          </cell>
          <cell r="G653">
            <v>6054.10546875</v>
          </cell>
          <cell r="H653">
            <v>1.9501631259918213</v>
          </cell>
          <cell r="I653">
            <v>8.1548938751220703</v>
          </cell>
          <cell r="J653">
            <v>11.13755989074707</v>
          </cell>
          <cell r="K653">
            <v>14.895123481750488</v>
          </cell>
        </row>
        <row r="654">
          <cell r="A654" t="str">
            <v>PAMAP3000Bk144000130270</v>
          </cell>
          <cell r="B654" t="str">
            <v>PAMA</v>
          </cell>
          <cell r="C654" t="str">
            <v>P3000Bk14</v>
          </cell>
          <cell r="D654" t="str">
            <v>4000</v>
          </cell>
          <cell r="E654">
            <v>1302</v>
          </cell>
          <cell r="F654">
            <v>70</v>
          </cell>
          <cell r="G654">
            <v>6232.9616672490629</v>
          </cell>
          <cell r="H654">
            <v>2.0740832352269147</v>
          </cell>
          <cell r="I654">
            <v>8.4433541434160979</v>
          </cell>
          <cell r="J654">
            <v>10.199879134447546</v>
          </cell>
          <cell r="K654">
            <v>14.182120678947193</v>
          </cell>
        </row>
        <row r="655">
          <cell r="A655" t="str">
            <v>PAMAP3000Bk144000130370</v>
          </cell>
          <cell r="B655" t="str">
            <v>PAMA</v>
          </cell>
          <cell r="C655" t="str">
            <v>P3000Bk14</v>
          </cell>
          <cell r="D655" t="str">
            <v>4000</v>
          </cell>
          <cell r="E655">
            <v>1303</v>
          </cell>
          <cell r="F655">
            <v>70</v>
          </cell>
          <cell r="G655">
            <v>6194.6331117439604</v>
          </cell>
          <cell r="H655">
            <v>2.0969005006936823</v>
          </cell>
          <cell r="I655">
            <v>8.6529807456787111</v>
          </cell>
          <cell r="J655">
            <v>10.241829924078658</v>
          </cell>
          <cell r="K655">
            <v>14.105149079296183</v>
          </cell>
        </row>
        <row r="656">
          <cell r="A656" t="str">
            <v>PAMAP3000Bk142300127850</v>
          </cell>
          <cell r="B656" t="str">
            <v>PAMA</v>
          </cell>
          <cell r="C656" t="str">
            <v>P3000Bk14</v>
          </cell>
          <cell r="D656" t="str">
            <v>2300</v>
          </cell>
          <cell r="E656">
            <v>1278</v>
          </cell>
          <cell r="F656">
            <v>50</v>
          </cell>
          <cell r="G656">
            <v>6686.0759047014772</v>
          </cell>
          <cell r="H656">
            <v>0.41785978928057715</v>
          </cell>
          <cell r="I656">
            <v>2.6589591001601907</v>
          </cell>
          <cell r="J656">
            <v>10.678176289484773</v>
          </cell>
          <cell r="K656">
            <v>14.463455218941288</v>
          </cell>
        </row>
        <row r="657">
          <cell r="A657" t="str">
            <v>PAMAP3000Bk142300127860</v>
          </cell>
          <cell r="B657" t="str">
            <v>PAMA</v>
          </cell>
          <cell r="C657" t="str">
            <v>P3000Bk14</v>
          </cell>
          <cell r="D657" t="str">
            <v>2300</v>
          </cell>
          <cell r="E657">
            <v>1278</v>
          </cell>
          <cell r="F657">
            <v>60</v>
          </cell>
          <cell r="G657">
            <v>6735.81884765625</v>
          </cell>
          <cell r="H657">
            <v>0.31912505626678467</v>
          </cell>
          <cell r="I657">
            <v>1.3944146633148193</v>
          </cell>
          <cell r="J657">
            <v>10.801353454589844</v>
          </cell>
          <cell r="K657">
            <v>14.57496166229248</v>
          </cell>
        </row>
        <row r="658">
          <cell r="A658" t="str">
            <v>PAMAP3000Bk142300127950</v>
          </cell>
          <cell r="B658" t="str">
            <v>PAMA</v>
          </cell>
          <cell r="C658" t="str">
            <v>P3000Bk14</v>
          </cell>
          <cell r="D658" t="str">
            <v>2300</v>
          </cell>
          <cell r="E658">
            <v>1279</v>
          </cell>
          <cell r="F658">
            <v>50</v>
          </cell>
          <cell r="G658">
            <v>6816.49951171875</v>
          </cell>
          <cell r="H658">
            <v>0.40972945094108582</v>
          </cell>
          <cell r="I658">
            <v>2.1144249439239502</v>
          </cell>
          <cell r="J658">
            <v>9.9211664199829102</v>
          </cell>
          <cell r="K658">
            <v>13.70562744140625</v>
          </cell>
        </row>
        <row r="659">
          <cell r="A659" t="str">
            <v>PAMAP3000Bk142300127960</v>
          </cell>
          <cell r="B659" t="str">
            <v>PAMA</v>
          </cell>
          <cell r="C659" t="str">
            <v>P3000Bk14</v>
          </cell>
          <cell r="D659" t="str">
            <v>2300</v>
          </cell>
          <cell r="E659">
            <v>1279</v>
          </cell>
          <cell r="F659">
            <v>60</v>
          </cell>
          <cell r="G659">
            <v>6820.7294921875</v>
          </cell>
          <cell r="H659">
            <v>0.42598807811737061</v>
          </cell>
          <cell r="I659">
            <v>1.9416953325271606</v>
          </cell>
          <cell r="J659">
            <v>9.7447824478149414</v>
          </cell>
          <cell r="K659">
            <v>13.507732391357422</v>
          </cell>
        </row>
        <row r="660">
          <cell r="A660" t="str">
            <v>PAMAP3000Bk142300128050</v>
          </cell>
          <cell r="B660" t="str">
            <v>PAMA</v>
          </cell>
          <cell r="C660" t="str">
            <v>P3000Bk14</v>
          </cell>
          <cell r="D660" t="str">
            <v>2300</v>
          </cell>
          <cell r="E660">
            <v>1280</v>
          </cell>
          <cell r="F660">
            <v>50</v>
          </cell>
          <cell r="G660">
            <v>6783.4306640625</v>
          </cell>
          <cell r="H660">
            <v>0.43526190519332886</v>
          </cell>
          <cell r="I660">
            <v>1.8949195146560669</v>
          </cell>
          <cell r="J660">
            <v>9.4993038177490234</v>
          </cell>
          <cell r="K660">
            <v>13.173418045043945</v>
          </cell>
        </row>
        <row r="661">
          <cell r="A661" t="str">
            <v>PAMAP3000Bk142300128060</v>
          </cell>
          <cell r="B661" t="str">
            <v>PAMA</v>
          </cell>
          <cell r="C661" t="str">
            <v>P3000Bk14</v>
          </cell>
          <cell r="D661" t="str">
            <v>2300</v>
          </cell>
          <cell r="E661">
            <v>1280</v>
          </cell>
          <cell r="F661">
            <v>60</v>
          </cell>
          <cell r="G661">
            <v>6790.96337890625</v>
          </cell>
          <cell r="H661">
            <v>0.45567473769187927</v>
          </cell>
          <cell r="I661">
            <v>1.8422631025314331</v>
          </cell>
          <cell r="J661">
            <v>9.4543819427490234</v>
          </cell>
          <cell r="K661">
            <v>13.20543098449707</v>
          </cell>
        </row>
        <row r="662">
          <cell r="A662" t="str">
            <v>PAMAP3000Bk142300128150</v>
          </cell>
          <cell r="B662" t="str">
            <v>PAMA</v>
          </cell>
          <cell r="C662" t="str">
            <v>P3000Bk14</v>
          </cell>
          <cell r="D662" t="str">
            <v>2300</v>
          </cell>
          <cell r="E662">
            <v>1281</v>
          </cell>
          <cell r="F662">
            <v>50</v>
          </cell>
          <cell r="G662">
            <v>6776.48583984375</v>
          </cell>
          <cell r="H662">
            <v>0.4339173436164856</v>
          </cell>
          <cell r="I662">
            <v>1.8844360113143921</v>
          </cell>
          <cell r="J662">
            <v>9.4036884307861328</v>
          </cell>
          <cell r="K662">
            <v>13.118000984191895</v>
          </cell>
        </row>
        <row r="663">
          <cell r="A663" t="str">
            <v>PAMAP3000Bk142300128160</v>
          </cell>
          <cell r="B663" t="str">
            <v>PAMA</v>
          </cell>
          <cell r="C663" t="str">
            <v>P3000Bk14</v>
          </cell>
          <cell r="D663" t="str">
            <v>2300</v>
          </cell>
          <cell r="E663">
            <v>1281</v>
          </cell>
          <cell r="F663">
            <v>60</v>
          </cell>
          <cell r="G663">
            <v>6780.69970703125</v>
          </cell>
          <cell r="H663">
            <v>0.4482579231262207</v>
          </cell>
          <cell r="I663">
            <v>1.8546110391616821</v>
          </cell>
          <cell r="J663">
            <v>9.3973474502563477</v>
          </cell>
          <cell r="K663">
            <v>13.147814750671387</v>
          </cell>
        </row>
        <row r="664">
          <cell r="A664" t="str">
            <v>PAMAP3000Bk142300128250</v>
          </cell>
          <cell r="B664" t="str">
            <v>PAMA</v>
          </cell>
          <cell r="C664" t="str">
            <v>P3000Bk14</v>
          </cell>
          <cell r="D664" t="str">
            <v>2300</v>
          </cell>
          <cell r="E664">
            <v>1282</v>
          </cell>
          <cell r="F664">
            <v>50</v>
          </cell>
          <cell r="G664">
            <v>6780.75390625</v>
          </cell>
          <cell r="H664">
            <v>0.45327553153038025</v>
          </cell>
          <cell r="I664">
            <v>1.796970009803772</v>
          </cell>
          <cell r="J664">
            <v>9.5459098815917969</v>
          </cell>
          <cell r="K664">
            <v>13.286104202270508</v>
          </cell>
        </row>
        <row r="665">
          <cell r="A665" t="str">
            <v>PAMAP3000Bk142300128260</v>
          </cell>
          <cell r="B665" t="str">
            <v>PAMA</v>
          </cell>
          <cell r="C665" t="str">
            <v>P3000Bk14</v>
          </cell>
          <cell r="D665" t="str">
            <v>2300</v>
          </cell>
          <cell r="E665">
            <v>1282</v>
          </cell>
          <cell r="F665">
            <v>60</v>
          </cell>
          <cell r="G665">
            <v>6770.91357421875</v>
          </cell>
          <cell r="H665">
            <v>0.45073601603507996</v>
          </cell>
          <cell r="I665">
            <v>1.7740826606750488</v>
          </cell>
          <cell r="J665">
            <v>9.5585145950317383</v>
          </cell>
          <cell r="K665">
            <v>13.354584693908691</v>
          </cell>
        </row>
        <row r="666">
          <cell r="A666" t="str">
            <v>PAMAP3000Bk142300128340</v>
          </cell>
          <cell r="B666" t="str">
            <v>PAMA</v>
          </cell>
          <cell r="C666" t="str">
            <v>P3000Bk14</v>
          </cell>
          <cell r="D666" t="str">
            <v>2300</v>
          </cell>
          <cell r="E666">
            <v>1283</v>
          </cell>
          <cell r="F666">
            <v>40</v>
          </cell>
          <cell r="G666">
            <v>6793.486328125</v>
          </cell>
          <cell r="H666">
            <v>0.442178875207901</v>
          </cell>
          <cell r="I666">
            <v>1.7255409955978394</v>
          </cell>
          <cell r="J666">
            <v>9.4785022735595703</v>
          </cell>
          <cell r="K666">
            <v>13.306018829345703</v>
          </cell>
        </row>
        <row r="667">
          <cell r="A667" t="str">
            <v>PAMAP3000Bk142300128350</v>
          </cell>
          <cell r="B667" t="str">
            <v>PAMA</v>
          </cell>
          <cell r="C667" t="str">
            <v>P3000Bk14</v>
          </cell>
          <cell r="D667" t="str">
            <v>2300</v>
          </cell>
          <cell r="E667">
            <v>1283</v>
          </cell>
          <cell r="F667">
            <v>50</v>
          </cell>
          <cell r="G667">
            <v>6788.6826171875</v>
          </cell>
          <cell r="H667">
            <v>0.43795332312583923</v>
          </cell>
          <cell r="I667">
            <v>1.7221013307571411</v>
          </cell>
          <cell r="J667">
            <v>9.4761018753051758</v>
          </cell>
          <cell r="K667">
            <v>13.348699569702148</v>
          </cell>
        </row>
        <row r="668">
          <cell r="A668" t="str">
            <v>PAMAP3000Bk142300128360</v>
          </cell>
          <cell r="B668" t="str">
            <v>PAMA</v>
          </cell>
          <cell r="C668" t="str">
            <v>P3000Bk14</v>
          </cell>
          <cell r="D668" t="str">
            <v>2300</v>
          </cell>
          <cell r="E668">
            <v>1283</v>
          </cell>
          <cell r="F668">
            <v>60</v>
          </cell>
          <cell r="G668">
            <v>6787.6357421875</v>
          </cell>
          <cell r="H668">
            <v>0.43061137199401855</v>
          </cell>
          <cell r="I668">
            <v>1.7019836902618408</v>
          </cell>
          <cell r="J668">
            <v>9.4588003158569336</v>
          </cell>
          <cell r="K668">
            <v>13.393791198730469</v>
          </cell>
        </row>
        <row r="669">
          <cell r="A669" t="str">
            <v>PAMAP3000Bk142300128440</v>
          </cell>
          <cell r="B669" t="str">
            <v>PAMA</v>
          </cell>
          <cell r="C669" t="str">
            <v>P3000Bk14</v>
          </cell>
          <cell r="D669" t="str">
            <v>2300</v>
          </cell>
          <cell r="E669">
            <v>1284</v>
          </cell>
          <cell r="F669">
            <v>40</v>
          </cell>
          <cell r="G669">
            <v>6828.4296875</v>
          </cell>
          <cell r="H669">
            <v>0.42674541473388672</v>
          </cell>
          <cell r="I669">
            <v>1.5843713283538818</v>
          </cell>
          <cell r="J669">
            <v>9.2330780029296875</v>
          </cell>
          <cell r="K669">
            <v>13.275596618652344</v>
          </cell>
        </row>
        <row r="670">
          <cell r="A670" t="str">
            <v>PAMAP3000Bk142300128450</v>
          </cell>
          <cell r="B670" t="str">
            <v>PAMA</v>
          </cell>
          <cell r="C670" t="str">
            <v>P3000Bk14</v>
          </cell>
          <cell r="D670" t="str">
            <v>2300</v>
          </cell>
          <cell r="E670">
            <v>1284</v>
          </cell>
          <cell r="F670">
            <v>50</v>
          </cell>
          <cell r="G670">
            <v>6833.47900390625</v>
          </cell>
          <cell r="H670">
            <v>0.42255815863609314</v>
          </cell>
          <cell r="I670">
            <v>1.5945476293563843</v>
          </cell>
          <cell r="J670">
            <v>9.2144994735717773</v>
          </cell>
          <cell r="K670">
            <v>13.275905609130859</v>
          </cell>
        </row>
        <row r="671">
          <cell r="A671" t="str">
            <v>PAMAP3000Bk142300128460</v>
          </cell>
          <cell r="B671" t="str">
            <v>PAMA</v>
          </cell>
          <cell r="C671" t="str">
            <v>P3000Bk14</v>
          </cell>
          <cell r="D671" t="str">
            <v>2300</v>
          </cell>
          <cell r="E671">
            <v>1284</v>
          </cell>
          <cell r="F671">
            <v>60</v>
          </cell>
          <cell r="G671">
            <v>6856.94482421875</v>
          </cell>
          <cell r="H671">
            <v>0.4089113175868988</v>
          </cell>
          <cell r="I671">
            <v>1.5517184734344482</v>
          </cell>
          <cell r="J671">
            <v>9.1120138168334961</v>
          </cell>
          <cell r="K671">
            <v>13.250265121459961</v>
          </cell>
        </row>
        <row r="672">
          <cell r="A672" t="str">
            <v/>
          </cell>
        </row>
        <row r="673">
          <cell r="A673" t="str">
            <v>SNSP3000Bk203010144320</v>
          </cell>
          <cell r="B673" t="str">
            <v>SNS</v>
          </cell>
          <cell r="C673" t="str">
            <v>P3000Bk20</v>
          </cell>
          <cell r="D673" t="str">
            <v>3010</v>
          </cell>
          <cell r="E673">
            <v>1443</v>
          </cell>
          <cell r="F673">
            <v>20</v>
          </cell>
          <cell r="G673">
            <v>6431.3740234375</v>
          </cell>
          <cell r="H673">
            <v>0.52665543556213379</v>
          </cell>
          <cell r="I673">
            <v>8.655085563659668</v>
          </cell>
          <cell r="J673">
            <v>9.0675897598266602</v>
          </cell>
          <cell r="K673">
            <v>12.657249450683594</v>
          </cell>
        </row>
        <row r="674">
          <cell r="A674" t="str">
            <v>SNSP3000Bk203010144330</v>
          </cell>
          <cell r="B674" t="str">
            <v>SNS</v>
          </cell>
          <cell r="C674" t="str">
            <v>P3000Bk20</v>
          </cell>
          <cell r="D674" t="str">
            <v>3010</v>
          </cell>
          <cell r="E674">
            <v>1443</v>
          </cell>
          <cell r="F674">
            <v>30</v>
          </cell>
          <cell r="G674">
            <v>6455.7138671875</v>
          </cell>
          <cell r="H674">
            <v>0.53573000431060791</v>
          </cell>
          <cell r="I674">
            <v>8.4583730697631836</v>
          </cell>
          <cell r="J674">
            <v>8.9020938873291016</v>
          </cell>
          <cell r="K674">
            <v>12.474678993225098</v>
          </cell>
        </row>
        <row r="675">
          <cell r="A675" t="str">
            <v>SNSP3000Bk202300144420</v>
          </cell>
          <cell r="B675" t="str">
            <v>SNS</v>
          </cell>
          <cell r="C675" t="str">
            <v>P3000Bk20</v>
          </cell>
          <cell r="D675" t="str">
            <v>2300</v>
          </cell>
          <cell r="E675">
            <v>1444</v>
          </cell>
          <cell r="F675">
            <v>20</v>
          </cell>
          <cell r="G675">
            <v>6637.59326171875</v>
          </cell>
          <cell r="H675">
            <v>0.50380927324295044</v>
          </cell>
          <cell r="I675">
            <v>2.4911887645721436</v>
          </cell>
          <cell r="J675">
            <v>10.621443748474121</v>
          </cell>
          <cell r="K675">
            <v>14.185502052307129</v>
          </cell>
        </row>
        <row r="676">
          <cell r="A676" t="str">
            <v>SNSP3000Bk202300144430</v>
          </cell>
          <cell r="B676" t="str">
            <v>SNS</v>
          </cell>
          <cell r="C676" t="str">
            <v>P3000Bk20</v>
          </cell>
          <cell r="D676" t="str">
            <v>2300</v>
          </cell>
          <cell r="E676">
            <v>1444</v>
          </cell>
          <cell r="F676">
            <v>30</v>
          </cell>
          <cell r="G676">
            <v>6611.99072265625</v>
          </cell>
          <cell r="H676">
            <v>0.52238750457763672</v>
          </cell>
          <cell r="I676">
            <v>2.5626981258392334</v>
          </cell>
          <cell r="J676">
            <v>10.805109024047852</v>
          </cell>
          <cell r="K676">
            <v>14.48386287689209</v>
          </cell>
        </row>
        <row r="677">
          <cell r="A677" t="str">
            <v>SNSP3000Bk202300144440</v>
          </cell>
          <cell r="B677" t="str">
            <v>SNS</v>
          </cell>
          <cell r="C677" t="str">
            <v>P3000Bk20</v>
          </cell>
          <cell r="D677" t="str">
            <v>2300</v>
          </cell>
          <cell r="E677">
            <v>1444</v>
          </cell>
          <cell r="F677">
            <v>40</v>
          </cell>
          <cell r="G677">
            <v>6555.0498046875</v>
          </cell>
          <cell r="H677">
            <v>0.53870934247970581</v>
          </cell>
          <cell r="I677">
            <v>2.7439343929290771</v>
          </cell>
          <cell r="J677">
            <v>11.349136352539063</v>
          </cell>
          <cell r="K677">
            <v>15.230396270751953</v>
          </cell>
        </row>
        <row r="678">
          <cell r="A678" t="str">
            <v>SNSP3000Bk203010144420</v>
          </cell>
          <cell r="B678" t="str">
            <v>SNS</v>
          </cell>
          <cell r="C678" t="str">
            <v>P3000Bk20</v>
          </cell>
          <cell r="D678" t="str">
            <v>3010</v>
          </cell>
          <cell r="E678">
            <v>1444</v>
          </cell>
          <cell r="F678">
            <v>20</v>
          </cell>
          <cell r="G678">
            <v>6399.78515625</v>
          </cell>
          <cell r="H678">
            <v>0.51386135816574097</v>
          </cell>
          <cell r="I678">
            <v>8.8206090927124023</v>
          </cell>
          <cell r="J678">
            <v>9.3513908386230469</v>
          </cell>
          <cell r="K678">
            <v>12.982707023620605</v>
          </cell>
        </row>
        <row r="679">
          <cell r="A679" t="str">
            <v>SNSP3000Bk203010144430</v>
          </cell>
          <cell r="B679" t="str">
            <v>SNS</v>
          </cell>
          <cell r="C679" t="str">
            <v>P3000Bk20</v>
          </cell>
          <cell r="D679" t="str">
            <v>3010</v>
          </cell>
          <cell r="E679">
            <v>1444</v>
          </cell>
          <cell r="F679">
            <v>30</v>
          </cell>
          <cell r="G679">
            <v>6383.06982421875</v>
          </cell>
          <cell r="H679">
            <v>0.48556223511695862</v>
          </cell>
          <cell r="I679">
            <v>8.8065452575683594</v>
          </cell>
          <cell r="J679">
            <v>9.6722707748413086</v>
          </cell>
          <cell r="K679">
            <v>13.212756156921387</v>
          </cell>
        </row>
        <row r="680">
          <cell r="A680" t="str">
            <v>SNSP3000Bk202300144520</v>
          </cell>
          <cell r="B680" t="str">
            <v>SNS</v>
          </cell>
          <cell r="C680" t="str">
            <v>P3000Bk20</v>
          </cell>
          <cell r="D680" t="str">
            <v>2300</v>
          </cell>
          <cell r="E680">
            <v>1445</v>
          </cell>
          <cell r="F680">
            <v>20</v>
          </cell>
          <cell r="G680">
            <v>6669.220703125</v>
          </cell>
          <cell r="H680">
            <v>0.48440802097320557</v>
          </cell>
          <cell r="I680">
            <v>2.3710343837738037</v>
          </cell>
          <cell r="J680">
            <v>10.460463523864746</v>
          </cell>
          <cell r="K680">
            <v>13.883332252502441</v>
          </cell>
        </row>
        <row r="681">
          <cell r="A681" t="str">
            <v>SNSP3000Bk202300144530</v>
          </cell>
          <cell r="B681" t="str">
            <v>SNS</v>
          </cell>
          <cell r="C681" t="str">
            <v>P3000Bk20</v>
          </cell>
          <cell r="D681" t="str">
            <v>2300</v>
          </cell>
          <cell r="E681">
            <v>1445</v>
          </cell>
          <cell r="F681">
            <v>30</v>
          </cell>
          <cell r="G681">
            <v>6675.01220703125</v>
          </cell>
          <cell r="H681">
            <v>0.50466650724411011</v>
          </cell>
          <cell r="I681">
            <v>2.3356823921203613</v>
          </cell>
          <cell r="J681">
            <v>10.432440757751465</v>
          </cell>
          <cell r="K681">
            <v>13.897221565246582</v>
          </cell>
        </row>
        <row r="682">
          <cell r="A682" t="str">
            <v>SNSP3000Bk203010144530</v>
          </cell>
          <cell r="B682" t="str">
            <v>SNS</v>
          </cell>
          <cell r="C682" t="str">
            <v>P3000Bk20</v>
          </cell>
          <cell r="D682" t="str">
            <v>3010</v>
          </cell>
          <cell r="E682">
            <v>1445</v>
          </cell>
          <cell r="F682">
            <v>30</v>
          </cell>
          <cell r="G682">
            <v>6366.80810546875</v>
          </cell>
          <cell r="H682">
            <v>0.44947367906570435</v>
          </cell>
          <cell r="I682">
            <v>8.9618616104125977</v>
          </cell>
          <cell r="J682">
            <v>9.9872941970825195</v>
          </cell>
          <cell r="K682">
            <v>13.424077033996582</v>
          </cell>
        </row>
        <row r="683">
          <cell r="A683" t="str">
            <v>SNSP3000Bk203010144540</v>
          </cell>
          <cell r="B683" t="str">
            <v>SNS</v>
          </cell>
          <cell r="C683" t="str">
            <v>P3000Bk20</v>
          </cell>
          <cell r="D683" t="str">
            <v>3010</v>
          </cell>
          <cell r="E683">
            <v>1445</v>
          </cell>
          <cell r="F683">
            <v>40</v>
          </cell>
          <cell r="G683">
            <v>6382.61181640625</v>
          </cell>
          <cell r="H683">
            <v>0.45225131511688232</v>
          </cell>
          <cell r="I683">
            <v>9.2230443954467773</v>
          </cell>
          <cell r="J683">
            <v>9.8197555541992188</v>
          </cell>
          <cell r="K683">
            <v>13.371503829956055</v>
          </cell>
        </row>
        <row r="684">
          <cell r="A684" t="str">
            <v>SNSP3000Bk202300144620</v>
          </cell>
          <cell r="B684" t="str">
            <v>SNS</v>
          </cell>
          <cell r="C684" t="str">
            <v>P3000Bk20</v>
          </cell>
          <cell r="D684" t="str">
            <v>2300</v>
          </cell>
          <cell r="E684">
            <v>1446</v>
          </cell>
          <cell r="F684">
            <v>20</v>
          </cell>
          <cell r="G684">
            <v>6657.21826171875</v>
          </cell>
          <cell r="H684">
            <v>0.46038040518760681</v>
          </cell>
          <cell r="I684">
            <v>2.4219498634338379</v>
          </cell>
          <cell r="J684">
            <v>10.519548416137695</v>
          </cell>
          <cell r="K684">
            <v>13.89675235748291</v>
          </cell>
        </row>
        <row r="685">
          <cell r="A685" t="str">
            <v>SNSP3000Bk202300144630</v>
          </cell>
          <cell r="B685" t="str">
            <v>SNS</v>
          </cell>
          <cell r="C685" t="str">
            <v>P3000Bk20</v>
          </cell>
          <cell r="D685" t="str">
            <v>2300</v>
          </cell>
          <cell r="E685">
            <v>1446</v>
          </cell>
          <cell r="F685">
            <v>30</v>
          </cell>
          <cell r="G685">
            <v>6720.75634765625</v>
          </cell>
          <cell r="H685">
            <v>0.43429899215698242</v>
          </cell>
          <cell r="I685">
            <v>2.2070779800415039</v>
          </cell>
          <cell r="J685">
            <v>10.226937294006348</v>
          </cell>
          <cell r="K685">
            <v>13.378087043762207</v>
          </cell>
        </row>
        <row r="686">
          <cell r="A686" t="str">
            <v>SNSP3000Bk202300144720</v>
          </cell>
          <cell r="B686" t="str">
            <v>SNS</v>
          </cell>
          <cell r="C686" t="str">
            <v>P3000Bk20</v>
          </cell>
          <cell r="D686" t="str">
            <v>2300</v>
          </cell>
          <cell r="E686">
            <v>1447</v>
          </cell>
          <cell r="F686">
            <v>20</v>
          </cell>
          <cell r="G686">
            <v>6639.4384765625</v>
          </cell>
          <cell r="H686">
            <v>0.44235759973526001</v>
          </cell>
          <cell r="I686">
            <v>2.465756893157959</v>
          </cell>
          <cell r="J686">
            <v>10.425662040710449</v>
          </cell>
          <cell r="K686">
            <v>13.831754684448242</v>
          </cell>
        </row>
        <row r="687">
          <cell r="A687" t="str">
            <v>SNSP3000Bk202300144730</v>
          </cell>
          <cell r="B687" t="str">
            <v>SNS</v>
          </cell>
          <cell r="C687" t="str">
            <v>P3000Bk20</v>
          </cell>
          <cell r="D687" t="str">
            <v>2300</v>
          </cell>
          <cell r="E687">
            <v>1447</v>
          </cell>
          <cell r="F687">
            <v>30</v>
          </cell>
          <cell r="G687">
            <v>6634.201171875</v>
          </cell>
          <cell r="H687">
            <v>0.43457341194152832</v>
          </cell>
          <cell r="I687">
            <v>2.5141668319702148</v>
          </cell>
          <cell r="J687">
            <v>10.522670745849609</v>
          </cell>
          <cell r="K687">
            <v>13.933608055114746</v>
          </cell>
        </row>
        <row r="688">
          <cell r="A688" t="str">
            <v>SNSP3000Bk202300144820</v>
          </cell>
          <cell r="B688" t="str">
            <v>SNS</v>
          </cell>
          <cell r="C688" t="str">
            <v>P3000Bk20</v>
          </cell>
          <cell r="D688" t="str">
            <v>2300</v>
          </cell>
          <cell r="E688">
            <v>1448</v>
          </cell>
          <cell r="F688">
            <v>20</v>
          </cell>
          <cell r="G688">
            <v>6643.69580078125</v>
          </cell>
          <cell r="H688">
            <v>0.44784805178642273</v>
          </cell>
          <cell r="I688">
            <v>2.3865532875061035</v>
          </cell>
          <cell r="J688">
            <v>10.073702812194824</v>
          </cell>
          <cell r="K688">
            <v>13.328855514526367</v>
          </cell>
        </row>
        <row r="689">
          <cell r="A689" t="str">
            <v>SNSP3000Bk202300144830</v>
          </cell>
          <cell r="B689" t="str">
            <v>SNS</v>
          </cell>
          <cell r="C689" t="str">
            <v>P3000Bk20</v>
          </cell>
          <cell r="D689" t="str">
            <v>2300</v>
          </cell>
          <cell r="E689">
            <v>1448</v>
          </cell>
          <cell r="F689">
            <v>30</v>
          </cell>
          <cell r="G689">
            <v>6621.84814453125</v>
          </cell>
          <cell r="H689">
            <v>0.40820634365081787</v>
          </cell>
          <cell r="I689">
            <v>2.5088012218475342</v>
          </cell>
          <cell r="J689">
            <v>10.093284606933594</v>
          </cell>
          <cell r="K689">
            <v>13.435551643371582</v>
          </cell>
        </row>
        <row r="690">
          <cell r="A690" t="str">
            <v>SNSP3000Bk202300144920</v>
          </cell>
          <cell r="B690" t="str">
            <v>SNS</v>
          </cell>
          <cell r="C690" t="str">
            <v>P3000Bk20</v>
          </cell>
          <cell r="D690" t="str">
            <v>2300</v>
          </cell>
          <cell r="E690">
            <v>1449</v>
          </cell>
          <cell r="F690">
            <v>20</v>
          </cell>
          <cell r="G690">
            <v>6653.681640625</v>
          </cell>
          <cell r="H690">
            <v>0.46742561459541321</v>
          </cell>
          <cell r="I690">
            <v>2.310049295425415</v>
          </cell>
          <cell r="J690">
            <v>10.187436103820801</v>
          </cell>
          <cell r="K690">
            <v>13.487415313720703</v>
          </cell>
        </row>
        <row r="691">
          <cell r="A691" t="str">
            <v>SNSP3000Bk202300144930</v>
          </cell>
          <cell r="B691" t="str">
            <v>SNS</v>
          </cell>
          <cell r="C691" t="str">
            <v>P3000Bk20</v>
          </cell>
          <cell r="D691" t="str">
            <v>2300</v>
          </cell>
          <cell r="E691">
            <v>1449</v>
          </cell>
          <cell r="F691">
            <v>30</v>
          </cell>
          <cell r="G691">
            <v>6651.28125</v>
          </cell>
          <cell r="H691">
            <v>0.52736926078796387</v>
          </cell>
          <cell r="I691">
            <v>2.1717603206634521</v>
          </cell>
          <cell r="J691">
            <v>10.176469802856445</v>
          </cell>
          <cell r="K691">
            <v>13.483094215393066</v>
          </cell>
        </row>
        <row r="692">
          <cell r="A692" t="str">
            <v>SNSP3000Bk202300145020</v>
          </cell>
          <cell r="B692" t="str">
            <v>SNS</v>
          </cell>
          <cell r="C692" t="str">
            <v>P3000Bk20</v>
          </cell>
          <cell r="D692" t="str">
            <v>2300</v>
          </cell>
          <cell r="E692">
            <v>1450</v>
          </cell>
          <cell r="F692">
            <v>20</v>
          </cell>
          <cell r="G692">
            <v>6665.3408203125</v>
          </cell>
          <cell r="H692">
            <v>0.4246063232421875</v>
          </cell>
          <cell r="I692">
            <v>2.388944149017334</v>
          </cell>
          <cell r="J692">
            <v>10.320980072021484</v>
          </cell>
          <cell r="K692">
            <v>13.715245246887207</v>
          </cell>
        </row>
        <row r="693">
          <cell r="A693" t="str">
            <v>SNSP3000Bk202300145030</v>
          </cell>
          <cell r="B693" t="str">
            <v>SNS</v>
          </cell>
          <cell r="C693" t="str">
            <v>P3000Bk20</v>
          </cell>
          <cell r="D693" t="str">
            <v>2300</v>
          </cell>
          <cell r="E693">
            <v>1450</v>
          </cell>
          <cell r="F693">
            <v>30</v>
          </cell>
          <cell r="G693">
            <v>6668.1533203125</v>
          </cell>
          <cell r="H693">
            <v>0.41121488809585571</v>
          </cell>
          <cell r="I693">
            <v>2.4142453670501709</v>
          </cell>
          <cell r="J693">
            <v>10.283085823059082</v>
          </cell>
          <cell r="K693">
            <v>13.663739204406738</v>
          </cell>
        </row>
        <row r="694">
          <cell r="A694" t="str">
            <v>SNSP3000Bk202300145120</v>
          </cell>
          <cell r="B694" t="str">
            <v>SNS</v>
          </cell>
          <cell r="C694" t="str">
            <v>P3000Bk20</v>
          </cell>
          <cell r="D694" t="str">
            <v>2300</v>
          </cell>
          <cell r="E694">
            <v>1451</v>
          </cell>
          <cell r="F694">
            <v>20</v>
          </cell>
          <cell r="G694">
            <v>6676.2216796875</v>
          </cell>
          <cell r="H694">
            <v>0.41446259617805481</v>
          </cell>
          <cell r="I694">
            <v>2.3922460079193115</v>
          </cell>
          <cell r="J694">
            <v>10.31842041015625</v>
          </cell>
          <cell r="K694">
            <v>13.805158615112305</v>
          </cell>
        </row>
        <row r="695">
          <cell r="A695" t="str">
            <v>SNSP3000Bk202300145130</v>
          </cell>
          <cell r="B695" t="str">
            <v>SNS</v>
          </cell>
          <cell r="C695" t="str">
            <v>P3000Bk20</v>
          </cell>
          <cell r="D695" t="str">
            <v>2300</v>
          </cell>
          <cell r="E695">
            <v>1451</v>
          </cell>
          <cell r="F695">
            <v>30</v>
          </cell>
          <cell r="G695">
            <v>6682.40478515625</v>
          </cell>
          <cell r="H695">
            <v>0.3988654613494873</v>
          </cell>
          <cell r="I695">
            <v>2.4166607856750488</v>
          </cell>
          <cell r="J695">
            <v>10.274908065795898</v>
          </cell>
          <cell r="K695">
            <v>13.741046905517578</v>
          </cell>
        </row>
        <row r="696">
          <cell r="A696" t="str">
            <v>SNSP3000Bk202300145220</v>
          </cell>
          <cell r="B696" t="str">
            <v>SNS</v>
          </cell>
          <cell r="C696" t="str">
            <v>P3000Bk20</v>
          </cell>
          <cell r="D696" t="str">
            <v>2300</v>
          </cell>
          <cell r="E696">
            <v>1452</v>
          </cell>
          <cell r="F696">
            <v>20</v>
          </cell>
          <cell r="G696">
            <v>6673.8759765625</v>
          </cell>
          <cell r="H696">
            <v>0.43032985925674438</v>
          </cell>
          <cell r="I696">
            <v>2.3946881294250488</v>
          </cell>
          <cell r="J696">
            <v>10.301798820495605</v>
          </cell>
          <cell r="K696">
            <v>13.922005653381348</v>
          </cell>
        </row>
        <row r="697">
          <cell r="A697" t="str">
            <v>SNSP3000Bk202300145230</v>
          </cell>
          <cell r="B697" t="str">
            <v>SNS</v>
          </cell>
          <cell r="C697" t="str">
            <v>P3000Bk20</v>
          </cell>
          <cell r="D697" t="str">
            <v>2300</v>
          </cell>
          <cell r="E697">
            <v>1452</v>
          </cell>
          <cell r="F697">
            <v>30</v>
          </cell>
          <cell r="G697">
            <v>6681.72119140625</v>
          </cell>
          <cell r="H697">
            <v>0.42993909120559692</v>
          </cell>
          <cell r="I697">
            <v>2.3643808364868164</v>
          </cell>
          <cell r="J697">
            <v>10.272387504577637</v>
          </cell>
          <cell r="K697">
            <v>13.907176971435547</v>
          </cell>
        </row>
        <row r="698">
          <cell r="A698" t="str">
            <v>SNSP3000Bk202300145320</v>
          </cell>
          <cell r="B698" t="str">
            <v>SNS</v>
          </cell>
          <cell r="C698" t="str">
            <v>P3000Bk20</v>
          </cell>
          <cell r="D698" t="str">
            <v>2300</v>
          </cell>
          <cell r="E698">
            <v>1453</v>
          </cell>
          <cell r="F698">
            <v>20</v>
          </cell>
          <cell r="G698">
            <v>6647.85595703125</v>
          </cell>
          <cell r="H698">
            <v>0.44067290425300598</v>
          </cell>
          <cell r="I698">
            <v>2.54923415184021</v>
          </cell>
          <cell r="J698">
            <v>10.296560287475586</v>
          </cell>
          <cell r="K698">
            <v>13.994258880615234</v>
          </cell>
        </row>
        <row r="699">
          <cell r="A699" t="str">
            <v>SNSP3000Bk202300145330</v>
          </cell>
          <cell r="B699" t="str">
            <v>SNS</v>
          </cell>
          <cell r="C699" t="str">
            <v>P3000Bk20</v>
          </cell>
          <cell r="D699" t="str">
            <v>2300</v>
          </cell>
          <cell r="E699">
            <v>1453</v>
          </cell>
          <cell r="F699">
            <v>30</v>
          </cell>
          <cell r="G699">
            <v>6657.2353515625</v>
          </cell>
          <cell r="H699">
            <v>0.44046539068222046</v>
          </cell>
          <cell r="I699">
            <v>2.5049505233764648</v>
          </cell>
          <cell r="J699">
            <v>10.270912170410156</v>
          </cell>
          <cell r="K699">
            <v>13.974935531616211</v>
          </cell>
        </row>
        <row r="700">
          <cell r="A700" t="str">
            <v>SNSP3000Bk202300145420</v>
          </cell>
          <cell r="B700" t="str">
            <v>SNS</v>
          </cell>
          <cell r="C700" t="str">
            <v>P3000Bk20</v>
          </cell>
          <cell r="D700" t="str">
            <v>2300</v>
          </cell>
          <cell r="E700">
            <v>1454</v>
          </cell>
          <cell r="F700">
            <v>20</v>
          </cell>
          <cell r="G700">
            <v>6633.8232421875</v>
          </cell>
          <cell r="H700">
            <v>0.44343018531799316</v>
          </cell>
          <cell r="I700">
            <v>2.6389744281768799</v>
          </cell>
          <cell r="J700">
            <v>10.287213325500488</v>
          </cell>
          <cell r="K700">
            <v>14.010660171508789</v>
          </cell>
        </row>
        <row r="701">
          <cell r="A701" t="str">
            <v>SNSP3000Bk203000144330</v>
          </cell>
          <cell r="B701" t="str">
            <v>SNS</v>
          </cell>
          <cell r="C701" t="str">
            <v>P3000Bk20</v>
          </cell>
          <cell r="D701" t="str">
            <v>3000</v>
          </cell>
          <cell r="E701">
            <v>1443</v>
          </cell>
          <cell r="F701">
            <v>30</v>
          </cell>
          <cell r="G701">
            <v>6534.8357106649983</v>
          </cell>
          <cell r="H701">
            <v>1.3539108036678773</v>
          </cell>
          <cell r="I701">
            <v>5.5024854240876957</v>
          </cell>
          <cell r="J701">
            <v>9.87349477578198</v>
          </cell>
          <cell r="K701">
            <v>13.642743794070089</v>
          </cell>
        </row>
        <row r="702">
          <cell r="A702" t="str">
            <v>SNSP3000Bk203000144340</v>
          </cell>
          <cell r="B702" t="str">
            <v>SNS</v>
          </cell>
          <cell r="C702" t="str">
            <v>P3000Bk20</v>
          </cell>
          <cell r="D702" t="str">
            <v>3000</v>
          </cell>
          <cell r="E702">
            <v>1443</v>
          </cell>
          <cell r="F702">
            <v>40</v>
          </cell>
          <cell r="G702">
            <v>6636.4561423702698</v>
          </cell>
          <cell r="H702">
            <v>1.7326147489195409</v>
          </cell>
          <cell r="I702">
            <v>4.8590912110070494</v>
          </cell>
          <cell r="J702">
            <v>9.2786357370718182</v>
          </cell>
          <cell r="K702">
            <v>12.812965475026147</v>
          </cell>
        </row>
        <row r="703">
          <cell r="A703" t="str">
            <v>SNSP3000Bk203000144320</v>
          </cell>
          <cell r="B703" t="str">
            <v>SNS</v>
          </cell>
          <cell r="C703" t="str">
            <v>P3000Bk20</v>
          </cell>
          <cell r="D703" t="str">
            <v>3000</v>
          </cell>
          <cell r="E703">
            <v>1443</v>
          </cell>
          <cell r="F703">
            <v>20</v>
          </cell>
          <cell r="G703">
            <v>6657.19140625</v>
          </cell>
          <cell r="H703">
            <v>0.95866310596466064</v>
          </cell>
          <cell r="I703">
            <v>4.1691722869873047</v>
          </cell>
          <cell r="J703">
            <v>9.8700227737426758</v>
          </cell>
          <cell r="K703">
            <v>14.009527206420898</v>
          </cell>
        </row>
        <row r="704">
          <cell r="A704" t="str">
            <v>SNSP3000Bk203000144420</v>
          </cell>
          <cell r="B704" t="str">
            <v>SNS</v>
          </cell>
          <cell r="C704" t="str">
            <v>P3000Bk20</v>
          </cell>
          <cell r="D704" t="str">
            <v>3000</v>
          </cell>
          <cell r="E704">
            <v>1444</v>
          </cell>
          <cell r="F704">
            <v>20</v>
          </cell>
          <cell r="G704">
            <v>6643.4583918236494</v>
          </cell>
          <cell r="H704">
            <v>0.91909846635982406</v>
          </cell>
          <cell r="I704">
            <v>4.313061164454477</v>
          </cell>
          <cell r="J704">
            <v>9.8041000553238167</v>
          </cell>
          <cell r="K704">
            <v>14.296918371158135</v>
          </cell>
        </row>
        <row r="705">
          <cell r="A705" t="str">
            <v>SNSP3000Bk203000144430</v>
          </cell>
          <cell r="B705" t="str">
            <v>SNS</v>
          </cell>
          <cell r="C705" t="str">
            <v>P3000Bk20</v>
          </cell>
          <cell r="D705" t="str">
            <v>3000</v>
          </cell>
          <cell r="E705">
            <v>1444</v>
          </cell>
          <cell r="F705">
            <v>30</v>
          </cell>
          <cell r="G705">
            <v>6478.9871632009226</v>
          </cell>
          <cell r="H705">
            <v>1.3986242673252194</v>
          </cell>
          <cell r="I705">
            <v>5.9080686046571618</v>
          </cell>
          <cell r="J705">
            <v>9.8113110558207097</v>
          </cell>
          <cell r="K705">
            <v>14.621658770287409</v>
          </cell>
        </row>
        <row r="706">
          <cell r="A706" t="str">
            <v>SNSP3000Bk203000144530</v>
          </cell>
          <cell r="B706" t="str">
            <v>SNS</v>
          </cell>
          <cell r="C706" t="str">
            <v>P3000Bk20</v>
          </cell>
          <cell r="D706" t="str">
            <v>3000</v>
          </cell>
          <cell r="E706">
            <v>1445</v>
          </cell>
          <cell r="F706">
            <v>30</v>
          </cell>
          <cell r="G706">
            <v>6606.1680401268777</v>
          </cell>
          <cell r="H706">
            <v>1.26408948966847</v>
          </cell>
          <cell r="I706">
            <v>4.7440353572903309</v>
          </cell>
          <cell r="J706">
            <v>9.9228725941479627</v>
          </cell>
          <cell r="K706">
            <v>13.832631863564934</v>
          </cell>
        </row>
        <row r="707">
          <cell r="A707" t="str">
            <v>SNSP3000Bk203000144540</v>
          </cell>
          <cell r="B707" t="str">
            <v>SNS</v>
          </cell>
          <cell r="C707" t="str">
            <v>P3000Bk20</v>
          </cell>
          <cell r="D707" t="str">
            <v>3000</v>
          </cell>
          <cell r="E707">
            <v>1445</v>
          </cell>
          <cell r="F707">
            <v>40</v>
          </cell>
          <cell r="G707">
            <v>6534.621665467218</v>
          </cell>
          <cell r="H707">
            <v>1.7134479680313544</v>
          </cell>
          <cell r="I707">
            <v>5.7962252493615303</v>
          </cell>
          <cell r="J707">
            <v>10.080977238120123</v>
          </cell>
          <cell r="K707">
            <v>12.993065109057515</v>
          </cell>
        </row>
        <row r="708">
          <cell r="A708" t="str">
            <v/>
          </cell>
        </row>
        <row r="709">
          <cell r="A709" t="str">
            <v>SNSP6000Bk146010142640</v>
          </cell>
          <cell r="B709" t="str">
            <v>SNS</v>
          </cell>
          <cell r="C709" t="str">
            <v>P6000Bk14</v>
          </cell>
          <cell r="D709" t="str">
            <v>6010</v>
          </cell>
          <cell r="E709">
            <v>1426</v>
          </cell>
          <cell r="F709">
            <v>40</v>
          </cell>
          <cell r="G709">
            <v>5870.75048828125</v>
          </cell>
          <cell r="H709">
            <v>0.39160773158073425</v>
          </cell>
          <cell r="I709">
            <v>8.5451192855834961</v>
          </cell>
          <cell r="J709">
            <v>11.456209182739258</v>
          </cell>
          <cell r="K709">
            <v>16.373592376708984</v>
          </cell>
        </row>
        <row r="710">
          <cell r="A710" t="str">
            <v>SNSP6000Bk146010142650</v>
          </cell>
          <cell r="B710" t="str">
            <v>SNS</v>
          </cell>
          <cell r="C710" t="str">
            <v>P6000Bk14</v>
          </cell>
          <cell r="D710" t="str">
            <v>6010</v>
          </cell>
          <cell r="E710">
            <v>1426</v>
          </cell>
          <cell r="F710">
            <v>50</v>
          </cell>
          <cell r="G710">
            <v>5869.810546875</v>
          </cell>
          <cell r="H710">
            <v>0.4046366810798645</v>
          </cell>
          <cell r="I710">
            <v>8.101475715637207</v>
          </cell>
          <cell r="J710">
            <v>11.617615699768066</v>
          </cell>
          <cell r="K710">
            <v>15.927371978759766</v>
          </cell>
        </row>
        <row r="711">
          <cell r="A711" t="str">
            <v>SNSP6000Bk147000142980</v>
          </cell>
          <cell r="B711" t="str">
            <v>SNS</v>
          </cell>
          <cell r="C711" t="str">
            <v>P6000Bk14</v>
          </cell>
          <cell r="D711" t="str">
            <v>7000</v>
          </cell>
          <cell r="E711">
            <v>1429</v>
          </cell>
          <cell r="F711">
            <v>80</v>
          </cell>
          <cell r="G711">
            <v>5903.06787109375</v>
          </cell>
          <cell r="H711">
            <v>0.84017395973205566</v>
          </cell>
          <cell r="I711">
            <v>7.0261735916137695</v>
          </cell>
          <cell r="J711">
            <v>12.88117790222168</v>
          </cell>
          <cell r="K711">
            <v>17.603130340576172</v>
          </cell>
        </row>
        <row r="712">
          <cell r="A712" t="str">
            <v>SNSP6000Bk147300142980</v>
          </cell>
          <cell r="B712" t="str">
            <v>SNS</v>
          </cell>
          <cell r="C712" t="str">
            <v>P6000Bk14</v>
          </cell>
          <cell r="D712" t="str">
            <v>7300</v>
          </cell>
          <cell r="E712">
            <v>1429</v>
          </cell>
          <cell r="F712">
            <v>80</v>
          </cell>
          <cell r="G712">
            <v>5923.50341796875</v>
          </cell>
          <cell r="H712">
            <v>0.57174587249755859</v>
          </cell>
          <cell r="I712">
            <v>6.4816155433654785</v>
          </cell>
          <cell r="J712">
            <v>13.764838218688965</v>
          </cell>
          <cell r="K712">
            <v>18.634090423583984</v>
          </cell>
        </row>
        <row r="713">
          <cell r="A713" t="str">
            <v>SNSP6000Bk147000143070</v>
          </cell>
          <cell r="B713" t="str">
            <v>SNS</v>
          </cell>
          <cell r="C713" t="str">
            <v>P6000Bk14</v>
          </cell>
          <cell r="D713" t="str">
            <v>7000</v>
          </cell>
          <cell r="E713">
            <v>1430</v>
          </cell>
          <cell r="F713">
            <v>70</v>
          </cell>
          <cell r="G713">
            <v>5843.966796875</v>
          </cell>
          <cell r="H713">
            <v>0.99409675598144531</v>
          </cell>
          <cell r="I713">
            <v>5.3137578964233398</v>
          </cell>
          <cell r="J713">
            <v>12.438570976257324</v>
          </cell>
          <cell r="K713">
            <v>16.552118301391602</v>
          </cell>
        </row>
        <row r="714">
          <cell r="A714" t="str">
            <v>SNSP6000Bk147000143080</v>
          </cell>
          <cell r="B714" t="str">
            <v>SNS</v>
          </cell>
          <cell r="C714" t="str">
            <v>P6000Bk14</v>
          </cell>
          <cell r="D714" t="str">
            <v>7000</v>
          </cell>
          <cell r="E714">
            <v>1430</v>
          </cell>
          <cell r="F714">
            <v>80</v>
          </cell>
          <cell r="G714">
            <v>5877.18017578125</v>
          </cell>
          <cell r="H714">
            <v>0.90496104955673218</v>
          </cell>
          <cell r="I714">
            <v>6.4988536834716797</v>
          </cell>
          <cell r="J714">
            <v>12.597746849060059</v>
          </cell>
          <cell r="K714">
            <v>17.079469680786133</v>
          </cell>
        </row>
        <row r="715">
          <cell r="A715" t="str">
            <v>SNSP6000Bk147300143080</v>
          </cell>
          <cell r="B715" t="str">
            <v>SNS</v>
          </cell>
          <cell r="C715" t="str">
            <v>P6000Bk14</v>
          </cell>
          <cell r="D715" t="str">
            <v>7300</v>
          </cell>
          <cell r="E715">
            <v>1430</v>
          </cell>
          <cell r="F715">
            <v>80</v>
          </cell>
          <cell r="G715">
            <v>6067.67822265625</v>
          </cell>
          <cell r="H715">
            <v>0.42750167846679688</v>
          </cell>
          <cell r="I715">
            <v>5.8737430572509766</v>
          </cell>
          <cell r="J715">
            <v>13.771966934204102</v>
          </cell>
          <cell r="K715">
            <v>18.583620071411133</v>
          </cell>
        </row>
        <row r="716">
          <cell r="A716" t="str">
            <v>SNSP6000Bk147000143170</v>
          </cell>
          <cell r="B716" t="str">
            <v>SNS</v>
          </cell>
          <cell r="C716" t="str">
            <v>P6000Bk14</v>
          </cell>
          <cell r="D716" t="str">
            <v>7000</v>
          </cell>
          <cell r="E716">
            <v>1431</v>
          </cell>
          <cell r="F716">
            <v>70</v>
          </cell>
          <cell r="G716">
            <v>5853.60986328125</v>
          </cell>
          <cell r="H716">
            <v>0.98438340425491333</v>
          </cell>
          <cell r="I716">
            <v>5.4461121559143066</v>
          </cell>
          <cell r="J716">
            <v>12.434929847717285</v>
          </cell>
          <cell r="K716">
            <v>16.587364196777344</v>
          </cell>
        </row>
        <row r="717">
          <cell r="A717" t="str">
            <v>SNSP6000Bk147000143180</v>
          </cell>
          <cell r="B717" t="str">
            <v>SNS</v>
          </cell>
          <cell r="C717" t="str">
            <v>P6000Bk14</v>
          </cell>
          <cell r="D717" t="str">
            <v>7000</v>
          </cell>
          <cell r="E717">
            <v>1431</v>
          </cell>
          <cell r="F717">
            <v>80</v>
          </cell>
          <cell r="G717">
            <v>5881.9326171875</v>
          </cell>
          <cell r="H717">
            <v>0.95103669166564941</v>
          </cell>
          <cell r="I717">
            <v>5.8940072059631348</v>
          </cell>
          <cell r="J717">
            <v>12.439382553100586</v>
          </cell>
          <cell r="K717">
            <v>16.729000091552734</v>
          </cell>
        </row>
        <row r="718">
          <cell r="A718" t="str">
            <v>SNSP6000Bk147300143180</v>
          </cell>
          <cell r="B718" t="str">
            <v>SNS</v>
          </cell>
          <cell r="C718" t="str">
            <v>P6000Bk14</v>
          </cell>
          <cell r="D718" t="str">
            <v>7300</v>
          </cell>
          <cell r="E718">
            <v>1431</v>
          </cell>
          <cell r="F718">
            <v>80</v>
          </cell>
          <cell r="G718">
            <v>6159.80078125</v>
          </cell>
          <cell r="H718">
            <v>0.46391725540161133</v>
          </cell>
          <cell r="I718">
            <v>5.7728767395019531</v>
          </cell>
          <cell r="J718">
            <v>12.792159080505371</v>
          </cell>
          <cell r="K718">
            <v>18.573984146118164</v>
          </cell>
        </row>
        <row r="719">
          <cell r="A719" t="str">
            <v>SNSP6000Bk147300143270</v>
          </cell>
          <cell r="B719" t="str">
            <v>SNS</v>
          </cell>
          <cell r="C719" t="str">
            <v>P6000Bk14</v>
          </cell>
          <cell r="D719" t="str">
            <v>7300</v>
          </cell>
          <cell r="E719">
            <v>1432</v>
          </cell>
          <cell r="F719">
            <v>70</v>
          </cell>
          <cell r="G719">
            <v>6238.0107421875</v>
          </cell>
          <cell r="H719">
            <v>0.48792964220046997</v>
          </cell>
          <cell r="I719">
            <v>5.3287711143493652</v>
          </cell>
          <cell r="J719">
            <v>12.437067031860352</v>
          </cell>
          <cell r="K719">
            <v>18.296562194824219</v>
          </cell>
        </row>
        <row r="720">
          <cell r="A720" t="str">
            <v>SNSP6000Bk147300143280</v>
          </cell>
          <cell r="B720" t="str">
            <v>SNS</v>
          </cell>
          <cell r="C720" t="str">
            <v>P6000Bk14</v>
          </cell>
          <cell r="D720" t="str">
            <v>7300</v>
          </cell>
          <cell r="E720">
            <v>1432</v>
          </cell>
          <cell r="F720">
            <v>80</v>
          </cell>
          <cell r="G720">
            <v>6219.951171875</v>
          </cell>
          <cell r="H720">
            <v>0.49282339215278625</v>
          </cell>
          <cell r="I720">
            <v>5.559260368347168</v>
          </cell>
          <cell r="J720">
            <v>12.330788612365723</v>
          </cell>
          <cell r="K720">
            <v>18.412919998168945</v>
          </cell>
        </row>
        <row r="721">
          <cell r="A721" t="str">
            <v>SNSP6000Bk147300143370</v>
          </cell>
          <cell r="B721" t="str">
            <v>SNS</v>
          </cell>
          <cell r="C721" t="str">
            <v>P6000Bk14</v>
          </cell>
          <cell r="D721" t="str">
            <v>7300</v>
          </cell>
          <cell r="E721">
            <v>1433</v>
          </cell>
          <cell r="F721">
            <v>70</v>
          </cell>
          <cell r="G721">
            <v>6251.19873046875</v>
          </cell>
          <cell r="H721">
            <v>0.48000627756118774</v>
          </cell>
          <cell r="I721">
            <v>4.9599695205688477</v>
          </cell>
          <cell r="J721">
            <v>12.711147308349609</v>
          </cell>
          <cell r="K721">
            <v>18.129236221313477</v>
          </cell>
        </row>
        <row r="722">
          <cell r="A722" t="str">
            <v>SNSP6000Bk147300143380</v>
          </cell>
          <cell r="B722" t="str">
            <v>SNS</v>
          </cell>
          <cell r="C722" t="str">
            <v>P6000Bk14</v>
          </cell>
          <cell r="D722" t="str">
            <v>7300</v>
          </cell>
          <cell r="E722">
            <v>1433</v>
          </cell>
          <cell r="F722">
            <v>80</v>
          </cell>
          <cell r="G722">
            <v>6267.95947265625</v>
          </cell>
          <cell r="H722">
            <v>0.4643065333366394</v>
          </cell>
          <cell r="I722">
            <v>4.7260479927062988</v>
          </cell>
          <cell r="J722">
            <v>12.950368881225586</v>
          </cell>
          <cell r="K722">
            <v>18.22027587890625</v>
          </cell>
        </row>
        <row r="723">
          <cell r="A723" t="str">
            <v>SNSP6000Bk147300143470</v>
          </cell>
          <cell r="B723" t="str">
            <v>SNS</v>
          </cell>
          <cell r="C723" t="str">
            <v>P6000Bk14</v>
          </cell>
          <cell r="D723" t="str">
            <v>7300</v>
          </cell>
          <cell r="E723">
            <v>1434</v>
          </cell>
          <cell r="F723">
            <v>70</v>
          </cell>
          <cell r="G723">
            <v>6237.98095703125</v>
          </cell>
          <cell r="H723">
            <v>0.49515125155448914</v>
          </cell>
          <cell r="I723">
            <v>5.0136256217956543</v>
          </cell>
          <cell r="J723">
            <v>12.489504814147949</v>
          </cell>
          <cell r="K723">
            <v>17.940832138061523</v>
          </cell>
        </row>
        <row r="724">
          <cell r="A724" t="str">
            <v>SNSP6000Bk147300143480</v>
          </cell>
          <cell r="B724" t="str">
            <v>SNS</v>
          </cell>
          <cell r="C724" t="str">
            <v>P6000Bk14</v>
          </cell>
          <cell r="D724" t="str">
            <v>7300</v>
          </cell>
          <cell r="E724">
            <v>1434</v>
          </cell>
          <cell r="F724">
            <v>80</v>
          </cell>
          <cell r="G724">
            <v>6244.935546875</v>
          </cell>
          <cell r="H724">
            <v>0.48776847124099731</v>
          </cell>
          <cell r="I724">
            <v>4.7959976196289063</v>
          </cell>
          <cell r="J724">
            <v>12.493436813354492</v>
          </cell>
          <cell r="K724">
            <v>18.060152053833008</v>
          </cell>
        </row>
        <row r="725">
          <cell r="A725" t="str">
            <v>SNSP6000Bk147300143580</v>
          </cell>
          <cell r="B725" t="str">
            <v>SNS</v>
          </cell>
          <cell r="C725" t="str">
            <v>P6000Bk14</v>
          </cell>
          <cell r="D725" t="str">
            <v>7300</v>
          </cell>
          <cell r="E725">
            <v>1435</v>
          </cell>
          <cell r="F725">
            <v>80</v>
          </cell>
          <cell r="G725">
            <v>6419.15771484375</v>
          </cell>
          <cell r="H725">
            <v>0.80671501159667969</v>
          </cell>
          <cell r="I725">
            <v>5.1213746070861816</v>
          </cell>
          <cell r="J725">
            <v>10.672426223754883</v>
          </cell>
          <cell r="K725">
            <v>16.562919616699219</v>
          </cell>
        </row>
        <row r="726">
          <cell r="A726" t="str">
            <v>SNSP6000Bk147300143680</v>
          </cell>
          <cell r="B726" t="str">
            <v>SNS</v>
          </cell>
          <cell r="C726" t="str">
            <v>P6000Bk14</v>
          </cell>
          <cell r="D726" t="str">
            <v>7300</v>
          </cell>
          <cell r="E726">
            <v>1436</v>
          </cell>
          <cell r="F726">
            <v>80</v>
          </cell>
          <cell r="G726">
            <v>6331.50390625</v>
          </cell>
          <cell r="H726">
            <v>0.82797563076019287</v>
          </cell>
          <cell r="I726">
            <v>5.2997078895568848</v>
          </cell>
          <cell r="J726">
            <v>11.292726516723633</v>
          </cell>
          <cell r="K726">
            <v>16.659996032714844</v>
          </cell>
        </row>
        <row r="727">
          <cell r="A727" t="str">
            <v>SNSP6000Bk147300143780</v>
          </cell>
          <cell r="B727" t="str">
            <v>SNS</v>
          </cell>
          <cell r="C727" t="str">
            <v>P6000Bk14</v>
          </cell>
          <cell r="D727" t="str">
            <v>7300</v>
          </cell>
          <cell r="E727">
            <v>1437</v>
          </cell>
          <cell r="F727">
            <v>80</v>
          </cell>
          <cell r="G727">
            <v>6008.7216796875</v>
          </cell>
          <cell r="H727">
            <v>0.7533765435218811</v>
          </cell>
          <cell r="I727">
            <v>5.7376852035522461</v>
          </cell>
          <cell r="J727">
            <v>13.414301872253418</v>
          </cell>
          <cell r="K727">
            <v>17.668439865112305</v>
          </cell>
        </row>
        <row r="728">
          <cell r="A728" t="str">
            <v>SNSP6000Bk147300143880</v>
          </cell>
          <cell r="B728" t="str">
            <v>SNS</v>
          </cell>
          <cell r="C728" t="str">
            <v>P6000Bk14</v>
          </cell>
          <cell r="D728" t="str">
            <v>7300</v>
          </cell>
          <cell r="E728">
            <v>1438</v>
          </cell>
          <cell r="F728">
            <v>80</v>
          </cell>
          <cell r="G728">
            <v>5946.5791015625</v>
          </cell>
          <cell r="H728">
            <v>0.6966899037361145</v>
          </cell>
          <cell r="I728">
            <v>6.3358016014099121</v>
          </cell>
          <cell r="J728">
            <v>13.731448173522949</v>
          </cell>
          <cell r="K728">
            <v>18.362819671630859</v>
          </cell>
        </row>
        <row r="729">
          <cell r="A729" t="str">
            <v>SNSP6000Bk147300143980</v>
          </cell>
          <cell r="B729" t="str">
            <v>SNS</v>
          </cell>
          <cell r="C729" t="str">
            <v>P6000Bk14</v>
          </cell>
          <cell r="D729" t="str">
            <v>7300</v>
          </cell>
          <cell r="E729">
            <v>1439</v>
          </cell>
          <cell r="F729">
            <v>80</v>
          </cell>
          <cell r="G729">
            <v>6045.982421875</v>
          </cell>
          <cell r="H729">
            <v>0.56726378202438354</v>
          </cell>
          <cell r="I729">
            <v>4.6324219703674316</v>
          </cell>
          <cell r="J729">
            <v>14.870820045471191</v>
          </cell>
          <cell r="K729">
            <v>18.599069595336914</v>
          </cell>
        </row>
        <row r="730">
          <cell r="A730" t="str">
            <v>SNSP6000Bk147300144080</v>
          </cell>
          <cell r="B730" t="str">
            <v>SNS</v>
          </cell>
          <cell r="C730" t="str">
            <v>P6000Bk14</v>
          </cell>
          <cell r="D730" t="str">
            <v>7300</v>
          </cell>
          <cell r="E730">
            <v>1440</v>
          </cell>
          <cell r="F730">
            <v>80</v>
          </cell>
          <cell r="G730">
            <v>6093.2197265625</v>
          </cell>
          <cell r="H730">
            <v>0.83541208505630493</v>
          </cell>
          <cell r="I730">
            <v>6.3061299324035645</v>
          </cell>
          <cell r="J730">
            <v>13.741547584533691</v>
          </cell>
          <cell r="K730">
            <v>17.783086776733398</v>
          </cell>
        </row>
        <row r="731">
          <cell r="A731" t="str">
            <v>SNSP6000Bk147300144180</v>
          </cell>
          <cell r="B731" t="str">
            <v>SNS</v>
          </cell>
          <cell r="C731" t="str">
            <v>P6000Bk14</v>
          </cell>
          <cell r="D731" t="str">
            <v>7300</v>
          </cell>
          <cell r="E731">
            <v>1441</v>
          </cell>
          <cell r="F731">
            <v>80</v>
          </cell>
          <cell r="G731">
            <v>6365.5283203125</v>
          </cell>
          <cell r="H731">
            <v>0.55713987350463867</v>
          </cell>
          <cell r="I731">
            <v>5.3408870697021484</v>
          </cell>
          <cell r="J731">
            <v>14.076567649841309</v>
          </cell>
          <cell r="K731">
            <v>17.282670974731445</v>
          </cell>
        </row>
        <row r="732">
          <cell r="A732" t="str">
            <v>SNSP6000Bk147300144190</v>
          </cell>
          <cell r="B732" t="str">
            <v>SNS</v>
          </cell>
          <cell r="C732" t="str">
            <v>P6000Bk14</v>
          </cell>
          <cell r="D732" t="str">
            <v>7300</v>
          </cell>
          <cell r="E732">
            <v>1441</v>
          </cell>
          <cell r="F732">
            <v>90</v>
          </cell>
          <cell r="G732">
            <v>6494.12158203125</v>
          </cell>
          <cell r="H732">
            <v>0.41887152194976807</v>
          </cell>
          <cell r="I732">
            <v>4.9006047248840332</v>
          </cell>
          <cell r="J732">
            <v>14.349900245666504</v>
          </cell>
          <cell r="K732">
            <v>17.014368057250977</v>
          </cell>
        </row>
        <row r="733">
          <cell r="A733" t="str">
            <v>SNSP6000Bk145000144280</v>
          </cell>
          <cell r="B733" t="str">
            <v>SNS</v>
          </cell>
          <cell r="C733" t="str">
            <v>P6000Bk14</v>
          </cell>
          <cell r="D733" t="str">
            <v>5000</v>
          </cell>
          <cell r="E733">
            <v>1442</v>
          </cell>
          <cell r="F733">
            <v>80</v>
          </cell>
          <cell r="G733">
            <v>6169.9482421875</v>
          </cell>
          <cell r="H733">
            <v>0.44693759083747864</v>
          </cell>
          <cell r="I733">
            <v>6.0977387428283691</v>
          </cell>
          <cell r="J733">
            <v>11.947609901428223</v>
          </cell>
          <cell r="K733">
            <v>16.073904037475586</v>
          </cell>
        </row>
        <row r="734">
          <cell r="A734" t="str">
            <v>SNSP6000Bk147300144280</v>
          </cell>
          <cell r="B734" t="str">
            <v>SNS</v>
          </cell>
          <cell r="C734" t="str">
            <v>P6000Bk14</v>
          </cell>
          <cell r="D734" t="str">
            <v>7300</v>
          </cell>
          <cell r="E734">
            <v>1442</v>
          </cell>
          <cell r="F734">
            <v>80</v>
          </cell>
          <cell r="G734">
            <v>6184.703125</v>
          </cell>
          <cell r="H734">
            <v>0.94694441556930542</v>
          </cell>
          <cell r="I734">
            <v>4.757256031036377</v>
          </cell>
          <cell r="J734">
            <v>13.580129623413086</v>
          </cell>
          <cell r="K734">
            <v>17.977638244628906</v>
          </cell>
        </row>
        <row r="735">
          <cell r="A735" t="str">
            <v>SNSP6000Bk147300144290</v>
          </cell>
          <cell r="B735" t="str">
            <v>SNS</v>
          </cell>
          <cell r="C735" t="str">
            <v>P6000Bk14</v>
          </cell>
          <cell r="D735" t="str">
            <v>7300</v>
          </cell>
          <cell r="E735">
            <v>1442</v>
          </cell>
          <cell r="F735">
            <v>90</v>
          </cell>
          <cell r="G735">
            <v>6205.21826171875</v>
          </cell>
          <cell r="H735">
            <v>0.89454162120819092</v>
          </cell>
          <cell r="I735">
            <v>4.6647624969482422</v>
          </cell>
          <cell r="J735">
            <v>13.543048858642578</v>
          </cell>
          <cell r="K735">
            <v>17.952491760253906</v>
          </cell>
        </row>
        <row r="736">
          <cell r="A736" t="str">
            <v>SNSP6000Bk145000144380</v>
          </cell>
          <cell r="B736" t="str">
            <v>SNS</v>
          </cell>
          <cell r="C736" t="str">
            <v>P6000Bk14</v>
          </cell>
          <cell r="D736" t="str">
            <v>5000</v>
          </cell>
          <cell r="E736">
            <v>1443</v>
          </cell>
          <cell r="F736">
            <v>80</v>
          </cell>
          <cell r="G736">
            <v>6308.47607421875</v>
          </cell>
          <cell r="H736">
            <v>0.38835951685905457</v>
          </cell>
          <cell r="I736">
            <v>5.1082959175109863</v>
          </cell>
          <cell r="J736">
            <v>11.735634803771973</v>
          </cell>
          <cell r="K736">
            <v>16.050792694091797</v>
          </cell>
        </row>
        <row r="737">
          <cell r="A737" t="str">
            <v>SNSP6000Bk147300144380</v>
          </cell>
          <cell r="B737" t="str">
            <v>SNS</v>
          </cell>
          <cell r="C737" t="str">
            <v>P6000Bk14</v>
          </cell>
          <cell r="D737" t="str">
            <v>7300</v>
          </cell>
          <cell r="E737">
            <v>1443</v>
          </cell>
          <cell r="F737">
            <v>80</v>
          </cell>
          <cell r="G737">
            <v>5963.06591796875</v>
          </cell>
          <cell r="H737">
            <v>1.9780046939849854</v>
          </cell>
          <cell r="I737">
            <v>4.3587632179260254</v>
          </cell>
          <cell r="J737">
            <v>13.868426322937012</v>
          </cell>
          <cell r="K737">
            <v>18.457742691040039</v>
          </cell>
        </row>
        <row r="738">
          <cell r="A738" t="str">
            <v>SNSP6000Bk147300144390</v>
          </cell>
          <cell r="B738" t="str">
            <v>SNS</v>
          </cell>
          <cell r="C738" t="str">
            <v>P6000Bk14</v>
          </cell>
          <cell r="D738" t="str">
            <v>7300</v>
          </cell>
          <cell r="E738">
            <v>1443</v>
          </cell>
          <cell r="F738">
            <v>90</v>
          </cell>
          <cell r="G738">
            <v>6033.67626953125</v>
          </cell>
          <cell r="H738">
            <v>1.4703816175460815</v>
          </cell>
          <cell r="I738">
            <v>4.7478890419006348</v>
          </cell>
          <cell r="J738">
            <v>13.629727363586426</v>
          </cell>
          <cell r="K738">
            <v>18.263029098510742</v>
          </cell>
        </row>
        <row r="739">
          <cell r="A739" t="str">
            <v>SNSP6000Bk145000144480</v>
          </cell>
          <cell r="B739" t="str">
            <v>SNS</v>
          </cell>
          <cell r="C739" t="str">
            <v>P6000Bk14</v>
          </cell>
          <cell r="D739" t="str">
            <v>5000</v>
          </cell>
          <cell r="E739">
            <v>1444</v>
          </cell>
          <cell r="F739">
            <v>80</v>
          </cell>
          <cell r="G739">
            <v>6305.546875</v>
          </cell>
          <cell r="H739">
            <v>0.42654204368591309</v>
          </cell>
          <cell r="I739">
            <v>4.429595947265625</v>
          </cell>
          <cell r="J739">
            <v>11.97052001953125</v>
          </cell>
          <cell r="K739">
            <v>16.390935897827148</v>
          </cell>
        </row>
        <row r="740">
          <cell r="A740" t="str">
            <v>SNSP6000Bk145000144490</v>
          </cell>
          <cell r="B740" t="str">
            <v>SNS</v>
          </cell>
          <cell r="C740" t="str">
            <v>P6000Bk14</v>
          </cell>
          <cell r="D740" t="str">
            <v>5000</v>
          </cell>
          <cell r="E740">
            <v>1444</v>
          </cell>
          <cell r="F740">
            <v>90</v>
          </cell>
          <cell r="G740">
            <v>6296.8876953125</v>
          </cell>
          <cell r="H740">
            <v>0.41657549142837524</v>
          </cell>
          <cell r="I740">
            <v>4.4752826690673828</v>
          </cell>
          <cell r="J740">
            <v>12.026149749755859</v>
          </cell>
          <cell r="K740">
            <v>16.500329971313477</v>
          </cell>
        </row>
        <row r="741">
          <cell r="A741" t="str">
            <v>SNSP6000Bk147300144490</v>
          </cell>
          <cell r="B741" t="str">
            <v>SNS</v>
          </cell>
          <cell r="C741" t="str">
            <v>P6000Bk14</v>
          </cell>
          <cell r="D741" t="str">
            <v>7300</v>
          </cell>
          <cell r="E741">
            <v>1444</v>
          </cell>
          <cell r="F741">
            <v>90</v>
          </cell>
          <cell r="G741">
            <v>6225.42822265625</v>
          </cell>
          <cell r="H741">
            <v>0.57353144884109497</v>
          </cell>
          <cell r="I741">
            <v>4.8238658905029297</v>
          </cell>
          <cell r="J741">
            <v>13.300080299377441</v>
          </cell>
          <cell r="K741">
            <v>17.655401229858398</v>
          </cell>
        </row>
        <row r="742">
          <cell r="A742" t="str">
            <v>SNSP6000Bk145000144580</v>
          </cell>
          <cell r="B742" t="str">
            <v>SNS</v>
          </cell>
          <cell r="C742" t="str">
            <v>P6000Bk14</v>
          </cell>
          <cell r="D742" t="str">
            <v>5000</v>
          </cell>
          <cell r="E742">
            <v>1445</v>
          </cell>
          <cell r="F742">
            <v>80</v>
          </cell>
          <cell r="G742">
            <v>6286.92333984375</v>
          </cell>
          <cell r="H742">
            <v>0.41275715827941895</v>
          </cell>
          <cell r="I742">
            <v>4.293388843536377</v>
          </cell>
          <cell r="J742">
            <v>12.167784690856934</v>
          </cell>
          <cell r="K742">
            <v>16.749349594116211</v>
          </cell>
        </row>
        <row r="743">
          <cell r="A743" t="str">
            <v>SNSP6000Bk145000144590</v>
          </cell>
          <cell r="B743" t="str">
            <v>SNS</v>
          </cell>
          <cell r="C743" t="str">
            <v>P6000Bk14</v>
          </cell>
          <cell r="D743" t="str">
            <v>5000</v>
          </cell>
          <cell r="E743">
            <v>1445</v>
          </cell>
          <cell r="F743">
            <v>90</v>
          </cell>
          <cell r="G743">
            <v>6282.64208984375</v>
          </cell>
          <cell r="H743">
            <v>0.40918302536010742</v>
          </cell>
          <cell r="I743">
            <v>4.3496847152709961</v>
          </cell>
          <cell r="J743">
            <v>12.174610137939453</v>
          </cell>
          <cell r="K743">
            <v>16.775552749633789</v>
          </cell>
        </row>
        <row r="744">
          <cell r="A744" t="str">
            <v>SNSP6000Bk145000144690</v>
          </cell>
          <cell r="B744" t="str">
            <v>SNS</v>
          </cell>
          <cell r="C744" t="str">
            <v>P6000Bk14</v>
          </cell>
          <cell r="D744" t="str">
            <v>5000</v>
          </cell>
          <cell r="E744">
            <v>1446</v>
          </cell>
          <cell r="F744">
            <v>90</v>
          </cell>
          <cell r="G744">
            <v>6319.3427734375</v>
          </cell>
          <cell r="H744">
            <v>0.38335627317428589</v>
          </cell>
          <cell r="I744">
            <v>3.84140944480896</v>
          </cell>
          <cell r="J744">
            <v>11.881213188171387</v>
          </cell>
          <cell r="K744">
            <v>17.187690734863281</v>
          </cell>
        </row>
        <row r="745">
          <cell r="A745" t="str">
            <v>SNSP6000Bk145000144790</v>
          </cell>
          <cell r="B745" t="str">
            <v>SNS</v>
          </cell>
          <cell r="C745" t="str">
            <v>P6000Bk14</v>
          </cell>
          <cell r="D745" t="str">
            <v>5000</v>
          </cell>
          <cell r="E745">
            <v>1447</v>
          </cell>
          <cell r="F745">
            <v>90</v>
          </cell>
          <cell r="G745">
            <v>6345.81298828125</v>
          </cell>
          <cell r="H745">
            <v>0.41401061415672302</v>
          </cell>
          <cell r="I745">
            <v>3.8950326442718506</v>
          </cell>
          <cell r="J745">
            <v>11.564311981201172</v>
          </cell>
          <cell r="K745">
            <v>17.167123794555664</v>
          </cell>
        </row>
        <row r="746">
          <cell r="A746" t="str">
            <v>SNSP6000Bk146000142550</v>
          </cell>
          <cell r="B746" t="str">
            <v>SNS</v>
          </cell>
          <cell r="C746" t="str">
            <v>P6000Bk14</v>
          </cell>
          <cell r="D746" t="str">
            <v>6000</v>
          </cell>
          <cell r="E746">
            <v>1425</v>
          </cell>
          <cell r="F746">
            <v>50</v>
          </cell>
          <cell r="G746">
            <v>6068.9098568888066</v>
          </cell>
          <cell r="H746">
            <v>0.24736036083072097</v>
          </cell>
          <cell r="I746">
            <v>4.3405732238244052</v>
          </cell>
          <cell r="J746">
            <v>13.187494448564227</v>
          </cell>
          <cell r="K746">
            <v>17.460350596520751</v>
          </cell>
        </row>
        <row r="747">
          <cell r="A747" t="str">
            <v>SNSP6000Bk146600142550</v>
          </cell>
          <cell r="B747" t="str">
            <v>SNS</v>
          </cell>
          <cell r="C747" t="str">
            <v>P6000Bk14</v>
          </cell>
          <cell r="D747" t="str">
            <v>6600</v>
          </cell>
          <cell r="E747">
            <v>1425</v>
          </cell>
          <cell r="F747">
            <v>50</v>
          </cell>
          <cell r="G747">
            <v>5665.15283203125</v>
          </cell>
          <cell r="H747">
            <v>0.21857400238513947</v>
          </cell>
          <cell r="I747">
            <v>9.3957853317260742</v>
          </cell>
          <cell r="J747">
            <v>13.092735290527344</v>
          </cell>
          <cell r="K747">
            <v>18.162528991699219</v>
          </cell>
        </row>
        <row r="748">
          <cell r="A748" t="str">
            <v>SNSP6000Bk146600142560</v>
          </cell>
          <cell r="B748" t="str">
            <v>SNS</v>
          </cell>
          <cell r="C748" t="str">
            <v>P6000Bk14</v>
          </cell>
          <cell r="D748" t="str">
            <v>6600</v>
          </cell>
          <cell r="E748">
            <v>1425</v>
          </cell>
          <cell r="F748">
            <v>60</v>
          </cell>
          <cell r="G748">
            <v>5665.22314453125</v>
          </cell>
          <cell r="H748">
            <v>0.21858720481395721</v>
          </cell>
          <cell r="I748">
            <v>9.3948020935058594</v>
          </cell>
          <cell r="J748">
            <v>13.093086242675781</v>
          </cell>
          <cell r="K748">
            <v>18.162527084350586</v>
          </cell>
        </row>
        <row r="749">
          <cell r="A749" t="str">
            <v>SNSP6000Bk146000142640</v>
          </cell>
          <cell r="B749" t="str">
            <v>SNS</v>
          </cell>
          <cell r="C749" t="str">
            <v>P6000Bk14</v>
          </cell>
          <cell r="D749" t="str">
            <v>6000</v>
          </cell>
          <cell r="E749">
            <v>1426</v>
          </cell>
          <cell r="F749">
            <v>40</v>
          </cell>
          <cell r="G749">
            <v>6098.3005651621825</v>
          </cell>
          <cell r="H749">
            <v>0.2379793526724284</v>
          </cell>
          <cell r="I749">
            <v>4.1430987264993027</v>
          </cell>
          <cell r="J749">
            <v>13.046409745351911</v>
          </cell>
          <cell r="K749">
            <v>17.472023106433294</v>
          </cell>
        </row>
        <row r="750">
          <cell r="A750" t="str">
            <v>SNSP6000Bk146000142650</v>
          </cell>
          <cell r="B750" t="str">
            <v>SNS</v>
          </cell>
          <cell r="C750" t="str">
            <v>P6000Bk14</v>
          </cell>
          <cell r="D750" t="str">
            <v>6000</v>
          </cell>
          <cell r="E750">
            <v>1426</v>
          </cell>
          <cell r="F750">
            <v>50</v>
          </cell>
          <cell r="G750">
            <v>6112.7733417538584</v>
          </cell>
          <cell r="H750">
            <v>0.24957872386907345</v>
          </cell>
          <cell r="I750">
            <v>3.9579456188870892</v>
          </cell>
          <cell r="J750">
            <v>13.137151341483179</v>
          </cell>
          <cell r="K750">
            <v>17.450754069693247</v>
          </cell>
        </row>
        <row r="751">
          <cell r="A751" t="str">
            <v>SNSP6000Bk146600142650</v>
          </cell>
          <cell r="B751" t="str">
            <v>SNS</v>
          </cell>
          <cell r="C751" t="str">
            <v>P6000Bk14</v>
          </cell>
          <cell r="D751" t="str">
            <v>6600</v>
          </cell>
          <cell r="E751">
            <v>1426</v>
          </cell>
          <cell r="F751">
            <v>50</v>
          </cell>
          <cell r="G751">
            <v>5807.9526437296045</v>
          </cell>
          <cell r="H751">
            <v>0.29762747038339127</v>
          </cell>
          <cell r="I751">
            <v>7.9242096459491016</v>
          </cell>
          <cell r="J751">
            <v>13.104005007722977</v>
          </cell>
          <cell r="K751">
            <v>17.546194971593927</v>
          </cell>
        </row>
        <row r="752">
          <cell r="A752" t="str">
            <v>SNSP6000Bk146600142660</v>
          </cell>
          <cell r="B752" t="str">
            <v>SNS</v>
          </cell>
          <cell r="C752" t="str">
            <v>P6000Bk14</v>
          </cell>
          <cell r="D752" t="str">
            <v>6600</v>
          </cell>
          <cell r="E752">
            <v>1426</v>
          </cell>
          <cell r="F752">
            <v>60</v>
          </cell>
          <cell r="G752">
            <v>5755.3191319333728</v>
          </cell>
          <cell r="H752">
            <v>0.23521673871893442</v>
          </cell>
          <cell r="I752">
            <v>8.6471938247797162</v>
          </cell>
          <cell r="J752">
            <v>13.032339262421797</v>
          </cell>
          <cell r="K752">
            <v>17.800695747590936</v>
          </cell>
        </row>
        <row r="753">
          <cell r="A753" t="str">
            <v>SNSP6000Bk146000142740</v>
          </cell>
          <cell r="B753" t="str">
            <v>SNS</v>
          </cell>
          <cell r="C753" t="str">
            <v>P6000Bk14</v>
          </cell>
          <cell r="D753" t="str">
            <v>6000</v>
          </cell>
          <cell r="E753">
            <v>1427</v>
          </cell>
          <cell r="F753">
            <v>40</v>
          </cell>
          <cell r="G753">
            <v>6155.1907168427151</v>
          </cell>
          <cell r="H753">
            <v>0.24784195557523567</v>
          </cell>
          <cell r="I753">
            <v>3.5145284872625173</v>
          </cell>
          <cell r="J753">
            <v>13.393076601301148</v>
          </cell>
          <cell r="K753">
            <v>17.876806178128867</v>
          </cell>
        </row>
        <row r="754">
          <cell r="A754" t="str">
            <v>SNSP6000Bk146000142750</v>
          </cell>
          <cell r="B754" t="str">
            <v>SNS</v>
          </cell>
          <cell r="C754" t="str">
            <v>P6000Bk14</v>
          </cell>
          <cell r="D754" t="str">
            <v>6000</v>
          </cell>
          <cell r="E754">
            <v>1427</v>
          </cell>
          <cell r="F754">
            <v>50</v>
          </cell>
          <cell r="G754">
            <v>6166.9495880633476</v>
          </cell>
          <cell r="H754">
            <v>0.23365396880120481</v>
          </cell>
          <cell r="I754">
            <v>3.3456031378349316</v>
          </cell>
          <cell r="J754">
            <v>13.190901284282878</v>
          </cell>
          <cell r="K754">
            <v>17.969919382240871</v>
          </cell>
        </row>
        <row r="755">
          <cell r="A755" t="str">
            <v>SNSP6000Bk146000142760</v>
          </cell>
          <cell r="B755" t="str">
            <v>SNS</v>
          </cell>
          <cell r="C755" t="str">
            <v>P6000Bk14</v>
          </cell>
          <cell r="D755" t="str">
            <v>6000</v>
          </cell>
          <cell r="E755">
            <v>1427</v>
          </cell>
          <cell r="F755">
            <v>60</v>
          </cell>
          <cell r="G755">
            <v>6143.5198379821595</v>
          </cell>
          <cell r="H755">
            <v>0.24066703235358239</v>
          </cell>
          <cell r="I755">
            <v>4.3971875380634895</v>
          </cell>
          <cell r="J755">
            <v>12.361418749518858</v>
          </cell>
          <cell r="K755">
            <v>18.021589113920086</v>
          </cell>
        </row>
        <row r="756">
          <cell r="A756" t="str">
            <v>SNSP6000Bk146600142750</v>
          </cell>
          <cell r="B756" t="str">
            <v>SNS</v>
          </cell>
          <cell r="C756" t="str">
            <v>P6000Bk14</v>
          </cell>
          <cell r="D756" t="str">
            <v>6600</v>
          </cell>
          <cell r="E756">
            <v>1427</v>
          </cell>
          <cell r="F756">
            <v>50</v>
          </cell>
          <cell r="G756">
            <v>6182.85595703125</v>
          </cell>
          <cell r="H756">
            <v>0.39158973097801208</v>
          </cell>
          <cell r="I756">
            <v>4.1039271354675293</v>
          </cell>
          <cell r="J756">
            <v>12.563789367675781</v>
          </cell>
          <cell r="K756">
            <v>16.591745376586914</v>
          </cell>
        </row>
        <row r="757">
          <cell r="A757" t="str">
            <v>SNSP6000Bk146600142760</v>
          </cell>
          <cell r="B757" t="str">
            <v>SNS</v>
          </cell>
          <cell r="C757" t="str">
            <v>P6000Bk14</v>
          </cell>
          <cell r="D757" t="str">
            <v>6600</v>
          </cell>
          <cell r="E757">
            <v>1427</v>
          </cell>
          <cell r="F757">
            <v>60</v>
          </cell>
          <cell r="G757">
            <v>6167.61474609375</v>
          </cell>
          <cell r="H757">
            <v>0.38179978728294373</v>
          </cell>
          <cell r="I757">
            <v>4.4179348945617676</v>
          </cell>
          <cell r="J757">
            <v>12.648744583129883</v>
          </cell>
          <cell r="K757">
            <v>16.827627182006836</v>
          </cell>
        </row>
        <row r="758">
          <cell r="A758" t="str">
            <v>SNSP6000Bk146000142840</v>
          </cell>
          <cell r="B758" t="str">
            <v>SNS</v>
          </cell>
          <cell r="C758" t="str">
            <v>P6000Bk14</v>
          </cell>
          <cell r="D758" t="str">
            <v>6000</v>
          </cell>
          <cell r="E758">
            <v>1428</v>
          </cell>
          <cell r="F758">
            <v>40</v>
          </cell>
          <cell r="G758">
            <v>6162.9095708636551</v>
          </cell>
          <cell r="H758">
            <v>0.23303070587747132</v>
          </cell>
          <cell r="I758">
            <v>2.6206855989134263</v>
          </cell>
          <cell r="J758">
            <v>15.08761849631496</v>
          </cell>
          <cell r="K758">
            <v>18.520500501388995</v>
          </cell>
        </row>
        <row r="759">
          <cell r="A759" t="str">
            <v>SNSP6000Bk146000142850</v>
          </cell>
          <cell r="B759" t="str">
            <v>SNS</v>
          </cell>
          <cell r="C759" t="str">
            <v>P6000Bk14</v>
          </cell>
          <cell r="D759" t="str">
            <v>6000</v>
          </cell>
          <cell r="E759">
            <v>1428</v>
          </cell>
          <cell r="F759">
            <v>50</v>
          </cell>
          <cell r="G759">
            <v>6208.4648202361786</v>
          </cell>
          <cell r="H759">
            <v>0.23987897742868097</v>
          </cell>
          <cell r="I759">
            <v>2.7744697921528907</v>
          </cell>
          <cell r="J759">
            <v>13.612635544914063</v>
          </cell>
          <cell r="K759">
            <v>18.006706921683524</v>
          </cell>
        </row>
        <row r="760">
          <cell r="A760" t="str">
            <v>SNSP6000Bk146000142860</v>
          </cell>
          <cell r="B760" t="str">
            <v>SNS</v>
          </cell>
          <cell r="C760" t="str">
            <v>P6000Bk14</v>
          </cell>
          <cell r="D760" t="str">
            <v>6000</v>
          </cell>
          <cell r="E760">
            <v>1428</v>
          </cell>
          <cell r="F760">
            <v>60</v>
          </cell>
          <cell r="G760">
            <v>6213.7075799797058</v>
          </cell>
          <cell r="H760">
            <v>0.22666800496089079</v>
          </cell>
          <cell r="I760">
            <v>2.5163191247223051</v>
          </cell>
          <cell r="J760">
            <v>13.388019686931042</v>
          </cell>
          <cell r="K760">
            <v>18.199965105684377</v>
          </cell>
        </row>
        <row r="761">
          <cell r="A761" t="str">
            <v>SNSP6000Bk146600142860</v>
          </cell>
          <cell r="B761" t="str">
            <v>SNS</v>
          </cell>
          <cell r="C761" t="str">
            <v>P6000Bk14</v>
          </cell>
          <cell r="D761" t="str">
            <v>6600</v>
          </cell>
          <cell r="E761">
            <v>1428</v>
          </cell>
          <cell r="F761">
            <v>60</v>
          </cell>
          <cell r="G761">
            <v>6154.830078125</v>
          </cell>
          <cell r="H761">
            <v>0.35396662354469299</v>
          </cell>
          <cell r="I761">
            <v>4.6776270866394043</v>
          </cell>
          <cell r="J761">
            <v>12.898913383483887</v>
          </cell>
          <cell r="K761">
            <v>17.521194458007813</v>
          </cell>
        </row>
        <row r="762">
          <cell r="A762" t="str">
            <v>SNSP6000Bk146000142940</v>
          </cell>
          <cell r="B762" t="str">
            <v>SNS</v>
          </cell>
          <cell r="C762" t="str">
            <v>P6000Bk14</v>
          </cell>
          <cell r="D762" t="str">
            <v>6000</v>
          </cell>
          <cell r="E762">
            <v>1429</v>
          </cell>
          <cell r="F762">
            <v>40</v>
          </cell>
          <cell r="G762">
            <v>6210.5710971097933</v>
          </cell>
          <cell r="H762">
            <v>0.2260963145191511</v>
          </cell>
          <cell r="I762">
            <v>2.7256299418618672</v>
          </cell>
          <cell r="J762">
            <v>13.769688006783474</v>
          </cell>
          <cell r="K762">
            <v>17.648025886080308</v>
          </cell>
        </row>
        <row r="763">
          <cell r="A763" t="str">
            <v>SNSP6000Bk146000142950</v>
          </cell>
          <cell r="B763" t="str">
            <v>SNS</v>
          </cell>
          <cell r="C763" t="str">
            <v>P6000Bk14</v>
          </cell>
          <cell r="D763" t="str">
            <v>6000</v>
          </cell>
          <cell r="E763">
            <v>1429</v>
          </cell>
          <cell r="F763">
            <v>50</v>
          </cell>
          <cell r="G763">
            <v>6214.697685960612</v>
          </cell>
          <cell r="H763">
            <v>0.26068036412718559</v>
          </cell>
          <cell r="I763">
            <v>3.2559007007934748</v>
          </cell>
          <cell r="J763">
            <v>13.359141295281692</v>
          </cell>
          <cell r="K763">
            <v>17.470263491729199</v>
          </cell>
        </row>
        <row r="764">
          <cell r="A764" t="str">
            <v>SNSP6000Bk146000142960</v>
          </cell>
          <cell r="B764" t="str">
            <v>SNS</v>
          </cell>
          <cell r="C764" t="str">
            <v>P6000Bk14</v>
          </cell>
          <cell r="D764" t="str">
            <v>6000</v>
          </cell>
          <cell r="E764">
            <v>1429</v>
          </cell>
          <cell r="F764">
            <v>60</v>
          </cell>
          <cell r="G764">
            <v>6149.1724460504156</v>
          </cell>
          <cell r="H764">
            <v>0.22757671476628724</v>
          </cell>
          <cell r="I764">
            <v>3.0831929253231722</v>
          </cell>
          <cell r="J764">
            <v>13.316715551014401</v>
          </cell>
          <cell r="K764">
            <v>17.9356442978793</v>
          </cell>
        </row>
        <row r="765">
          <cell r="A765" t="str">
            <v>SNSP6000Bk146000143040</v>
          </cell>
          <cell r="B765" t="str">
            <v>SNS</v>
          </cell>
          <cell r="C765" t="str">
            <v>P6000Bk14</v>
          </cell>
          <cell r="D765" t="str">
            <v>6000</v>
          </cell>
          <cell r="E765">
            <v>1430</v>
          </cell>
          <cell r="F765">
            <v>40</v>
          </cell>
          <cell r="G765">
            <v>6143.3356186656592</v>
          </cell>
          <cell r="H765">
            <v>0.19657136133248426</v>
          </cell>
          <cell r="I765">
            <v>3.0777184698410638</v>
          </cell>
          <cell r="J765">
            <v>13.138351430485834</v>
          </cell>
          <cell r="K765">
            <v>17.368187057430188</v>
          </cell>
        </row>
        <row r="766">
          <cell r="A766" t="str">
            <v>SNSP6000Bk146000143050</v>
          </cell>
          <cell r="B766" t="str">
            <v>SNS</v>
          </cell>
          <cell r="C766" t="str">
            <v>P6000Bk14</v>
          </cell>
          <cell r="D766" t="str">
            <v>6000</v>
          </cell>
          <cell r="E766">
            <v>1430</v>
          </cell>
          <cell r="F766">
            <v>50</v>
          </cell>
          <cell r="G766">
            <v>6099.3518131302735</v>
          </cell>
          <cell r="H766">
            <v>0.23793261688389236</v>
          </cell>
          <cell r="I766">
            <v>3.6509491057198429</v>
          </cell>
          <cell r="J766">
            <v>13.309764850970627</v>
          </cell>
          <cell r="K766">
            <v>17.559774868767281</v>
          </cell>
        </row>
        <row r="767">
          <cell r="A767" t="str">
            <v>SNSP6000Bk146000143060</v>
          </cell>
          <cell r="B767" t="str">
            <v>SNS</v>
          </cell>
          <cell r="C767" t="str">
            <v>P6000Bk14</v>
          </cell>
          <cell r="D767" t="str">
            <v>6000</v>
          </cell>
          <cell r="E767">
            <v>1430</v>
          </cell>
          <cell r="F767">
            <v>60</v>
          </cell>
          <cell r="G767">
            <v>6110.2958417646623</v>
          </cell>
          <cell r="H767">
            <v>0.26063062659146896</v>
          </cell>
          <cell r="I767">
            <v>3.672392896337294</v>
          </cell>
          <cell r="J767">
            <v>13.586297873533134</v>
          </cell>
          <cell r="K767">
            <v>17.722889837646917</v>
          </cell>
        </row>
        <row r="768">
          <cell r="A768" t="str">
            <v>SNSP6000Bk146600143050</v>
          </cell>
          <cell r="B768" t="str">
            <v>SNS</v>
          </cell>
          <cell r="C768" t="str">
            <v>P6000Bk14</v>
          </cell>
          <cell r="D768" t="str">
            <v>6600</v>
          </cell>
          <cell r="E768">
            <v>1430</v>
          </cell>
          <cell r="F768">
            <v>50</v>
          </cell>
          <cell r="G768">
            <v>6133.68359375</v>
          </cell>
          <cell r="H768">
            <v>0.2963397204875946</v>
          </cell>
          <cell r="I768">
            <v>4.9173831939697266</v>
          </cell>
          <cell r="J768">
            <v>12.903523445129395</v>
          </cell>
          <cell r="K768">
            <v>17.58000373840332</v>
          </cell>
        </row>
        <row r="769">
          <cell r="A769" t="str">
            <v>SNSP6000Bk146600143060</v>
          </cell>
          <cell r="B769" t="str">
            <v>SNS</v>
          </cell>
          <cell r="C769" t="str">
            <v>P6000Bk14</v>
          </cell>
          <cell r="D769" t="str">
            <v>6600</v>
          </cell>
          <cell r="E769">
            <v>1430</v>
          </cell>
          <cell r="F769">
            <v>60</v>
          </cell>
          <cell r="G769">
            <v>6138.8388671875</v>
          </cell>
          <cell r="H769">
            <v>0.29485607147216797</v>
          </cell>
          <cell r="I769">
            <v>4.7682938575744629</v>
          </cell>
          <cell r="J769">
            <v>12.811248779296875</v>
          </cell>
          <cell r="K769">
            <v>17.443218231201172</v>
          </cell>
        </row>
        <row r="770">
          <cell r="A770" t="str">
            <v>SNSP6000Bk146000143150</v>
          </cell>
          <cell r="B770" t="str">
            <v>SNS</v>
          </cell>
          <cell r="C770" t="str">
            <v>P6000Bk14</v>
          </cell>
          <cell r="D770" t="str">
            <v>6000</v>
          </cell>
          <cell r="E770">
            <v>1431</v>
          </cell>
          <cell r="F770">
            <v>50</v>
          </cell>
          <cell r="G770">
            <v>6118.2598616206378</v>
          </cell>
          <cell r="H770">
            <v>0.25553538054696906</v>
          </cell>
          <cell r="I770">
            <v>3.5619656416176078</v>
          </cell>
          <cell r="J770">
            <v>13.934373754992057</v>
          </cell>
          <cell r="K770">
            <v>17.730075351559645</v>
          </cell>
        </row>
        <row r="771">
          <cell r="A771" t="str">
            <v>SNSP6000Bk146000143160</v>
          </cell>
          <cell r="B771" t="str">
            <v>SNS</v>
          </cell>
          <cell r="C771" t="str">
            <v>P6000Bk14</v>
          </cell>
          <cell r="D771" t="str">
            <v>6000</v>
          </cell>
          <cell r="E771">
            <v>1431</v>
          </cell>
          <cell r="F771">
            <v>60</v>
          </cell>
          <cell r="G771">
            <v>6180.2093598252795</v>
          </cell>
          <cell r="H771">
            <v>0.25242367046410213</v>
          </cell>
          <cell r="I771">
            <v>2.9914808100287367</v>
          </cell>
          <cell r="J771">
            <v>14.358385260457453</v>
          </cell>
          <cell r="K771">
            <v>17.981284679675099</v>
          </cell>
        </row>
        <row r="772">
          <cell r="A772" t="str">
            <v>SNSP6000Bk146600143260</v>
          </cell>
          <cell r="B772" t="str">
            <v>SNS</v>
          </cell>
          <cell r="C772" t="str">
            <v>P6000Bk14</v>
          </cell>
          <cell r="D772" t="str">
            <v>6600</v>
          </cell>
          <cell r="E772">
            <v>1432</v>
          </cell>
          <cell r="F772">
            <v>60</v>
          </cell>
          <cell r="G772">
            <v>6039.9429240479813</v>
          </cell>
          <cell r="H772">
            <v>0.32860240957910763</v>
          </cell>
          <cell r="I772">
            <v>6.6423008394930028</v>
          </cell>
          <cell r="J772">
            <v>12.328839356857896</v>
          </cell>
          <cell r="K772">
            <v>16.704218956173996</v>
          </cell>
        </row>
        <row r="773">
          <cell r="A773" t="str">
            <v>SNSP6000Bk146600143270</v>
          </cell>
          <cell r="B773" t="str">
            <v>SNS</v>
          </cell>
          <cell r="C773" t="str">
            <v>P6000Bk14</v>
          </cell>
          <cell r="D773" t="str">
            <v>6600</v>
          </cell>
          <cell r="E773">
            <v>1432</v>
          </cell>
          <cell r="F773">
            <v>70</v>
          </cell>
          <cell r="G773">
            <v>6159.2249232467793</v>
          </cell>
          <cell r="H773">
            <v>0.36365319222369208</v>
          </cell>
          <cell r="I773">
            <v>5.0932357693285999</v>
          </cell>
          <cell r="J773">
            <v>12.393541778722394</v>
          </cell>
          <cell r="K773">
            <v>16.762732227981466</v>
          </cell>
        </row>
        <row r="774">
          <cell r="A774" t="str">
            <v>SNSP6000Bk146000143360</v>
          </cell>
          <cell r="B774" t="str">
            <v>SNS</v>
          </cell>
          <cell r="C774" t="str">
            <v>P6000Bk14</v>
          </cell>
          <cell r="D774" t="str">
            <v>6000</v>
          </cell>
          <cell r="E774">
            <v>1433</v>
          </cell>
          <cell r="F774">
            <v>60</v>
          </cell>
          <cell r="G774">
            <v>5973.7969818920374</v>
          </cell>
          <cell r="H774">
            <v>0.27302850090152536</v>
          </cell>
          <cell r="I774">
            <v>5.5172113077349296</v>
          </cell>
          <cell r="J774">
            <v>13.797134919099925</v>
          </cell>
          <cell r="K774">
            <v>18.059166715856126</v>
          </cell>
        </row>
        <row r="775">
          <cell r="A775" t="str">
            <v>SNSP6000Bk146000143370</v>
          </cell>
          <cell r="B775" t="str">
            <v>SNS</v>
          </cell>
          <cell r="C775" t="str">
            <v>P6000Bk14</v>
          </cell>
          <cell r="D775" t="str">
            <v>6000</v>
          </cell>
          <cell r="E775">
            <v>1433</v>
          </cell>
          <cell r="F775">
            <v>70</v>
          </cell>
          <cell r="G775">
            <v>6213.4892367778302</v>
          </cell>
          <cell r="H775">
            <v>0.20927112642030135</v>
          </cell>
          <cell r="I775">
            <v>2.3172477881596962</v>
          </cell>
          <cell r="J775">
            <v>14.842481757957746</v>
          </cell>
          <cell r="K775">
            <v>18.221365526623703</v>
          </cell>
        </row>
        <row r="776">
          <cell r="A776" t="str">
            <v>SNSP6000Bk146600143360</v>
          </cell>
          <cell r="B776" t="str">
            <v>SNS</v>
          </cell>
          <cell r="C776" t="str">
            <v>P6000Bk14</v>
          </cell>
          <cell r="D776" t="str">
            <v>6600</v>
          </cell>
          <cell r="E776">
            <v>1433</v>
          </cell>
          <cell r="F776">
            <v>60</v>
          </cell>
          <cell r="G776">
            <v>6040.8107540302499</v>
          </cell>
          <cell r="H776">
            <v>0.29771938511402452</v>
          </cell>
          <cell r="I776">
            <v>14.234236952055712</v>
          </cell>
          <cell r="J776">
            <v>12.635455417002667</v>
          </cell>
          <cell r="K776">
            <v>16.792721900922949</v>
          </cell>
        </row>
        <row r="777">
          <cell r="A777" t="str">
            <v>SNSP6000Bk146600143370</v>
          </cell>
          <cell r="B777" t="str">
            <v>SNS</v>
          </cell>
          <cell r="C777" t="str">
            <v>P6000Bk14</v>
          </cell>
          <cell r="D777" t="str">
            <v>6600</v>
          </cell>
          <cell r="E777">
            <v>1433</v>
          </cell>
          <cell r="F777">
            <v>70</v>
          </cell>
          <cell r="G777">
            <v>6116.6021303765501</v>
          </cell>
          <cell r="H777">
            <v>0.32996398742977867</v>
          </cell>
          <cell r="I777">
            <v>4.5737900050773943</v>
          </cell>
          <cell r="J777">
            <v>12.991024380706882</v>
          </cell>
          <cell r="K777">
            <v>17.01255824879329</v>
          </cell>
        </row>
        <row r="778">
          <cell r="A778" t="str">
            <v>SNSP6000Bk146000143460</v>
          </cell>
          <cell r="B778" t="str">
            <v>SNS</v>
          </cell>
          <cell r="C778" t="str">
            <v>P6000Bk14</v>
          </cell>
          <cell r="D778" t="str">
            <v>6000</v>
          </cell>
          <cell r="E778">
            <v>1434</v>
          </cell>
          <cell r="F778">
            <v>60</v>
          </cell>
          <cell r="G778">
            <v>5829.8490079678149</v>
          </cell>
          <cell r="H778">
            <v>0.24756184286329297</v>
          </cell>
          <cell r="I778">
            <v>5.9841493151590814</v>
          </cell>
          <cell r="J778">
            <v>14.94482610809731</v>
          </cell>
          <cell r="K778">
            <v>18.855911774795185</v>
          </cell>
        </row>
        <row r="779">
          <cell r="A779" t="str">
            <v>SNSP6000Bk146000143470</v>
          </cell>
          <cell r="B779" t="str">
            <v>SNS</v>
          </cell>
          <cell r="C779" t="str">
            <v>P6000Bk14</v>
          </cell>
          <cell r="D779" t="str">
            <v>6000</v>
          </cell>
          <cell r="E779">
            <v>1434</v>
          </cell>
          <cell r="F779">
            <v>70</v>
          </cell>
          <cell r="G779">
            <v>6215.6564774234321</v>
          </cell>
          <cell r="H779">
            <v>0.23267668259953561</v>
          </cell>
          <cell r="I779">
            <v>2.9105007003937429</v>
          </cell>
          <cell r="J779">
            <v>14.145835174318639</v>
          </cell>
          <cell r="K779">
            <v>18.52084525941531</v>
          </cell>
        </row>
        <row r="780">
          <cell r="A780" t="str">
            <v>SNSP6000Bk146000143480</v>
          </cell>
          <cell r="B780" t="str">
            <v>SNS</v>
          </cell>
          <cell r="C780" t="str">
            <v>P6000Bk14</v>
          </cell>
          <cell r="D780" t="str">
            <v>6000</v>
          </cell>
          <cell r="E780">
            <v>1434</v>
          </cell>
          <cell r="F780">
            <v>80</v>
          </cell>
          <cell r="G780">
            <v>6237.0315451537208</v>
          </cell>
          <cell r="H780">
            <v>0.19854795129100439</v>
          </cell>
          <cell r="I780">
            <v>2.3852207291147312</v>
          </cell>
          <cell r="J780">
            <v>14.397891744647705</v>
          </cell>
          <cell r="K780">
            <v>18.950981599668705</v>
          </cell>
        </row>
        <row r="781">
          <cell r="A781" t="str">
            <v>SNSP6000Bk146600143460</v>
          </cell>
          <cell r="B781" t="str">
            <v>SNS</v>
          </cell>
          <cell r="C781" t="str">
            <v>P6000Bk14</v>
          </cell>
          <cell r="D781" t="str">
            <v>6600</v>
          </cell>
          <cell r="E781">
            <v>1434</v>
          </cell>
          <cell r="F781">
            <v>60</v>
          </cell>
          <cell r="G781">
            <v>6041.6094854667799</v>
          </cell>
          <cell r="H781">
            <v>0.31242519374556904</v>
          </cell>
          <cell r="I781">
            <v>11.353255932188071</v>
          </cell>
          <cell r="J781">
            <v>12.438753330006671</v>
          </cell>
          <cell r="K781">
            <v>16.697614204547062</v>
          </cell>
        </row>
        <row r="782">
          <cell r="A782" t="str">
            <v>SNSP6000Bk146000143580</v>
          </cell>
          <cell r="B782" t="str">
            <v>SNS</v>
          </cell>
          <cell r="C782" t="str">
            <v>P6000Bk14</v>
          </cell>
          <cell r="D782" t="str">
            <v>6000</v>
          </cell>
          <cell r="E782">
            <v>1435</v>
          </cell>
          <cell r="F782">
            <v>80</v>
          </cell>
          <cell r="G782">
            <v>6271.96044921875</v>
          </cell>
          <cell r="H782">
            <v>0.19777654111385345</v>
          </cell>
          <cell r="I782">
            <v>2.2748582363128662</v>
          </cell>
          <cell r="J782">
            <v>14.157975196838379</v>
          </cell>
          <cell r="K782">
            <v>18.748062133789063</v>
          </cell>
        </row>
        <row r="783">
          <cell r="A783" t="str">
            <v>SNSP6000Bk146000143560</v>
          </cell>
          <cell r="B783" t="str">
            <v>SNS</v>
          </cell>
          <cell r="C783" t="str">
            <v>P6000Bk14</v>
          </cell>
          <cell r="D783" t="str">
            <v>6000</v>
          </cell>
          <cell r="E783">
            <v>1435</v>
          </cell>
          <cell r="F783">
            <v>60</v>
          </cell>
          <cell r="G783">
            <v>5870.3791922810069</v>
          </cell>
          <cell r="H783">
            <v>0.34506461826525364</v>
          </cell>
          <cell r="I783">
            <v>8.2698710255473902</v>
          </cell>
          <cell r="J783">
            <v>13.280670817153121</v>
          </cell>
          <cell r="K783">
            <v>17.438092560604407</v>
          </cell>
        </row>
        <row r="784">
          <cell r="A784" t="str">
            <v>SNSP6000Bk146600143560</v>
          </cell>
          <cell r="B784" t="str">
            <v>SNS</v>
          </cell>
          <cell r="C784" t="str">
            <v>P6000Bk14</v>
          </cell>
          <cell r="D784" t="str">
            <v>6600</v>
          </cell>
          <cell r="E784">
            <v>1435</v>
          </cell>
          <cell r="F784">
            <v>60</v>
          </cell>
          <cell r="G784">
            <v>6124.3437255602867</v>
          </cell>
          <cell r="H784">
            <v>0.32377204504198676</v>
          </cell>
          <cell r="I784">
            <v>5.0835473089789227</v>
          </cell>
          <cell r="J784">
            <v>12.625440430595942</v>
          </cell>
          <cell r="K784">
            <v>17.056406128974928</v>
          </cell>
        </row>
        <row r="785">
          <cell r="A785" t="str">
            <v>SNSP6000Bk146000143650</v>
          </cell>
          <cell r="B785" t="str">
            <v>SNS</v>
          </cell>
          <cell r="C785" t="str">
            <v>P6000Bk14</v>
          </cell>
          <cell r="D785" t="str">
            <v>6000</v>
          </cell>
          <cell r="E785">
            <v>1436</v>
          </cell>
          <cell r="F785">
            <v>50</v>
          </cell>
          <cell r="G785">
            <v>6018.646257140138</v>
          </cell>
          <cell r="H785">
            <v>0.30835411932405876</v>
          </cell>
          <cell r="I785">
            <v>5.3157516657353812</v>
          </cell>
          <cell r="J785">
            <v>13.920743842402194</v>
          </cell>
          <cell r="K785">
            <v>17.87605099459384</v>
          </cell>
        </row>
        <row r="786">
          <cell r="A786" t="str">
            <v>SNSP6000Bk146000143660</v>
          </cell>
          <cell r="B786" t="str">
            <v>SNS</v>
          </cell>
          <cell r="C786" t="str">
            <v>P6000Bk14</v>
          </cell>
          <cell r="D786" t="str">
            <v>6000</v>
          </cell>
          <cell r="E786">
            <v>1436</v>
          </cell>
          <cell r="F786">
            <v>60</v>
          </cell>
          <cell r="G786">
            <v>5870.2005092767768</v>
          </cell>
          <cell r="H786">
            <v>0.2976637370611247</v>
          </cell>
          <cell r="I786">
            <v>7.8461301026317978</v>
          </cell>
          <cell r="J786">
            <v>13.295190689438572</v>
          </cell>
          <cell r="K786">
            <v>17.431498691398026</v>
          </cell>
        </row>
        <row r="787">
          <cell r="A787" t="str">
            <v>SNSP6000Bk146000143670</v>
          </cell>
          <cell r="B787" t="str">
            <v>SNS</v>
          </cell>
          <cell r="C787" t="str">
            <v>P6000Bk14</v>
          </cell>
          <cell r="D787" t="str">
            <v>6000</v>
          </cell>
          <cell r="E787">
            <v>1436</v>
          </cell>
          <cell r="F787">
            <v>70</v>
          </cell>
          <cell r="G787">
            <v>6050.0248839776496</v>
          </cell>
          <cell r="H787">
            <v>0.37643874674096772</v>
          </cell>
          <cell r="I787">
            <v>5.2657516175746482</v>
          </cell>
          <cell r="J787">
            <v>13.812737847536761</v>
          </cell>
          <cell r="K787">
            <v>17.585392090204053</v>
          </cell>
        </row>
        <row r="788">
          <cell r="A788" t="str">
            <v>SNSP6000Bk146600143650</v>
          </cell>
          <cell r="B788" t="str">
            <v>SNS</v>
          </cell>
          <cell r="C788" t="str">
            <v>P6000Bk14</v>
          </cell>
          <cell r="D788" t="str">
            <v>6600</v>
          </cell>
          <cell r="E788">
            <v>1436</v>
          </cell>
          <cell r="F788">
            <v>50</v>
          </cell>
          <cell r="G788">
            <v>6134.365975642605</v>
          </cell>
          <cell r="H788">
            <v>0.29323921955248694</v>
          </cell>
          <cell r="I788">
            <v>4.7079292118897325</v>
          </cell>
          <cell r="J788">
            <v>12.926917901404799</v>
          </cell>
          <cell r="K788">
            <v>16.974828134677949</v>
          </cell>
        </row>
        <row r="789">
          <cell r="A789" t="str">
            <v>SNSP6000Bk146600143660</v>
          </cell>
          <cell r="B789" t="str">
            <v>SNS</v>
          </cell>
          <cell r="C789" t="str">
            <v>P6000Bk14</v>
          </cell>
          <cell r="D789" t="str">
            <v>6600</v>
          </cell>
          <cell r="E789">
            <v>1436</v>
          </cell>
          <cell r="F789">
            <v>60</v>
          </cell>
          <cell r="G789">
            <v>6152.0195141599252</v>
          </cell>
          <cell r="H789">
            <v>0.32488987770501399</v>
          </cell>
          <cell r="I789">
            <v>4.6291220827099488</v>
          </cell>
          <cell r="J789">
            <v>12.590019440510059</v>
          </cell>
          <cell r="K789">
            <v>16.709217325464348</v>
          </cell>
        </row>
        <row r="790">
          <cell r="A790" t="str">
            <v>SNSP6000Bk146000143750</v>
          </cell>
          <cell r="B790" t="str">
            <v>SNS</v>
          </cell>
          <cell r="C790" t="str">
            <v>P6000Bk14</v>
          </cell>
          <cell r="D790" t="str">
            <v>6000</v>
          </cell>
          <cell r="E790">
            <v>1437</v>
          </cell>
          <cell r="F790">
            <v>50</v>
          </cell>
          <cell r="G790">
            <v>5942.7982259874407</v>
          </cell>
          <cell r="H790">
            <v>0.30914011246062395</v>
          </cell>
          <cell r="I790">
            <v>7.5397208972209402</v>
          </cell>
          <cell r="J790">
            <v>13.354638616243552</v>
          </cell>
          <cell r="K790">
            <v>17.637046976640466</v>
          </cell>
        </row>
        <row r="791">
          <cell r="A791" t="str">
            <v>SNSP6000Bk146000143760</v>
          </cell>
          <cell r="B791" t="str">
            <v>SNS</v>
          </cell>
          <cell r="C791" t="str">
            <v>P6000Bk14</v>
          </cell>
          <cell r="D791" t="str">
            <v>6000</v>
          </cell>
          <cell r="E791">
            <v>1437</v>
          </cell>
          <cell r="F791">
            <v>60</v>
          </cell>
          <cell r="G791">
            <v>5957.4117077141027</v>
          </cell>
          <cell r="H791">
            <v>0.33184284316537282</v>
          </cell>
          <cell r="I791">
            <v>6.963246736080313</v>
          </cell>
          <cell r="J791">
            <v>13.511443164565556</v>
          </cell>
          <cell r="K791">
            <v>17.641451319352729</v>
          </cell>
        </row>
        <row r="792">
          <cell r="A792" t="str">
            <v>SNSP6000Bk146000143770</v>
          </cell>
          <cell r="B792" t="str">
            <v>SNS</v>
          </cell>
          <cell r="C792" t="str">
            <v>P6000Bk14</v>
          </cell>
          <cell r="D792" t="str">
            <v>6000</v>
          </cell>
          <cell r="E792">
            <v>1437</v>
          </cell>
          <cell r="F792">
            <v>70</v>
          </cell>
          <cell r="G792">
            <v>6049.90087890625</v>
          </cell>
          <cell r="H792">
            <v>0.3763258159160614</v>
          </cell>
          <cell r="I792">
            <v>5.2321105003356934</v>
          </cell>
          <cell r="J792">
            <v>13.823813438415527</v>
          </cell>
          <cell r="K792">
            <v>17.563283920288086</v>
          </cell>
        </row>
        <row r="793">
          <cell r="A793" t="str">
            <v>SNSP6000Bk146600143750</v>
          </cell>
          <cell r="B793" t="str">
            <v>SNS</v>
          </cell>
          <cell r="C793" t="str">
            <v>P6000Bk14</v>
          </cell>
          <cell r="D793" t="str">
            <v>6600</v>
          </cell>
          <cell r="E793">
            <v>1437</v>
          </cell>
          <cell r="F793">
            <v>50</v>
          </cell>
          <cell r="G793">
            <v>6087.1502911000043</v>
          </cell>
          <cell r="H793">
            <v>0.29911367907486952</v>
          </cell>
          <cell r="I793">
            <v>5.5664735983118403</v>
          </cell>
          <cell r="J793">
            <v>12.643292708550565</v>
          </cell>
          <cell r="K793">
            <v>16.880279188251336</v>
          </cell>
        </row>
        <row r="794">
          <cell r="A794" t="str">
            <v>SNSP6000Bk146600143760</v>
          </cell>
          <cell r="B794" t="str">
            <v>SNS</v>
          </cell>
          <cell r="C794" t="str">
            <v>P6000Bk14</v>
          </cell>
          <cell r="D794" t="str">
            <v>6600</v>
          </cell>
          <cell r="E794">
            <v>1437</v>
          </cell>
          <cell r="F794">
            <v>60</v>
          </cell>
          <cell r="G794">
            <v>6074.7807802127845</v>
          </cell>
          <cell r="H794">
            <v>0.29749333954490659</v>
          </cell>
          <cell r="I794">
            <v>5.7012819973379978</v>
          </cell>
          <cell r="J794">
            <v>12.64781875272058</v>
          </cell>
          <cell r="K794">
            <v>16.906351715582986</v>
          </cell>
        </row>
        <row r="795">
          <cell r="A795" t="str">
            <v>SNSP6000Bk146000143850</v>
          </cell>
          <cell r="B795" t="str">
            <v>SNS</v>
          </cell>
          <cell r="C795" t="str">
            <v>P6000Bk14</v>
          </cell>
          <cell r="D795" t="str">
            <v>6000</v>
          </cell>
          <cell r="E795">
            <v>1438</v>
          </cell>
          <cell r="F795">
            <v>50</v>
          </cell>
          <cell r="G795">
            <v>5954.3447934095375</v>
          </cell>
          <cell r="H795">
            <v>0.33590414155010262</v>
          </cell>
          <cell r="I795">
            <v>7.7302681868847722</v>
          </cell>
          <cell r="J795">
            <v>13.143310712308397</v>
          </cell>
          <cell r="K795">
            <v>17.295851153911258</v>
          </cell>
        </row>
        <row r="796">
          <cell r="A796" t="str">
            <v>SNSP6000Bk146000143860</v>
          </cell>
          <cell r="B796" t="str">
            <v>SNS</v>
          </cell>
          <cell r="C796" t="str">
            <v>P6000Bk14</v>
          </cell>
          <cell r="D796" t="str">
            <v>6000</v>
          </cell>
          <cell r="E796">
            <v>1438</v>
          </cell>
          <cell r="F796">
            <v>60</v>
          </cell>
          <cell r="G796">
            <v>5969.0896295081602</v>
          </cell>
          <cell r="H796">
            <v>0.38115285645622543</v>
          </cell>
          <cell r="I796">
            <v>7.0075389440877416</v>
          </cell>
          <cell r="J796">
            <v>13.453511912700275</v>
          </cell>
          <cell r="K796">
            <v>17.254774849582226</v>
          </cell>
        </row>
        <row r="797">
          <cell r="A797" t="str">
            <v>SNSP6000Bk146000143870</v>
          </cell>
          <cell r="B797" t="str">
            <v>SNS</v>
          </cell>
          <cell r="C797" t="str">
            <v>P6000Bk14</v>
          </cell>
          <cell r="D797" t="str">
            <v>6000</v>
          </cell>
          <cell r="E797">
            <v>1438</v>
          </cell>
          <cell r="F797">
            <v>70</v>
          </cell>
          <cell r="G797">
            <v>5985.7092966026776</v>
          </cell>
          <cell r="H797">
            <v>0.43973991960334236</v>
          </cell>
          <cell r="I797">
            <v>6.0887006499408596</v>
          </cell>
          <cell r="J797">
            <v>13.741960235599242</v>
          </cell>
          <cell r="K797">
            <v>17.104572041219232</v>
          </cell>
        </row>
        <row r="798">
          <cell r="A798" t="str">
            <v>SNSP6000Bk146000143880</v>
          </cell>
          <cell r="B798" t="str">
            <v>SNS</v>
          </cell>
          <cell r="C798" t="str">
            <v>P6000Bk14</v>
          </cell>
          <cell r="D798" t="str">
            <v>6000</v>
          </cell>
          <cell r="E798">
            <v>1438</v>
          </cell>
          <cell r="F798">
            <v>80</v>
          </cell>
          <cell r="G798">
            <v>5995.6083984375</v>
          </cell>
          <cell r="H798">
            <v>0.43098238110542297</v>
          </cell>
          <cell r="I798">
            <v>5.9795064926147461</v>
          </cell>
          <cell r="J798">
            <v>13.732150077819824</v>
          </cell>
          <cell r="K798">
            <v>17.128623962402344</v>
          </cell>
        </row>
        <row r="799">
          <cell r="A799" t="str">
            <v>SNSP6000Bk146600143850</v>
          </cell>
          <cell r="B799" t="str">
            <v>SNS</v>
          </cell>
          <cell r="C799" t="str">
            <v>P6000Bk14</v>
          </cell>
          <cell r="D799" t="str">
            <v>6600</v>
          </cell>
          <cell r="E799">
            <v>1438</v>
          </cell>
          <cell r="F799">
            <v>50</v>
          </cell>
          <cell r="G799">
            <v>6091.5761647834361</v>
          </cell>
          <cell r="H799">
            <v>0.2972514695951145</v>
          </cell>
          <cell r="I799">
            <v>5.6909305414013032</v>
          </cell>
          <cell r="J799">
            <v>12.572404434475967</v>
          </cell>
          <cell r="K799">
            <v>16.852685430445064</v>
          </cell>
        </row>
        <row r="800">
          <cell r="A800" t="str">
            <v>SNSP6000Bk146600143860</v>
          </cell>
          <cell r="B800" t="str">
            <v>SNS</v>
          </cell>
          <cell r="C800" t="str">
            <v>P6000Bk14</v>
          </cell>
          <cell r="D800" t="str">
            <v>6600</v>
          </cell>
          <cell r="E800">
            <v>1438</v>
          </cell>
          <cell r="F800">
            <v>60</v>
          </cell>
          <cell r="G800">
            <v>6089.0608544468441</v>
          </cell>
          <cell r="H800">
            <v>0.29483912814226543</v>
          </cell>
          <cell r="I800">
            <v>5.6555387535001289</v>
          </cell>
          <cell r="J800">
            <v>12.569524840784261</v>
          </cell>
          <cell r="K800">
            <v>16.951786638476385</v>
          </cell>
        </row>
        <row r="801">
          <cell r="A801" t="str">
            <v>SNSP6000Bk146000143960</v>
          </cell>
          <cell r="B801" t="str">
            <v>SNS</v>
          </cell>
          <cell r="C801" t="str">
            <v>P6000Bk14</v>
          </cell>
          <cell r="D801" t="str">
            <v>6000</v>
          </cell>
          <cell r="E801">
            <v>1439</v>
          </cell>
          <cell r="F801">
            <v>60</v>
          </cell>
          <cell r="G801">
            <v>5963.7788194305931</v>
          </cell>
          <cell r="H801">
            <v>0.35135312465689722</v>
          </cell>
          <cell r="I801">
            <v>7.9654127430772821</v>
          </cell>
          <cell r="J801">
            <v>13.236164181145611</v>
          </cell>
          <cell r="K801">
            <v>17.020870933606503</v>
          </cell>
        </row>
        <row r="802">
          <cell r="A802" t="str">
            <v>SNSP6000Bk146000143950</v>
          </cell>
          <cell r="B802" t="str">
            <v>SNS</v>
          </cell>
          <cell r="C802" t="str">
            <v>P6000Bk14</v>
          </cell>
          <cell r="D802" t="str">
            <v>6000</v>
          </cell>
          <cell r="E802">
            <v>1439</v>
          </cell>
          <cell r="F802">
            <v>50</v>
          </cell>
          <cell r="G802">
            <v>5947.8707609061057</v>
          </cell>
          <cell r="H802">
            <v>0.37333567032121973</v>
          </cell>
          <cell r="I802">
            <v>7.7829057302931828</v>
          </cell>
          <cell r="J802">
            <v>13.295211093217825</v>
          </cell>
          <cell r="K802">
            <v>17.047532582681701</v>
          </cell>
        </row>
        <row r="803">
          <cell r="A803" t="str">
            <v>SNSP6000Bk146000143970</v>
          </cell>
          <cell r="B803" t="str">
            <v>SNS</v>
          </cell>
          <cell r="C803" t="str">
            <v>P6000Bk14</v>
          </cell>
          <cell r="D803" t="str">
            <v>6000</v>
          </cell>
          <cell r="E803">
            <v>1439</v>
          </cell>
          <cell r="F803">
            <v>70</v>
          </cell>
          <cell r="G803">
            <v>5917.0745871660638</v>
          </cell>
          <cell r="H803">
            <v>0.57510142932650588</v>
          </cell>
          <cell r="I803">
            <v>7.2941976806546354</v>
          </cell>
          <cell r="J803">
            <v>13.642599578295568</v>
          </cell>
          <cell r="K803">
            <v>16.351607116014961</v>
          </cell>
        </row>
        <row r="804">
          <cell r="A804" t="str">
            <v>SNSP6000Bk146000143980</v>
          </cell>
          <cell r="B804" t="str">
            <v>SNS</v>
          </cell>
          <cell r="C804" t="str">
            <v>P6000Bk14</v>
          </cell>
          <cell r="D804" t="str">
            <v>6000</v>
          </cell>
          <cell r="E804">
            <v>1439</v>
          </cell>
          <cell r="F804">
            <v>80</v>
          </cell>
          <cell r="G804">
            <v>5929.9161188372145</v>
          </cell>
          <cell r="H804">
            <v>0.54824503599447716</v>
          </cell>
          <cell r="I804">
            <v>7.0988851760187535</v>
          </cell>
          <cell r="J804">
            <v>13.622781157737013</v>
          </cell>
          <cell r="K804">
            <v>16.468685412288242</v>
          </cell>
        </row>
        <row r="805">
          <cell r="A805" t="str">
            <v>SNSP6000Bk146600143950</v>
          </cell>
          <cell r="B805" t="str">
            <v>SNS</v>
          </cell>
          <cell r="C805" t="str">
            <v>P6000Bk14</v>
          </cell>
          <cell r="D805" t="str">
            <v>6600</v>
          </cell>
          <cell r="E805">
            <v>1439</v>
          </cell>
          <cell r="F805">
            <v>50</v>
          </cell>
          <cell r="G805">
            <v>6174.0042360466323</v>
          </cell>
          <cell r="H805">
            <v>0.28807343762238408</v>
          </cell>
          <cell r="I805">
            <v>4.5128661152601897</v>
          </cell>
          <cell r="J805">
            <v>13.583568946127583</v>
          </cell>
          <cell r="K805">
            <v>16.727495075978378</v>
          </cell>
        </row>
        <row r="806">
          <cell r="A806" t="str">
            <v>SNSP6000Bk146600143960</v>
          </cell>
          <cell r="B806" t="str">
            <v>SNS</v>
          </cell>
          <cell r="C806" t="str">
            <v>P6000Bk14</v>
          </cell>
          <cell r="D806" t="str">
            <v>6600</v>
          </cell>
          <cell r="E806">
            <v>1439</v>
          </cell>
          <cell r="F806">
            <v>60</v>
          </cell>
          <cell r="G806">
            <v>6117.1792116317583</v>
          </cell>
          <cell r="H806">
            <v>0.29764253832184129</v>
          </cell>
          <cell r="I806">
            <v>5.4838979153911307</v>
          </cell>
          <cell r="J806">
            <v>13.574786309150733</v>
          </cell>
          <cell r="K806">
            <v>16.679001802198702</v>
          </cell>
        </row>
        <row r="807">
          <cell r="A807" t="str">
            <v>SNSP6000Bk146000144080</v>
          </cell>
          <cell r="B807" t="str">
            <v>SNS</v>
          </cell>
          <cell r="C807" t="str">
            <v>P6000Bk14</v>
          </cell>
          <cell r="D807" t="str">
            <v>6000</v>
          </cell>
          <cell r="E807">
            <v>1440</v>
          </cell>
          <cell r="F807">
            <v>80</v>
          </cell>
          <cell r="G807">
            <v>6126.622029691699</v>
          </cell>
          <cell r="H807">
            <v>0.33108768201806249</v>
          </cell>
          <cell r="I807">
            <v>5.2873453265550721</v>
          </cell>
          <cell r="J807">
            <v>13.104585089560512</v>
          </cell>
          <cell r="K807">
            <v>16.33009696045881</v>
          </cell>
        </row>
        <row r="808">
          <cell r="A808" t="str">
            <v>SNSP6000Bk146000144060</v>
          </cell>
          <cell r="B808" t="str">
            <v>SNS</v>
          </cell>
          <cell r="C808" t="str">
            <v>P6000Bk14</v>
          </cell>
          <cell r="D808" t="str">
            <v>6000</v>
          </cell>
          <cell r="E808">
            <v>1440</v>
          </cell>
          <cell r="F808">
            <v>60</v>
          </cell>
          <cell r="G808">
            <v>6061.1480560159225</v>
          </cell>
          <cell r="H808">
            <v>0.25989659752233779</v>
          </cell>
          <cell r="I808">
            <v>7.4029239257965216</v>
          </cell>
          <cell r="J808">
            <v>12.86228356552069</v>
          </cell>
          <cell r="K808">
            <v>16.797729010741588</v>
          </cell>
        </row>
        <row r="809">
          <cell r="A809" t="str">
            <v>SNSP6000Bk146000144070</v>
          </cell>
          <cell r="B809" t="str">
            <v>SNS</v>
          </cell>
          <cell r="C809" t="str">
            <v>P6000Bk14</v>
          </cell>
          <cell r="D809" t="str">
            <v>6000</v>
          </cell>
          <cell r="E809">
            <v>1440</v>
          </cell>
          <cell r="F809">
            <v>70</v>
          </cell>
          <cell r="G809">
            <v>5994.6045611506252</v>
          </cell>
          <cell r="H809">
            <v>0.34124618849743921</v>
          </cell>
          <cell r="I809">
            <v>8.1070027667488826</v>
          </cell>
          <cell r="J809">
            <v>12.850343076156982</v>
          </cell>
          <cell r="K809">
            <v>16.715554553752689</v>
          </cell>
        </row>
        <row r="810">
          <cell r="A810" t="str">
            <v>SNSP6000Bk146600144060</v>
          </cell>
          <cell r="B810" t="str">
            <v>SNS</v>
          </cell>
          <cell r="C810" t="str">
            <v>P6000Bk14</v>
          </cell>
          <cell r="D810" t="str">
            <v>6600</v>
          </cell>
          <cell r="E810">
            <v>1440</v>
          </cell>
          <cell r="F810">
            <v>60</v>
          </cell>
          <cell r="G810">
            <v>6025.859024029759</v>
          </cell>
          <cell r="H810">
            <v>0.28977062499680151</v>
          </cell>
          <cell r="I810">
            <v>6.8141733819355013</v>
          </cell>
          <cell r="J810">
            <v>13.471981228429337</v>
          </cell>
          <cell r="K810">
            <v>16.785438732569336</v>
          </cell>
        </row>
        <row r="811">
          <cell r="A811" t="str">
            <v>SNSP6000Bk146600144070</v>
          </cell>
          <cell r="B811" t="str">
            <v>SNS</v>
          </cell>
          <cell r="C811" t="str">
            <v>P6000Bk14</v>
          </cell>
          <cell r="D811" t="str">
            <v>6600</v>
          </cell>
          <cell r="E811">
            <v>1440</v>
          </cell>
          <cell r="F811">
            <v>70</v>
          </cell>
          <cell r="G811">
            <v>6070.2202069372497</v>
          </cell>
          <cell r="H811">
            <v>0.27938047716229941</v>
          </cell>
          <cell r="I811">
            <v>5.9268603834989761</v>
          </cell>
          <cell r="J811">
            <v>13.26426416469366</v>
          </cell>
          <cell r="K811">
            <v>17.185241390002574</v>
          </cell>
        </row>
        <row r="812">
          <cell r="A812" t="str">
            <v>SNSP6000Bk146000144180</v>
          </cell>
          <cell r="B812" t="str">
            <v>SNS</v>
          </cell>
          <cell r="C812" t="str">
            <v>P6000Bk14</v>
          </cell>
          <cell r="D812" t="str">
            <v>6000</v>
          </cell>
          <cell r="E812">
            <v>1441</v>
          </cell>
          <cell r="F812">
            <v>80</v>
          </cell>
          <cell r="G812">
            <v>6038.3700521853252</v>
          </cell>
          <cell r="H812">
            <v>0.2743493977831557</v>
          </cell>
          <cell r="I812">
            <v>7.9240546348378871</v>
          </cell>
          <cell r="J812">
            <v>12.68452313160701</v>
          </cell>
          <cell r="K812">
            <v>17.008565851788145</v>
          </cell>
        </row>
        <row r="813">
          <cell r="A813" t="str">
            <v>SNSP6000Bk146000144160</v>
          </cell>
          <cell r="B813" t="str">
            <v>SNS</v>
          </cell>
          <cell r="C813" t="str">
            <v>P6000Bk14</v>
          </cell>
          <cell r="D813" t="str">
            <v>6000</v>
          </cell>
          <cell r="E813">
            <v>1441</v>
          </cell>
          <cell r="F813">
            <v>60</v>
          </cell>
          <cell r="G813">
            <v>6087.5575669151858</v>
          </cell>
          <cell r="H813">
            <v>0.25466361748452881</v>
          </cell>
          <cell r="I813">
            <v>6.8523242096738608</v>
          </cell>
          <cell r="J813">
            <v>12.792284365515489</v>
          </cell>
          <cell r="K813">
            <v>16.818232781054778</v>
          </cell>
        </row>
        <row r="814">
          <cell r="A814" t="str">
            <v>SNSP6000Bk146000144170</v>
          </cell>
          <cell r="B814" t="str">
            <v>SNS</v>
          </cell>
          <cell r="C814" t="str">
            <v>P6000Bk14</v>
          </cell>
          <cell r="D814" t="str">
            <v>6000</v>
          </cell>
          <cell r="E814">
            <v>1441</v>
          </cell>
          <cell r="F814">
            <v>70</v>
          </cell>
          <cell r="G814">
            <v>6084.77508576127</v>
          </cell>
          <cell r="H814">
            <v>0.26525561296275668</v>
          </cell>
          <cell r="I814">
            <v>6.6833378334762452</v>
          </cell>
          <cell r="J814">
            <v>12.783656471792764</v>
          </cell>
          <cell r="K814">
            <v>16.665402544044134</v>
          </cell>
        </row>
        <row r="815">
          <cell r="A815" t="str">
            <v>SNSP6000Bk146600144160</v>
          </cell>
          <cell r="B815" t="str">
            <v>SNS</v>
          </cell>
          <cell r="C815" t="str">
            <v>P6000Bk14</v>
          </cell>
          <cell r="D815" t="str">
            <v>6600</v>
          </cell>
          <cell r="E815">
            <v>1441</v>
          </cell>
          <cell r="F815">
            <v>60</v>
          </cell>
          <cell r="G815">
            <v>6093.3912343645188</v>
          </cell>
          <cell r="H815">
            <v>0.28042960230664538</v>
          </cell>
          <cell r="I815">
            <v>5.7218583646678285</v>
          </cell>
          <cell r="J815">
            <v>13.239146746158553</v>
          </cell>
          <cell r="K815">
            <v>17.150089979999549</v>
          </cell>
        </row>
        <row r="816">
          <cell r="A816" t="str">
            <v>SNSP6000Bk146600144170</v>
          </cell>
          <cell r="B816" t="str">
            <v>SNS</v>
          </cell>
          <cell r="C816" t="str">
            <v>P6000Bk14</v>
          </cell>
          <cell r="D816" t="str">
            <v>6600</v>
          </cell>
          <cell r="E816">
            <v>1441</v>
          </cell>
          <cell r="F816">
            <v>70</v>
          </cell>
          <cell r="G816">
            <v>6158.1947562701989</v>
          </cell>
          <cell r="H816">
            <v>0.28070076291509805</v>
          </cell>
          <cell r="I816">
            <v>5.3977656951610928</v>
          </cell>
          <cell r="J816">
            <v>13.21574081563616</v>
          </cell>
          <cell r="K816">
            <v>16.927663701046942</v>
          </cell>
        </row>
        <row r="817">
          <cell r="A817" t="str">
            <v>SNSP6000Bk146000144270</v>
          </cell>
          <cell r="B817" t="str">
            <v>SNS</v>
          </cell>
          <cell r="C817" t="str">
            <v>P6000Bk14</v>
          </cell>
          <cell r="D817" t="str">
            <v>6000</v>
          </cell>
          <cell r="E817">
            <v>1442</v>
          </cell>
          <cell r="F817">
            <v>70</v>
          </cell>
          <cell r="G817">
            <v>6119.0969491861251</v>
          </cell>
          <cell r="H817">
            <v>0.23619671428367295</v>
          </cell>
          <cell r="I817">
            <v>6.3883889324782279</v>
          </cell>
          <cell r="J817">
            <v>12.704189889768239</v>
          </cell>
          <cell r="K817">
            <v>16.654422479105879</v>
          </cell>
        </row>
        <row r="818">
          <cell r="A818" t="str">
            <v>SNSP6000Bk146000144280</v>
          </cell>
          <cell r="B818" t="str">
            <v>SNS</v>
          </cell>
          <cell r="C818" t="str">
            <v>P6000Bk14</v>
          </cell>
          <cell r="D818" t="str">
            <v>6000</v>
          </cell>
          <cell r="E818">
            <v>1442</v>
          </cell>
          <cell r="F818">
            <v>80</v>
          </cell>
          <cell r="G818">
            <v>6123.9884562831448</v>
          </cell>
          <cell r="H818">
            <v>0.31839628679711363</v>
          </cell>
          <cell r="I818">
            <v>5.7411064805499681</v>
          </cell>
          <cell r="J818">
            <v>13.113807511471933</v>
          </cell>
          <cell r="K818">
            <v>16.736524700035474</v>
          </cell>
        </row>
        <row r="819">
          <cell r="A819" t="str">
            <v>SNSP6000Bk146000144290</v>
          </cell>
          <cell r="B819" t="str">
            <v>SNS</v>
          </cell>
          <cell r="C819" t="str">
            <v>P6000Bk14</v>
          </cell>
          <cell r="D819" t="str">
            <v>6000</v>
          </cell>
          <cell r="E819">
            <v>1442</v>
          </cell>
          <cell r="F819">
            <v>90</v>
          </cell>
          <cell r="G819">
            <v>6117.947265625</v>
          </cell>
          <cell r="H819">
            <v>0.36948373913764954</v>
          </cell>
          <cell r="I819">
            <v>5.3586912155151367</v>
          </cell>
          <cell r="J819">
            <v>13.230937957763672</v>
          </cell>
          <cell r="K819">
            <v>16.473505020141602</v>
          </cell>
        </row>
        <row r="820">
          <cell r="A820" t="str">
            <v>SNSP6000Bk146600144270</v>
          </cell>
          <cell r="B820" t="str">
            <v>SNS</v>
          </cell>
          <cell r="C820" t="str">
            <v>P6000Bk14</v>
          </cell>
          <cell r="D820" t="str">
            <v>6600</v>
          </cell>
          <cell r="E820">
            <v>1442</v>
          </cell>
          <cell r="F820">
            <v>70</v>
          </cell>
          <cell r="G820">
            <v>6217.9936715296726</v>
          </cell>
          <cell r="H820">
            <v>0.30531151473685059</v>
          </cell>
          <cell r="I820">
            <v>5.170008180455528</v>
          </cell>
          <cell r="J820">
            <v>13.024564838278186</v>
          </cell>
          <cell r="K820">
            <v>16.992060434754858</v>
          </cell>
        </row>
        <row r="821">
          <cell r="A821" t="str">
            <v>SNSP6000Bk146600144280</v>
          </cell>
          <cell r="B821" t="str">
            <v>SNS</v>
          </cell>
          <cell r="C821" t="str">
            <v>P6000Bk14</v>
          </cell>
          <cell r="D821" t="str">
            <v>6600</v>
          </cell>
          <cell r="E821">
            <v>1442</v>
          </cell>
          <cell r="F821">
            <v>80</v>
          </cell>
          <cell r="G821">
            <v>6219.2315740544691</v>
          </cell>
          <cell r="H821">
            <v>0.31987235558975391</v>
          </cell>
          <cell r="I821">
            <v>5.1540152620381106</v>
          </cell>
          <cell r="J821">
            <v>12.983546978907949</v>
          </cell>
          <cell r="K821">
            <v>16.976463841551524</v>
          </cell>
        </row>
        <row r="822">
          <cell r="A822" t="str">
            <v>SNSP6000Bk146000144370</v>
          </cell>
          <cell r="B822" t="str">
            <v>SNS</v>
          </cell>
          <cell r="C822" t="str">
            <v>P6000Bk14</v>
          </cell>
          <cell r="D822" t="str">
            <v>6000</v>
          </cell>
          <cell r="E822">
            <v>1443</v>
          </cell>
          <cell r="F822">
            <v>70</v>
          </cell>
          <cell r="G822">
            <v>6076.6923847083272</v>
          </cell>
          <cell r="H822">
            <v>0.23152068037797338</v>
          </cell>
          <cell r="I822">
            <v>6.4794383736098142</v>
          </cell>
          <cell r="J822">
            <v>12.588229137550746</v>
          </cell>
          <cell r="K822">
            <v>16.688143305192735</v>
          </cell>
        </row>
        <row r="823">
          <cell r="A823" t="str">
            <v>SNSP6000Bk146000144380</v>
          </cell>
          <cell r="B823" t="str">
            <v>SNS</v>
          </cell>
          <cell r="C823" t="str">
            <v>P6000Bk14</v>
          </cell>
          <cell r="D823" t="str">
            <v>6000</v>
          </cell>
          <cell r="E823">
            <v>1443</v>
          </cell>
          <cell r="F823">
            <v>80</v>
          </cell>
          <cell r="G823">
            <v>6020.9541211271699</v>
          </cell>
          <cell r="H823">
            <v>0.20843891012905799</v>
          </cell>
          <cell r="I823">
            <v>8.2842661148925298</v>
          </cell>
          <cell r="J823">
            <v>12.486842070983823</v>
          </cell>
          <cell r="K823">
            <v>17.028416892615308</v>
          </cell>
        </row>
        <row r="824">
          <cell r="A824" t="str">
            <v>SNSP6000Bk146000144390</v>
          </cell>
          <cell r="B824" t="str">
            <v>SNS</v>
          </cell>
          <cell r="C824" t="str">
            <v>P6000Bk14</v>
          </cell>
          <cell r="D824" t="str">
            <v>6000</v>
          </cell>
          <cell r="E824">
            <v>1443</v>
          </cell>
          <cell r="F824">
            <v>90</v>
          </cell>
          <cell r="G824">
            <v>6007.2827656157533</v>
          </cell>
          <cell r="H824">
            <v>0.16018409901148178</v>
          </cell>
          <cell r="I824">
            <v>6.4509998490082303</v>
          </cell>
          <cell r="J824">
            <v>12.7778474511656</v>
          </cell>
          <cell r="K824">
            <v>17.676631228749763</v>
          </cell>
        </row>
        <row r="825">
          <cell r="A825" t="str">
            <v>SNSP6000Bk146600144380</v>
          </cell>
          <cell r="B825" t="str">
            <v>SNS</v>
          </cell>
          <cell r="C825" t="str">
            <v>P6000Bk14</v>
          </cell>
          <cell r="D825" t="str">
            <v>6600</v>
          </cell>
          <cell r="E825">
            <v>1443</v>
          </cell>
          <cell r="F825">
            <v>80</v>
          </cell>
          <cell r="G825">
            <v>6220.6031864369488</v>
          </cell>
          <cell r="H825">
            <v>0.34137710623461803</v>
          </cell>
          <cell r="I825">
            <v>5.2032332071936027</v>
          </cell>
          <cell r="J825">
            <v>12.857700580322314</v>
          </cell>
          <cell r="K825">
            <v>17.11388796519978</v>
          </cell>
        </row>
        <row r="826">
          <cell r="A826" t="str">
            <v>SNSP6000Bk146600144370</v>
          </cell>
          <cell r="B826" t="str">
            <v>SNS</v>
          </cell>
          <cell r="C826" t="str">
            <v>P6000Bk14</v>
          </cell>
          <cell r="D826" t="str">
            <v>6600</v>
          </cell>
          <cell r="E826">
            <v>1443</v>
          </cell>
          <cell r="F826">
            <v>70</v>
          </cell>
          <cell r="G826">
            <v>6298.826171875</v>
          </cell>
          <cell r="H826">
            <v>0.29638668894767761</v>
          </cell>
          <cell r="I826">
            <v>4.3180184364318848</v>
          </cell>
          <cell r="J826">
            <v>13.256646156311035</v>
          </cell>
          <cell r="K826">
            <v>17.235422134399414</v>
          </cell>
        </row>
        <row r="827">
          <cell r="A827" t="str">
            <v>SNSP6000Bk146000144480</v>
          </cell>
          <cell r="B827" t="str">
            <v>SNS</v>
          </cell>
          <cell r="C827" t="str">
            <v>P6000Bk14</v>
          </cell>
          <cell r="D827" t="str">
            <v>6000</v>
          </cell>
          <cell r="E827">
            <v>1444</v>
          </cell>
          <cell r="F827">
            <v>80</v>
          </cell>
          <cell r="G827">
            <v>6055.5680894992865</v>
          </cell>
          <cell r="H827">
            <v>0.21915700473265626</v>
          </cell>
          <cell r="I827">
            <v>7.3129628016499613</v>
          </cell>
          <cell r="J827">
            <v>12.536227809020804</v>
          </cell>
          <cell r="K827">
            <v>17.026195102658559</v>
          </cell>
        </row>
        <row r="828">
          <cell r="A828" t="str">
            <v>SNSP6000Bk146000144490</v>
          </cell>
          <cell r="B828" t="str">
            <v>SNS</v>
          </cell>
          <cell r="C828" t="str">
            <v>P6000Bk14</v>
          </cell>
          <cell r="D828" t="str">
            <v>6000</v>
          </cell>
          <cell r="E828">
            <v>1444</v>
          </cell>
          <cell r="F828">
            <v>90</v>
          </cell>
          <cell r="G828">
            <v>6163.7307871106414</v>
          </cell>
          <cell r="H828">
            <v>0.21212786154145688</v>
          </cell>
          <cell r="I828">
            <v>5.5940691815837065</v>
          </cell>
          <cell r="J828">
            <v>12.812593473319531</v>
          </cell>
          <cell r="K828">
            <v>17.349880167158684</v>
          </cell>
        </row>
        <row r="829">
          <cell r="A829" t="str">
            <v>SNSP6000Bk146600144480</v>
          </cell>
          <cell r="B829" t="str">
            <v>SNS</v>
          </cell>
          <cell r="C829" t="str">
            <v>P6000Bk14</v>
          </cell>
          <cell r="D829" t="str">
            <v>6600</v>
          </cell>
          <cell r="E829">
            <v>1444</v>
          </cell>
          <cell r="F829">
            <v>80</v>
          </cell>
          <cell r="G829">
            <v>6176.0477970212614</v>
          </cell>
          <cell r="H829">
            <v>0.37416863292957619</v>
          </cell>
          <cell r="I829">
            <v>5.3718095549871103</v>
          </cell>
          <cell r="J829">
            <v>12.851706516775497</v>
          </cell>
          <cell r="K829">
            <v>17.317713294397073</v>
          </cell>
        </row>
        <row r="830">
          <cell r="A830" t="str">
            <v>SNSP6000Bk146600144490</v>
          </cell>
          <cell r="B830" t="str">
            <v>SNS</v>
          </cell>
          <cell r="C830" t="str">
            <v>P6000Bk14</v>
          </cell>
          <cell r="D830" t="str">
            <v>6600</v>
          </cell>
          <cell r="E830">
            <v>1444</v>
          </cell>
          <cell r="F830">
            <v>90</v>
          </cell>
          <cell r="G830">
            <v>6148.0527809625346</v>
          </cell>
          <cell r="H830">
            <v>0.39305444004960582</v>
          </cell>
          <cell r="I830">
            <v>4.9804698940946723</v>
          </cell>
          <cell r="J830">
            <v>13.371144224697634</v>
          </cell>
          <cell r="K830">
            <v>17.816064208051426</v>
          </cell>
        </row>
        <row r="831">
          <cell r="A831" t="str">
            <v>SNSP6000Bk146000144590</v>
          </cell>
          <cell r="B831" t="str">
            <v>SNS</v>
          </cell>
          <cell r="C831" t="str">
            <v>P6000Bk14</v>
          </cell>
          <cell r="D831" t="str">
            <v>6000</v>
          </cell>
          <cell r="E831">
            <v>1445</v>
          </cell>
          <cell r="F831">
            <v>90</v>
          </cell>
          <cell r="G831">
            <v>6289.7724609375</v>
          </cell>
          <cell r="H831">
            <v>0.22646656632423401</v>
          </cell>
          <cell r="I831">
            <v>3.2544858455657959</v>
          </cell>
          <cell r="J831">
            <v>12.605687141418457</v>
          </cell>
          <cell r="K831">
            <v>17.365253448486328</v>
          </cell>
        </row>
        <row r="832">
          <cell r="A832" t="str">
            <v>SNSP6000Bk146600144590</v>
          </cell>
          <cell r="B832" t="str">
            <v>SNS</v>
          </cell>
          <cell r="C832" t="str">
            <v>P6000Bk14</v>
          </cell>
          <cell r="D832" t="str">
            <v>6600</v>
          </cell>
          <cell r="E832">
            <v>1445</v>
          </cell>
          <cell r="F832">
            <v>90</v>
          </cell>
          <cell r="G832">
            <v>6093.1608447334338</v>
          </cell>
          <cell r="H832">
            <v>0.43472081455271083</v>
          </cell>
          <cell r="I832">
            <v>4.2717036429969006</v>
          </cell>
          <cell r="J832">
            <v>15.022513023471236</v>
          </cell>
          <cell r="K832">
            <v>18.915977920184339</v>
          </cell>
        </row>
        <row r="833">
          <cell r="A833" t="str">
            <v>SNSP6000Bk1466001445100</v>
          </cell>
          <cell r="B833" t="str">
            <v>SNS</v>
          </cell>
          <cell r="C833" t="str">
            <v>P6000Bk14</v>
          </cell>
          <cell r="D833" t="str">
            <v>6600</v>
          </cell>
          <cell r="E833">
            <v>1445</v>
          </cell>
          <cell r="F833">
            <v>100</v>
          </cell>
          <cell r="G833">
            <v>6131.6424191608985</v>
          </cell>
          <cell r="H833">
            <v>0.41551411630887347</v>
          </cell>
          <cell r="I833">
            <v>4.0216364512866223</v>
          </cell>
          <cell r="J833">
            <v>14.478483138024357</v>
          </cell>
          <cell r="K833">
            <v>18.258702485092488</v>
          </cell>
        </row>
        <row r="834">
          <cell r="A834" t="str">
            <v>SNSP6000Bk146000144690</v>
          </cell>
          <cell r="B834" t="str">
            <v>SNS</v>
          </cell>
          <cell r="C834" t="str">
            <v>P6000Bk14</v>
          </cell>
          <cell r="D834" t="str">
            <v>6000</v>
          </cell>
          <cell r="E834">
            <v>1446</v>
          </cell>
          <cell r="F834">
            <v>90</v>
          </cell>
          <cell r="G834">
            <v>6290.60595703125</v>
          </cell>
          <cell r="H834">
            <v>0.24499717354774475</v>
          </cell>
          <cell r="I834">
            <v>3.6553096771240234</v>
          </cell>
          <cell r="J834">
            <v>12.27605152130127</v>
          </cell>
          <cell r="K834">
            <v>17.608810424804688</v>
          </cell>
        </row>
        <row r="835">
          <cell r="A835" t="str">
            <v>SNSP6000Bk146600144690</v>
          </cell>
          <cell r="B835" t="str">
            <v>SNS</v>
          </cell>
          <cell r="C835" t="str">
            <v>P6000Bk14</v>
          </cell>
          <cell r="D835" t="str">
            <v>6600</v>
          </cell>
          <cell r="E835">
            <v>1446</v>
          </cell>
          <cell r="F835">
            <v>90</v>
          </cell>
          <cell r="G835">
            <v>6023.21044921875</v>
          </cell>
          <cell r="H835">
            <v>0.50393122434616089</v>
          </cell>
          <cell r="I835">
            <v>3.6679165363311768</v>
          </cell>
          <cell r="J835">
            <v>16.652400970458984</v>
          </cell>
          <cell r="K835">
            <v>19.718687057495117</v>
          </cell>
        </row>
        <row r="836">
          <cell r="A836" t="str">
            <v>SNSP6000Bk146000144790</v>
          </cell>
          <cell r="B836" t="str">
            <v>SNS</v>
          </cell>
          <cell r="C836" t="str">
            <v>P6000Bk14</v>
          </cell>
          <cell r="D836" t="str">
            <v>6000</v>
          </cell>
          <cell r="E836">
            <v>1447</v>
          </cell>
          <cell r="F836">
            <v>90</v>
          </cell>
          <cell r="G836">
            <v>6354.591796875</v>
          </cell>
          <cell r="H836">
            <v>0.28423550724983215</v>
          </cell>
          <cell r="I836">
            <v>4.8568315505981445</v>
          </cell>
          <cell r="J836">
            <v>10.523118019104004</v>
          </cell>
          <cell r="K836">
            <v>17.54791259765625</v>
          </cell>
        </row>
        <row r="837">
          <cell r="A837" t="str">
            <v/>
          </cell>
        </row>
        <row r="838">
          <cell r="A838" t="str">
            <v>SNSP6000Bk207300144690</v>
          </cell>
          <cell r="B838" t="str">
            <v>SNS</v>
          </cell>
          <cell r="C838" t="str">
            <v>P6000Bk20</v>
          </cell>
          <cell r="D838" t="str">
            <v>7300</v>
          </cell>
          <cell r="E838">
            <v>1446</v>
          </cell>
          <cell r="F838">
            <v>90</v>
          </cell>
          <cell r="G838">
            <v>6547.38720703125</v>
          </cell>
          <cell r="H838">
            <v>0.37943702936172485</v>
          </cell>
          <cell r="I838">
            <v>3.2836699485778809</v>
          </cell>
          <cell r="J838">
            <v>12.339920043945313</v>
          </cell>
          <cell r="K838">
            <v>16.751893997192383</v>
          </cell>
        </row>
        <row r="839">
          <cell r="A839" t="str">
            <v>SNSP6000Bk205000144790</v>
          </cell>
          <cell r="B839" t="str">
            <v>SNS</v>
          </cell>
          <cell r="C839" t="str">
            <v>P6000Bk20</v>
          </cell>
          <cell r="D839" t="str">
            <v>5000</v>
          </cell>
          <cell r="E839">
            <v>1447</v>
          </cell>
          <cell r="F839">
            <v>90</v>
          </cell>
          <cell r="G839">
            <v>6374.79931640625</v>
          </cell>
          <cell r="H839">
            <v>0.43208533525466919</v>
          </cell>
          <cell r="I839">
            <v>3.989675760269165</v>
          </cell>
          <cell r="J839">
            <v>11.123745918273926</v>
          </cell>
          <cell r="K839">
            <v>17.112361907958984</v>
          </cell>
        </row>
        <row r="840">
          <cell r="A840" t="str">
            <v>SNSP6000Bk207300144790</v>
          </cell>
          <cell r="B840" t="str">
            <v>SNS</v>
          </cell>
          <cell r="C840" t="str">
            <v>P6000Bk20</v>
          </cell>
          <cell r="D840" t="str">
            <v>7300</v>
          </cell>
          <cell r="E840">
            <v>1447</v>
          </cell>
          <cell r="F840">
            <v>90</v>
          </cell>
          <cell r="G840">
            <v>6543.125</v>
          </cell>
          <cell r="H840">
            <v>0.37758269906044006</v>
          </cell>
          <cell r="I840">
            <v>3.3961946964263916</v>
          </cell>
          <cell r="J840">
            <v>12.367667198181152</v>
          </cell>
          <cell r="K840">
            <v>16.619165420532227</v>
          </cell>
        </row>
        <row r="841">
          <cell r="A841" t="str">
            <v>SNSP6000Bk207300144890</v>
          </cell>
          <cell r="B841" t="str">
            <v>SNS</v>
          </cell>
          <cell r="C841" t="str">
            <v>P6000Bk20</v>
          </cell>
          <cell r="D841" t="str">
            <v>7300</v>
          </cell>
          <cell r="E841">
            <v>1448</v>
          </cell>
          <cell r="F841">
            <v>90</v>
          </cell>
          <cell r="G841">
            <v>6144.09326171875</v>
          </cell>
          <cell r="H841">
            <v>0.51515102386474609</v>
          </cell>
          <cell r="I841">
            <v>6.0211882591247559</v>
          </cell>
          <cell r="J841">
            <v>13.155287742614746</v>
          </cell>
          <cell r="K841">
            <v>18.601020812988281</v>
          </cell>
        </row>
        <row r="842">
          <cell r="A842" t="str">
            <v>SNSP6000Bk205000144990</v>
          </cell>
          <cell r="B842" t="str">
            <v>SNS</v>
          </cell>
          <cell r="C842" t="str">
            <v>P6000Bk20</v>
          </cell>
          <cell r="D842" t="str">
            <v>5000</v>
          </cell>
          <cell r="E842">
            <v>1449</v>
          </cell>
          <cell r="F842">
            <v>90</v>
          </cell>
          <cell r="G842">
            <v>6173.31005859375</v>
          </cell>
          <cell r="H842">
            <v>0.38382107019424438</v>
          </cell>
          <cell r="I842">
            <v>4.4462013244628906</v>
          </cell>
          <cell r="J842">
            <v>13.596356391906738</v>
          </cell>
          <cell r="K842">
            <v>18.07847785949707</v>
          </cell>
        </row>
        <row r="843">
          <cell r="A843" t="str">
            <v>SNSP6000Bk207300144990</v>
          </cell>
          <cell r="B843" t="str">
            <v>SNS</v>
          </cell>
          <cell r="C843" t="str">
            <v>P6000Bk20</v>
          </cell>
          <cell r="D843" t="str">
            <v>7300</v>
          </cell>
          <cell r="E843">
            <v>1449</v>
          </cell>
          <cell r="F843">
            <v>90</v>
          </cell>
          <cell r="G843">
            <v>6212.15087890625</v>
          </cell>
          <cell r="H843">
            <v>0.49177327752113342</v>
          </cell>
          <cell r="I843">
            <v>5.7578115463256836</v>
          </cell>
          <cell r="J843">
            <v>12.918095588684082</v>
          </cell>
          <cell r="K843">
            <v>18.046632766723633</v>
          </cell>
        </row>
        <row r="844">
          <cell r="A844" t="str">
            <v>SNSP6000Bk205000145090</v>
          </cell>
          <cell r="B844" t="str">
            <v>SNS</v>
          </cell>
          <cell r="C844" t="str">
            <v>P6000Bk20</v>
          </cell>
          <cell r="D844" t="str">
            <v>5000</v>
          </cell>
          <cell r="E844">
            <v>1450</v>
          </cell>
          <cell r="F844">
            <v>90</v>
          </cell>
          <cell r="G844">
            <v>6102.3310546875</v>
          </cell>
          <cell r="H844">
            <v>0.3883025050163269</v>
          </cell>
          <cell r="I844">
            <v>4.862368106842041</v>
          </cell>
          <cell r="J844">
            <v>13.504494667053223</v>
          </cell>
          <cell r="K844">
            <v>18.082052230834961</v>
          </cell>
        </row>
        <row r="845">
          <cell r="A845" t="str">
            <v>SNSP6000Bk2050001450100</v>
          </cell>
          <cell r="B845" t="str">
            <v>SNS</v>
          </cell>
          <cell r="C845" t="str">
            <v>P6000Bk20</v>
          </cell>
          <cell r="D845" t="str">
            <v>5000</v>
          </cell>
          <cell r="E845">
            <v>1450</v>
          </cell>
          <cell r="F845">
            <v>100</v>
          </cell>
          <cell r="G845">
            <v>6229.0126953125</v>
          </cell>
          <cell r="H845">
            <v>0.44481459259986877</v>
          </cell>
          <cell r="I845">
            <v>3.2164599895477295</v>
          </cell>
          <cell r="J845">
            <v>13.512218475341797</v>
          </cell>
          <cell r="K845">
            <v>17.881008148193359</v>
          </cell>
        </row>
        <row r="846">
          <cell r="A846" t="str">
            <v>SNSP6000Bk205000145190</v>
          </cell>
          <cell r="B846" t="str">
            <v>SNS</v>
          </cell>
          <cell r="C846" t="str">
            <v>P6000Bk20</v>
          </cell>
          <cell r="D846" t="str">
            <v>5000</v>
          </cell>
          <cell r="E846">
            <v>1451</v>
          </cell>
          <cell r="F846">
            <v>90</v>
          </cell>
          <cell r="G846">
            <v>6191.31396484375</v>
          </cell>
          <cell r="H846">
            <v>0.41092684864997864</v>
          </cell>
          <cell r="I846">
            <v>3.8408098220825195</v>
          </cell>
          <cell r="J846">
            <v>13.197105407714844</v>
          </cell>
          <cell r="K846">
            <v>17.832143783569336</v>
          </cell>
        </row>
        <row r="847">
          <cell r="A847" t="str">
            <v>SNSP6000Bk2050001451100</v>
          </cell>
          <cell r="B847" t="str">
            <v>SNS</v>
          </cell>
          <cell r="C847" t="str">
            <v>P6000Bk20</v>
          </cell>
          <cell r="D847" t="str">
            <v>5000</v>
          </cell>
          <cell r="E847">
            <v>1451</v>
          </cell>
          <cell r="F847">
            <v>100</v>
          </cell>
          <cell r="G847">
            <v>6258.986328125</v>
          </cell>
          <cell r="H847">
            <v>0.45975351333618164</v>
          </cell>
          <cell r="I847">
            <v>2.790945291519165</v>
          </cell>
          <cell r="J847">
            <v>13.426130294799805</v>
          </cell>
          <cell r="K847">
            <v>17.812759399414063</v>
          </cell>
        </row>
        <row r="848">
          <cell r="A848" t="str">
            <v>SNSP6000Bk206000144690</v>
          </cell>
          <cell r="B848" t="str">
            <v>SNS</v>
          </cell>
          <cell r="C848" t="str">
            <v>P6000Bk20</v>
          </cell>
          <cell r="D848" t="str">
            <v>6000</v>
          </cell>
          <cell r="E848">
            <v>1446</v>
          </cell>
          <cell r="F848">
            <v>90</v>
          </cell>
          <cell r="G848">
            <v>6304.490234375</v>
          </cell>
          <cell r="H848">
            <v>0.25998693704605103</v>
          </cell>
          <cell r="I848">
            <v>3.9586281776428223</v>
          </cell>
          <cell r="J848">
            <v>12.135689735412598</v>
          </cell>
          <cell r="K848">
            <v>17.728654861450195</v>
          </cell>
        </row>
        <row r="849">
          <cell r="A849" t="str">
            <v>SNSP6000Bk206600144690</v>
          </cell>
          <cell r="B849" t="str">
            <v>SNS</v>
          </cell>
          <cell r="C849" t="str">
            <v>P6000Bk20</v>
          </cell>
          <cell r="D849" t="str">
            <v>6600</v>
          </cell>
          <cell r="E849">
            <v>1446</v>
          </cell>
          <cell r="F849">
            <v>90</v>
          </cell>
          <cell r="G849">
            <v>5873.89111328125</v>
          </cell>
          <cell r="H849">
            <v>1.126821756362915</v>
          </cell>
          <cell r="I849">
            <v>5.8315629959106445</v>
          </cell>
          <cell r="J849">
            <v>15.364986419677734</v>
          </cell>
          <cell r="K849">
            <v>19.312061309814453</v>
          </cell>
        </row>
        <row r="850">
          <cell r="A850" t="str">
            <v>SNSP6000Bk206000144790</v>
          </cell>
          <cell r="B850" t="str">
            <v>SNS</v>
          </cell>
          <cell r="C850" t="str">
            <v>P6000Bk20</v>
          </cell>
          <cell r="D850" t="str">
            <v>6000</v>
          </cell>
          <cell r="E850">
            <v>1447</v>
          </cell>
          <cell r="F850">
            <v>90</v>
          </cell>
          <cell r="G850">
            <v>6332.14794921875</v>
          </cell>
          <cell r="H850">
            <v>0.26320010423660278</v>
          </cell>
          <cell r="I850">
            <v>4.2629280090332031</v>
          </cell>
          <cell r="J850">
            <v>11.317036628723145</v>
          </cell>
          <cell r="K850">
            <v>17.546966552734375</v>
          </cell>
        </row>
        <row r="851">
          <cell r="A851" t="str">
            <v>SNSP6000Bk2060001447100</v>
          </cell>
          <cell r="B851" t="str">
            <v>SNS</v>
          </cell>
          <cell r="C851" t="str">
            <v>P6000Bk20</v>
          </cell>
          <cell r="D851" t="str">
            <v>6000</v>
          </cell>
          <cell r="E851">
            <v>1447</v>
          </cell>
          <cell r="F851">
            <v>100</v>
          </cell>
          <cell r="G851">
            <v>6313.6083984375</v>
          </cell>
          <cell r="H851">
            <v>0.25606849789619446</v>
          </cell>
          <cell r="I851">
            <v>4.0489358901977539</v>
          </cell>
          <cell r="J851">
            <v>11.726103782653809</v>
          </cell>
          <cell r="K851">
            <v>17.570907592773438</v>
          </cell>
        </row>
        <row r="852">
          <cell r="A852" t="str">
            <v>SNSP6000Bk206600144790</v>
          </cell>
          <cell r="B852" t="str">
            <v>SNS</v>
          </cell>
          <cell r="C852" t="str">
            <v>P6000Bk20</v>
          </cell>
          <cell r="D852" t="str">
            <v>6600</v>
          </cell>
          <cell r="E852">
            <v>1447</v>
          </cell>
          <cell r="F852">
            <v>90</v>
          </cell>
          <cell r="G852">
            <v>5876.2064011996763</v>
          </cell>
          <cell r="H852">
            <v>1.0539034646420411</v>
          </cell>
          <cell r="I852">
            <v>6.2059478993880592</v>
          </cell>
          <cell r="J852">
            <v>14.34855435904765</v>
          </cell>
          <cell r="K852">
            <v>19.209456368645988</v>
          </cell>
        </row>
        <row r="853">
          <cell r="A853" t="str">
            <v>SNSP6000Bk206000144890</v>
          </cell>
          <cell r="B853" t="str">
            <v>SNS</v>
          </cell>
          <cell r="C853" t="str">
            <v>P6000Bk20</v>
          </cell>
          <cell r="D853" t="str">
            <v>6000</v>
          </cell>
          <cell r="E853">
            <v>1448</v>
          </cell>
          <cell r="F853">
            <v>90</v>
          </cell>
          <cell r="G853">
            <v>6320.04296875</v>
          </cell>
          <cell r="H853">
            <v>0.22797594964504242</v>
          </cell>
          <cell r="I853">
            <v>3.3282439708709717</v>
          </cell>
          <cell r="J853">
            <v>12.266054153442383</v>
          </cell>
          <cell r="K853">
            <v>17.495306015014648</v>
          </cell>
        </row>
        <row r="854">
          <cell r="A854" t="str">
            <v>SNSP6000Bk2060001448100</v>
          </cell>
          <cell r="B854" t="str">
            <v>SNS</v>
          </cell>
          <cell r="C854" t="str">
            <v>P6000Bk20</v>
          </cell>
          <cell r="D854" t="str">
            <v>6000</v>
          </cell>
          <cell r="E854">
            <v>1448</v>
          </cell>
          <cell r="F854">
            <v>100</v>
          </cell>
          <cell r="G854">
            <v>6305.89990234375</v>
          </cell>
          <cell r="H854">
            <v>0.24602736532688141</v>
          </cell>
          <cell r="I854">
            <v>3.7879085540771484</v>
          </cell>
          <cell r="J854">
            <v>12.03309440612793</v>
          </cell>
          <cell r="K854">
            <v>17.554267883300781</v>
          </cell>
        </row>
        <row r="855">
          <cell r="A855" t="str">
            <v>SNSP6000Bk206600144890</v>
          </cell>
          <cell r="B855" t="str">
            <v>SNS</v>
          </cell>
          <cell r="C855" t="str">
            <v>P6000Bk20</v>
          </cell>
          <cell r="D855" t="str">
            <v>6600</v>
          </cell>
          <cell r="E855">
            <v>1448</v>
          </cell>
          <cell r="F855">
            <v>90</v>
          </cell>
          <cell r="G855">
            <v>6166.6031253378633</v>
          </cell>
          <cell r="H855">
            <v>0.30393329116960632</v>
          </cell>
          <cell r="I855">
            <v>4.9589607460990583</v>
          </cell>
          <cell r="J855">
            <v>12.939903858222024</v>
          </cell>
          <cell r="K855">
            <v>18.693963185357738</v>
          </cell>
        </row>
        <row r="856">
          <cell r="A856" t="str">
            <v>SNSP6000Bk206000144990</v>
          </cell>
          <cell r="B856" t="str">
            <v>SNS</v>
          </cell>
          <cell r="C856" t="str">
            <v>P6000Bk20</v>
          </cell>
          <cell r="D856" t="str">
            <v>6000</v>
          </cell>
          <cell r="E856">
            <v>1449</v>
          </cell>
          <cell r="F856">
            <v>90</v>
          </cell>
          <cell r="G856">
            <v>6376.546875</v>
          </cell>
          <cell r="H856">
            <v>0.20446814596652985</v>
          </cell>
          <cell r="I856">
            <v>2.4305593967437744</v>
          </cell>
          <cell r="J856">
            <v>13.013189315795898</v>
          </cell>
          <cell r="K856">
            <v>17.734491348266602</v>
          </cell>
        </row>
        <row r="857">
          <cell r="A857" t="str">
            <v>SNSP6000Bk206600144990</v>
          </cell>
          <cell r="B857" t="str">
            <v>SNS</v>
          </cell>
          <cell r="C857" t="str">
            <v>P6000Bk20</v>
          </cell>
          <cell r="D857" t="str">
            <v>6600</v>
          </cell>
          <cell r="E857">
            <v>1449</v>
          </cell>
          <cell r="F857">
            <v>90</v>
          </cell>
          <cell r="G857">
            <v>6076.1329244442722</v>
          </cell>
          <cell r="H857">
            <v>0.48247850413400573</v>
          </cell>
          <cell r="I857">
            <v>6.7641382251963291</v>
          </cell>
          <cell r="J857">
            <v>12.801687882569329</v>
          </cell>
          <cell r="K857">
            <v>17.568695662095749</v>
          </cell>
        </row>
        <row r="858">
          <cell r="A858" t="str">
            <v>SNSP6000Bk206000145090</v>
          </cell>
          <cell r="B858" t="str">
            <v>SNS</v>
          </cell>
          <cell r="C858" t="str">
            <v>P6000Bk20</v>
          </cell>
          <cell r="D858" t="str">
            <v>6000</v>
          </cell>
          <cell r="E858">
            <v>1450</v>
          </cell>
          <cell r="F858">
            <v>90</v>
          </cell>
          <cell r="G858">
            <v>6363.2917153505341</v>
          </cell>
          <cell r="H858">
            <v>0.20148522783443157</v>
          </cell>
          <cell r="I858">
            <v>2.8235140482629508</v>
          </cell>
          <cell r="J858">
            <v>12.872707002502079</v>
          </cell>
          <cell r="K858">
            <v>17.417539454460226</v>
          </cell>
        </row>
        <row r="859">
          <cell r="A859" t="str">
            <v>SNSP6000Bk2060001450100</v>
          </cell>
          <cell r="B859" t="str">
            <v>SNS</v>
          </cell>
          <cell r="C859" t="str">
            <v>P6000Bk20</v>
          </cell>
          <cell r="D859" t="str">
            <v>6000</v>
          </cell>
          <cell r="E859">
            <v>1450</v>
          </cell>
          <cell r="F859">
            <v>100</v>
          </cell>
          <cell r="G859">
            <v>6374.65966796875</v>
          </cell>
          <cell r="H859">
            <v>0.20752839744091034</v>
          </cell>
          <cell r="I859">
            <v>2.4585065841674805</v>
          </cell>
          <cell r="J859">
            <v>12.888081550598145</v>
          </cell>
          <cell r="K859">
            <v>17.44195556640625</v>
          </cell>
        </row>
        <row r="860">
          <cell r="A860" t="str">
            <v>SNSP6000Bk206600145090</v>
          </cell>
          <cell r="B860" t="str">
            <v>SNS</v>
          </cell>
          <cell r="C860" t="str">
            <v>P6000Bk20</v>
          </cell>
          <cell r="D860" t="str">
            <v>6600</v>
          </cell>
          <cell r="E860">
            <v>1450</v>
          </cell>
          <cell r="F860">
            <v>90</v>
          </cell>
          <cell r="G860">
            <v>5743.3043542052837</v>
          </cell>
          <cell r="H860">
            <v>0.27335876518988061</v>
          </cell>
          <cell r="I860">
            <v>9.5316551046853473</v>
          </cell>
          <cell r="J860">
            <v>13.555074899521559</v>
          </cell>
          <cell r="K860">
            <v>19.225272349111801</v>
          </cell>
        </row>
        <row r="861">
          <cell r="A861" t="str">
            <v>SNSP6000Bk206000145190</v>
          </cell>
          <cell r="B861" t="str">
            <v>SNS</v>
          </cell>
          <cell r="C861" t="str">
            <v>P6000Bk20</v>
          </cell>
          <cell r="D861" t="str">
            <v>6000</v>
          </cell>
          <cell r="E861">
            <v>1451</v>
          </cell>
          <cell r="F861">
            <v>90</v>
          </cell>
          <cell r="G861">
            <v>6524.7194424577829</v>
          </cell>
          <cell r="H861">
            <v>0.22060871698284332</v>
          </cell>
          <cell r="I861">
            <v>2.8099819691355488</v>
          </cell>
          <cell r="J861">
            <v>11.092116440923087</v>
          </cell>
          <cell r="K861">
            <v>16.30260803089217</v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7">
          <cell r="H1187">
            <v>25.806451612903224</v>
          </cell>
        </row>
      </sheetData>
      <sheetData sheetId="2">
        <row r="1">
          <cell r="A1" t="str">
            <v>DATE</v>
          </cell>
          <cell r="B1" t="str">
            <v>OB PLAN DAILY</v>
          </cell>
          <cell r="C1" t="str">
            <v>CONTRACTOR</v>
          </cell>
          <cell r="D1" t="str">
            <v>DISTANCE</v>
          </cell>
          <cell r="E1" t="str">
            <v>M</v>
          </cell>
          <cell r="F1" t="str">
            <v>OB PLAN DAILY</v>
          </cell>
          <cell r="G1" t="str">
            <v>CONTRACTOR</v>
          </cell>
          <cell r="H1" t="str">
            <v>DISTANCE</v>
          </cell>
          <cell r="I1" t="str">
            <v>M</v>
          </cell>
        </row>
        <row r="2">
          <cell r="A2">
            <v>46023</v>
          </cell>
          <cell r="B2">
            <v>21503.225806451614</v>
          </cell>
          <cell r="C2" t="str">
            <v>TJP</v>
          </cell>
          <cell r="D2">
            <v>3.8</v>
          </cell>
          <cell r="E2">
            <v>3800</v>
          </cell>
          <cell r="F2">
            <v>12609.677419354839</v>
          </cell>
          <cell r="G2" t="str">
            <v>MPA</v>
          </cell>
          <cell r="H2">
            <v>3.9</v>
          </cell>
          <cell r="I2">
            <v>3900</v>
          </cell>
          <cell r="J2">
            <v>21503.225806451614</v>
          </cell>
          <cell r="K2">
            <v>12609.677419354839</v>
          </cell>
        </row>
        <row r="3">
          <cell r="A3">
            <v>46024</v>
          </cell>
          <cell r="B3">
            <v>21503.225806451614</v>
          </cell>
          <cell r="C3" t="str">
            <v>TJP</v>
          </cell>
          <cell r="D3">
            <v>3.8</v>
          </cell>
          <cell r="E3">
            <v>3800</v>
          </cell>
          <cell r="F3">
            <v>12609.677419354839</v>
          </cell>
          <cell r="G3" t="str">
            <v>MPA</v>
          </cell>
          <cell r="H3">
            <v>3.9</v>
          </cell>
          <cell r="I3">
            <v>3900</v>
          </cell>
          <cell r="J3">
            <v>43006.451612903227</v>
          </cell>
          <cell r="K3">
            <v>25219.354838709678</v>
          </cell>
          <cell r="O3" t="str">
            <v>Jan</v>
          </cell>
          <cell r="P3" t="str">
            <v>Feb</v>
          </cell>
          <cell r="Q3" t="str">
            <v>Mar</v>
          </cell>
          <cell r="R3" t="str">
            <v>Apr</v>
          </cell>
          <cell r="S3" t="str">
            <v>May</v>
          </cell>
          <cell r="T3" t="str">
            <v>Jun</v>
          </cell>
          <cell r="U3" t="str">
            <v>Jul</v>
          </cell>
          <cell r="V3" t="str">
            <v>Aug</v>
          </cell>
          <cell r="W3" t="str">
            <v>Sep</v>
          </cell>
          <cell r="X3" t="str">
            <v>Oct</v>
          </cell>
          <cell r="Y3" t="str">
            <v>Nov</v>
          </cell>
          <cell r="Z3" t="str">
            <v>Dec</v>
          </cell>
          <cell r="AA3" t="str">
            <v>Total</v>
          </cell>
        </row>
        <row r="4">
          <cell r="A4">
            <v>46025</v>
          </cell>
          <cell r="B4">
            <v>21503.225806451614</v>
          </cell>
          <cell r="C4" t="str">
            <v>TJP</v>
          </cell>
          <cell r="D4">
            <v>3.8</v>
          </cell>
          <cell r="E4">
            <v>3800</v>
          </cell>
          <cell r="F4">
            <v>12609.677419354839</v>
          </cell>
          <cell r="G4" t="str">
            <v>MPA</v>
          </cell>
          <cell r="H4">
            <v>3.9</v>
          </cell>
          <cell r="I4">
            <v>3900</v>
          </cell>
          <cell r="J4">
            <v>64509.677419354841</v>
          </cell>
          <cell r="K4">
            <v>37829.032258064515</v>
          </cell>
          <cell r="O4" t="str">
            <v>Budget</v>
          </cell>
          <cell r="P4" t="str">
            <v>Budget</v>
          </cell>
          <cell r="Q4" t="str">
            <v>Budget</v>
          </cell>
          <cell r="R4" t="str">
            <v>Budget</v>
          </cell>
          <cell r="S4" t="str">
            <v>Budget</v>
          </cell>
          <cell r="T4" t="str">
            <v>Budget</v>
          </cell>
          <cell r="U4" t="str">
            <v>Budget</v>
          </cell>
          <cell r="V4" t="str">
            <v>Budget</v>
          </cell>
          <cell r="W4" t="str">
            <v>Budget</v>
          </cell>
          <cell r="X4" t="str">
            <v>Budget</v>
          </cell>
          <cell r="Y4" t="str">
            <v>Budget</v>
          </cell>
          <cell r="Z4" t="str">
            <v>Budget</v>
          </cell>
          <cell r="AA4" t="str">
            <v>Budget</v>
          </cell>
        </row>
        <row r="5">
          <cell r="A5">
            <v>46026</v>
          </cell>
          <cell r="B5">
            <v>21503.225806451614</v>
          </cell>
          <cell r="C5" t="str">
            <v>TJP</v>
          </cell>
          <cell r="D5">
            <v>3.8</v>
          </cell>
          <cell r="E5">
            <v>3800</v>
          </cell>
          <cell r="F5">
            <v>12609.677419354839</v>
          </cell>
          <cell r="G5" t="str">
            <v>MPA</v>
          </cell>
          <cell r="H5">
            <v>3.9</v>
          </cell>
          <cell r="I5">
            <v>3900</v>
          </cell>
          <cell r="J5">
            <v>86012.903225806454</v>
          </cell>
          <cell r="K5">
            <v>50438.709677419356</v>
          </cell>
          <cell r="O5">
            <v>1057500</v>
          </cell>
          <cell r="P5">
            <v>1020900</v>
          </cell>
          <cell r="Q5">
            <v>1094900</v>
          </cell>
          <cell r="R5">
            <v>1044500</v>
          </cell>
          <cell r="S5">
            <v>1112500</v>
          </cell>
          <cell r="T5">
            <v>1141000</v>
          </cell>
          <cell r="U5">
            <v>1258700</v>
          </cell>
          <cell r="V5">
            <v>1158500</v>
          </cell>
          <cell r="W5">
            <v>1127900</v>
          </cell>
          <cell r="X5">
            <v>1008800</v>
          </cell>
          <cell r="Y5">
            <v>1002000</v>
          </cell>
          <cell r="Z5">
            <v>972800</v>
          </cell>
          <cell r="AA5">
            <v>13000000</v>
          </cell>
        </row>
        <row r="6">
          <cell r="A6">
            <v>46027</v>
          </cell>
          <cell r="B6">
            <v>21503.225806451614</v>
          </cell>
          <cell r="C6" t="str">
            <v>TJP</v>
          </cell>
          <cell r="D6">
            <v>3.8</v>
          </cell>
          <cell r="E6">
            <v>3800</v>
          </cell>
          <cell r="F6">
            <v>12609.677419354839</v>
          </cell>
          <cell r="G6" t="str">
            <v>MPA</v>
          </cell>
          <cell r="H6">
            <v>3.9</v>
          </cell>
          <cell r="I6">
            <v>3900</v>
          </cell>
          <cell r="J6">
            <v>107516.12903225806</v>
          </cell>
          <cell r="K6">
            <v>63048.387096774197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</row>
        <row r="7">
          <cell r="A7">
            <v>46028</v>
          </cell>
          <cell r="B7">
            <v>21503.225806451614</v>
          </cell>
          <cell r="C7" t="str">
            <v>TJP</v>
          </cell>
          <cell r="D7">
            <v>3.8</v>
          </cell>
          <cell r="E7">
            <v>3800</v>
          </cell>
          <cell r="F7">
            <v>12609.677419354839</v>
          </cell>
          <cell r="G7" t="str">
            <v>MPA</v>
          </cell>
          <cell r="H7">
            <v>3.9</v>
          </cell>
          <cell r="I7">
            <v>3900</v>
          </cell>
          <cell r="J7">
            <v>129019.35483870967</v>
          </cell>
          <cell r="K7">
            <v>75658.06451612903</v>
          </cell>
          <cell r="O7">
            <v>390900</v>
          </cell>
          <cell r="P7">
            <v>377300</v>
          </cell>
          <cell r="Q7">
            <v>404800</v>
          </cell>
          <cell r="R7">
            <v>386100</v>
          </cell>
          <cell r="S7">
            <v>411300</v>
          </cell>
          <cell r="T7">
            <v>422000</v>
          </cell>
          <cell r="U7">
            <v>465500</v>
          </cell>
          <cell r="V7">
            <v>471000</v>
          </cell>
          <cell r="W7">
            <v>458500</v>
          </cell>
          <cell r="X7">
            <v>410000</v>
          </cell>
          <cell r="Y7">
            <v>407200</v>
          </cell>
          <cell r="Z7">
            <v>395400</v>
          </cell>
          <cell r="AA7">
            <v>5000000</v>
          </cell>
        </row>
        <row r="8">
          <cell r="A8">
            <v>46029</v>
          </cell>
          <cell r="B8">
            <v>21503.225806451614</v>
          </cell>
          <cell r="C8" t="str">
            <v>TJP</v>
          </cell>
          <cell r="D8">
            <v>3.8</v>
          </cell>
          <cell r="E8">
            <v>3800</v>
          </cell>
          <cell r="F8">
            <v>12609.677419354839</v>
          </cell>
          <cell r="G8" t="str">
            <v>MPA</v>
          </cell>
          <cell r="H8">
            <v>3.9</v>
          </cell>
          <cell r="I8">
            <v>3900</v>
          </cell>
          <cell r="J8">
            <v>150522.58064516127</v>
          </cell>
          <cell r="K8">
            <v>88267.741935483864</v>
          </cell>
          <cell r="O8">
            <v>666600</v>
          </cell>
          <cell r="P8">
            <v>643600</v>
          </cell>
          <cell r="Q8">
            <v>690100</v>
          </cell>
          <cell r="R8">
            <v>658400</v>
          </cell>
          <cell r="S8">
            <v>701200</v>
          </cell>
          <cell r="T8">
            <v>719000</v>
          </cell>
          <cell r="U8">
            <v>793200</v>
          </cell>
          <cell r="V8">
            <v>687500</v>
          </cell>
          <cell r="W8">
            <v>669400</v>
          </cell>
          <cell r="X8">
            <v>598800</v>
          </cell>
          <cell r="Y8">
            <v>594800</v>
          </cell>
          <cell r="Z8">
            <v>577400</v>
          </cell>
          <cell r="AA8">
            <v>8000000</v>
          </cell>
        </row>
        <row r="9">
          <cell r="A9">
            <v>46030</v>
          </cell>
          <cell r="B9">
            <v>21503.225806451614</v>
          </cell>
          <cell r="C9" t="str">
            <v>TJP</v>
          </cell>
          <cell r="D9">
            <v>3.8</v>
          </cell>
          <cell r="E9">
            <v>3800</v>
          </cell>
          <cell r="F9">
            <v>12609.677419354839</v>
          </cell>
          <cell r="G9" t="str">
            <v>MPA</v>
          </cell>
          <cell r="H9">
            <v>3.9</v>
          </cell>
          <cell r="I9">
            <v>3900</v>
          </cell>
          <cell r="J9">
            <v>172025.80645161288</v>
          </cell>
          <cell r="K9">
            <v>100877.4193548387</v>
          </cell>
        </row>
        <row r="10">
          <cell r="A10">
            <v>46031</v>
          </cell>
          <cell r="B10">
            <v>21503.225806451614</v>
          </cell>
          <cell r="C10" t="str">
            <v>TJP</v>
          </cell>
          <cell r="D10">
            <v>3.8</v>
          </cell>
          <cell r="E10">
            <v>3800</v>
          </cell>
          <cell r="F10">
            <v>12609.677419354839</v>
          </cell>
          <cell r="G10" t="str">
            <v>MPA</v>
          </cell>
          <cell r="H10">
            <v>3.9</v>
          </cell>
          <cell r="I10">
            <v>3900</v>
          </cell>
          <cell r="J10">
            <v>193529.03225806449</v>
          </cell>
          <cell r="K10">
            <v>113487.09677419353</v>
          </cell>
        </row>
        <row r="11">
          <cell r="A11">
            <v>46032</v>
          </cell>
          <cell r="B11">
            <v>21503.225806451614</v>
          </cell>
          <cell r="C11" t="str">
            <v>TJP</v>
          </cell>
          <cell r="D11">
            <v>3.8</v>
          </cell>
          <cell r="E11">
            <v>3800</v>
          </cell>
          <cell r="F11">
            <v>12609.677419354839</v>
          </cell>
          <cell r="G11" t="str">
            <v>MPA</v>
          </cell>
          <cell r="H11">
            <v>3.9</v>
          </cell>
          <cell r="I11">
            <v>3900</v>
          </cell>
          <cell r="J11">
            <v>215032.25806451609</v>
          </cell>
          <cell r="K11">
            <v>126096.77419354836</v>
          </cell>
        </row>
        <row r="12">
          <cell r="A12">
            <v>46033</v>
          </cell>
          <cell r="B12">
            <v>21503.225806451614</v>
          </cell>
          <cell r="C12" t="str">
            <v>TJP</v>
          </cell>
          <cell r="D12">
            <v>3.8</v>
          </cell>
          <cell r="E12">
            <v>3800</v>
          </cell>
          <cell r="F12">
            <v>12609.677419354839</v>
          </cell>
          <cell r="G12" t="str">
            <v>MPA</v>
          </cell>
          <cell r="H12">
            <v>3.9</v>
          </cell>
          <cell r="I12">
            <v>3900</v>
          </cell>
          <cell r="J12">
            <v>236535.4838709677</v>
          </cell>
          <cell r="K12">
            <v>138706.45161290321</v>
          </cell>
        </row>
        <row r="13">
          <cell r="A13">
            <v>46034</v>
          </cell>
          <cell r="B13">
            <v>21503.225806451614</v>
          </cell>
          <cell r="C13" t="str">
            <v>TJP</v>
          </cell>
          <cell r="D13">
            <v>3.8</v>
          </cell>
          <cell r="E13">
            <v>3800</v>
          </cell>
          <cell r="F13">
            <v>12609.677419354839</v>
          </cell>
          <cell r="G13" t="str">
            <v>MPA</v>
          </cell>
          <cell r="H13">
            <v>3.9</v>
          </cell>
          <cell r="I13">
            <v>3900</v>
          </cell>
          <cell r="J13">
            <v>258038.70967741931</v>
          </cell>
          <cell r="K13">
            <v>151316.12903225806</v>
          </cell>
        </row>
        <row r="14">
          <cell r="A14">
            <v>46035</v>
          </cell>
          <cell r="B14">
            <v>21503.225806451614</v>
          </cell>
          <cell r="C14" t="str">
            <v>TJP</v>
          </cell>
          <cell r="D14">
            <v>3.8</v>
          </cell>
          <cell r="E14">
            <v>3800</v>
          </cell>
          <cell r="F14">
            <v>12609.677419354839</v>
          </cell>
          <cell r="G14" t="str">
            <v>MPA</v>
          </cell>
          <cell r="H14">
            <v>3.9</v>
          </cell>
          <cell r="I14">
            <v>3900</v>
          </cell>
          <cell r="J14">
            <v>279541.93548387091</v>
          </cell>
          <cell r="K14">
            <v>163925.80645161291</v>
          </cell>
        </row>
        <row r="15">
          <cell r="A15">
            <v>46036</v>
          </cell>
          <cell r="B15">
            <v>21503.225806451614</v>
          </cell>
          <cell r="C15" t="str">
            <v>TJP</v>
          </cell>
          <cell r="D15">
            <v>3.8</v>
          </cell>
          <cell r="E15">
            <v>3800</v>
          </cell>
          <cell r="F15">
            <v>12609.677419354839</v>
          </cell>
          <cell r="G15" t="str">
            <v>MPA</v>
          </cell>
          <cell r="H15">
            <v>3.9</v>
          </cell>
          <cell r="I15">
            <v>3900</v>
          </cell>
          <cell r="J15">
            <v>301045.16129032255</v>
          </cell>
          <cell r="K15">
            <v>176535.48387096776</v>
          </cell>
        </row>
        <row r="16">
          <cell r="A16">
            <v>46037</v>
          </cell>
          <cell r="B16">
            <v>21503.225806451614</v>
          </cell>
          <cell r="C16" t="str">
            <v>TJP</v>
          </cell>
          <cell r="D16">
            <v>3.8</v>
          </cell>
          <cell r="E16">
            <v>3800</v>
          </cell>
          <cell r="F16">
            <v>12609.677419354839</v>
          </cell>
          <cell r="G16" t="str">
            <v>MPA</v>
          </cell>
          <cell r="H16">
            <v>3.9</v>
          </cell>
          <cell r="I16">
            <v>3900</v>
          </cell>
          <cell r="J16">
            <v>322548.38709677418</v>
          </cell>
          <cell r="K16">
            <v>189145.16129032261</v>
          </cell>
        </row>
        <row r="17">
          <cell r="A17">
            <v>46038</v>
          </cell>
          <cell r="B17">
            <v>21503.225806451614</v>
          </cell>
          <cell r="C17" t="str">
            <v>TJP</v>
          </cell>
          <cell r="D17">
            <v>3.8</v>
          </cell>
          <cell r="E17">
            <v>3800</v>
          </cell>
          <cell r="F17">
            <v>12609.677419354839</v>
          </cell>
          <cell r="G17" t="str">
            <v>MPA</v>
          </cell>
          <cell r="H17">
            <v>3.9</v>
          </cell>
          <cell r="I17">
            <v>3900</v>
          </cell>
          <cell r="J17">
            <v>344051.61290322582</v>
          </cell>
          <cell r="K17">
            <v>201754.83870967745</v>
          </cell>
        </row>
        <row r="18">
          <cell r="A18">
            <v>46039</v>
          </cell>
          <cell r="B18">
            <v>21503.225806451614</v>
          </cell>
          <cell r="C18" t="str">
            <v>TJP</v>
          </cell>
          <cell r="D18">
            <v>3.8</v>
          </cell>
          <cell r="E18">
            <v>3800</v>
          </cell>
          <cell r="F18">
            <v>12609.677419354839</v>
          </cell>
          <cell r="G18" t="str">
            <v>MPA</v>
          </cell>
          <cell r="H18">
            <v>3.9</v>
          </cell>
          <cell r="I18">
            <v>3900</v>
          </cell>
          <cell r="J18">
            <v>365554.83870967745</v>
          </cell>
          <cell r="K18">
            <v>214364.5161290323</v>
          </cell>
        </row>
        <row r="19">
          <cell r="A19">
            <v>46040</v>
          </cell>
          <cell r="B19">
            <v>21503.225806451614</v>
          </cell>
          <cell r="C19" t="str">
            <v>TJP</v>
          </cell>
          <cell r="D19">
            <v>3.8</v>
          </cell>
          <cell r="E19">
            <v>3800</v>
          </cell>
          <cell r="F19">
            <v>12609.677419354839</v>
          </cell>
          <cell r="G19" t="str">
            <v>MPA</v>
          </cell>
          <cell r="H19">
            <v>3.9</v>
          </cell>
          <cell r="I19">
            <v>3900</v>
          </cell>
          <cell r="J19">
            <v>387058.06451612909</v>
          </cell>
          <cell r="K19">
            <v>226974.19354838715</v>
          </cell>
        </row>
        <row r="20">
          <cell r="A20">
            <v>46041</v>
          </cell>
          <cell r="B20">
            <v>21503.225806451614</v>
          </cell>
          <cell r="C20" t="str">
            <v>TJP</v>
          </cell>
          <cell r="D20">
            <v>3.8</v>
          </cell>
          <cell r="E20">
            <v>3800</v>
          </cell>
          <cell r="F20">
            <v>12609.677419354839</v>
          </cell>
          <cell r="G20" t="str">
            <v>MPA</v>
          </cell>
          <cell r="H20">
            <v>3.9</v>
          </cell>
          <cell r="I20">
            <v>3900</v>
          </cell>
          <cell r="J20">
            <v>408561.29032258072</v>
          </cell>
          <cell r="K20">
            <v>239583.870967742</v>
          </cell>
        </row>
        <row r="21">
          <cell r="A21">
            <v>46042</v>
          </cell>
          <cell r="B21">
            <v>21503.225806451614</v>
          </cell>
          <cell r="C21" t="str">
            <v>TJP</v>
          </cell>
          <cell r="D21">
            <v>3.8</v>
          </cell>
          <cell r="E21">
            <v>3800</v>
          </cell>
          <cell r="F21">
            <v>12609.677419354839</v>
          </cell>
          <cell r="G21" t="str">
            <v>MPA</v>
          </cell>
          <cell r="H21">
            <v>3.9</v>
          </cell>
          <cell r="I21">
            <v>3900</v>
          </cell>
          <cell r="J21">
            <v>430064.51612903236</v>
          </cell>
          <cell r="K21">
            <v>252193.54838709685</v>
          </cell>
        </row>
        <row r="22">
          <cell r="A22">
            <v>46043</v>
          </cell>
          <cell r="B22">
            <v>21503.225806451614</v>
          </cell>
          <cell r="C22" t="str">
            <v>TJP</v>
          </cell>
          <cell r="D22">
            <v>3.8</v>
          </cell>
          <cell r="E22">
            <v>3800</v>
          </cell>
          <cell r="F22">
            <v>12609.677419354839</v>
          </cell>
          <cell r="G22" t="str">
            <v>MPA</v>
          </cell>
          <cell r="H22">
            <v>3.9</v>
          </cell>
          <cell r="I22">
            <v>3900</v>
          </cell>
          <cell r="J22">
            <v>451567.74193548399</v>
          </cell>
          <cell r="K22">
            <v>264803.22580645169</v>
          </cell>
        </row>
        <row r="23">
          <cell r="A23">
            <v>46044</v>
          </cell>
          <cell r="B23">
            <v>21503.225806451614</v>
          </cell>
          <cell r="C23" t="str">
            <v>TJP</v>
          </cell>
          <cell r="D23">
            <v>3.8</v>
          </cell>
          <cell r="E23">
            <v>3800</v>
          </cell>
          <cell r="F23">
            <v>12609.677419354839</v>
          </cell>
          <cell r="G23" t="str">
            <v>MPA</v>
          </cell>
          <cell r="H23">
            <v>3.9</v>
          </cell>
          <cell r="I23">
            <v>3900</v>
          </cell>
          <cell r="J23">
            <v>473070.96774193563</v>
          </cell>
          <cell r="K23">
            <v>277412.90322580654</v>
          </cell>
        </row>
        <row r="24">
          <cell r="A24">
            <v>46045</v>
          </cell>
          <cell r="B24">
            <v>21503.225806451614</v>
          </cell>
          <cell r="C24" t="str">
            <v>TJP</v>
          </cell>
          <cell r="D24">
            <v>3.8</v>
          </cell>
          <cell r="E24">
            <v>3800</v>
          </cell>
          <cell r="F24">
            <v>12609.677419354839</v>
          </cell>
          <cell r="G24" t="str">
            <v>MPA</v>
          </cell>
          <cell r="H24">
            <v>3.9</v>
          </cell>
          <cell r="I24">
            <v>3900</v>
          </cell>
          <cell r="J24">
            <v>494574.19354838727</v>
          </cell>
          <cell r="K24">
            <v>290022.58064516139</v>
          </cell>
        </row>
        <row r="25">
          <cell r="A25">
            <v>46046</v>
          </cell>
          <cell r="B25">
            <v>21503.225806451614</v>
          </cell>
          <cell r="C25" t="str">
            <v>TJP</v>
          </cell>
          <cell r="D25">
            <v>3.8</v>
          </cell>
          <cell r="E25">
            <v>3800</v>
          </cell>
          <cell r="F25">
            <v>12609.677419354839</v>
          </cell>
          <cell r="G25" t="str">
            <v>MPA</v>
          </cell>
          <cell r="H25">
            <v>3.9</v>
          </cell>
          <cell r="I25">
            <v>3900</v>
          </cell>
          <cell r="J25">
            <v>516077.4193548389</v>
          </cell>
          <cell r="K25">
            <v>302632.25806451624</v>
          </cell>
        </row>
        <row r="26">
          <cell r="A26">
            <v>46047</v>
          </cell>
          <cell r="B26">
            <v>21503.225806451614</v>
          </cell>
          <cell r="C26" t="str">
            <v>TJP</v>
          </cell>
          <cell r="D26">
            <v>3.8</v>
          </cell>
          <cell r="E26">
            <v>3800</v>
          </cell>
          <cell r="F26">
            <v>12609.677419354839</v>
          </cell>
          <cell r="G26" t="str">
            <v>MPA</v>
          </cell>
          <cell r="H26">
            <v>3.9</v>
          </cell>
          <cell r="I26">
            <v>3900</v>
          </cell>
          <cell r="J26">
            <v>537580.64516129054</v>
          </cell>
          <cell r="K26">
            <v>315241.93548387109</v>
          </cell>
        </row>
        <row r="27">
          <cell r="A27">
            <v>46048</v>
          </cell>
          <cell r="B27">
            <v>21503.225806451614</v>
          </cell>
          <cell r="C27" t="str">
            <v>TJP</v>
          </cell>
          <cell r="D27">
            <v>3.8</v>
          </cell>
          <cell r="E27">
            <v>3800</v>
          </cell>
          <cell r="F27">
            <v>12609.677419354839</v>
          </cell>
          <cell r="G27" t="str">
            <v>MPA</v>
          </cell>
          <cell r="H27">
            <v>3.9</v>
          </cell>
          <cell r="I27">
            <v>3900</v>
          </cell>
          <cell r="J27">
            <v>559083.87096774217</v>
          </cell>
          <cell r="K27">
            <v>327851.61290322593</v>
          </cell>
        </row>
        <row r="28">
          <cell r="A28">
            <v>46049</v>
          </cell>
          <cell r="B28">
            <v>21503.225806451614</v>
          </cell>
          <cell r="C28" t="str">
            <v>TJP</v>
          </cell>
          <cell r="D28">
            <v>3.8</v>
          </cell>
          <cell r="E28">
            <v>3800</v>
          </cell>
          <cell r="F28">
            <v>12609.677419354839</v>
          </cell>
          <cell r="G28" t="str">
            <v>MPA</v>
          </cell>
          <cell r="H28">
            <v>3.9</v>
          </cell>
          <cell r="I28">
            <v>3900</v>
          </cell>
          <cell r="J28">
            <v>580587.09677419381</v>
          </cell>
          <cell r="K28">
            <v>340461.29032258078</v>
          </cell>
        </row>
        <row r="29">
          <cell r="A29">
            <v>46050</v>
          </cell>
          <cell r="B29">
            <v>21503.225806451614</v>
          </cell>
          <cell r="C29" t="str">
            <v>TJP</v>
          </cell>
          <cell r="D29">
            <v>3.8</v>
          </cell>
          <cell r="E29">
            <v>3800</v>
          </cell>
          <cell r="F29">
            <v>12609.677419354839</v>
          </cell>
          <cell r="G29" t="str">
            <v>MPA</v>
          </cell>
          <cell r="H29">
            <v>3.9</v>
          </cell>
          <cell r="I29">
            <v>3900</v>
          </cell>
          <cell r="J29">
            <v>602090.32258064544</v>
          </cell>
          <cell r="K29">
            <v>353070.96774193563</v>
          </cell>
        </row>
        <row r="30">
          <cell r="A30">
            <v>46051</v>
          </cell>
          <cell r="B30">
            <v>21503.225806451614</v>
          </cell>
          <cell r="C30" t="str">
            <v>TJP</v>
          </cell>
          <cell r="D30">
            <v>3.8</v>
          </cell>
          <cell r="E30">
            <v>3800</v>
          </cell>
          <cell r="F30">
            <v>12609.677419354839</v>
          </cell>
          <cell r="G30" t="str">
            <v>MPA</v>
          </cell>
          <cell r="H30">
            <v>3.9</v>
          </cell>
          <cell r="I30">
            <v>3900</v>
          </cell>
          <cell r="J30">
            <v>623593.54838709708</v>
          </cell>
          <cell r="K30">
            <v>365680.64516129048</v>
          </cell>
        </row>
        <row r="31">
          <cell r="A31">
            <v>46052</v>
          </cell>
          <cell r="B31">
            <v>21503.225806451614</v>
          </cell>
          <cell r="C31" t="str">
            <v>TJP</v>
          </cell>
          <cell r="D31">
            <v>3.8</v>
          </cell>
          <cell r="E31">
            <v>3800</v>
          </cell>
          <cell r="F31">
            <v>12609.677419354839</v>
          </cell>
          <cell r="G31" t="str">
            <v>MPA</v>
          </cell>
          <cell r="H31">
            <v>3.9</v>
          </cell>
          <cell r="I31">
            <v>3900</v>
          </cell>
          <cell r="J31">
            <v>645096.77419354871</v>
          </cell>
          <cell r="K31">
            <v>378290.32258064533</v>
          </cell>
        </row>
        <row r="32">
          <cell r="A32">
            <v>46053</v>
          </cell>
          <cell r="B32">
            <v>21503.225806451614</v>
          </cell>
          <cell r="C32" t="str">
            <v>TJP</v>
          </cell>
          <cell r="D32">
            <v>3.8</v>
          </cell>
          <cell r="E32">
            <v>3800</v>
          </cell>
          <cell r="F32">
            <v>12609.677419354839</v>
          </cell>
          <cell r="G32" t="str">
            <v>MPA</v>
          </cell>
          <cell r="H32">
            <v>3.9</v>
          </cell>
          <cell r="I32">
            <v>3900</v>
          </cell>
          <cell r="J32">
            <v>666600.00000000035</v>
          </cell>
          <cell r="K32">
            <v>390900.00000000017</v>
          </cell>
        </row>
        <row r="33">
          <cell r="A33">
            <v>46054</v>
          </cell>
          <cell r="B33">
            <v>22985.714285714286</v>
          </cell>
          <cell r="C33" t="str">
            <v>TJP</v>
          </cell>
          <cell r="D33">
            <v>3.8</v>
          </cell>
          <cell r="E33">
            <v>3800</v>
          </cell>
          <cell r="F33">
            <v>13475</v>
          </cell>
          <cell r="G33" t="str">
            <v>MPA</v>
          </cell>
          <cell r="H33">
            <v>4</v>
          </cell>
          <cell r="I33">
            <v>4000</v>
          </cell>
          <cell r="J33">
            <v>689585.71428571467</v>
          </cell>
          <cell r="K33">
            <v>404375.00000000017</v>
          </cell>
        </row>
        <row r="34">
          <cell r="A34">
            <v>46055</v>
          </cell>
          <cell r="B34">
            <v>22985.714285714286</v>
          </cell>
          <cell r="C34" t="str">
            <v>TJP</v>
          </cell>
          <cell r="D34">
            <v>3.8</v>
          </cell>
          <cell r="E34">
            <v>3800</v>
          </cell>
          <cell r="F34">
            <v>13475</v>
          </cell>
          <cell r="G34" t="str">
            <v>MPA</v>
          </cell>
          <cell r="H34">
            <v>4</v>
          </cell>
          <cell r="I34">
            <v>4000</v>
          </cell>
          <cell r="J34">
            <v>712571.42857142899</v>
          </cell>
          <cell r="K34">
            <v>417850.00000000017</v>
          </cell>
        </row>
        <row r="35">
          <cell r="A35">
            <v>46056</v>
          </cell>
          <cell r="B35">
            <v>22985.714285714286</v>
          </cell>
          <cell r="C35" t="str">
            <v>TJP</v>
          </cell>
          <cell r="D35">
            <v>3.8</v>
          </cell>
          <cell r="E35">
            <v>3800</v>
          </cell>
          <cell r="F35">
            <v>13475</v>
          </cell>
          <cell r="G35" t="str">
            <v>MPA</v>
          </cell>
          <cell r="H35">
            <v>4</v>
          </cell>
          <cell r="I35">
            <v>4000</v>
          </cell>
          <cell r="J35">
            <v>735557.14285714331</v>
          </cell>
          <cell r="K35">
            <v>431325.00000000017</v>
          </cell>
        </row>
        <row r="36">
          <cell r="A36">
            <v>46057</v>
          </cell>
          <cell r="B36">
            <v>22985.714285714286</v>
          </cell>
          <cell r="C36" t="str">
            <v>TJP</v>
          </cell>
          <cell r="D36">
            <v>3.8</v>
          </cell>
          <cell r="E36">
            <v>3800</v>
          </cell>
          <cell r="F36">
            <v>13475</v>
          </cell>
          <cell r="G36" t="str">
            <v>MPA</v>
          </cell>
          <cell r="H36">
            <v>4</v>
          </cell>
          <cell r="I36">
            <v>4000</v>
          </cell>
          <cell r="J36">
            <v>758542.85714285763</v>
          </cell>
          <cell r="K36">
            <v>444800.00000000017</v>
          </cell>
        </row>
        <row r="37">
          <cell r="A37">
            <v>46058</v>
          </cell>
          <cell r="B37">
            <v>22985.714285714286</v>
          </cell>
          <cell r="C37" t="str">
            <v>TJP</v>
          </cell>
          <cell r="D37">
            <v>3.8</v>
          </cell>
          <cell r="E37">
            <v>3800</v>
          </cell>
          <cell r="F37">
            <v>13475</v>
          </cell>
          <cell r="G37" t="str">
            <v>MPA</v>
          </cell>
          <cell r="H37">
            <v>4</v>
          </cell>
          <cell r="I37">
            <v>4000</v>
          </cell>
          <cell r="J37">
            <v>781528.57142857194</v>
          </cell>
          <cell r="K37">
            <v>458275.00000000017</v>
          </cell>
        </row>
        <row r="38">
          <cell r="A38">
            <v>46059</v>
          </cell>
          <cell r="B38">
            <v>22985.714285714286</v>
          </cell>
          <cell r="C38" t="str">
            <v>TJP</v>
          </cell>
          <cell r="D38">
            <v>3.8</v>
          </cell>
          <cell r="E38">
            <v>3800</v>
          </cell>
          <cell r="F38">
            <v>13475</v>
          </cell>
          <cell r="G38" t="str">
            <v>MPA</v>
          </cell>
          <cell r="H38">
            <v>4</v>
          </cell>
          <cell r="I38">
            <v>4000</v>
          </cell>
          <cell r="J38">
            <v>804514.28571428626</v>
          </cell>
          <cell r="K38">
            <v>471750.00000000017</v>
          </cell>
        </row>
        <row r="39">
          <cell r="A39">
            <v>46060</v>
          </cell>
          <cell r="B39">
            <v>22985.714285714286</v>
          </cell>
          <cell r="C39" t="str">
            <v>TJP</v>
          </cell>
          <cell r="D39">
            <v>3.8</v>
          </cell>
          <cell r="E39">
            <v>3800</v>
          </cell>
          <cell r="F39">
            <v>13475</v>
          </cell>
          <cell r="G39" t="str">
            <v>MPA</v>
          </cell>
          <cell r="H39">
            <v>4</v>
          </cell>
          <cell r="I39">
            <v>4000</v>
          </cell>
          <cell r="J39">
            <v>827500.00000000058</v>
          </cell>
          <cell r="K39">
            <v>485225.00000000017</v>
          </cell>
        </row>
        <row r="40">
          <cell r="A40">
            <v>46061</v>
          </cell>
          <cell r="B40">
            <v>22985.714285714286</v>
          </cell>
          <cell r="C40" t="str">
            <v>TJP</v>
          </cell>
          <cell r="D40">
            <v>3.8</v>
          </cell>
          <cell r="E40">
            <v>3800</v>
          </cell>
          <cell r="F40">
            <v>13475</v>
          </cell>
          <cell r="G40" t="str">
            <v>MPA</v>
          </cell>
          <cell r="H40">
            <v>4</v>
          </cell>
          <cell r="I40">
            <v>4000</v>
          </cell>
          <cell r="J40">
            <v>850485.7142857149</v>
          </cell>
          <cell r="K40">
            <v>498700.00000000017</v>
          </cell>
        </row>
        <row r="41">
          <cell r="A41">
            <v>46062</v>
          </cell>
          <cell r="B41">
            <v>22985.714285714286</v>
          </cell>
          <cell r="C41" t="str">
            <v>TJP</v>
          </cell>
          <cell r="D41">
            <v>3.8</v>
          </cell>
          <cell r="E41">
            <v>3800</v>
          </cell>
          <cell r="F41">
            <v>13475</v>
          </cell>
          <cell r="G41" t="str">
            <v>MPA</v>
          </cell>
          <cell r="H41">
            <v>4</v>
          </cell>
          <cell r="I41">
            <v>4000</v>
          </cell>
          <cell r="J41">
            <v>873471.42857142922</v>
          </cell>
          <cell r="K41">
            <v>512175.00000000017</v>
          </cell>
        </row>
        <row r="42">
          <cell r="A42">
            <v>46063</v>
          </cell>
          <cell r="B42">
            <v>22985.714285714286</v>
          </cell>
          <cell r="C42" t="str">
            <v>TJP</v>
          </cell>
          <cell r="D42">
            <v>3.8</v>
          </cell>
          <cell r="E42">
            <v>3800</v>
          </cell>
          <cell r="F42">
            <v>13475</v>
          </cell>
          <cell r="G42" t="str">
            <v>MPA</v>
          </cell>
          <cell r="H42">
            <v>4</v>
          </cell>
          <cell r="I42">
            <v>4000</v>
          </cell>
          <cell r="J42">
            <v>896457.14285714354</v>
          </cell>
          <cell r="K42">
            <v>525650.00000000023</v>
          </cell>
        </row>
        <row r="43">
          <cell r="A43">
            <v>46064</v>
          </cell>
          <cell r="B43">
            <v>22985.714285714286</v>
          </cell>
          <cell r="C43" t="str">
            <v>TJP</v>
          </cell>
          <cell r="D43">
            <v>3.8</v>
          </cell>
          <cell r="E43">
            <v>3800</v>
          </cell>
          <cell r="F43">
            <v>13475</v>
          </cell>
          <cell r="G43" t="str">
            <v>MPA</v>
          </cell>
          <cell r="H43">
            <v>4</v>
          </cell>
          <cell r="I43">
            <v>4000</v>
          </cell>
          <cell r="J43">
            <v>919442.85714285786</v>
          </cell>
          <cell r="K43">
            <v>539125.00000000023</v>
          </cell>
        </row>
        <row r="44">
          <cell r="A44">
            <v>46065</v>
          </cell>
          <cell r="B44">
            <v>22985.714285714286</v>
          </cell>
          <cell r="C44" t="str">
            <v>TJP</v>
          </cell>
          <cell r="D44">
            <v>3.8</v>
          </cell>
          <cell r="E44">
            <v>3800</v>
          </cell>
          <cell r="F44">
            <v>13475</v>
          </cell>
          <cell r="G44" t="str">
            <v>MPA</v>
          </cell>
          <cell r="H44">
            <v>4</v>
          </cell>
          <cell r="I44">
            <v>4000</v>
          </cell>
          <cell r="J44">
            <v>942428.57142857218</v>
          </cell>
          <cell r="K44">
            <v>552600.00000000023</v>
          </cell>
        </row>
        <row r="45">
          <cell r="A45">
            <v>46066</v>
          </cell>
          <cell r="B45">
            <v>22985.714285714286</v>
          </cell>
          <cell r="C45" t="str">
            <v>TJP</v>
          </cell>
          <cell r="D45">
            <v>3.8</v>
          </cell>
          <cell r="E45">
            <v>3800</v>
          </cell>
          <cell r="F45">
            <v>13475</v>
          </cell>
          <cell r="G45" t="str">
            <v>MPA</v>
          </cell>
          <cell r="H45">
            <v>4</v>
          </cell>
          <cell r="I45">
            <v>4000</v>
          </cell>
          <cell r="J45">
            <v>965414.2857142865</v>
          </cell>
          <cell r="K45">
            <v>566075.00000000023</v>
          </cell>
        </row>
        <row r="46">
          <cell r="A46">
            <v>46067</v>
          </cell>
          <cell r="B46">
            <v>22985.714285714286</v>
          </cell>
          <cell r="C46" t="str">
            <v>TJP</v>
          </cell>
          <cell r="D46">
            <v>3.8</v>
          </cell>
          <cell r="E46">
            <v>3800</v>
          </cell>
          <cell r="F46">
            <v>13475</v>
          </cell>
          <cell r="G46" t="str">
            <v>MPA</v>
          </cell>
          <cell r="H46">
            <v>4</v>
          </cell>
          <cell r="I46">
            <v>4000</v>
          </cell>
          <cell r="J46">
            <v>988400.00000000081</v>
          </cell>
          <cell r="K46">
            <v>579550.00000000023</v>
          </cell>
        </row>
        <row r="47">
          <cell r="A47">
            <v>46068</v>
          </cell>
          <cell r="B47">
            <v>22985.714285714286</v>
          </cell>
          <cell r="C47" t="str">
            <v>TJP</v>
          </cell>
          <cell r="D47">
            <v>3.8</v>
          </cell>
          <cell r="E47">
            <v>3800</v>
          </cell>
          <cell r="F47">
            <v>13475</v>
          </cell>
          <cell r="G47" t="str">
            <v>MPA</v>
          </cell>
          <cell r="H47">
            <v>4</v>
          </cell>
          <cell r="I47">
            <v>4000</v>
          </cell>
          <cell r="J47">
            <v>1011385.7142857151</v>
          </cell>
          <cell r="K47">
            <v>593025.00000000023</v>
          </cell>
        </row>
        <row r="48">
          <cell r="A48">
            <v>46069</v>
          </cell>
          <cell r="B48">
            <v>22985.714285714286</v>
          </cell>
          <cell r="C48" t="str">
            <v>TJP</v>
          </cell>
          <cell r="D48">
            <v>3.8</v>
          </cell>
          <cell r="E48">
            <v>3800</v>
          </cell>
          <cell r="F48">
            <v>13475</v>
          </cell>
          <cell r="G48" t="str">
            <v>MPA</v>
          </cell>
          <cell r="H48">
            <v>4</v>
          </cell>
          <cell r="I48">
            <v>4000</v>
          </cell>
          <cell r="J48">
            <v>1034371.4285714295</v>
          </cell>
          <cell r="K48">
            <v>606500.00000000023</v>
          </cell>
        </row>
        <row r="49">
          <cell r="A49">
            <v>46070</v>
          </cell>
          <cell r="B49">
            <v>22985.714285714286</v>
          </cell>
          <cell r="C49" t="str">
            <v>TJP</v>
          </cell>
          <cell r="D49">
            <v>3.8</v>
          </cell>
          <cell r="E49">
            <v>3800</v>
          </cell>
          <cell r="F49">
            <v>13475</v>
          </cell>
          <cell r="G49" t="str">
            <v>MPA</v>
          </cell>
          <cell r="H49">
            <v>4</v>
          </cell>
          <cell r="I49">
            <v>4000</v>
          </cell>
          <cell r="J49">
            <v>1057357.1428571437</v>
          </cell>
          <cell r="K49">
            <v>619975.00000000023</v>
          </cell>
        </row>
        <row r="50">
          <cell r="A50">
            <v>46071</v>
          </cell>
          <cell r="B50">
            <v>22985.714285714286</v>
          </cell>
          <cell r="C50" t="str">
            <v>TJP</v>
          </cell>
          <cell r="D50">
            <v>3.8</v>
          </cell>
          <cell r="E50">
            <v>3800</v>
          </cell>
          <cell r="F50">
            <v>13475</v>
          </cell>
          <cell r="G50" t="str">
            <v>MPA</v>
          </cell>
          <cell r="H50">
            <v>4</v>
          </cell>
          <cell r="I50">
            <v>4000</v>
          </cell>
          <cell r="J50">
            <v>1080342.857142858</v>
          </cell>
          <cell r="K50">
            <v>633450.00000000023</v>
          </cell>
        </row>
        <row r="51">
          <cell r="A51">
            <v>46072</v>
          </cell>
          <cell r="B51">
            <v>22985.714285714286</v>
          </cell>
          <cell r="C51" t="str">
            <v>TJP</v>
          </cell>
          <cell r="D51">
            <v>3.8</v>
          </cell>
          <cell r="E51">
            <v>3800</v>
          </cell>
          <cell r="F51">
            <v>13475</v>
          </cell>
          <cell r="G51" t="str">
            <v>MPA</v>
          </cell>
          <cell r="H51">
            <v>4</v>
          </cell>
          <cell r="I51">
            <v>4000</v>
          </cell>
          <cell r="J51">
            <v>1103328.5714285723</v>
          </cell>
          <cell r="K51">
            <v>646925.00000000023</v>
          </cell>
        </row>
        <row r="52">
          <cell r="A52">
            <v>46073</v>
          </cell>
          <cell r="B52">
            <v>22985.714285714286</v>
          </cell>
          <cell r="C52" t="str">
            <v>TJP</v>
          </cell>
          <cell r="D52">
            <v>3.8</v>
          </cell>
          <cell r="E52">
            <v>3800</v>
          </cell>
          <cell r="F52">
            <v>13475</v>
          </cell>
          <cell r="G52" t="str">
            <v>MPA</v>
          </cell>
          <cell r="H52">
            <v>4</v>
          </cell>
          <cell r="I52">
            <v>4000</v>
          </cell>
          <cell r="J52">
            <v>1126314.2857142866</v>
          </cell>
          <cell r="K52">
            <v>660400.00000000023</v>
          </cell>
        </row>
        <row r="53">
          <cell r="A53">
            <v>46074</v>
          </cell>
          <cell r="B53">
            <v>22985.714285714286</v>
          </cell>
          <cell r="C53" t="str">
            <v>TJP</v>
          </cell>
          <cell r="D53">
            <v>3.8</v>
          </cell>
          <cell r="E53">
            <v>3800</v>
          </cell>
          <cell r="F53">
            <v>13475</v>
          </cell>
          <cell r="G53" t="str">
            <v>MPA</v>
          </cell>
          <cell r="H53">
            <v>4</v>
          </cell>
          <cell r="I53">
            <v>4000</v>
          </cell>
          <cell r="J53">
            <v>1149300.0000000009</v>
          </cell>
          <cell r="K53">
            <v>673875.00000000023</v>
          </cell>
        </row>
        <row r="54">
          <cell r="A54">
            <v>46075</v>
          </cell>
          <cell r="B54">
            <v>22985.714285714286</v>
          </cell>
          <cell r="C54" t="str">
            <v>TJP</v>
          </cell>
          <cell r="D54">
            <v>3.8</v>
          </cell>
          <cell r="E54">
            <v>3800</v>
          </cell>
          <cell r="F54">
            <v>13475</v>
          </cell>
          <cell r="G54" t="str">
            <v>MPA</v>
          </cell>
          <cell r="H54">
            <v>4</v>
          </cell>
          <cell r="I54">
            <v>4000</v>
          </cell>
          <cell r="J54">
            <v>1172285.7142857153</v>
          </cell>
          <cell r="K54">
            <v>687350.00000000023</v>
          </cell>
        </row>
        <row r="55">
          <cell r="A55">
            <v>46076</v>
          </cell>
          <cell r="B55">
            <v>22985.714285714286</v>
          </cell>
          <cell r="C55" t="str">
            <v>TJP</v>
          </cell>
          <cell r="D55">
            <v>3.8</v>
          </cell>
          <cell r="E55">
            <v>3800</v>
          </cell>
          <cell r="F55">
            <v>13475</v>
          </cell>
          <cell r="G55" t="str">
            <v>MPA</v>
          </cell>
          <cell r="H55">
            <v>4</v>
          </cell>
          <cell r="I55">
            <v>4000</v>
          </cell>
          <cell r="J55">
            <v>1195271.4285714296</v>
          </cell>
          <cell r="K55">
            <v>700825.00000000023</v>
          </cell>
        </row>
        <row r="56">
          <cell r="A56">
            <v>46077</v>
          </cell>
          <cell r="B56">
            <v>22985.714285714286</v>
          </cell>
          <cell r="C56" t="str">
            <v>TJP</v>
          </cell>
          <cell r="D56">
            <v>3.8</v>
          </cell>
          <cell r="E56">
            <v>3800</v>
          </cell>
          <cell r="F56">
            <v>13475</v>
          </cell>
          <cell r="G56" t="str">
            <v>MPA</v>
          </cell>
          <cell r="H56">
            <v>4</v>
          </cell>
          <cell r="I56">
            <v>4000</v>
          </cell>
          <cell r="J56">
            <v>1218257.1428571439</v>
          </cell>
          <cell r="K56">
            <v>714300.00000000023</v>
          </cell>
        </row>
        <row r="57">
          <cell r="A57">
            <v>46078</v>
          </cell>
          <cell r="B57">
            <v>22985.714285714286</v>
          </cell>
          <cell r="C57" t="str">
            <v>TJP</v>
          </cell>
          <cell r="D57">
            <v>3.8</v>
          </cell>
          <cell r="E57">
            <v>3800</v>
          </cell>
          <cell r="F57">
            <v>13475</v>
          </cell>
          <cell r="G57" t="str">
            <v>MPA</v>
          </cell>
          <cell r="H57">
            <v>4</v>
          </cell>
          <cell r="I57">
            <v>4000</v>
          </cell>
          <cell r="J57">
            <v>1241242.8571428582</v>
          </cell>
          <cell r="K57">
            <v>727775.00000000023</v>
          </cell>
        </row>
        <row r="58">
          <cell r="A58">
            <v>46079</v>
          </cell>
          <cell r="B58">
            <v>22985.714285714286</v>
          </cell>
          <cell r="C58" t="str">
            <v>TJP</v>
          </cell>
          <cell r="D58">
            <v>3.8</v>
          </cell>
          <cell r="E58">
            <v>3800</v>
          </cell>
          <cell r="F58">
            <v>13475</v>
          </cell>
          <cell r="G58" t="str">
            <v>MPA</v>
          </cell>
          <cell r="H58">
            <v>4</v>
          </cell>
          <cell r="I58">
            <v>4000</v>
          </cell>
          <cell r="J58">
            <v>1264228.5714285725</v>
          </cell>
          <cell r="K58">
            <v>741250.00000000023</v>
          </cell>
        </row>
        <row r="59">
          <cell r="A59">
            <v>46080</v>
          </cell>
          <cell r="B59">
            <v>22985.714285714286</v>
          </cell>
          <cell r="C59" t="str">
            <v>TJP</v>
          </cell>
          <cell r="D59">
            <v>3.8</v>
          </cell>
          <cell r="E59">
            <v>3800</v>
          </cell>
          <cell r="F59">
            <v>13475</v>
          </cell>
          <cell r="G59" t="str">
            <v>MPA</v>
          </cell>
          <cell r="H59">
            <v>4</v>
          </cell>
          <cell r="I59">
            <v>4000</v>
          </cell>
          <cell r="J59">
            <v>1287214.2857142868</v>
          </cell>
          <cell r="K59">
            <v>754725.00000000023</v>
          </cell>
        </row>
        <row r="60">
          <cell r="A60">
            <v>46081</v>
          </cell>
          <cell r="B60">
            <v>22985.714285714286</v>
          </cell>
          <cell r="C60" t="str">
            <v>TJP</v>
          </cell>
          <cell r="D60">
            <v>3.8</v>
          </cell>
          <cell r="E60">
            <v>3800</v>
          </cell>
          <cell r="F60">
            <v>13475</v>
          </cell>
          <cell r="G60" t="str">
            <v>MPA</v>
          </cell>
          <cell r="H60">
            <v>4</v>
          </cell>
          <cell r="I60">
            <v>4000</v>
          </cell>
          <cell r="J60">
            <v>1310200.0000000012</v>
          </cell>
          <cell r="K60">
            <v>768200.00000000023</v>
          </cell>
        </row>
        <row r="61">
          <cell r="A61">
            <v>46082</v>
          </cell>
          <cell r="B61">
            <v>22261.290322580644</v>
          </cell>
          <cell r="C61" t="str">
            <v>TJP</v>
          </cell>
          <cell r="D61">
            <v>3.8</v>
          </cell>
          <cell r="E61">
            <v>3800</v>
          </cell>
          <cell r="F61">
            <v>13058.064516129032</v>
          </cell>
          <cell r="G61" t="str">
            <v>MPA</v>
          </cell>
          <cell r="H61">
            <v>4.3</v>
          </cell>
          <cell r="I61">
            <v>4300</v>
          </cell>
          <cell r="J61">
            <v>1332461.2903225818</v>
          </cell>
          <cell r="K61">
            <v>781258.06451612932</v>
          </cell>
        </row>
        <row r="62">
          <cell r="A62">
            <v>46083</v>
          </cell>
          <cell r="B62">
            <v>22261.290322580644</v>
          </cell>
          <cell r="C62" t="str">
            <v>TJP</v>
          </cell>
          <cell r="D62">
            <v>3.8</v>
          </cell>
          <cell r="E62">
            <v>3800</v>
          </cell>
          <cell r="F62">
            <v>13058.064516129032</v>
          </cell>
          <cell r="G62" t="str">
            <v>MPA</v>
          </cell>
          <cell r="H62">
            <v>4.3</v>
          </cell>
          <cell r="I62">
            <v>4300</v>
          </cell>
          <cell r="J62">
            <v>1354722.5806451624</v>
          </cell>
          <cell r="K62">
            <v>794316.12903225841</v>
          </cell>
        </row>
        <row r="63">
          <cell r="A63">
            <v>46084</v>
          </cell>
          <cell r="B63">
            <v>22261.290322580644</v>
          </cell>
          <cell r="C63" t="str">
            <v>TJP</v>
          </cell>
          <cell r="D63">
            <v>3.8</v>
          </cell>
          <cell r="E63">
            <v>3800</v>
          </cell>
          <cell r="F63">
            <v>13058.064516129032</v>
          </cell>
          <cell r="G63" t="str">
            <v>MPA</v>
          </cell>
          <cell r="H63">
            <v>4.3</v>
          </cell>
          <cell r="I63">
            <v>4300</v>
          </cell>
          <cell r="J63">
            <v>1376983.870967743</v>
          </cell>
          <cell r="K63">
            <v>807374.1935483875</v>
          </cell>
        </row>
        <row r="64">
          <cell r="A64">
            <v>46085</v>
          </cell>
          <cell r="B64">
            <v>22261.290322580644</v>
          </cell>
          <cell r="C64" t="str">
            <v>TJP</v>
          </cell>
          <cell r="D64">
            <v>3.8</v>
          </cell>
          <cell r="E64">
            <v>3800</v>
          </cell>
          <cell r="F64">
            <v>13058.064516129032</v>
          </cell>
          <cell r="G64" t="str">
            <v>MPA</v>
          </cell>
          <cell r="H64">
            <v>4.3</v>
          </cell>
          <cell r="I64">
            <v>4300</v>
          </cell>
          <cell r="J64">
            <v>1399245.1612903236</v>
          </cell>
          <cell r="K64">
            <v>820432.25806451659</v>
          </cell>
        </row>
        <row r="65">
          <cell r="A65">
            <v>46086</v>
          </cell>
          <cell r="B65">
            <v>22261.290322580644</v>
          </cell>
          <cell r="C65" t="str">
            <v>TJP</v>
          </cell>
          <cell r="D65">
            <v>3.8</v>
          </cell>
          <cell r="E65">
            <v>3800</v>
          </cell>
          <cell r="F65">
            <v>13058.064516129032</v>
          </cell>
          <cell r="G65" t="str">
            <v>MPA</v>
          </cell>
          <cell r="H65">
            <v>4.3</v>
          </cell>
          <cell r="I65">
            <v>4300</v>
          </cell>
          <cell r="J65">
            <v>1421506.4516129042</v>
          </cell>
          <cell r="K65">
            <v>833490.32258064568</v>
          </cell>
        </row>
        <row r="66">
          <cell r="A66">
            <v>46087</v>
          </cell>
          <cell r="B66">
            <v>22261.290322580644</v>
          </cell>
          <cell r="C66" t="str">
            <v>TJP</v>
          </cell>
          <cell r="D66">
            <v>3.8</v>
          </cell>
          <cell r="E66">
            <v>3800</v>
          </cell>
          <cell r="F66">
            <v>13058.064516129032</v>
          </cell>
          <cell r="G66" t="str">
            <v>MPA</v>
          </cell>
          <cell r="H66">
            <v>4.3</v>
          </cell>
          <cell r="I66">
            <v>4300</v>
          </cell>
          <cell r="J66">
            <v>1443767.7419354848</v>
          </cell>
          <cell r="K66">
            <v>846548.38709677476</v>
          </cell>
        </row>
        <row r="67">
          <cell r="A67">
            <v>46088</v>
          </cell>
          <cell r="B67">
            <v>22261.290322580644</v>
          </cell>
          <cell r="C67" t="str">
            <v>TJP</v>
          </cell>
          <cell r="D67">
            <v>3.8</v>
          </cell>
          <cell r="E67">
            <v>3800</v>
          </cell>
          <cell r="F67">
            <v>13058.064516129032</v>
          </cell>
          <cell r="G67" t="str">
            <v>MPA</v>
          </cell>
          <cell r="H67">
            <v>4.3</v>
          </cell>
          <cell r="I67">
            <v>4300</v>
          </cell>
          <cell r="J67">
            <v>1466029.0322580654</v>
          </cell>
          <cell r="K67">
            <v>859606.45161290385</v>
          </cell>
        </row>
        <row r="68">
          <cell r="A68">
            <v>46089</v>
          </cell>
          <cell r="B68">
            <v>22261.290322580644</v>
          </cell>
          <cell r="C68" t="str">
            <v>TJP</v>
          </cell>
          <cell r="D68">
            <v>3.8</v>
          </cell>
          <cell r="E68">
            <v>3800</v>
          </cell>
          <cell r="F68">
            <v>13058.064516129032</v>
          </cell>
          <cell r="G68" t="str">
            <v>MPA</v>
          </cell>
          <cell r="H68">
            <v>4.3</v>
          </cell>
          <cell r="I68">
            <v>4300</v>
          </cell>
          <cell r="J68">
            <v>1488290.322580646</v>
          </cell>
          <cell r="K68">
            <v>872664.51612903294</v>
          </cell>
        </row>
        <row r="69">
          <cell r="A69">
            <v>46090</v>
          </cell>
          <cell r="B69">
            <v>22261.290322580644</v>
          </cell>
          <cell r="C69" t="str">
            <v>TJP</v>
          </cell>
          <cell r="D69">
            <v>3.8</v>
          </cell>
          <cell r="E69">
            <v>3800</v>
          </cell>
          <cell r="F69">
            <v>13058.064516129032</v>
          </cell>
          <cell r="G69" t="str">
            <v>MPA</v>
          </cell>
          <cell r="H69">
            <v>4.3</v>
          </cell>
          <cell r="I69">
            <v>4300</v>
          </cell>
          <cell r="J69">
            <v>1510551.6129032266</v>
          </cell>
          <cell r="K69">
            <v>885722.58064516203</v>
          </cell>
        </row>
        <row r="70">
          <cell r="A70">
            <v>46091</v>
          </cell>
          <cell r="B70">
            <v>22261.290322580644</v>
          </cell>
          <cell r="C70" t="str">
            <v>TJP</v>
          </cell>
          <cell r="D70">
            <v>3.8</v>
          </cell>
          <cell r="E70">
            <v>3800</v>
          </cell>
          <cell r="F70">
            <v>13058.064516129032</v>
          </cell>
          <cell r="G70" t="str">
            <v>MPA</v>
          </cell>
          <cell r="H70">
            <v>4.3</v>
          </cell>
          <cell r="I70">
            <v>4300</v>
          </cell>
          <cell r="J70">
            <v>1532812.9032258072</v>
          </cell>
          <cell r="K70">
            <v>898780.64516129112</v>
          </cell>
        </row>
        <row r="71">
          <cell r="A71">
            <v>46092</v>
          </cell>
          <cell r="B71">
            <v>22261.290322580644</v>
          </cell>
          <cell r="C71" t="str">
            <v>TJP</v>
          </cell>
          <cell r="D71">
            <v>3.8</v>
          </cell>
          <cell r="E71">
            <v>3800</v>
          </cell>
          <cell r="F71">
            <v>13058.064516129032</v>
          </cell>
          <cell r="G71" t="str">
            <v>MPA</v>
          </cell>
          <cell r="H71">
            <v>4.3</v>
          </cell>
          <cell r="I71">
            <v>4300</v>
          </cell>
          <cell r="J71">
            <v>1555074.1935483878</v>
          </cell>
          <cell r="K71">
            <v>911838.70967742021</v>
          </cell>
        </row>
        <row r="72">
          <cell r="A72">
            <v>46093</v>
          </cell>
          <cell r="B72">
            <v>22261.290322580644</v>
          </cell>
          <cell r="C72" t="str">
            <v>TJP</v>
          </cell>
          <cell r="D72">
            <v>3.8</v>
          </cell>
          <cell r="E72">
            <v>3800</v>
          </cell>
          <cell r="F72">
            <v>13058.064516129032</v>
          </cell>
          <cell r="G72" t="str">
            <v>MPA</v>
          </cell>
          <cell r="H72">
            <v>4.3</v>
          </cell>
          <cell r="I72">
            <v>4300</v>
          </cell>
          <cell r="J72">
            <v>1577335.4838709685</v>
          </cell>
          <cell r="K72">
            <v>924896.7741935493</v>
          </cell>
        </row>
        <row r="73">
          <cell r="A73">
            <v>46094</v>
          </cell>
          <cell r="B73">
            <v>22261.290322580644</v>
          </cell>
          <cell r="C73" t="str">
            <v>TJP</v>
          </cell>
          <cell r="D73">
            <v>3.8</v>
          </cell>
          <cell r="E73">
            <v>3800</v>
          </cell>
          <cell r="F73">
            <v>13058.064516129032</v>
          </cell>
          <cell r="G73" t="str">
            <v>MPA</v>
          </cell>
          <cell r="H73">
            <v>4.3</v>
          </cell>
          <cell r="I73">
            <v>4300</v>
          </cell>
          <cell r="J73">
            <v>1599596.7741935491</v>
          </cell>
          <cell r="K73">
            <v>937954.83870967838</v>
          </cell>
        </row>
        <row r="74">
          <cell r="A74">
            <v>46095</v>
          </cell>
          <cell r="B74">
            <v>22261.290322580644</v>
          </cell>
          <cell r="C74" t="str">
            <v>TJP</v>
          </cell>
          <cell r="D74">
            <v>3.8</v>
          </cell>
          <cell r="E74">
            <v>3800</v>
          </cell>
          <cell r="F74">
            <v>13058.064516129032</v>
          </cell>
          <cell r="G74" t="str">
            <v>MPA</v>
          </cell>
          <cell r="H74">
            <v>4.3</v>
          </cell>
          <cell r="I74">
            <v>4300</v>
          </cell>
          <cell r="J74">
            <v>1621858.0645161297</v>
          </cell>
          <cell r="K74">
            <v>951012.90322580747</v>
          </cell>
        </row>
        <row r="75">
          <cell r="A75">
            <v>46096</v>
          </cell>
          <cell r="B75">
            <v>22261.290322580644</v>
          </cell>
          <cell r="C75" t="str">
            <v>TJP</v>
          </cell>
          <cell r="D75">
            <v>3.8</v>
          </cell>
          <cell r="E75">
            <v>3800</v>
          </cell>
          <cell r="F75">
            <v>13058.064516129032</v>
          </cell>
          <cell r="G75" t="str">
            <v>MPA</v>
          </cell>
          <cell r="H75">
            <v>4.3</v>
          </cell>
          <cell r="I75">
            <v>4300</v>
          </cell>
          <cell r="J75">
            <v>1644119.3548387103</v>
          </cell>
          <cell r="K75">
            <v>964070.96774193656</v>
          </cell>
        </row>
        <row r="76">
          <cell r="A76">
            <v>46097</v>
          </cell>
          <cell r="B76">
            <v>22261.290322580644</v>
          </cell>
          <cell r="C76" t="str">
            <v>TJP</v>
          </cell>
          <cell r="D76">
            <v>3.8</v>
          </cell>
          <cell r="E76">
            <v>3800</v>
          </cell>
          <cell r="F76">
            <v>13058.064516129032</v>
          </cell>
          <cell r="G76" t="str">
            <v>MPA</v>
          </cell>
          <cell r="H76">
            <v>4.3</v>
          </cell>
          <cell r="I76">
            <v>4300</v>
          </cell>
          <cell r="J76">
            <v>1666380.6451612909</v>
          </cell>
          <cell r="K76">
            <v>977129.03225806565</v>
          </cell>
        </row>
        <row r="77">
          <cell r="A77">
            <v>46098</v>
          </cell>
          <cell r="B77">
            <v>22261.290322580644</v>
          </cell>
          <cell r="C77" t="str">
            <v>TJP</v>
          </cell>
          <cell r="D77">
            <v>3.8</v>
          </cell>
          <cell r="E77">
            <v>3800</v>
          </cell>
          <cell r="F77">
            <v>13058.064516129032</v>
          </cell>
          <cell r="G77" t="str">
            <v>MPA</v>
          </cell>
          <cell r="H77">
            <v>4.3</v>
          </cell>
          <cell r="I77">
            <v>4300</v>
          </cell>
          <cell r="J77">
            <v>1688641.9354838715</v>
          </cell>
          <cell r="K77">
            <v>990187.09677419474</v>
          </cell>
        </row>
        <row r="78">
          <cell r="A78">
            <v>46099</v>
          </cell>
          <cell r="B78">
            <v>22261.290322580644</v>
          </cell>
          <cell r="C78" t="str">
            <v>TJP</v>
          </cell>
          <cell r="D78">
            <v>3.8</v>
          </cell>
          <cell r="E78">
            <v>3800</v>
          </cell>
          <cell r="F78">
            <v>13058.064516129032</v>
          </cell>
          <cell r="G78" t="str">
            <v>MPA</v>
          </cell>
          <cell r="H78">
            <v>4.3</v>
          </cell>
          <cell r="I78">
            <v>4300</v>
          </cell>
          <cell r="J78">
            <v>1710903.2258064521</v>
          </cell>
          <cell r="K78">
            <v>1003245.1612903238</v>
          </cell>
        </row>
        <row r="79">
          <cell r="A79">
            <v>46100</v>
          </cell>
          <cell r="B79">
            <v>22261.290322580644</v>
          </cell>
          <cell r="C79" t="str">
            <v>TJP</v>
          </cell>
          <cell r="D79">
            <v>3.8</v>
          </cell>
          <cell r="E79">
            <v>3800</v>
          </cell>
          <cell r="F79">
            <v>13058.064516129032</v>
          </cell>
          <cell r="G79" t="str">
            <v>MPA</v>
          </cell>
          <cell r="H79">
            <v>4.3</v>
          </cell>
          <cell r="I79">
            <v>4300</v>
          </cell>
          <cell r="J79">
            <v>1733164.5161290327</v>
          </cell>
          <cell r="K79">
            <v>1016303.2258064529</v>
          </cell>
        </row>
        <row r="80">
          <cell r="A80">
            <v>46101</v>
          </cell>
          <cell r="B80">
            <v>22261.290322580644</v>
          </cell>
          <cell r="C80" t="str">
            <v>TJP</v>
          </cell>
          <cell r="D80">
            <v>3.8</v>
          </cell>
          <cell r="E80">
            <v>3800</v>
          </cell>
          <cell r="F80">
            <v>13058.064516129032</v>
          </cell>
          <cell r="G80" t="str">
            <v>MPA</v>
          </cell>
          <cell r="H80">
            <v>4.3</v>
          </cell>
          <cell r="I80">
            <v>4300</v>
          </cell>
          <cell r="J80">
            <v>1755425.8064516133</v>
          </cell>
          <cell r="K80">
            <v>1029361.290322582</v>
          </cell>
        </row>
        <row r="81">
          <cell r="A81">
            <v>46102</v>
          </cell>
          <cell r="B81">
            <v>22261.290322580644</v>
          </cell>
          <cell r="C81" t="str">
            <v>TJP</v>
          </cell>
          <cell r="D81">
            <v>3.8</v>
          </cell>
          <cell r="E81">
            <v>3800</v>
          </cell>
          <cell r="F81">
            <v>13058.064516129032</v>
          </cell>
          <cell r="G81" t="str">
            <v>MPA</v>
          </cell>
          <cell r="H81">
            <v>4.3</v>
          </cell>
          <cell r="I81">
            <v>4300</v>
          </cell>
          <cell r="J81">
            <v>1777687.0967741939</v>
          </cell>
          <cell r="K81">
            <v>1042419.3548387111</v>
          </cell>
        </row>
        <row r="82">
          <cell r="A82">
            <v>46103</v>
          </cell>
          <cell r="B82">
            <v>22261.290322580644</v>
          </cell>
          <cell r="C82" t="str">
            <v>TJP</v>
          </cell>
          <cell r="D82">
            <v>3.8</v>
          </cell>
          <cell r="E82">
            <v>3800</v>
          </cell>
          <cell r="F82">
            <v>13058.064516129032</v>
          </cell>
          <cell r="G82" t="str">
            <v>MPA</v>
          </cell>
          <cell r="H82">
            <v>4.3</v>
          </cell>
          <cell r="I82">
            <v>4300</v>
          </cell>
          <cell r="J82">
            <v>1799948.3870967745</v>
          </cell>
          <cell r="K82">
            <v>1055477.4193548402</v>
          </cell>
        </row>
        <row r="83">
          <cell r="A83">
            <v>46104</v>
          </cell>
          <cell r="B83">
            <v>22261.290322580644</v>
          </cell>
          <cell r="C83" t="str">
            <v>TJP</v>
          </cell>
          <cell r="D83">
            <v>3.8</v>
          </cell>
          <cell r="E83">
            <v>3800</v>
          </cell>
          <cell r="F83">
            <v>13058.064516129032</v>
          </cell>
          <cell r="G83" t="str">
            <v>MPA</v>
          </cell>
          <cell r="H83">
            <v>4.3</v>
          </cell>
          <cell r="I83">
            <v>4300</v>
          </cell>
          <cell r="J83">
            <v>1822209.6774193551</v>
          </cell>
          <cell r="K83">
            <v>1068535.4838709692</v>
          </cell>
        </row>
        <row r="84">
          <cell r="A84">
            <v>46105</v>
          </cell>
          <cell r="B84">
            <v>22261.290322580644</v>
          </cell>
          <cell r="C84" t="str">
            <v>TJP</v>
          </cell>
          <cell r="D84">
            <v>3.8</v>
          </cell>
          <cell r="E84">
            <v>3800</v>
          </cell>
          <cell r="F84">
            <v>13058.064516129032</v>
          </cell>
          <cell r="G84" t="str">
            <v>MPA</v>
          </cell>
          <cell r="H84">
            <v>4.3</v>
          </cell>
          <cell r="I84">
            <v>4300</v>
          </cell>
          <cell r="J84">
            <v>1844470.9677419357</v>
          </cell>
          <cell r="K84">
            <v>1081593.5483870981</v>
          </cell>
        </row>
        <row r="85">
          <cell r="A85">
            <v>46106</v>
          </cell>
          <cell r="B85">
            <v>22261.290322580644</v>
          </cell>
          <cell r="C85" t="str">
            <v>TJP</v>
          </cell>
          <cell r="D85">
            <v>3.8</v>
          </cell>
          <cell r="E85">
            <v>3800</v>
          </cell>
          <cell r="F85">
            <v>13058.064516129032</v>
          </cell>
          <cell r="G85" t="str">
            <v>MPA</v>
          </cell>
          <cell r="H85">
            <v>4.3</v>
          </cell>
          <cell r="I85">
            <v>4300</v>
          </cell>
          <cell r="J85">
            <v>1866732.2580645164</v>
          </cell>
          <cell r="K85">
            <v>1094651.6129032271</v>
          </cell>
        </row>
        <row r="86">
          <cell r="A86">
            <v>46107</v>
          </cell>
          <cell r="B86">
            <v>22261.290322580644</v>
          </cell>
          <cell r="C86" t="str">
            <v>TJP</v>
          </cell>
          <cell r="D86">
            <v>3.8</v>
          </cell>
          <cell r="E86">
            <v>3800</v>
          </cell>
          <cell r="F86">
            <v>13058.064516129032</v>
          </cell>
          <cell r="G86" t="str">
            <v>MPA</v>
          </cell>
          <cell r="H86">
            <v>4.3</v>
          </cell>
          <cell r="I86">
            <v>4300</v>
          </cell>
          <cell r="J86">
            <v>1888993.548387097</v>
          </cell>
          <cell r="K86">
            <v>1107709.6774193561</v>
          </cell>
        </row>
        <row r="87">
          <cell r="A87">
            <v>46108</v>
          </cell>
          <cell r="B87">
            <v>22261.290322580644</v>
          </cell>
          <cell r="C87" t="str">
            <v>TJP</v>
          </cell>
          <cell r="D87">
            <v>3.8</v>
          </cell>
          <cell r="E87">
            <v>3800</v>
          </cell>
          <cell r="F87">
            <v>13058.064516129032</v>
          </cell>
          <cell r="G87" t="str">
            <v>MPA</v>
          </cell>
          <cell r="H87">
            <v>4.3</v>
          </cell>
          <cell r="I87">
            <v>4300</v>
          </cell>
          <cell r="J87">
            <v>1911254.8387096776</v>
          </cell>
          <cell r="K87">
            <v>1120767.741935485</v>
          </cell>
        </row>
        <row r="88">
          <cell r="A88">
            <v>46109</v>
          </cell>
          <cell r="B88">
            <v>22261.290322580644</v>
          </cell>
          <cell r="C88" t="str">
            <v>TJP</v>
          </cell>
          <cell r="D88">
            <v>3.8</v>
          </cell>
          <cell r="E88">
            <v>3800</v>
          </cell>
          <cell r="F88">
            <v>13058.064516129032</v>
          </cell>
          <cell r="G88" t="str">
            <v>MPA</v>
          </cell>
          <cell r="H88">
            <v>4.3</v>
          </cell>
          <cell r="I88">
            <v>4300</v>
          </cell>
          <cell r="J88">
            <v>1933516.1290322582</v>
          </cell>
          <cell r="K88">
            <v>1133825.806451614</v>
          </cell>
        </row>
        <row r="89">
          <cell r="A89">
            <v>46110</v>
          </cell>
          <cell r="B89">
            <v>22261.290322580644</v>
          </cell>
          <cell r="C89" t="str">
            <v>TJP</v>
          </cell>
          <cell r="D89">
            <v>3.8</v>
          </cell>
          <cell r="E89">
            <v>3800</v>
          </cell>
          <cell r="F89">
            <v>13058.064516129032</v>
          </cell>
          <cell r="G89" t="str">
            <v>MPA</v>
          </cell>
          <cell r="H89">
            <v>4.3</v>
          </cell>
          <cell r="I89">
            <v>4300</v>
          </cell>
          <cell r="J89">
            <v>1955777.4193548388</v>
          </cell>
          <cell r="K89">
            <v>1146883.870967743</v>
          </cell>
        </row>
        <row r="90">
          <cell r="A90">
            <v>46111</v>
          </cell>
          <cell r="B90">
            <v>22261.290322580644</v>
          </cell>
          <cell r="C90" t="str">
            <v>TJP</v>
          </cell>
          <cell r="D90">
            <v>3.8</v>
          </cell>
          <cell r="E90">
            <v>3800</v>
          </cell>
          <cell r="F90">
            <v>13058.064516129032</v>
          </cell>
          <cell r="G90" t="str">
            <v>MPA</v>
          </cell>
          <cell r="H90">
            <v>4.3</v>
          </cell>
          <cell r="I90">
            <v>4300</v>
          </cell>
          <cell r="J90">
            <v>1978038.7096774194</v>
          </cell>
          <cell r="K90">
            <v>1159941.935483872</v>
          </cell>
        </row>
        <row r="91">
          <cell r="A91">
            <v>46112</v>
          </cell>
          <cell r="B91">
            <v>22261.290322580644</v>
          </cell>
          <cell r="C91" t="str">
            <v>TJP</v>
          </cell>
          <cell r="D91">
            <v>3.8</v>
          </cell>
          <cell r="E91">
            <v>3800</v>
          </cell>
          <cell r="F91">
            <v>13058.064516129032</v>
          </cell>
          <cell r="G91" t="str">
            <v>MPA</v>
          </cell>
          <cell r="H91">
            <v>4.3</v>
          </cell>
          <cell r="I91">
            <v>4300</v>
          </cell>
          <cell r="J91">
            <v>2000300</v>
          </cell>
          <cell r="K91">
            <v>1173000.0000000009</v>
          </cell>
        </row>
        <row r="92">
          <cell r="A92">
            <v>46113</v>
          </cell>
          <cell r="B92">
            <v>21946.666666666668</v>
          </cell>
          <cell r="C92" t="str">
            <v>TJP</v>
          </cell>
          <cell r="D92">
            <v>3.9</v>
          </cell>
          <cell r="E92">
            <v>3900</v>
          </cell>
          <cell r="F92">
            <v>12870</v>
          </cell>
          <cell r="G92" t="str">
            <v>MPA</v>
          </cell>
          <cell r="H92">
            <v>4.3</v>
          </cell>
          <cell r="I92">
            <v>4300</v>
          </cell>
          <cell r="J92">
            <v>2022246.6666666667</v>
          </cell>
          <cell r="K92">
            <v>1185870.0000000009</v>
          </cell>
        </row>
        <row r="93">
          <cell r="A93">
            <v>46114</v>
          </cell>
          <cell r="B93">
            <v>21946.666666666668</v>
          </cell>
          <cell r="C93" t="str">
            <v>TJP</v>
          </cell>
          <cell r="D93">
            <v>3.9</v>
          </cell>
          <cell r="E93">
            <v>3900</v>
          </cell>
          <cell r="F93">
            <v>12870</v>
          </cell>
          <cell r="G93" t="str">
            <v>MPA</v>
          </cell>
          <cell r="H93">
            <v>4.3</v>
          </cell>
          <cell r="I93">
            <v>4300</v>
          </cell>
          <cell r="J93">
            <v>2044193.3333333335</v>
          </cell>
          <cell r="K93">
            <v>1198740.0000000009</v>
          </cell>
        </row>
        <row r="94">
          <cell r="A94">
            <v>46115</v>
          </cell>
          <cell r="B94">
            <v>21946.666666666668</v>
          </cell>
          <cell r="C94" t="str">
            <v>TJP</v>
          </cell>
          <cell r="D94">
            <v>3.9</v>
          </cell>
          <cell r="E94">
            <v>3900</v>
          </cell>
          <cell r="F94">
            <v>12870</v>
          </cell>
          <cell r="G94" t="str">
            <v>MPA</v>
          </cell>
          <cell r="H94">
            <v>4.3</v>
          </cell>
          <cell r="I94">
            <v>4300</v>
          </cell>
          <cell r="J94">
            <v>2066140.0000000002</v>
          </cell>
          <cell r="K94">
            <v>1211610.0000000009</v>
          </cell>
        </row>
        <row r="95">
          <cell r="A95">
            <v>46116</v>
          </cell>
          <cell r="B95">
            <v>21946.666666666668</v>
          </cell>
          <cell r="C95" t="str">
            <v>TJP</v>
          </cell>
          <cell r="D95">
            <v>3.9</v>
          </cell>
          <cell r="E95">
            <v>3900</v>
          </cell>
          <cell r="F95">
            <v>12870</v>
          </cell>
          <cell r="G95" t="str">
            <v>MPA</v>
          </cell>
          <cell r="H95">
            <v>4.3</v>
          </cell>
          <cell r="I95">
            <v>4300</v>
          </cell>
          <cell r="J95">
            <v>2088086.666666667</v>
          </cell>
          <cell r="K95">
            <v>1224480.0000000009</v>
          </cell>
        </row>
        <row r="96">
          <cell r="A96">
            <v>46117</v>
          </cell>
          <cell r="B96">
            <v>21946.666666666668</v>
          </cell>
          <cell r="C96" t="str">
            <v>TJP</v>
          </cell>
          <cell r="D96">
            <v>3.9</v>
          </cell>
          <cell r="E96">
            <v>3900</v>
          </cell>
          <cell r="F96">
            <v>12870</v>
          </cell>
          <cell r="G96" t="str">
            <v>MPA</v>
          </cell>
          <cell r="H96">
            <v>4.3</v>
          </cell>
          <cell r="I96">
            <v>4300</v>
          </cell>
          <cell r="J96">
            <v>2110033.3333333335</v>
          </cell>
          <cell r="K96">
            <v>1237350.0000000009</v>
          </cell>
        </row>
        <row r="97">
          <cell r="A97">
            <v>46118</v>
          </cell>
          <cell r="B97">
            <v>21946.666666666668</v>
          </cell>
          <cell r="C97" t="str">
            <v>TJP</v>
          </cell>
          <cell r="D97">
            <v>3.9</v>
          </cell>
          <cell r="E97">
            <v>3900</v>
          </cell>
          <cell r="F97">
            <v>12870</v>
          </cell>
          <cell r="G97" t="str">
            <v>MPA</v>
          </cell>
          <cell r="H97">
            <v>4.3</v>
          </cell>
          <cell r="I97">
            <v>4300</v>
          </cell>
          <cell r="J97">
            <v>2131980</v>
          </cell>
          <cell r="K97">
            <v>1250220.0000000009</v>
          </cell>
        </row>
        <row r="98">
          <cell r="A98">
            <v>46119</v>
          </cell>
          <cell r="B98">
            <v>21946.666666666668</v>
          </cell>
          <cell r="C98" t="str">
            <v>TJP</v>
          </cell>
          <cell r="D98">
            <v>3.9</v>
          </cell>
          <cell r="E98">
            <v>3900</v>
          </cell>
          <cell r="F98">
            <v>12870</v>
          </cell>
          <cell r="G98" t="str">
            <v>MPA</v>
          </cell>
          <cell r="H98">
            <v>4.3</v>
          </cell>
          <cell r="I98">
            <v>4300</v>
          </cell>
          <cell r="J98">
            <v>2153926.6666666665</v>
          </cell>
          <cell r="K98">
            <v>1263090.0000000009</v>
          </cell>
        </row>
        <row r="99">
          <cell r="A99">
            <v>46120</v>
          </cell>
          <cell r="B99">
            <v>21946.666666666668</v>
          </cell>
          <cell r="C99" t="str">
            <v>TJP</v>
          </cell>
          <cell r="D99">
            <v>3.9</v>
          </cell>
          <cell r="E99">
            <v>3900</v>
          </cell>
          <cell r="F99">
            <v>12870</v>
          </cell>
          <cell r="G99" t="str">
            <v>MPA</v>
          </cell>
          <cell r="H99">
            <v>4.3</v>
          </cell>
          <cell r="I99">
            <v>4300</v>
          </cell>
          <cell r="J99">
            <v>2175873.333333333</v>
          </cell>
          <cell r="K99">
            <v>1275960.0000000009</v>
          </cell>
        </row>
        <row r="100">
          <cell r="A100">
            <v>46121</v>
          </cell>
          <cell r="B100">
            <v>21946.666666666668</v>
          </cell>
          <cell r="C100" t="str">
            <v>TJP</v>
          </cell>
          <cell r="D100">
            <v>3.9</v>
          </cell>
          <cell r="E100">
            <v>3900</v>
          </cell>
          <cell r="F100">
            <v>12870</v>
          </cell>
          <cell r="G100" t="str">
            <v>MPA</v>
          </cell>
          <cell r="H100">
            <v>4.3</v>
          </cell>
          <cell r="I100">
            <v>4300</v>
          </cell>
          <cell r="J100">
            <v>2197819.9999999995</v>
          </cell>
          <cell r="K100">
            <v>1288830.0000000009</v>
          </cell>
        </row>
        <row r="101">
          <cell r="A101">
            <v>46122</v>
          </cell>
          <cell r="B101">
            <v>21946.666666666668</v>
          </cell>
          <cell r="C101" t="str">
            <v>TJP</v>
          </cell>
          <cell r="D101">
            <v>3.9</v>
          </cell>
          <cell r="E101">
            <v>3900</v>
          </cell>
          <cell r="F101">
            <v>12870</v>
          </cell>
          <cell r="G101" t="str">
            <v>MPA</v>
          </cell>
          <cell r="H101">
            <v>4.3</v>
          </cell>
          <cell r="I101">
            <v>4300</v>
          </cell>
          <cell r="J101">
            <v>2219766.666666666</v>
          </cell>
          <cell r="K101">
            <v>1301700.0000000009</v>
          </cell>
        </row>
        <row r="102">
          <cell r="A102">
            <v>46123</v>
          </cell>
          <cell r="B102">
            <v>21946.666666666668</v>
          </cell>
          <cell r="C102" t="str">
            <v>TJP</v>
          </cell>
          <cell r="D102">
            <v>3.9</v>
          </cell>
          <cell r="E102">
            <v>3900</v>
          </cell>
          <cell r="F102">
            <v>12870</v>
          </cell>
          <cell r="G102" t="str">
            <v>MPA</v>
          </cell>
          <cell r="H102">
            <v>4.3</v>
          </cell>
          <cell r="I102">
            <v>4300</v>
          </cell>
          <cell r="J102">
            <v>2241713.3333333326</v>
          </cell>
          <cell r="K102">
            <v>1314570.0000000009</v>
          </cell>
        </row>
        <row r="103">
          <cell r="A103">
            <v>46124</v>
          </cell>
          <cell r="B103">
            <v>21946.666666666668</v>
          </cell>
          <cell r="C103" t="str">
            <v>TJP</v>
          </cell>
          <cell r="D103">
            <v>3.9</v>
          </cell>
          <cell r="E103">
            <v>3900</v>
          </cell>
          <cell r="F103">
            <v>12870</v>
          </cell>
          <cell r="G103" t="str">
            <v>MPA</v>
          </cell>
          <cell r="H103">
            <v>4.3</v>
          </cell>
          <cell r="I103">
            <v>4300</v>
          </cell>
          <cell r="J103">
            <v>2263659.9999999991</v>
          </cell>
          <cell r="K103">
            <v>1327440.0000000009</v>
          </cell>
        </row>
        <row r="104">
          <cell r="A104">
            <v>46125</v>
          </cell>
          <cell r="B104">
            <v>21946.666666666668</v>
          </cell>
          <cell r="C104" t="str">
            <v>TJP</v>
          </cell>
          <cell r="D104">
            <v>3.9</v>
          </cell>
          <cell r="E104">
            <v>3900</v>
          </cell>
          <cell r="F104">
            <v>12870</v>
          </cell>
          <cell r="G104" t="str">
            <v>MPA</v>
          </cell>
          <cell r="H104">
            <v>4.3</v>
          </cell>
          <cell r="I104">
            <v>4300</v>
          </cell>
          <cell r="J104">
            <v>2285606.6666666656</v>
          </cell>
          <cell r="K104">
            <v>1340310.0000000009</v>
          </cell>
        </row>
        <row r="105">
          <cell r="A105">
            <v>46126</v>
          </cell>
          <cell r="B105">
            <v>21946.666666666668</v>
          </cell>
          <cell r="C105" t="str">
            <v>TJP</v>
          </cell>
          <cell r="D105">
            <v>3.9</v>
          </cell>
          <cell r="E105">
            <v>3900</v>
          </cell>
          <cell r="F105">
            <v>12870</v>
          </cell>
          <cell r="G105" t="str">
            <v>MPA</v>
          </cell>
          <cell r="H105">
            <v>4.3</v>
          </cell>
          <cell r="I105">
            <v>4300</v>
          </cell>
          <cell r="J105">
            <v>2307553.3333333321</v>
          </cell>
          <cell r="K105">
            <v>1353180.0000000009</v>
          </cell>
        </row>
        <row r="106">
          <cell r="A106">
            <v>46127</v>
          </cell>
          <cell r="B106">
            <v>21946.666666666668</v>
          </cell>
          <cell r="C106" t="str">
            <v>TJP</v>
          </cell>
          <cell r="D106">
            <v>3.9</v>
          </cell>
          <cell r="E106">
            <v>3900</v>
          </cell>
          <cell r="F106">
            <v>12870</v>
          </cell>
          <cell r="G106" t="str">
            <v>MPA</v>
          </cell>
          <cell r="H106">
            <v>4.3</v>
          </cell>
          <cell r="I106">
            <v>4300</v>
          </cell>
          <cell r="J106">
            <v>2329499.9999999986</v>
          </cell>
          <cell r="K106">
            <v>1366050.0000000009</v>
          </cell>
        </row>
        <row r="107">
          <cell r="A107">
            <v>46128</v>
          </cell>
          <cell r="B107">
            <v>21946.666666666668</v>
          </cell>
          <cell r="C107" t="str">
            <v>TJP</v>
          </cell>
          <cell r="D107">
            <v>3.9</v>
          </cell>
          <cell r="E107">
            <v>3900</v>
          </cell>
          <cell r="F107">
            <v>12870</v>
          </cell>
          <cell r="G107" t="str">
            <v>MPA</v>
          </cell>
          <cell r="H107">
            <v>4.3</v>
          </cell>
          <cell r="I107">
            <v>4300</v>
          </cell>
          <cell r="J107">
            <v>2351446.6666666651</v>
          </cell>
          <cell r="K107">
            <v>1378920.0000000009</v>
          </cell>
        </row>
        <row r="108">
          <cell r="A108">
            <v>46129</v>
          </cell>
          <cell r="B108">
            <v>21946.666666666668</v>
          </cell>
          <cell r="C108" t="str">
            <v>TJP</v>
          </cell>
          <cell r="D108">
            <v>3.9</v>
          </cell>
          <cell r="E108">
            <v>3900</v>
          </cell>
          <cell r="F108">
            <v>12870</v>
          </cell>
          <cell r="G108" t="str">
            <v>MPA</v>
          </cell>
          <cell r="H108">
            <v>4.3</v>
          </cell>
          <cell r="I108">
            <v>4300</v>
          </cell>
          <cell r="J108">
            <v>2373393.3333333316</v>
          </cell>
          <cell r="K108">
            <v>1391790.0000000009</v>
          </cell>
        </row>
        <row r="109">
          <cell r="A109">
            <v>46130</v>
          </cell>
          <cell r="B109">
            <v>21946.666666666668</v>
          </cell>
          <cell r="C109" t="str">
            <v>TJP</v>
          </cell>
          <cell r="D109">
            <v>3.9</v>
          </cell>
          <cell r="E109">
            <v>3900</v>
          </cell>
          <cell r="F109">
            <v>12870</v>
          </cell>
          <cell r="G109" t="str">
            <v>MPA</v>
          </cell>
          <cell r="H109">
            <v>4.3</v>
          </cell>
          <cell r="I109">
            <v>4300</v>
          </cell>
          <cell r="J109">
            <v>2395339.9999999981</v>
          </cell>
          <cell r="K109">
            <v>1404660.0000000009</v>
          </cell>
        </row>
        <row r="110">
          <cell r="A110">
            <v>46131</v>
          </cell>
          <cell r="B110">
            <v>21946.666666666668</v>
          </cell>
          <cell r="C110" t="str">
            <v>TJP</v>
          </cell>
          <cell r="D110">
            <v>3.9</v>
          </cell>
          <cell r="E110">
            <v>3900</v>
          </cell>
          <cell r="F110">
            <v>12870</v>
          </cell>
          <cell r="G110" t="str">
            <v>MPA</v>
          </cell>
          <cell r="H110">
            <v>4.3</v>
          </cell>
          <cell r="I110">
            <v>4300</v>
          </cell>
          <cell r="J110">
            <v>2417286.6666666646</v>
          </cell>
          <cell r="K110">
            <v>1417530.0000000009</v>
          </cell>
        </row>
        <row r="111">
          <cell r="A111">
            <v>46132</v>
          </cell>
          <cell r="B111">
            <v>21946.666666666668</v>
          </cell>
          <cell r="C111" t="str">
            <v>TJP</v>
          </cell>
          <cell r="D111">
            <v>3.9</v>
          </cell>
          <cell r="E111">
            <v>3900</v>
          </cell>
          <cell r="F111">
            <v>12870</v>
          </cell>
          <cell r="G111" t="str">
            <v>MPA</v>
          </cell>
          <cell r="H111">
            <v>4.3</v>
          </cell>
          <cell r="I111">
            <v>4300</v>
          </cell>
          <cell r="J111">
            <v>2439233.3333333312</v>
          </cell>
          <cell r="K111">
            <v>1430400.0000000009</v>
          </cell>
        </row>
        <row r="112">
          <cell r="A112">
            <v>46133</v>
          </cell>
          <cell r="B112">
            <v>21946.666666666668</v>
          </cell>
          <cell r="C112" t="str">
            <v>TJP</v>
          </cell>
          <cell r="D112">
            <v>3.9</v>
          </cell>
          <cell r="E112">
            <v>3900</v>
          </cell>
          <cell r="F112">
            <v>12870</v>
          </cell>
          <cell r="G112" t="str">
            <v>MPA</v>
          </cell>
          <cell r="H112">
            <v>4.3</v>
          </cell>
          <cell r="I112">
            <v>4300</v>
          </cell>
          <cell r="J112">
            <v>2461179.9999999977</v>
          </cell>
          <cell r="K112">
            <v>1443270.0000000009</v>
          </cell>
        </row>
        <row r="113">
          <cell r="A113">
            <v>46134</v>
          </cell>
          <cell r="B113">
            <v>21946.666666666668</v>
          </cell>
          <cell r="C113" t="str">
            <v>TJP</v>
          </cell>
          <cell r="D113">
            <v>3.9</v>
          </cell>
          <cell r="E113">
            <v>3900</v>
          </cell>
          <cell r="F113">
            <v>12870</v>
          </cell>
          <cell r="G113" t="str">
            <v>MPA</v>
          </cell>
          <cell r="H113">
            <v>4.3</v>
          </cell>
          <cell r="I113">
            <v>4300</v>
          </cell>
          <cell r="J113">
            <v>2483126.6666666642</v>
          </cell>
          <cell r="K113">
            <v>1456140.0000000009</v>
          </cell>
        </row>
        <row r="114">
          <cell r="A114">
            <v>46135</v>
          </cell>
          <cell r="B114">
            <v>21946.666666666668</v>
          </cell>
          <cell r="C114" t="str">
            <v>TJP</v>
          </cell>
          <cell r="D114">
            <v>3.9</v>
          </cell>
          <cell r="E114">
            <v>3900</v>
          </cell>
          <cell r="F114">
            <v>12870</v>
          </cell>
          <cell r="G114" t="str">
            <v>MPA</v>
          </cell>
          <cell r="H114">
            <v>4.3</v>
          </cell>
          <cell r="I114">
            <v>4300</v>
          </cell>
          <cell r="J114">
            <v>2505073.3333333307</v>
          </cell>
          <cell r="K114">
            <v>1469010.0000000009</v>
          </cell>
        </row>
        <row r="115">
          <cell r="A115">
            <v>46136</v>
          </cell>
          <cell r="B115">
            <v>21946.666666666668</v>
          </cell>
          <cell r="C115" t="str">
            <v>TJP</v>
          </cell>
          <cell r="D115">
            <v>3.9</v>
          </cell>
          <cell r="E115">
            <v>3900</v>
          </cell>
          <cell r="F115">
            <v>12870</v>
          </cell>
          <cell r="G115" t="str">
            <v>MPA</v>
          </cell>
          <cell r="H115">
            <v>4.3</v>
          </cell>
          <cell r="I115">
            <v>4300</v>
          </cell>
          <cell r="J115">
            <v>2527019.9999999972</v>
          </cell>
          <cell r="K115">
            <v>1481880.0000000009</v>
          </cell>
        </row>
        <row r="116">
          <cell r="A116">
            <v>46137</v>
          </cell>
          <cell r="B116">
            <v>21946.666666666668</v>
          </cell>
          <cell r="C116" t="str">
            <v>TJP</v>
          </cell>
          <cell r="D116">
            <v>3.9</v>
          </cell>
          <cell r="E116">
            <v>3900</v>
          </cell>
          <cell r="F116">
            <v>12870</v>
          </cell>
          <cell r="G116" t="str">
            <v>MPA</v>
          </cell>
          <cell r="H116">
            <v>4.3</v>
          </cell>
          <cell r="I116">
            <v>4300</v>
          </cell>
          <cell r="J116">
            <v>2548966.6666666637</v>
          </cell>
          <cell r="K116">
            <v>1494750.0000000009</v>
          </cell>
        </row>
        <row r="117">
          <cell r="A117">
            <v>46138</v>
          </cell>
          <cell r="B117">
            <v>21946.666666666668</v>
          </cell>
          <cell r="C117" t="str">
            <v>TJP</v>
          </cell>
          <cell r="D117">
            <v>3.9</v>
          </cell>
          <cell r="E117">
            <v>3900</v>
          </cell>
          <cell r="F117">
            <v>12870</v>
          </cell>
          <cell r="G117" t="str">
            <v>MPA</v>
          </cell>
          <cell r="H117">
            <v>4.3</v>
          </cell>
          <cell r="I117">
            <v>4300</v>
          </cell>
          <cell r="J117">
            <v>2570913.3333333302</v>
          </cell>
          <cell r="K117">
            <v>1507620.0000000009</v>
          </cell>
        </row>
        <row r="118">
          <cell r="A118">
            <v>46139</v>
          </cell>
          <cell r="B118">
            <v>21946.666666666668</v>
          </cell>
          <cell r="C118" t="str">
            <v>TJP</v>
          </cell>
          <cell r="D118">
            <v>3.9</v>
          </cell>
          <cell r="E118">
            <v>3900</v>
          </cell>
          <cell r="F118">
            <v>12870</v>
          </cell>
          <cell r="G118" t="str">
            <v>MPA</v>
          </cell>
          <cell r="H118">
            <v>4.3</v>
          </cell>
          <cell r="I118">
            <v>4300</v>
          </cell>
          <cell r="J118">
            <v>2592859.9999999967</v>
          </cell>
          <cell r="K118">
            <v>1520490.0000000009</v>
          </cell>
        </row>
        <row r="119">
          <cell r="A119">
            <v>46140</v>
          </cell>
          <cell r="B119">
            <v>21946.666666666668</v>
          </cell>
          <cell r="C119" t="str">
            <v>TJP</v>
          </cell>
          <cell r="D119">
            <v>3.9</v>
          </cell>
          <cell r="E119">
            <v>3900</v>
          </cell>
          <cell r="F119">
            <v>12870</v>
          </cell>
          <cell r="G119" t="str">
            <v>MPA</v>
          </cell>
          <cell r="H119">
            <v>4.3</v>
          </cell>
          <cell r="I119">
            <v>4300</v>
          </cell>
          <cell r="J119">
            <v>2614806.6666666633</v>
          </cell>
          <cell r="K119">
            <v>1533360.0000000009</v>
          </cell>
        </row>
        <row r="120">
          <cell r="A120">
            <v>46141</v>
          </cell>
          <cell r="B120">
            <v>21946.666666666668</v>
          </cell>
          <cell r="C120" t="str">
            <v>TJP</v>
          </cell>
          <cell r="D120">
            <v>3.9</v>
          </cell>
          <cell r="E120">
            <v>3900</v>
          </cell>
          <cell r="F120">
            <v>12870</v>
          </cell>
          <cell r="G120" t="str">
            <v>MPA</v>
          </cell>
          <cell r="H120">
            <v>4.3</v>
          </cell>
          <cell r="I120">
            <v>4300</v>
          </cell>
          <cell r="J120">
            <v>2636753.3333333298</v>
          </cell>
          <cell r="K120">
            <v>1546230.0000000009</v>
          </cell>
        </row>
        <row r="121">
          <cell r="A121">
            <v>46142</v>
          </cell>
          <cell r="B121">
            <v>21946.666666666668</v>
          </cell>
          <cell r="C121" t="str">
            <v>TJP</v>
          </cell>
          <cell r="D121">
            <v>3.9</v>
          </cell>
          <cell r="E121">
            <v>3900</v>
          </cell>
          <cell r="F121">
            <v>12870</v>
          </cell>
          <cell r="G121" t="str">
            <v>MPA</v>
          </cell>
          <cell r="H121">
            <v>4.3</v>
          </cell>
          <cell r="I121">
            <v>4300</v>
          </cell>
          <cell r="J121">
            <v>2658699.9999999963</v>
          </cell>
          <cell r="K121">
            <v>1559100.0000000009</v>
          </cell>
        </row>
        <row r="122">
          <cell r="A122">
            <v>46143</v>
          </cell>
          <cell r="B122">
            <v>22619.354838709678</v>
          </cell>
          <cell r="C122" t="str">
            <v>TJP</v>
          </cell>
          <cell r="D122">
            <v>4</v>
          </cell>
          <cell r="E122">
            <v>4000</v>
          </cell>
          <cell r="F122">
            <v>13267.741935483871</v>
          </cell>
          <cell r="G122" t="str">
            <v>MPA</v>
          </cell>
          <cell r="H122">
            <v>4.7</v>
          </cell>
          <cell r="I122">
            <v>4700</v>
          </cell>
          <cell r="J122">
            <v>2681319.3548387061</v>
          </cell>
          <cell r="K122">
            <v>1572367.7419354848</v>
          </cell>
        </row>
        <row r="123">
          <cell r="A123">
            <v>46144</v>
          </cell>
          <cell r="B123">
            <v>22619.354838709678</v>
          </cell>
          <cell r="C123" t="str">
            <v>TJP</v>
          </cell>
          <cell r="D123">
            <v>4</v>
          </cell>
          <cell r="E123">
            <v>4000</v>
          </cell>
          <cell r="F123">
            <v>13267.741935483871</v>
          </cell>
          <cell r="G123" t="str">
            <v>MPA</v>
          </cell>
          <cell r="H123">
            <v>4.7</v>
          </cell>
          <cell r="I123">
            <v>4700</v>
          </cell>
          <cell r="J123">
            <v>2703938.7096774159</v>
          </cell>
          <cell r="K123">
            <v>1585635.4838709687</v>
          </cell>
        </row>
        <row r="124">
          <cell r="A124">
            <v>46145</v>
          </cell>
          <cell r="B124">
            <v>22619.354838709678</v>
          </cell>
          <cell r="C124" t="str">
            <v>TJP</v>
          </cell>
          <cell r="D124">
            <v>4</v>
          </cell>
          <cell r="E124">
            <v>4000</v>
          </cell>
          <cell r="F124">
            <v>13267.741935483871</v>
          </cell>
          <cell r="G124" t="str">
            <v>MPA</v>
          </cell>
          <cell r="H124">
            <v>4.7</v>
          </cell>
          <cell r="I124">
            <v>4700</v>
          </cell>
          <cell r="J124">
            <v>2726558.0645161257</v>
          </cell>
          <cell r="K124">
            <v>1598903.2258064526</v>
          </cell>
        </row>
        <row r="125">
          <cell r="A125">
            <v>46146</v>
          </cell>
          <cell r="B125">
            <v>22619.354838709678</v>
          </cell>
          <cell r="C125" t="str">
            <v>TJP</v>
          </cell>
          <cell r="D125">
            <v>4</v>
          </cell>
          <cell r="E125">
            <v>4000</v>
          </cell>
          <cell r="F125">
            <v>13267.741935483871</v>
          </cell>
          <cell r="G125" t="str">
            <v>MPA</v>
          </cell>
          <cell r="H125">
            <v>4.7</v>
          </cell>
          <cell r="I125">
            <v>4700</v>
          </cell>
          <cell r="J125">
            <v>2749177.4193548355</v>
          </cell>
          <cell r="K125">
            <v>1612170.9677419364</v>
          </cell>
        </row>
        <row r="126">
          <cell r="A126">
            <v>46147</v>
          </cell>
          <cell r="B126">
            <v>22619.354838709678</v>
          </cell>
          <cell r="C126" t="str">
            <v>TJP</v>
          </cell>
          <cell r="D126">
            <v>4</v>
          </cell>
          <cell r="E126">
            <v>4000</v>
          </cell>
          <cell r="F126">
            <v>13267.741935483871</v>
          </cell>
          <cell r="G126" t="str">
            <v>MPA</v>
          </cell>
          <cell r="H126">
            <v>4.7</v>
          </cell>
          <cell r="I126">
            <v>4700</v>
          </cell>
          <cell r="J126">
            <v>2771796.7741935453</v>
          </cell>
          <cell r="K126">
            <v>1625438.7096774203</v>
          </cell>
        </row>
        <row r="127">
          <cell r="A127">
            <v>46148</v>
          </cell>
          <cell r="B127">
            <v>22619.354838709678</v>
          </cell>
          <cell r="C127" t="str">
            <v>TJP</v>
          </cell>
          <cell r="D127">
            <v>4</v>
          </cell>
          <cell r="E127">
            <v>4000</v>
          </cell>
          <cell r="F127">
            <v>13267.741935483871</v>
          </cell>
          <cell r="G127" t="str">
            <v>MPA</v>
          </cell>
          <cell r="H127">
            <v>4.7</v>
          </cell>
          <cell r="I127">
            <v>4700</v>
          </cell>
          <cell r="J127">
            <v>2794416.1290322552</v>
          </cell>
          <cell r="K127">
            <v>1638706.4516129042</v>
          </cell>
        </row>
        <row r="128">
          <cell r="A128">
            <v>46149</v>
          </cell>
          <cell r="B128">
            <v>22619.354838709678</v>
          </cell>
          <cell r="C128" t="str">
            <v>TJP</v>
          </cell>
          <cell r="D128">
            <v>4</v>
          </cell>
          <cell r="E128">
            <v>4000</v>
          </cell>
          <cell r="F128">
            <v>13267.741935483871</v>
          </cell>
          <cell r="G128" t="str">
            <v>MPA</v>
          </cell>
          <cell r="H128">
            <v>4.7</v>
          </cell>
          <cell r="I128">
            <v>4700</v>
          </cell>
          <cell r="J128">
            <v>2817035.483870965</v>
          </cell>
          <cell r="K128">
            <v>1651974.1935483881</v>
          </cell>
        </row>
        <row r="129">
          <cell r="A129">
            <v>46150</v>
          </cell>
          <cell r="B129">
            <v>22619.354838709678</v>
          </cell>
          <cell r="C129" t="str">
            <v>TJP</v>
          </cell>
          <cell r="D129">
            <v>4</v>
          </cell>
          <cell r="E129">
            <v>4000</v>
          </cell>
          <cell r="F129">
            <v>13267.741935483871</v>
          </cell>
          <cell r="G129" t="str">
            <v>MPA</v>
          </cell>
          <cell r="H129">
            <v>4.7</v>
          </cell>
          <cell r="I129">
            <v>4700</v>
          </cell>
          <cell r="J129">
            <v>2839654.8387096748</v>
          </cell>
          <cell r="K129">
            <v>1665241.935483872</v>
          </cell>
        </row>
        <row r="130">
          <cell r="A130">
            <v>46151</v>
          </cell>
          <cell r="B130">
            <v>22619.354838709678</v>
          </cell>
          <cell r="C130" t="str">
            <v>TJP</v>
          </cell>
          <cell r="D130">
            <v>4</v>
          </cell>
          <cell r="E130">
            <v>4000</v>
          </cell>
          <cell r="F130">
            <v>13267.741935483871</v>
          </cell>
          <cell r="G130" t="str">
            <v>MPA</v>
          </cell>
          <cell r="H130">
            <v>4.7</v>
          </cell>
          <cell r="I130">
            <v>4700</v>
          </cell>
          <cell r="J130">
            <v>2862274.1935483846</v>
          </cell>
          <cell r="K130">
            <v>1678509.6774193558</v>
          </cell>
        </row>
        <row r="131">
          <cell r="A131">
            <v>46152</v>
          </cell>
          <cell r="B131">
            <v>22619.354838709678</v>
          </cell>
          <cell r="C131" t="str">
            <v>TJP</v>
          </cell>
          <cell r="D131">
            <v>4</v>
          </cell>
          <cell r="E131">
            <v>4000</v>
          </cell>
          <cell r="F131">
            <v>13267.741935483871</v>
          </cell>
          <cell r="G131" t="str">
            <v>MPA</v>
          </cell>
          <cell r="H131">
            <v>4.7</v>
          </cell>
          <cell r="I131">
            <v>4700</v>
          </cell>
          <cell r="J131">
            <v>2884893.5483870944</v>
          </cell>
          <cell r="K131">
            <v>1691777.4193548397</v>
          </cell>
        </row>
        <row r="132">
          <cell r="A132">
            <v>46153</v>
          </cell>
          <cell r="B132">
            <v>22619.354838709678</v>
          </cell>
          <cell r="C132" t="str">
            <v>TJP</v>
          </cell>
          <cell r="D132">
            <v>4</v>
          </cell>
          <cell r="E132">
            <v>4000</v>
          </cell>
          <cell r="F132">
            <v>13267.741935483871</v>
          </cell>
          <cell r="G132" t="str">
            <v>MPA</v>
          </cell>
          <cell r="H132">
            <v>4.7</v>
          </cell>
          <cell r="I132">
            <v>4700</v>
          </cell>
          <cell r="J132">
            <v>2907512.9032258042</v>
          </cell>
          <cell r="K132">
            <v>1705045.1612903236</v>
          </cell>
        </row>
        <row r="133">
          <cell r="A133">
            <v>46154</v>
          </cell>
          <cell r="B133">
            <v>22619.354838709678</v>
          </cell>
          <cell r="C133" t="str">
            <v>TJP</v>
          </cell>
          <cell r="D133">
            <v>4</v>
          </cell>
          <cell r="E133">
            <v>4000</v>
          </cell>
          <cell r="F133">
            <v>13267.741935483871</v>
          </cell>
          <cell r="G133" t="str">
            <v>MPA</v>
          </cell>
          <cell r="H133">
            <v>4.7</v>
          </cell>
          <cell r="I133">
            <v>4700</v>
          </cell>
          <cell r="J133">
            <v>2930132.258064514</v>
          </cell>
          <cell r="K133">
            <v>1718312.9032258075</v>
          </cell>
        </row>
        <row r="134">
          <cell r="A134">
            <v>46155</v>
          </cell>
          <cell r="B134">
            <v>22619.354838709678</v>
          </cell>
          <cell r="C134" t="str">
            <v>TJP</v>
          </cell>
          <cell r="D134">
            <v>4</v>
          </cell>
          <cell r="E134">
            <v>4000</v>
          </cell>
          <cell r="F134">
            <v>13267.741935483871</v>
          </cell>
          <cell r="G134" t="str">
            <v>MPA</v>
          </cell>
          <cell r="H134">
            <v>4.7</v>
          </cell>
          <cell r="I134">
            <v>4700</v>
          </cell>
          <cell r="J134">
            <v>2952751.6129032238</v>
          </cell>
          <cell r="K134">
            <v>1731580.6451612914</v>
          </cell>
        </row>
        <row r="135">
          <cell r="A135">
            <v>46156</v>
          </cell>
          <cell r="B135">
            <v>22619.354838709678</v>
          </cell>
          <cell r="C135" t="str">
            <v>TJP</v>
          </cell>
          <cell r="D135">
            <v>4</v>
          </cell>
          <cell r="E135">
            <v>4000</v>
          </cell>
          <cell r="F135">
            <v>13267.741935483871</v>
          </cell>
          <cell r="G135" t="str">
            <v>MPA</v>
          </cell>
          <cell r="H135">
            <v>4.7</v>
          </cell>
          <cell r="I135">
            <v>4700</v>
          </cell>
          <cell r="J135">
            <v>2975370.9677419337</v>
          </cell>
          <cell r="K135">
            <v>1744848.3870967752</v>
          </cell>
        </row>
        <row r="136">
          <cell r="A136">
            <v>46157</v>
          </cell>
          <cell r="B136">
            <v>22619.354838709678</v>
          </cell>
          <cell r="C136" t="str">
            <v>TJP</v>
          </cell>
          <cell r="D136">
            <v>4</v>
          </cell>
          <cell r="E136">
            <v>4000</v>
          </cell>
          <cell r="F136">
            <v>13267.741935483871</v>
          </cell>
          <cell r="G136" t="str">
            <v>MPA</v>
          </cell>
          <cell r="H136">
            <v>4.7</v>
          </cell>
          <cell r="I136">
            <v>4700</v>
          </cell>
          <cell r="J136">
            <v>2997990.3225806435</v>
          </cell>
          <cell r="K136">
            <v>1758116.1290322591</v>
          </cell>
        </row>
        <row r="137">
          <cell r="A137">
            <v>46158</v>
          </cell>
          <cell r="B137">
            <v>22619.354838709678</v>
          </cell>
          <cell r="C137" t="str">
            <v>TJP</v>
          </cell>
          <cell r="D137">
            <v>4</v>
          </cell>
          <cell r="E137">
            <v>4000</v>
          </cell>
          <cell r="F137">
            <v>13267.741935483871</v>
          </cell>
          <cell r="G137" t="str">
            <v>MPA</v>
          </cell>
          <cell r="H137">
            <v>4.7</v>
          </cell>
          <cell r="I137">
            <v>4700</v>
          </cell>
          <cell r="J137">
            <v>3020609.6774193533</v>
          </cell>
          <cell r="K137">
            <v>1771383.870967743</v>
          </cell>
        </row>
        <row r="138">
          <cell r="A138">
            <v>46159</v>
          </cell>
          <cell r="B138">
            <v>22619.354838709678</v>
          </cell>
          <cell r="C138" t="str">
            <v>TJP</v>
          </cell>
          <cell r="D138">
            <v>4</v>
          </cell>
          <cell r="E138">
            <v>4000</v>
          </cell>
          <cell r="F138">
            <v>13267.741935483871</v>
          </cell>
          <cell r="G138" t="str">
            <v>MPA</v>
          </cell>
          <cell r="H138">
            <v>4.7</v>
          </cell>
          <cell r="I138">
            <v>4700</v>
          </cell>
          <cell r="J138">
            <v>3043229.0322580631</v>
          </cell>
          <cell r="K138">
            <v>1784651.6129032269</v>
          </cell>
        </row>
        <row r="139">
          <cell r="A139">
            <v>46160</v>
          </cell>
          <cell r="B139">
            <v>22619.354838709678</v>
          </cell>
          <cell r="C139" t="str">
            <v>TJP</v>
          </cell>
          <cell r="D139">
            <v>4</v>
          </cell>
          <cell r="E139">
            <v>4000</v>
          </cell>
          <cell r="F139">
            <v>13267.741935483871</v>
          </cell>
          <cell r="G139" t="str">
            <v>MPA</v>
          </cell>
          <cell r="H139">
            <v>4.7</v>
          </cell>
          <cell r="I139">
            <v>4700</v>
          </cell>
          <cell r="J139">
            <v>3065848.3870967729</v>
          </cell>
          <cell r="K139">
            <v>1797919.3548387107</v>
          </cell>
        </row>
        <row r="140">
          <cell r="A140">
            <v>46161</v>
          </cell>
          <cell r="B140">
            <v>22619.354838709678</v>
          </cell>
          <cell r="C140" t="str">
            <v>TJP</v>
          </cell>
          <cell r="D140">
            <v>4</v>
          </cell>
          <cell r="E140">
            <v>4000</v>
          </cell>
          <cell r="F140">
            <v>13267.741935483871</v>
          </cell>
          <cell r="G140" t="str">
            <v>MPA</v>
          </cell>
          <cell r="H140">
            <v>4.7</v>
          </cell>
          <cell r="I140">
            <v>4700</v>
          </cell>
          <cell r="J140">
            <v>3088467.7419354827</v>
          </cell>
          <cell r="K140">
            <v>1811187.0967741946</v>
          </cell>
        </row>
        <row r="141">
          <cell r="A141">
            <v>46162</v>
          </cell>
          <cell r="B141">
            <v>22619.354838709678</v>
          </cell>
          <cell r="C141" t="str">
            <v>TJP</v>
          </cell>
          <cell r="D141">
            <v>4</v>
          </cell>
          <cell r="E141">
            <v>4000</v>
          </cell>
          <cell r="F141">
            <v>13267.741935483871</v>
          </cell>
          <cell r="G141" t="str">
            <v>MPA</v>
          </cell>
          <cell r="H141">
            <v>4.7</v>
          </cell>
          <cell r="I141">
            <v>4700</v>
          </cell>
          <cell r="J141">
            <v>3111087.0967741925</v>
          </cell>
          <cell r="K141">
            <v>1824454.8387096785</v>
          </cell>
        </row>
        <row r="142">
          <cell r="A142">
            <v>46163</v>
          </cell>
          <cell r="B142">
            <v>22619.354838709678</v>
          </cell>
          <cell r="C142" t="str">
            <v>TJP</v>
          </cell>
          <cell r="D142">
            <v>4</v>
          </cell>
          <cell r="E142">
            <v>4000</v>
          </cell>
          <cell r="F142">
            <v>13267.741935483871</v>
          </cell>
          <cell r="G142" t="str">
            <v>MPA</v>
          </cell>
          <cell r="H142">
            <v>4.7</v>
          </cell>
          <cell r="I142">
            <v>4700</v>
          </cell>
          <cell r="J142">
            <v>3133706.4516129023</v>
          </cell>
          <cell r="K142">
            <v>1837722.5806451624</v>
          </cell>
        </row>
        <row r="143">
          <cell r="A143">
            <v>46164</v>
          </cell>
          <cell r="B143">
            <v>22619.354838709678</v>
          </cell>
          <cell r="C143" t="str">
            <v>TJP</v>
          </cell>
          <cell r="D143">
            <v>4</v>
          </cell>
          <cell r="E143">
            <v>4000</v>
          </cell>
          <cell r="F143">
            <v>13267.741935483871</v>
          </cell>
          <cell r="G143" t="str">
            <v>MPA</v>
          </cell>
          <cell r="H143">
            <v>4.7</v>
          </cell>
          <cell r="I143">
            <v>4700</v>
          </cell>
          <cell r="J143">
            <v>3156325.8064516122</v>
          </cell>
          <cell r="K143">
            <v>1850990.3225806463</v>
          </cell>
        </row>
        <row r="144">
          <cell r="A144">
            <v>46165</v>
          </cell>
          <cell r="B144">
            <v>22619.354838709678</v>
          </cell>
          <cell r="C144" t="str">
            <v>TJP</v>
          </cell>
          <cell r="D144">
            <v>4</v>
          </cell>
          <cell r="E144">
            <v>4000</v>
          </cell>
          <cell r="F144">
            <v>13267.741935483871</v>
          </cell>
          <cell r="G144" t="str">
            <v>MPA</v>
          </cell>
          <cell r="H144">
            <v>4.7</v>
          </cell>
          <cell r="I144">
            <v>4700</v>
          </cell>
          <cell r="J144">
            <v>3178945.161290322</v>
          </cell>
          <cell r="K144">
            <v>1864258.0645161301</v>
          </cell>
        </row>
        <row r="145">
          <cell r="A145">
            <v>46166</v>
          </cell>
          <cell r="B145">
            <v>22619.354838709678</v>
          </cell>
          <cell r="C145" t="str">
            <v>TJP</v>
          </cell>
          <cell r="D145">
            <v>4</v>
          </cell>
          <cell r="E145">
            <v>4000</v>
          </cell>
          <cell r="F145">
            <v>13267.741935483871</v>
          </cell>
          <cell r="G145" t="str">
            <v>MPA</v>
          </cell>
          <cell r="H145">
            <v>4.7</v>
          </cell>
          <cell r="I145">
            <v>4700</v>
          </cell>
          <cell r="J145">
            <v>3201564.5161290318</v>
          </cell>
          <cell r="K145">
            <v>1877525.806451614</v>
          </cell>
        </row>
        <row r="146">
          <cell r="A146">
            <v>46167</v>
          </cell>
          <cell r="B146">
            <v>22619.354838709678</v>
          </cell>
          <cell r="C146" t="str">
            <v>TJP</v>
          </cell>
          <cell r="D146">
            <v>4</v>
          </cell>
          <cell r="E146">
            <v>4000</v>
          </cell>
          <cell r="F146">
            <v>13267.741935483871</v>
          </cell>
          <cell r="G146" t="str">
            <v>MPA</v>
          </cell>
          <cell r="H146">
            <v>4.7</v>
          </cell>
          <cell r="I146">
            <v>4700</v>
          </cell>
          <cell r="J146">
            <v>3224183.8709677416</v>
          </cell>
          <cell r="K146">
            <v>1890793.5483870979</v>
          </cell>
        </row>
        <row r="147">
          <cell r="A147">
            <v>46168</v>
          </cell>
          <cell r="B147">
            <v>22619.354838709678</v>
          </cell>
          <cell r="C147" t="str">
            <v>TJP</v>
          </cell>
          <cell r="D147">
            <v>4</v>
          </cell>
          <cell r="E147">
            <v>4000</v>
          </cell>
          <cell r="F147">
            <v>13267.741935483871</v>
          </cell>
          <cell r="G147" t="str">
            <v>MPA</v>
          </cell>
          <cell r="H147">
            <v>4.7</v>
          </cell>
          <cell r="I147">
            <v>4700</v>
          </cell>
          <cell r="J147">
            <v>3246803.2258064514</v>
          </cell>
          <cell r="K147">
            <v>1904061.2903225818</v>
          </cell>
        </row>
        <row r="148">
          <cell r="A148">
            <v>46169</v>
          </cell>
          <cell r="B148">
            <v>22619.354838709678</v>
          </cell>
          <cell r="C148" t="str">
            <v>TJP</v>
          </cell>
          <cell r="D148">
            <v>4</v>
          </cell>
          <cell r="E148">
            <v>4000</v>
          </cell>
          <cell r="F148">
            <v>13267.741935483871</v>
          </cell>
          <cell r="G148" t="str">
            <v>MPA</v>
          </cell>
          <cell r="H148">
            <v>4.7</v>
          </cell>
          <cell r="I148">
            <v>4700</v>
          </cell>
          <cell r="J148">
            <v>3269422.5806451612</v>
          </cell>
          <cell r="K148">
            <v>1917329.0322580657</v>
          </cell>
        </row>
        <row r="149">
          <cell r="A149">
            <v>46170</v>
          </cell>
          <cell r="B149">
            <v>22619.354838709678</v>
          </cell>
          <cell r="C149" t="str">
            <v>TJP</v>
          </cell>
          <cell r="D149">
            <v>4</v>
          </cell>
          <cell r="E149">
            <v>4000</v>
          </cell>
          <cell r="F149">
            <v>13267.741935483871</v>
          </cell>
          <cell r="G149" t="str">
            <v>MPA</v>
          </cell>
          <cell r="H149">
            <v>4.7</v>
          </cell>
          <cell r="I149">
            <v>4700</v>
          </cell>
          <cell r="J149">
            <v>3292041.935483871</v>
          </cell>
          <cell r="K149">
            <v>1930596.7741935495</v>
          </cell>
        </row>
        <row r="150">
          <cell r="A150">
            <v>46171</v>
          </cell>
          <cell r="B150">
            <v>22619.354838709678</v>
          </cell>
          <cell r="C150" t="str">
            <v>TJP</v>
          </cell>
          <cell r="D150">
            <v>4</v>
          </cell>
          <cell r="E150">
            <v>4000</v>
          </cell>
          <cell r="F150">
            <v>13267.741935483871</v>
          </cell>
          <cell r="G150" t="str">
            <v>MPA</v>
          </cell>
          <cell r="H150">
            <v>4.7</v>
          </cell>
          <cell r="I150">
            <v>4700</v>
          </cell>
          <cell r="J150">
            <v>3314661.2903225808</v>
          </cell>
          <cell r="K150">
            <v>1943864.5161290334</v>
          </cell>
        </row>
        <row r="151">
          <cell r="A151">
            <v>46172</v>
          </cell>
          <cell r="B151">
            <v>22619.354838709678</v>
          </cell>
          <cell r="C151" t="str">
            <v>TJP</v>
          </cell>
          <cell r="D151">
            <v>4</v>
          </cell>
          <cell r="E151">
            <v>4000</v>
          </cell>
          <cell r="F151">
            <v>13267.741935483871</v>
          </cell>
          <cell r="G151" t="str">
            <v>MPA</v>
          </cell>
          <cell r="H151">
            <v>4.7</v>
          </cell>
          <cell r="I151">
            <v>4700</v>
          </cell>
          <cell r="J151">
            <v>3337280.6451612907</v>
          </cell>
          <cell r="K151">
            <v>1957132.2580645173</v>
          </cell>
        </row>
        <row r="152">
          <cell r="A152">
            <v>46173</v>
          </cell>
          <cell r="B152">
            <v>22619.354838709678</v>
          </cell>
          <cell r="C152" t="str">
            <v>TJP</v>
          </cell>
          <cell r="D152">
            <v>4</v>
          </cell>
          <cell r="E152">
            <v>4000</v>
          </cell>
          <cell r="F152">
            <v>13267.741935483871</v>
          </cell>
          <cell r="G152" t="str">
            <v>MPA</v>
          </cell>
          <cell r="H152">
            <v>4.7</v>
          </cell>
          <cell r="I152">
            <v>4700</v>
          </cell>
          <cell r="J152">
            <v>3359900.0000000005</v>
          </cell>
          <cell r="K152">
            <v>1970400.0000000012</v>
          </cell>
        </row>
        <row r="153">
          <cell r="A153">
            <v>46174</v>
          </cell>
          <cell r="B153">
            <v>23966.666666666668</v>
          </cell>
          <cell r="C153" t="str">
            <v>TJP</v>
          </cell>
          <cell r="D153">
            <v>4</v>
          </cell>
          <cell r="E153">
            <v>4000</v>
          </cell>
          <cell r="F153">
            <v>14066.666666666666</v>
          </cell>
          <cell r="G153" t="str">
            <v>MPA</v>
          </cell>
          <cell r="H153">
            <v>4.7</v>
          </cell>
          <cell r="I153">
            <v>4700</v>
          </cell>
          <cell r="J153">
            <v>3383866.666666667</v>
          </cell>
          <cell r="K153">
            <v>1984466.6666666679</v>
          </cell>
        </row>
        <row r="154">
          <cell r="A154">
            <v>46175</v>
          </cell>
          <cell r="B154">
            <v>23966.666666666668</v>
          </cell>
          <cell r="C154" t="str">
            <v>TJP</v>
          </cell>
          <cell r="D154">
            <v>4</v>
          </cell>
          <cell r="E154">
            <v>4000</v>
          </cell>
          <cell r="F154">
            <v>14066.666666666666</v>
          </cell>
          <cell r="G154" t="str">
            <v>MPA</v>
          </cell>
          <cell r="H154">
            <v>4.7</v>
          </cell>
          <cell r="I154">
            <v>4700</v>
          </cell>
          <cell r="J154">
            <v>3407833.3333333335</v>
          </cell>
          <cell r="K154">
            <v>1998533.3333333347</v>
          </cell>
        </row>
        <row r="155">
          <cell r="A155">
            <v>46176</v>
          </cell>
          <cell r="B155">
            <v>23966.666666666668</v>
          </cell>
          <cell r="C155" t="str">
            <v>TJP</v>
          </cell>
          <cell r="D155">
            <v>4</v>
          </cell>
          <cell r="E155">
            <v>4000</v>
          </cell>
          <cell r="F155">
            <v>14066.666666666666</v>
          </cell>
          <cell r="G155" t="str">
            <v>MPA</v>
          </cell>
          <cell r="H155">
            <v>4.7</v>
          </cell>
          <cell r="I155">
            <v>4700</v>
          </cell>
          <cell r="J155">
            <v>3431800</v>
          </cell>
          <cell r="K155">
            <v>2012600.0000000014</v>
          </cell>
        </row>
        <row r="156">
          <cell r="A156">
            <v>46177</v>
          </cell>
          <cell r="B156">
            <v>23966.666666666668</v>
          </cell>
          <cell r="C156" t="str">
            <v>TJP</v>
          </cell>
          <cell r="D156">
            <v>4</v>
          </cell>
          <cell r="E156">
            <v>4000</v>
          </cell>
          <cell r="F156">
            <v>14066.666666666666</v>
          </cell>
          <cell r="G156" t="str">
            <v>MPA</v>
          </cell>
          <cell r="H156">
            <v>4.7</v>
          </cell>
          <cell r="I156">
            <v>4700</v>
          </cell>
          <cell r="J156">
            <v>3455766.6666666665</v>
          </cell>
          <cell r="K156">
            <v>2026666.6666666681</v>
          </cell>
        </row>
        <row r="157">
          <cell r="A157">
            <v>46178</v>
          </cell>
          <cell r="B157">
            <v>23966.666666666668</v>
          </cell>
          <cell r="C157" t="str">
            <v>TJP</v>
          </cell>
          <cell r="D157">
            <v>4</v>
          </cell>
          <cell r="E157">
            <v>4000</v>
          </cell>
          <cell r="F157">
            <v>14066.666666666666</v>
          </cell>
          <cell r="G157" t="str">
            <v>MPA</v>
          </cell>
          <cell r="H157">
            <v>4.7</v>
          </cell>
          <cell r="I157">
            <v>4700</v>
          </cell>
          <cell r="J157">
            <v>3479733.333333333</v>
          </cell>
          <cell r="K157">
            <v>2040733.3333333349</v>
          </cell>
        </row>
        <row r="158">
          <cell r="A158">
            <v>46179</v>
          </cell>
          <cell r="B158">
            <v>23966.666666666668</v>
          </cell>
          <cell r="C158" t="str">
            <v>TJP</v>
          </cell>
          <cell r="D158">
            <v>4</v>
          </cell>
          <cell r="E158">
            <v>4000</v>
          </cell>
          <cell r="F158">
            <v>14066.666666666666</v>
          </cell>
          <cell r="G158" t="str">
            <v>MPA</v>
          </cell>
          <cell r="H158">
            <v>4.7</v>
          </cell>
          <cell r="I158">
            <v>4700</v>
          </cell>
          <cell r="J158">
            <v>3503699.9999999995</v>
          </cell>
          <cell r="K158">
            <v>2054800.0000000016</v>
          </cell>
        </row>
        <row r="159">
          <cell r="A159">
            <v>46180</v>
          </cell>
          <cell r="B159">
            <v>23966.666666666668</v>
          </cell>
          <cell r="C159" t="str">
            <v>TJP</v>
          </cell>
          <cell r="D159">
            <v>4</v>
          </cell>
          <cell r="E159">
            <v>4000</v>
          </cell>
          <cell r="F159">
            <v>14066.666666666666</v>
          </cell>
          <cell r="G159" t="str">
            <v>MPA</v>
          </cell>
          <cell r="H159">
            <v>4.7</v>
          </cell>
          <cell r="I159">
            <v>4700</v>
          </cell>
          <cell r="J159">
            <v>3527666.666666666</v>
          </cell>
          <cell r="K159">
            <v>2068866.6666666684</v>
          </cell>
        </row>
        <row r="160">
          <cell r="A160">
            <v>46181</v>
          </cell>
          <cell r="B160">
            <v>23966.666666666668</v>
          </cell>
          <cell r="C160" t="str">
            <v>TJP</v>
          </cell>
          <cell r="D160">
            <v>4</v>
          </cell>
          <cell r="E160">
            <v>4000</v>
          </cell>
          <cell r="F160">
            <v>14066.666666666666</v>
          </cell>
          <cell r="G160" t="str">
            <v>MPA</v>
          </cell>
          <cell r="H160">
            <v>4.7</v>
          </cell>
          <cell r="I160">
            <v>4700</v>
          </cell>
          <cell r="J160">
            <v>3551633.3333333326</v>
          </cell>
          <cell r="K160">
            <v>2082933.3333333351</v>
          </cell>
        </row>
        <row r="161">
          <cell r="A161">
            <v>46182</v>
          </cell>
          <cell r="B161">
            <v>23966.666666666668</v>
          </cell>
          <cell r="C161" t="str">
            <v>TJP</v>
          </cell>
          <cell r="D161">
            <v>4</v>
          </cell>
          <cell r="E161">
            <v>4000</v>
          </cell>
          <cell r="F161">
            <v>14066.666666666666</v>
          </cell>
          <cell r="G161" t="str">
            <v>MPA</v>
          </cell>
          <cell r="H161">
            <v>4.7</v>
          </cell>
          <cell r="I161">
            <v>4700</v>
          </cell>
          <cell r="J161">
            <v>3575599.9999999991</v>
          </cell>
          <cell r="K161">
            <v>2097000.0000000019</v>
          </cell>
        </row>
        <row r="162">
          <cell r="A162">
            <v>46183</v>
          </cell>
          <cell r="B162">
            <v>23966.666666666668</v>
          </cell>
          <cell r="C162" t="str">
            <v>TJP</v>
          </cell>
          <cell r="D162">
            <v>4</v>
          </cell>
          <cell r="E162">
            <v>4000</v>
          </cell>
          <cell r="F162">
            <v>14066.666666666666</v>
          </cell>
          <cell r="G162" t="str">
            <v>MPA</v>
          </cell>
          <cell r="H162">
            <v>4.7</v>
          </cell>
          <cell r="I162">
            <v>4700</v>
          </cell>
          <cell r="J162">
            <v>3599566.6666666656</v>
          </cell>
          <cell r="K162">
            <v>2111066.6666666684</v>
          </cell>
        </row>
        <row r="163">
          <cell r="A163">
            <v>46184</v>
          </cell>
          <cell r="B163">
            <v>23966.666666666668</v>
          </cell>
          <cell r="C163" t="str">
            <v>TJP</v>
          </cell>
          <cell r="D163">
            <v>4</v>
          </cell>
          <cell r="E163">
            <v>4000</v>
          </cell>
          <cell r="F163">
            <v>14066.666666666666</v>
          </cell>
          <cell r="G163" t="str">
            <v>MPA</v>
          </cell>
          <cell r="H163">
            <v>4.7</v>
          </cell>
          <cell r="I163">
            <v>4700</v>
          </cell>
          <cell r="J163">
            <v>3623533.3333333321</v>
          </cell>
          <cell r="K163">
            <v>2125133.3333333349</v>
          </cell>
        </row>
        <row r="164">
          <cell r="A164">
            <v>46185</v>
          </cell>
          <cell r="B164">
            <v>23966.666666666668</v>
          </cell>
          <cell r="C164" t="str">
            <v>TJP</v>
          </cell>
          <cell r="D164">
            <v>4</v>
          </cell>
          <cell r="E164">
            <v>4000</v>
          </cell>
          <cell r="F164">
            <v>14066.666666666666</v>
          </cell>
          <cell r="G164" t="str">
            <v>MPA</v>
          </cell>
          <cell r="H164">
            <v>4.7</v>
          </cell>
          <cell r="I164">
            <v>4700</v>
          </cell>
          <cell r="J164">
            <v>3647499.9999999986</v>
          </cell>
          <cell r="K164">
            <v>2139200.0000000014</v>
          </cell>
        </row>
        <row r="165">
          <cell r="A165">
            <v>46186</v>
          </cell>
          <cell r="B165">
            <v>23966.666666666668</v>
          </cell>
          <cell r="C165" t="str">
            <v>TJP</v>
          </cell>
          <cell r="D165">
            <v>4</v>
          </cell>
          <cell r="E165">
            <v>4000</v>
          </cell>
          <cell r="F165">
            <v>14066.666666666666</v>
          </cell>
          <cell r="G165" t="str">
            <v>MPA</v>
          </cell>
          <cell r="H165">
            <v>4.7</v>
          </cell>
          <cell r="I165">
            <v>4700</v>
          </cell>
          <cell r="J165">
            <v>3671466.6666666651</v>
          </cell>
          <cell r="K165">
            <v>2153266.6666666679</v>
          </cell>
        </row>
        <row r="166">
          <cell r="A166">
            <v>46187</v>
          </cell>
          <cell r="B166">
            <v>23966.666666666668</v>
          </cell>
          <cell r="C166" t="str">
            <v>TJP</v>
          </cell>
          <cell r="D166">
            <v>4</v>
          </cell>
          <cell r="E166">
            <v>4000</v>
          </cell>
          <cell r="F166">
            <v>14066.666666666666</v>
          </cell>
          <cell r="G166" t="str">
            <v>MPA</v>
          </cell>
          <cell r="H166">
            <v>4.7</v>
          </cell>
          <cell r="I166">
            <v>4700</v>
          </cell>
          <cell r="J166">
            <v>3695433.3333333316</v>
          </cell>
          <cell r="K166">
            <v>2167333.3333333344</v>
          </cell>
        </row>
        <row r="167">
          <cell r="A167">
            <v>46188</v>
          </cell>
          <cell r="B167">
            <v>23966.666666666668</v>
          </cell>
          <cell r="C167" t="str">
            <v>TJP</v>
          </cell>
          <cell r="D167">
            <v>4</v>
          </cell>
          <cell r="E167">
            <v>4000</v>
          </cell>
          <cell r="F167">
            <v>14066.666666666666</v>
          </cell>
          <cell r="G167" t="str">
            <v>MPA</v>
          </cell>
          <cell r="H167">
            <v>4.7</v>
          </cell>
          <cell r="I167">
            <v>4700</v>
          </cell>
          <cell r="J167">
            <v>3719399.9999999981</v>
          </cell>
          <cell r="K167">
            <v>2181400.0000000009</v>
          </cell>
        </row>
        <row r="168">
          <cell r="A168">
            <v>46189</v>
          </cell>
          <cell r="B168">
            <v>23966.666666666668</v>
          </cell>
          <cell r="C168" t="str">
            <v>TJP</v>
          </cell>
          <cell r="D168">
            <v>4</v>
          </cell>
          <cell r="E168">
            <v>4000</v>
          </cell>
          <cell r="F168">
            <v>14066.666666666666</v>
          </cell>
          <cell r="G168" t="str">
            <v>MPA</v>
          </cell>
          <cell r="H168">
            <v>4.7</v>
          </cell>
          <cell r="I168">
            <v>4700</v>
          </cell>
          <cell r="J168">
            <v>3743366.6666666646</v>
          </cell>
          <cell r="K168">
            <v>2195466.6666666674</v>
          </cell>
        </row>
        <row r="169">
          <cell r="A169">
            <v>46190</v>
          </cell>
          <cell r="B169">
            <v>23966.666666666668</v>
          </cell>
          <cell r="C169" t="str">
            <v>TJP</v>
          </cell>
          <cell r="D169">
            <v>4</v>
          </cell>
          <cell r="E169">
            <v>4000</v>
          </cell>
          <cell r="F169">
            <v>14066.666666666666</v>
          </cell>
          <cell r="G169" t="str">
            <v>MPA</v>
          </cell>
          <cell r="H169">
            <v>4.7</v>
          </cell>
          <cell r="I169">
            <v>4700</v>
          </cell>
          <cell r="J169">
            <v>3767333.3333333312</v>
          </cell>
          <cell r="K169">
            <v>2209533.333333334</v>
          </cell>
        </row>
        <row r="170">
          <cell r="A170">
            <v>46191</v>
          </cell>
          <cell r="B170">
            <v>23966.666666666668</v>
          </cell>
          <cell r="C170" t="str">
            <v>TJP</v>
          </cell>
          <cell r="D170">
            <v>4</v>
          </cell>
          <cell r="E170">
            <v>4000</v>
          </cell>
          <cell r="F170">
            <v>14066.666666666666</v>
          </cell>
          <cell r="G170" t="str">
            <v>MPA</v>
          </cell>
          <cell r="H170">
            <v>4.7</v>
          </cell>
          <cell r="I170">
            <v>4700</v>
          </cell>
          <cell r="J170">
            <v>3791299.9999999977</v>
          </cell>
          <cell r="K170">
            <v>2223600.0000000005</v>
          </cell>
        </row>
        <row r="171">
          <cell r="A171">
            <v>46192</v>
          </cell>
          <cell r="B171">
            <v>23966.666666666668</v>
          </cell>
          <cell r="C171" t="str">
            <v>TJP</v>
          </cell>
          <cell r="D171">
            <v>4</v>
          </cell>
          <cell r="E171">
            <v>4000</v>
          </cell>
          <cell r="F171">
            <v>14066.666666666666</v>
          </cell>
          <cell r="G171" t="str">
            <v>MPA</v>
          </cell>
          <cell r="H171">
            <v>4.7</v>
          </cell>
          <cell r="I171">
            <v>4700</v>
          </cell>
          <cell r="J171">
            <v>3815266.6666666642</v>
          </cell>
          <cell r="K171">
            <v>2237666.666666667</v>
          </cell>
        </row>
        <row r="172">
          <cell r="A172">
            <v>46193</v>
          </cell>
          <cell r="B172">
            <v>23966.666666666668</v>
          </cell>
          <cell r="C172" t="str">
            <v>TJP</v>
          </cell>
          <cell r="D172">
            <v>4</v>
          </cell>
          <cell r="E172">
            <v>4000</v>
          </cell>
          <cell r="F172">
            <v>14066.666666666666</v>
          </cell>
          <cell r="G172" t="str">
            <v>MPA</v>
          </cell>
          <cell r="H172">
            <v>4.7</v>
          </cell>
          <cell r="I172">
            <v>4700</v>
          </cell>
          <cell r="J172">
            <v>3839233.3333333307</v>
          </cell>
          <cell r="K172">
            <v>2251733.3333333335</v>
          </cell>
        </row>
        <row r="173">
          <cell r="A173">
            <v>46194</v>
          </cell>
          <cell r="B173">
            <v>23966.666666666668</v>
          </cell>
          <cell r="C173" t="str">
            <v>TJP</v>
          </cell>
          <cell r="D173">
            <v>4</v>
          </cell>
          <cell r="E173">
            <v>4000</v>
          </cell>
          <cell r="F173">
            <v>14066.666666666666</v>
          </cell>
          <cell r="G173" t="str">
            <v>MPA</v>
          </cell>
          <cell r="H173">
            <v>4.7</v>
          </cell>
          <cell r="I173">
            <v>4700</v>
          </cell>
          <cell r="J173">
            <v>3863199.9999999972</v>
          </cell>
          <cell r="K173">
            <v>2265800</v>
          </cell>
        </row>
        <row r="174">
          <cell r="A174">
            <v>46195</v>
          </cell>
          <cell r="B174">
            <v>23966.666666666668</v>
          </cell>
          <cell r="C174" t="str">
            <v>TJP</v>
          </cell>
          <cell r="D174">
            <v>4</v>
          </cell>
          <cell r="E174">
            <v>4000</v>
          </cell>
          <cell r="F174">
            <v>14066.666666666666</v>
          </cell>
          <cell r="G174" t="str">
            <v>MPA</v>
          </cell>
          <cell r="H174">
            <v>4.7</v>
          </cell>
          <cell r="I174">
            <v>4700</v>
          </cell>
          <cell r="J174">
            <v>3887166.6666666637</v>
          </cell>
          <cell r="K174">
            <v>2279866.6666666665</v>
          </cell>
        </row>
        <row r="175">
          <cell r="A175">
            <v>46196</v>
          </cell>
          <cell r="B175">
            <v>23966.666666666668</v>
          </cell>
          <cell r="C175" t="str">
            <v>TJP</v>
          </cell>
          <cell r="D175">
            <v>4</v>
          </cell>
          <cell r="E175">
            <v>4000</v>
          </cell>
          <cell r="F175">
            <v>14066.666666666666</v>
          </cell>
          <cell r="G175" t="str">
            <v>MPA</v>
          </cell>
          <cell r="H175">
            <v>4.7</v>
          </cell>
          <cell r="I175">
            <v>4700</v>
          </cell>
          <cell r="J175">
            <v>3911133.3333333302</v>
          </cell>
          <cell r="K175">
            <v>2293933.333333333</v>
          </cell>
        </row>
        <row r="176">
          <cell r="A176">
            <v>46197</v>
          </cell>
          <cell r="B176">
            <v>23966.666666666668</v>
          </cell>
          <cell r="C176" t="str">
            <v>TJP</v>
          </cell>
          <cell r="D176">
            <v>4</v>
          </cell>
          <cell r="E176">
            <v>4000</v>
          </cell>
          <cell r="F176">
            <v>14066.666666666666</v>
          </cell>
          <cell r="G176" t="str">
            <v>MPA</v>
          </cell>
          <cell r="H176">
            <v>4.7</v>
          </cell>
          <cell r="I176">
            <v>4700</v>
          </cell>
          <cell r="J176">
            <v>3935099.9999999967</v>
          </cell>
          <cell r="K176">
            <v>2307999.9999999995</v>
          </cell>
        </row>
        <row r="177">
          <cell r="A177">
            <v>46198</v>
          </cell>
          <cell r="B177">
            <v>23966.666666666668</v>
          </cell>
          <cell r="C177" t="str">
            <v>TJP</v>
          </cell>
          <cell r="D177">
            <v>4</v>
          </cell>
          <cell r="E177">
            <v>4000</v>
          </cell>
          <cell r="F177">
            <v>14066.666666666666</v>
          </cell>
          <cell r="G177" t="str">
            <v>MPA</v>
          </cell>
          <cell r="H177">
            <v>4.7</v>
          </cell>
          <cell r="I177">
            <v>4700</v>
          </cell>
          <cell r="J177">
            <v>3959066.6666666633</v>
          </cell>
          <cell r="K177">
            <v>2322066.666666666</v>
          </cell>
        </row>
        <row r="178">
          <cell r="A178">
            <v>46199</v>
          </cell>
          <cell r="B178">
            <v>23966.666666666668</v>
          </cell>
          <cell r="C178" t="str">
            <v>TJP</v>
          </cell>
          <cell r="D178">
            <v>4</v>
          </cell>
          <cell r="E178">
            <v>4000</v>
          </cell>
          <cell r="F178">
            <v>14066.666666666666</v>
          </cell>
          <cell r="G178" t="str">
            <v>MPA</v>
          </cell>
          <cell r="H178">
            <v>4.7</v>
          </cell>
          <cell r="I178">
            <v>4700</v>
          </cell>
          <cell r="J178">
            <v>3983033.3333333298</v>
          </cell>
          <cell r="K178">
            <v>2336133.3333333326</v>
          </cell>
        </row>
        <row r="179">
          <cell r="A179">
            <v>46200</v>
          </cell>
          <cell r="B179">
            <v>23966.666666666668</v>
          </cell>
          <cell r="C179" t="str">
            <v>TJP</v>
          </cell>
          <cell r="D179">
            <v>4</v>
          </cell>
          <cell r="E179">
            <v>4000</v>
          </cell>
          <cell r="F179">
            <v>14066.666666666666</v>
          </cell>
          <cell r="G179" t="str">
            <v>MPA</v>
          </cell>
          <cell r="H179">
            <v>4.7</v>
          </cell>
          <cell r="I179">
            <v>4700</v>
          </cell>
          <cell r="J179">
            <v>4006999.9999999963</v>
          </cell>
          <cell r="K179">
            <v>2350199.9999999991</v>
          </cell>
        </row>
        <row r="180">
          <cell r="A180">
            <v>46201</v>
          </cell>
          <cell r="B180">
            <v>23966.666666666668</v>
          </cell>
          <cell r="C180" t="str">
            <v>TJP</v>
          </cell>
          <cell r="D180">
            <v>4</v>
          </cell>
          <cell r="E180">
            <v>4000</v>
          </cell>
          <cell r="F180">
            <v>14066.666666666666</v>
          </cell>
          <cell r="G180" t="str">
            <v>MPA</v>
          </cell>
          <cell r="H180">
            <v>4.7</v>
          </cell>
          <cell r="I180">
            <v>4700</v>
          </cell>
          <cell r="J180">
            <v>4030966.6666666628</v>
          </cell>
          <cell r="K180">
            <v>2364266.6666666656</v>
          </cell>
        </row>
        <row r="181">
          <cell r="A181">
            <v>46202</v>
          </cell>
          <cell r="B181">
            <v>23966.666666666668</v>
          </cell>
          <cell r="C181" t="str">
            <v>TJP</v>
          </cell>
          <cell r="D181">
            <v>4</v>
          </cell>
          <cell r="E181">
            <v>4000</v>
          </cell>
          <cell r="F181">
            <v>14066.666666666666</v>
          </cell>
          <cell r="G181" t="str">
            <v>MPA</v>
          </cell>
          <cell r="H181">
            <v>4.7</v>
          </cell>
          <cell r="I181">
            <v>4700</v>
          </cell>
          <cell r="J181">
            <v>4054933.3333333293</v>
          </cell>
          <cell r="K181">
            <v>2378333.3333333321</v>
          </cell>
        </row>
        <row r="182">
          <cell r="A182">
            <v>46203</v>
          </cell>
          <cell r="B182">
            <v>23966.666666666668</v>
          </cell>
          <cell r="C182" t="str">
            <v>TJP</v>
          </cell>
          <cell r="D182">
            <v>4</v>
          </cell>
          <cell r="E182">
            <v>4000</v>
          </cell>
          <cell r="F182">
            <v>14066.666666666666</v>
          </cell>
          <cell r="G182" t="str">
            <v>MPA</v>
          </cell>
          <cell r="H182">
            <v>4.7</v>
          </cell>
          <cell r="I182">
            <v>4700</v>
          </cell>
          <cell r="J182">
            <v>4078899.9999999958</v>
          </cell>
          <cell r="K182">
            <v>2392399.9999999986</v>
          </cell>
        </row>
        <row r="183">
          <cell r="A183">
            <v>46204</v>
          </cell>
          <cell r="B183">
            <v>25587.096774193549</v>
          </cell>
          <cell r="C183" t="str">
            <v>TJP</v>
          </cell>
          <cell r="D183">
            <v>4.4000000000000004</v>
          </cell>
          <cell r="E183">
            <v>4400</v>
          </cell>
          <cell r="F183">
            <v>15016.129032258064</v>
          </cell>
          <cell r="G183" t="str">
            <v>MPA</v>
          </cell>
          <cell r="H183">
            <v>4.7</v>
          </cell>
          <cell r="I183">
            <v>4700</v>
          </cell>
          <cell r="J183">
            <v>4104487.0967741893</v>
          </cell>
          <cell r="K183">
            <v>2407416.1290322565</v>
          </cell>
        </row>
        <row r="184">
          <cell r="A184">
            <v>46205</v>
          </cell>
          <cell r="B184">
            <v>25587.096774193549</v>
          </cell>
          <cell r="C184" t="str">
            <v>TJP</v>
          </cell>
          <cell r="D184">
            <v>4.4000000000000004</v>
          </cell>
          <cell r="E184">
            <v>4400</v>
          </cell>
          <cell r="F184">
            <v>15016.129032258064</v>
          </cell>
          <cell r="G184" t="str">
            <v>MPA</v>
          </cell>
          <cell r="H184">
            <v>4.7</v>
          </cell>
          <cell r="I184">
            <v>4700</v>
          </cell>
          <cell r="J184">
            <v>4130074.1935483827</v>
          </cell>
          <cell r="K184">
            <v>2422432.2580645145</v>
          </cell>
        </row>
        <row r="185">
          <cell r="A185">
            <v>46206</v>
          </cell>
          <cell r="B185">
            <v>25587.096774193549</v>
          </cell>
          <cell r="C185" t="str">
            <v>TJP</v>
          </cell>
          <cell r="D185">
            <v>4.4000000000000004</v>
          </cell>
          <cell r="E185">
            <v>4400</v>
          </cell>
          <cell r="F185">
            <v>15016.129032258064</v>
          </cell>
          <cell r="G185" t="str">
            <v>MPA</v>
          </cell>
          <cell r="H185">
            <v>4.7</v>
          </cell>
          <cell r="I185">
            <v>4700</v>
          </cell>
          <cell r="J185">
            <v>4155661.2903225762</v>
          </cell>
          <cell r="K185">
            <v>2437448.3870967724</v>
          </cell>
        </row>
        <row r="186">
          <cell r="A186">
            <v>46207</v>
          </cell>
          <cell r="B186">
            <v>25587.096774193549</v>
          </cell>
          <cell r="C186" t="str">
            <v>TJP</v>
          </cell>
          <cell r="D186">
            <v>4.4000000000000004</v>
          </cell>
          <cell r="E186">
            <v>4400</v>
          </cell>
          <cell r="F186">
            <v>15016.129032258064</v>
          </cell>
          <cell r="G186" t="str">
            <v>MPA</v>
          </cell>
          <cell r="H186">
            <v>4.7</v>
          </cell>
          <cell r="I186">
            <v>4700</v>
          </cell>
          <cell r="J186">
            <v>4181248.3870967696</v>
          </cell>
          <cell r="K186">
            <v>2452464.5161290304</v>
          </cell>
        </row>
        <row r="187">
          <cell r="A187">
            <v>46208</v>
          </cell>
          <cell r="B187">
            <v>25587.096774193549</v>
          </cell>
          <cell r="C187" t="str">
            <v>TJP</v>
          </cell>
          <cell r="D187">
            <v>4.4000000000000004</v>
          </cell>
          <cell r="E187">
            <v>4400</v>
          </cell>
          <cell r="F187">
            <v>15016.129032258064</v>
          </cell>
          <cell r="G187" t="str">
            <v>MPA</v>
          </cell>
          <cell r="H187">
            <v>4.7</v>
          </cell>
          <cell r="I187">
            <v>4700</v>
          </cell>
          <cell r="J187">
            <v>4206835.4838709636</v>
          </cell>
          <cell r="K187">
            <v>2467480.6451612883</v>
          </cell>
        </row>
        <row r="188">
          <cell r="A188">
            <v>46209</v>
          </cell>
          <cell r="B188">
            <v>25587.096774193549</v>
          </cell>
          <cell r="C188" t="str">
            <v>TJP</v>
          </cell>
          <cell r="D188">
            <v>4.4000000000000004</v>
          </cell>
          <cell r="E188">
            <v>4400</v>
          </cell>
          <cell r="F188">
            <v>15016.129032258064</v>
          </cell>
          <cell r="G188" t="str">
            <v>MPA</v>
          </cell>
          <cell r="H188">
            <v>4.7</v>
          </cell>
          <cell r="I188">
            <v>4700</v>
          </cell>
          <cell r="J188">
            <v>4232422.580645157</v>
          </cell>
          <cell r="K188">
            <v>2482496.7741935463</v>
          </cell>
        </row>
        <row r="189">
          <cell r="A189">
            <v>46210</v>
          </cell>
          <cell r="B189">
            <v>25587.096774193549</v>
          </cell>
          <cell r="C189" t="str">
            <v>TJP</v>
          </cell>
          <cell r="D189">
            <v>4.4000000000000004</v>
          </cell>
          <cell r="E189">
            <v>4400</v>
          </cell>
          <cell r="F189">
            <v>15016.129032258064</v>
          </cell>
          <cell r="G189" t="str">
            <v>MPA</v>
          </cell>
          <cell r="H189">
            <v>4.7</v>
          </cell>
          <cell r="I189">
            <v>4700</v>
          </cell>
          <cell r="J189">
            <v>4258009.6774193505</v>
          </cell>
          <cell r="K189">
            <v>2497512.9032258042</v>
          </cell>
        </row>
        <row r="190">
          <cell r="A190">
            <v>46211</v>
          </cell>
          <cell r="B190">
            <v>25587.096774193549</v>
          </cell>
          <cell r="C190" t="str">
            <v>TJP</v>
          </cell>
          <cell r="D190">
            <v>4.4000000000000004</v>
          </cell>
          <cell r="E190">
            <v>4400</v>
          </cell>
          <cell r="F190">
            <v>15016.129032258064</v>
          </cell>
          <cell r="G190" t="str">
            <v>MPA</v>
          </cell>
          <cell r="H190">
            <v>4.7</v>
          </cell>
          <cell r="I190">
            <v>4700</v>
          </cell>
          <cell r="J190">
            <v>4283596.7741935439</v>
          </cell>
          <cell r="K190">
            <v>2512529.0322580622</v>
          </cell>
        </row>
        <row r="191">
          <cell r="A191">
            <v>46212</v>
          </cell>
          <cell r="B191">
            <v>25587.096774193549</v>
          </cell>
          <cell r="C191" t="str">
            <v>TJP</v>
          </cell>
          <cell r="D191">
            <v>4.4000000000000004</v>
          </cell>
          <cell r="E191">
            <v>4400</v>
          </cell>
          <cell r="F191">
            <v>15016.129032258064</v>
          </cell>
          <cell r="G191" t="str">
            <v>MPA</v>
          </cell>
          <cell r="H191">
            <v>4.7</v>
          </cell>
          <cell r="I191">
            <v>4700</v>
          </cell>
          <cell r="J191">
            <v>4309183.8709677374</v>
          </cell>
          <cell r="K191">
            <v>2527545.1612903201</v>
          </cell>
        </row>
        <row r="192">
          <cell r="A192">
            <v>46213</v>
          </cell>
          <cell r="B192">
            <v>25587.096774193549</v>
          </cell>
          <cell r="C192" t="str">
            <v>TJP</v>
          </cell>
          <cell r="D192">
            <v>4.4000000000000004</v>
          </cell>
          <cell r="E192">
            <v>4400</v>
          </cell>
          <cell r="F192">
            <v>15016.129032258064</v>
          </cell>
          <cell r="G192" t="str">
            <v>MPA</v>
          </cell>
          <cell r="H192">
            <v>4.7</v>
          </cell>
          <cell r="I192">
            <v>4700</v>
          </cell>
          <cell r="J192">
            <v>4334770.9677419309</v>
          </cell>
          <cell r="K192">
            <v>2542561.290322578</v>
          </cell>
        </row>
        <row r="193">
          <cell r="A193">
            <v>46214</v>
          </cell>
          <cell r="B193">
            <v>25587.096774193549</v>
          </cell>
          <cell r="C193" t="str">
            <v>TJP</v>
          </cell>
          <cell r="D193">
            <v>4.4000000000000004</v>
          </cell>
          <cell r="E193">
            <v>4400</v>
          </cell>
          <cell r="F193">
            <v>15016.129032258064</v>
          </cell>
          <cell r="G193" t="str">
            <v>MPA</v>
          </cell>
          <cell r="H193">
            <v>4.7</v>
          </cell>
          <cell r="I193">
            <v>4700</v>
          </cell>
          <cell r="J193">
            <v>4360358.0645161243</v>
          </cell>
          <cell r="K193">
            <v>2557577.419354836</v>
          </cell>
        </row>
        <row r="194">
          <cell r="A194">
            <v>46215</v>
          </cell>
          <cell r="B194">
            <v>25587.096774193549</v>
          </cell>
          <cell r="C194" t="str">
            <v>TJP</v>
          </cell>
          <cell r="D194">
            <v>4.4000000000000004</v>
          </cell>
          <cell r="E194">
            <v>4400</v>
          </cell>
          <cell r="F194">
            <v>15016.129032258064</v>
          </cell>
          <cell r="G194" t="str">
            <v>MPA</v>
          </cell>
          <cell r="H194">
            <v>4.7</v>
          </cell>
          <cell r="I194">
            <v>4700</v>
          </cell>
          <cell r="J194">
            <v>4385945.1612903178</v>
          </cell>
          <cell r="K194">
            <v>2572593.5483870939</v>
          </cell>
        </row>
        <row r="195">
          <cell r="A195">
            <v>46216</v>
          </cell>
          <cell r="B195">
            <v>25587.096774193549</v>
          </cell>
          <cell r="C195" t="str">
            <v>TJP</v>
          </cell>
          <cell r="D195">
            <v>4.4000000000000004</v>
          </cell>
          <cell r="E195">
            <v>4400</v>
          </cell>
          <cell r="F195">
            <v>15016.129032258064</v>
          </cell>
          <cell r="G195" t="str">
            <v>MPA</v>
          </cell>
          <cell r="H195">
            <v>4.7</v>
          </cell>
          <cell r="I195">
            <v>4700</v>
          </cell>
          <cell r="J195">
            <v>4411532.2580645112</v>
          </cell>
          <cell r="K195">
            <v>2587609.6774193519</v>
          </cell>
        </row>
        <row r="196">
          <cell r="A196">
            <v>46217</v>
          </cell>
          <cell r="B196">
            <v>25587.096774193549</v>
          </cell>
          <cell r="C196" t="str">
            <v>TJP</v>
          </cell>
          <cell r="D196">
            <v>4.4000000000000004</v>
          </cell>
          <cell r="E196">
            <v>4400</v>
          </cell>
          <cell r="F196">
            <v>15016.129032258064</v>
          </cell>
          <cell r="G196" t="str">
            <v>MPA</v>
          </cell>
          <cell r="H196">
            <v>4.7</v>
          </cell>
          <cell r="I196">
            <v>4700</v>
          </cell>
          <cell r="J196">
            <v>4437119.3548387047</v>
          </cell>
          <cell r="K196">
            <v>2602625.8064516098</v>
          </cell>
        </row>
        <row r="197">
          <cell r="A197">
            <v>46218</v>
          </cell>
          <cell r="B197">
            <v>25587.096774193549</v>
          </cell>
          <cell r="C197" t="str">
            <v>TJP</v>
          </cell>
          <cell r="D197">
            <v>4.4000000000000004</v>
          </cell>
          <cell r="E197">
            <v>4400</v>
          </cell>
          <cell r="F197">
            <v>15016.129032258064</v>
          </cell>
          <cell r="G197" t="str">
            <v>MPA</v>
          </cell>
          <cell r="H197">
            <v>4.7</v>
          </cell>
          <cell r="I197">
            <v>4700</v>
          </cell>
          <cell r="J197">
            <v>4462706.4516128981</v>
          </cell>
          <cell r="K197">
            <v>2617641.9354838678</v>
          </cell>
        </row>
        <row r="198">
          <cell r="A198">
            <v>46219</v>
          </cell>
          <cell r="B198">
            <v>25587.096774193549</v>
          </cell>
          <cell r="C198" t="str">
            <v>TJP</v>
          </cell>
          <cell r="D198">
            <v>4.4000000000000004</v>
          </cell>
          <cell r="E198">
            <v>4400</v>
          </cell>
          <cell r="F198">
            <v>15016.129032258064</v>
          </cell>
          <cell r="G198" t="str">
            <v>MPA</v>
          </cell>
          <cell r="H198">
            <v>4.7</v>
          </cell>
          <cell r="I198">
            <v>4700</v>
          </cell>
          <cell r="J198">
            <v>4488293.5483870916</v>
          </cell>
          <cell r="K198">
            <v>2632658.0645161257</v>
          </cell>
        </row>
        <row r="199">
          <cell r="A199">
            <v>46220</v>
          </cell>
          <cell r="B199">
            <v>25587.096774193549</v>
          </cell>
          <cell r="C199" t="str">
            <v>TJP</v>
          </cell>
          <cell r="D199">
            <v>4.4000000000000004</v>
          </cell>
          <cell r="E199">
            <v>4400</v>
          </cell>
          <cell r="F199">
            <v>15016.129032258064</v>
          </cell>
          <cell r="G199" t="str">
            <v>MPA</v>
          </cell>
          <cell r="H199">
            <v>4.7</v>
          </cell>
          <cell r="I199">
            <v>4700</v>
          </cell>
          <cell r="J199">
            <v>4513880.6451612851</v>
          </cell>
          <cell r="K199">
            <v>2647674.1935483837</v>
          </cell>
        </row>
        <row r="200">
          <cell r="A200">
            <v>46221</v>
          </cell>
          <cell r="B200">
            <v>25587.096774193549</v>
          </cell>
          <cell r="C200" t="str">
            <v>TJP</v>
          </cell>
          <cell r="D200">
            <v>4.4000000000000004</v>
          </cell>
          <cell r="E200">
            <v>4400</v>
          </cell>
          <cell r="F200">
            <v>15016.129032258064</v>
          </cell>
          <cell r="G200" t="str">
            <v>MPA</v>
          </cell>
          <cell r="H200">
            <v>4.7</v>
          </cell>
          <cell r="I200">
            <v>4700</v>
          </cell>
          <cell r="J200">
            <v>4539467.7419354785</v>
          </cell>
          <cell r="K200">
            <v>2662690.3225806416</v>
          </cell>
        </row>
        <row r="201">
          <cell r="A201">
            <v>46222</v>
          </cell>
          <cell r="B201">
            <v>25587.096774193549</v>
          </cell>
          <cell r="C201" t="str">
            <v>TJP</v>
          </cell>
          <cell r="D201">
            <v>4.4000000000000004</v>
          </cell>
          <cell r="E201">
            <v>4400</v>
          </cell>
          <cell r="F201">
            <v>15016.129032258064</v>
          </cell>
          <cell r="G201" t="str">
            <v>MPA</v>
          </cell>
          <cell r="H201">
            <v>4.7</v>
          </cell>
          <cell r="I201">
            <v>4700</v>
          </cell>
          <cell r="J201">
            <v>4565054.838709672</v>
          </cell>
          <cell r="K201">
            <v>2677706.4516128995</v>
          </cell>
        </row>
        <row r="202">
          <cell r="A202">
            <v>46223</v>
          </cell>
          <cell r="B202">
            <v>25587.096774193549</v>
          </cell>
          <cell r="C202" t="str">
            <v>TJP</v>
          </cell>
          <cell r="D202">
            <v>4.4000000000000004</v>
          </cell>
          <cell r="E202">
            <v>4400</v>
          </cell>
          <cell r="F202">
            <v>15016.129032258064</v>
          </cell>
          <cell r="G202" t="str">
            <v>MPA</v>
          </cell>
          <cell r="H202">
            <v>4.7</v>
          </cell>
          <cell r="I202">
            <v>4700</v>
          </cell>
          <cell r="J202">
            <v>4590641.9354838654</v>
          </cell>
          <cell r="K202">
            <v>2692722.5806451575</v>
          </cell>
        </row>
        <row r="203">
          <cell r="A203">
            <v>46224</v>
          </cell>
          <cell r="B203">
            <v>25587.096774193549</v>
          </cell>
          <cell r="C203" t="str">
            <v>TJP</v>
          </cell>
          <cell r="D203">
            <v>4.4000000000000004</v>
          </cell>
          <cell r="E203">
            <v>4400</v>
          </cell>
          <cell r="F203">
            <v>15016.129032258064</v>
          </cell>
          <cell r="G203" t="str">
            <v>MPA</v>
          </cell>
          <cell r="H203">
            <v>4.7</v>
          </cell>
          <cell r="I203">
            <v>4700</v>
          </cell>
          <cell r="J203">
            <v>4616229.0322580589</v>
          </cell>
          <cell r="K203">
            <v>2707738.7096774154</v>
          </cell>
        </row>
        <row r="204">
          <cell r="A204">
            <v>46225</v>
          </cell>
          <cell r="B204">
            <v>25587.096774193549</v>
          </cell>
          <cell r="C204" t="str">
            <v>TJP</v>
          </cell>
          <cell r="D204">
            <v>4.4000000000000004</v>
          </cell>
          <cell r="E204">
            <v>4400</v>
          </cell>
          <cell r="F204">
            <v>15016.129032258064</v>
          </cell>
          <cell r="G204" t="str">
            <v>MPA</v>
          </cell>
          <cell r="H204">
            <v>4.7</v>
          </cell>
          <cell r="I204">
            <v>4700</v>
          </cell>
          <cell r="J204">
            <v>4641816.1290322524</v>
          </cell>
          <cell r="K204">
            <v>2722754.8387096734</v>
          </cell>
        </row>
        <row r="205">
          <cell r="A205">
            <v>46226</v>
          </cell>
          <cell r="B205">
            <v>25587.096774193549</v>
          </cell>
          <cell r="C205" t="str">
            <v>TJP</v>
          </cell>
          <cell r="D205">
            <v>4.4000000000000004</v>
          </cell>
          <cell r="E205">
            <v>4400</v>
          </cell>
          <cell r="F205">
            <v>15016.129032258064</v>
          </cell>
          <cell r="G205" t="str">
            <v>MPA</v>
          </cell>
          <cell r="H205">
            <v>4.7</v>
          </cell>
          <cell r="I205">
            <v>4700</v>
          </cell>
          <cell r="J205">
            <v>4667403.2258064458</v>
          </cell>
          <cell r="K205">
            <v>2737770.9677419313</v>
          </cell>
        </row>
        <row r="206">
          <cell r="A206">
            <v>46227</v>
          </cell>
          <cell r="B206">
            <v>25587.096774193549</v>
          </cell>
          <cell r="C206" t="str">
            <v>TJP</v>
          </cell>
          <cell r="D206">
            <v>4.4000000000000004</v>
          </cell>
          <cell r="E206">
            <v>4400</v>
          </cell>
          <cell r="F206">
            <v>15016.129032258064</v>
          </cell>
          <cell r="G206" t="str">
            <v>MPA</v>
          </cell>
          <cell r="H206">
            <v>4.7</v>
          </cell>
          <cell r="I206">
            <v>4700</v>
          </cell>
          <cell r="J206">
            <v>4692990.3225806393</v>
          </cell>
          <cell r="K206">
            <v>2752787.0967741893</v>
          </cell>
        </row>
        <row r="207">
          <cell r="A207">
            <v>46228</v>
          </cell>
          <cell r="B207">
            <v>25587.096774193549</v>
          </cell>
          <cell r="C207" t="str">
            <v>TJP</v>
          </cell>
          <cell r="D207">
            <v>4.4000000000000004</v>
          </cell>
          <cell r="E207">
            <v>4400</v>
          </cell>
          <cell r="F207">
            <v>15016.129032258064</v>
          </cell>
          <cell r="G207" t="str">
            <v>MPA</v>
          </cell>
          <cell r="H207">
            <v>4.7</v>
          </cell>
          <cell r="I207">
            <v>4700</v>
          </cell>
          <cell r="J207">
            <v>4718577.4193548327</v>
          </cell>
          <cell r="K207">
            <v>2767803.2258064472</v>
          </cell>
        </row>
        <row r="208">
          <cell r="A208">
            <v>46229</v>
          </cell>
          <cell r="B208">
            <v>25587.096774193549</v>
          </cell>
          <cell r="C208" t="str">
            <v>TJP</v>
          </cell>
          <cell r="D208">
            <v>4.4000000000000004</v>
          </cell>
          <cell r="E208">
            <v>4400</v>
          </cell>
          <cell r="F208">
            <v>15016.129032258064</v>
          </cell>
          <cell r="G208" t="str">
            <v>MPA</v>
          </cell>
          <cell r="H208">
            <v>4.7</v>
          </cell>
          <cell r="I208">
            <v>4700</v>
          </cell>
          <cell r="J208">
            <v>4744164.5161290262</v>
          </cell>
          <cell r="K208">
            <v>2782819.3548387052</v>
          </cell>
        </row>
        <row r="209">
          <cell r="A209">
            <v>46230</v>
          </cell>
          <cell r="B209">
            <v>25587.096774193549</v>
          </cell>
          <cell r="C209" t="str">
            <v>TJP</v>
          </cell>
          <cell r="D209">
            <v>4.4000000000000004</v>
          </cell>
          <cell r="E209">
            <v>4400</v>
          </cell>
          <cell r="F209">
            <v>15016.129032258064</v>
          </cell>
          <cell r="G209" t="str">
            <v>MPA</v>
          </cell>
          <cell r="H209">
            <v>4.7</v>
          </cell>
          <cell r="I209">
            <v>4700</v>
          </cell>
          <cell r="J209">
            <v>4769751.6129032196</v>
          </cell>
          <cell r="K209">
            <v>2797835.4838709631</v>
          </cell>
        </row>
        <row r="210">
          <cell r="A210">
            <v>46231</v>
          </cell>
          <cell r="B210">
            <v>25587.096774193549</v>
          </cell>
          <cell r="C210" t="str">
            <v>TJP</v>
          </cell>
          <cell r="D210">
            <v>4.4000000000000004</v>
          </cell>
          <cell r="E210">
            <v>4400</v>
          </cell>
          <cell r="F210">
            <v>15016.129032258064</v>
          </cell>
          <cell r="G210" t="str">
            <v>MPA</v>
          </cell>
          <cell r="H210">
            <v>4.7</v>
          </cell>
          <cell r="I210">
            <v>4700</v>
          </cell>
          <cell r="J210">
            <v>4795338.7096774131</v>
          </cell>
          <cell r="K210">
            <v>2812851.612903221</v>
          </cell>
        </row>
        <row r="211">
          <cell r="A211">
            <v>46232</v>
          </cell>
          <cell r="B211">
            <v>25587.096774193549</v>
          </cell>
          <cell r="C211" t="str">
            <v>TJP</v>
          </cell>
          <cell r="D211">
            <v>4.4000000000000004</v>
          </cell>
          <cell r="E211">
            <v>4400</v>
          </cell>
          <cell r="F211">
            <v>15016.129032258064</v>
          </cell>
          <cell r="G211" t="str">
            <v>MPA</v>
          </cell>
          <cell r="H211">
            <v>4.7</v>
          </cell>
          <cell r="I211">
            <v>4700</v>
          </cell>
          <cell r="J211">
            <v>4820925.8064516066</v>
          </cell>
          <cell r="K211">
            <v>2827867.741935479</v>
          </cell>
        </row>
        <row r="212">
          <cell r="A212">
            <v>46233</v>
          </cell>
          <cell r="B212">
            <v>25587.096774193549</v>
          </cell>
          <cell r="C212" t="str">
            <v>TJP</v>
          </cell>
          <cell r="D212">
            <v>4.4000000000000004</v>
          </cell>
          <cell r="E212">
            <v>4400</v>
          </cell>
          <cell r="F212">
            <v>15016.129032258064</v>
          </cell>
          <cell r="G212" t="str">
            <v>MPA</v>
          </cell>
          <cell r="H212">
            <v>4.7</v>
          </cell>
          <cell r="I212">
            <v>4700</v>
          </cell>
          <cell r="J212">
            <v>4846512.9032258</v>
          </cell>
          <cell r="K212">
            <v>2842883.8709677369</v>
          </cell>
        </row>
        <row r="213">
          <cell r="A213">
            <v>46234</v>
          </cell>
          <cell r="B213">
            <v>25587.096774193549</v>
          </cell>
          <cell r="C213" t="str">
            <v>TJP</v>
          </cell>
          <cell r="D213">
            <v>4.4000000000000004</v>
          </cell>
          <cell r="E213">
            <v>4400</v>
          </cell>
          <cell r="F213">
            <v>15016.129032258064</v>
          </cell>
          <cell r="G213" t="str">
            <v>MPA</v>
          </cell>
          <cell r="H213">
            <v>4.7</v>
          </cell>
          <cell r="I213">
            <v>4700</v>
          </cell>
          <cell r="J213">
            <v>4872099.9999999935</v>
          </cell>
          <cell r="K213">
            <v>2857899.9999999949</v>
          </cell>
        </row>
        <row r="214">
          <cell r="A214">
            <v>46235</v>
          </cell>
          <cell r="B214">
            <v>22177.419354838708</v>
          </cell>
          <cell r="C214" t="str">
            <v>TJP</v>
          </cell>
          <cell r="D214">
            <v>4.4000000000000004</v>
          </cell>
          <cell r="E214">
            <v>4400</v>
          </cell>
          <cell r="F214">
            <v>15193.548387096775</v>
          </cell>
          <cell r="G214" t="str">
            <v>MPA</v>
          </cell>
          <cell r="H214">
            <v>4</v>
          </cell>
          <cell r="I214">
            <v>4000</v>
          </cell>
          <cell r="J214">
            <v>4894277.4193548318</v>
          </cell>
          <cell r="K214">
            <v>2873093.5483870916</v>
          </cell>
        </row>
        <row r="215">
          <cell r="A215">
            <v>46236</v>
          </cell>
          <cell r="B215">
            <v>22177.419354838708</v>
          </cell>
          <cell r="C215" t="str">
            <v>TJP</v>
          </cell>
          <cell r="D215">
            <v>4.4000000000000004</v>
          </cell>
          <cell r="E215">
            <v>4400</v>
          </cell>
          <cell r="F215">
            <v>15193.548387096775</v>
          </cell>
          <cell r="G215" t="str">
            <v>MPA</v>
          </cell>
          <cell r="H215">
            <v>4</v>
          </cell>
          <cell r="I215">
            <v>4000</v>
          </cell>
          <cell r="J215">
            <v>4916454.8387096701</v>
          </cell>
          <cell r="K215">
            <v>2888287.0967741883</v>
          </cell>
        </row>
        <row r="216">
          <cell r="A216">
            <v>46237</v>
          </cell>
          <cell r="B216">
            <v>22177.419354838708</v>
          </cell>
          <cell r="C216" t="str">
            <v>TJP</v>
          </cell>
          <cell r="D216">
            <v>4.4000000000000004</v>
          </cell>
          <cell r="E216">
            <v>4400</v>
          </cell>
          <cell r="F216">
            <v>15193.548387096775</v>
          </cell>
          <cell r="G216" t="str">
            <v>MPA</v>
          </cell>
          <cell r="H216">
            <v>4</v>
          </cell>
          <cell r="I216">
            <v>4000</v>
          </cell>
          <cell r="J216">
            <v>4938632.2580645084</v>
          </cell>
          <cell r="K216">
            <v>2903480.6451612851</v>
          </cell>
        </row>
        <row r="217">
          <cell r="A217">
            <v>46238</v>
          </cell>
          <cell r="B217">
            <v>22177.419354838708</v>
          </cell>
          <cell r="C217" t="str">
            <v>TJP</v>
          </cell>
          <cell r="D217">
            <v>4.4000000000000004</v>
          </cell>
          <cell r="E217">
            <v>4400</v>
          </cell>
          <cell r="F217">
            <v>15193.548387096775</v>
          </cell>
          <cell r="G217" t="str">
            <v>MPA</v>
          </cell>
          <cell r="H217">
            <v>4</v>
          </cell>
          <cell r="I217">
            <v>4000</v>
          </cell>
          <cell r="J217">
            <v>4960809.6774193468</v>
          </cell>
          <cell r="K217">
            <v>2918674.1935483818</v>
          </cell>
        </row>
        <row r="218">
          <cell r="A218">
            <v>46239</v>
          </cell>
          <cell r="B218">
            <v>22177.419354838708</v>
          </cell>
          <cell r="C218" t="str">
            <v>TJP</v>
          </cell>
          <cell r="D218">
            <v>4.4000000000000004</v>
          </cell>
          <cell r="E218">
            <v>4400</v>
          </cell>
          <cell r="F218">
            <v>15193.548387096775</v>
          </cell>
          <cell r="G218" t="str">
            <v>MPA</v>
          </cell>
          <cell r="H218">
            <v>4</v>
          </cell>
          <cell r="I218">
            <v>4000</v>
          </cell>
          <cell r="J218">
            <v>4982987.0967741851</v>
          </cell>
          <cell r="K218">
            <v>2933867.7419354785</v>
          </cell>
        </row>
        <row r="219">
          <cell r="A219">
            <v>46240</v>
          </cell>
          <cell r="B219">
            <v>22177.419354838708</v>
          </cell>
          <cell r="C219" t="str">
            <v>TJP</v>
          </cell>
          <cell r="D219">
            <v>4.4000000000000004</v>
          </cell>
          <cell r="E219">
            <v>4400</v>
          </cell>
          <cell r="F219">
            <v>15193.548387096775</v>
          </cell>
          <cell r="G219" t="str">
            <v>MPA</v>
          </cell>
          <cell r="H219">
            <v>4</v>
          </cell>
          <cell r="I219">
            <v>4000</v>
          </cell>
          <cell r="J219">
            <v>5005164.5161290234</v>
          </cell>
          <cell r="K219">
            <v>2949061.2903225753</v>
          </cell>
        </row>
        <row r="220">
          <cell r="A220">
            <v>46241</v>
          </cell>
          <cell r="B220">
            <v>22177.419354838708</v>
          </cell>
          <cell r="C220" t="str">
            <v>TJP</v>
          </cell>
          <cell r="D220">
            <v>4.4000000000000004</v>
          </cell>
          <cell r="E220">
            <v>4400</v>
          </cell>
          <cell r="F220">
            <v>15193.548387096775</v>
          </cell>
          <cell r="G220" t="str">
            <v>MPA</v>
          </cell>
          <cell r="H220">
            <v>4</v>
          </cell>
          <cell r="I220">
            <v>4000</v>
          </cell>
          <cell r="J220">
            <v>5027341.9354838617</v>
          </cell>
          <cell r="K220">
            <v>2964254.838709672</v>
          </cell>
        </row>
        <row r="221">
          <cell r="A221">
            <v>46242</v>
          </cell>
          <cell r="B221">
            <v>22177.419354838708</v>
          </cell>
          <cell r="C221" t="str">
            <v>TJP</v>
          </cell>
          <cell r="D221">
            <v>4.4000000000000004</v>
          </cell>
          <cell r="E221">
            <v>4400</v>
          </cell>
          <cell r="F221">
            <v>15193.548387096775</v>
          </cell>
          <cell r="G221" t="str">
            <v>MPA</v>
          </cell>
          <cell r="H221">
            <v>4</v>
          </cell>
          <cell r="I221">
            <v>4000</v>
          </cell>
          <cell r="J221">
            <v>5049519.3548387</v>
          </cell>
          <cell r="K221">
            <v>2979448.3870967687</v>
          </cell>
        </row>
        <row r="222">
          <cell r="A222">
            <v>46243</v>
          </cell>
          <cell r="B222">
            <v>22177.419354838708</v>
          </cell>
          <cell r="C222" t="str">
            <v>TJP</v>
          </cell>
          <cell r="D222">
            <v>4.4000000000000004</v>
          </cell>
          <cell r="E222">
            <v>4400</v>
          </cell>
          <cell r="F222">
            <v>15193.548387096775</v>
          </cell>
          <cell r="G222" t="str">
            <v>MPA</v>
          </cell>
          <cell r="H222">
            <v>4</v>
          </cell>
          <cell r="I222">
            <v>4000</v>
          </cell>
          <cell r="J222">
            <v>5071696.7741935384</v>
          </cell>
          <cell r="K222">
            <v>2994641.9354838654</v>
          </cell>
        </row>
        <row r="223">
          <cell r="A223">
            <v>46244</v>
          </cell>
          <cell r="B223">
            <v>22177.419354838708</v>
          </cell>
          <cell r="C223" t="str">
            <v>TJP</v>
          </cell>
          <cell r="D223">
            <v>4.4000000000000004</v>
          </cell>
          <cell r="E223">
            <v>4400</v>
          </cell>
          <cell r="F223">
            <v>15193.548387096775</v>
          </cell>
          <cell r="G223" t="str">
            <v>MPA</v>
          </cell>
          <cell r="H223">
            <v>4</v>
          </cell>
          <cell r="I223">
            <v>4000</v>
          </cell>
          <cell r="J223">
            <v>5093874.1935483767</v>
          </cell>
          <cell r="K223">
            <v>3009835.4838709622</v>
          </cell>
        </row>
        <row r="224">
          <cell r="A224">
            <v>46245</v>
          </cell>
          <cell r="B224">
            <v>22177.419354838708</v>
          </cell>
          <cell r="C224" t="str">
            <v>TJP</v>
          </cell>
          <cell r="D224">
            <v>4.4000000000000004</v>
          </cell>
          <cell r="E224">
            <v>4400</v>
          </cell>
          <cell r="F224">
            <v>15193.548387096775</v>
          </cell>
          <cell r="G224" t="str">
            <v>MPA</v>
          </cell>
          <cell r="H224">
            <v>4</v>
          </cell>
          <cell r="I224">
            <v>4000</v>
          </cell>
          <cell r="J224">
            <v>5116051.612903215</v>
          </cell>
          <cell r="K224">
            <v>3025029.0322580589</v>
          </cell>
        </row>
        <row r="225">
          <cell r="A225">
            <v>46246</v>
          </cell>
          <cell r="B225">
            <v>22177.419354838708</v>
          </cell>
          <cell r="C225" t="str">
            <v>TJP</v>
          </cell>
          <cell r="D225">
            <v>4.4000000000000004</v>
          </cell>
          <cell r="E225">
            <v>4400</v>
          </cell>
          <cell r="F225">
            <v>15193.548387096775</v>
          </cell>
          <cell r="G225" t="str">
            <v>MPA</v>
          </cell>
          <cell r="H225">
            <v>4</v>
          </cell>
          <cell r="I225">
            <v>4000</v>
          </cell>
          <cell r="J225">
            <v>5138229.0322580533</v>
          </cell>
          <cell r="K225">
            <v>3040222.5806451556</v>
          </cell>
        </row>
        <row r="226">
          <cell r="A226">
            <v>46247</v>
          </cell>
          <cell r="B226">
            <v>22177.419354838708</v>
          </cell>
          <cell r="C226" t="str">
            <v>TJP</v>
          </cell>
          <cell r="D226">
            <v>4.4000000000000004</v>
          </cell>
          <cell r="E226">
            <v>4400</v>
          </cell>
          <cell r="F226">
            <v>15193.548387096775</v>
          </cell>
          <cell r="G226" t="str">
            <v>MPA</v>
          </cell>
          <cell r="H226">
            <v>4</v>
          </cell>
          <cell r="I226">
            <v>4000</v>
          </cell>
          <cell r="J226">
            <v>5160406.4516128916</v>
          </cell>
          <cell r="K226">
            <v>3055416.1290322524</v>
          </cell>
        </row>
        <row r="227">
          <cell r="A227">
            <v>46248</v>
          </cell>
          <cell r="B227">
            <v>22177.419354838708</v>
          </cell>
          <cell r="C227" t="str">
            <v>TJP</v>
          </cell>
          <cell r="D227">
            <v>4.4000000000000004</v>
          </cell>
          <cell r="E227">
            <v>4400</v>
          </cell>
          <cell r="F227">
            <v>15193.548387096775</v>
          </cell>
          <cell r="G227" t="str">
            <v>MPA</v>
          </cell>
          <cell r="H227">
            <v>4</v>
          </cell>
          <cell r="I227">
            <v>4000</v>
          </cell>
          <cell r="J227">
            <v>5182583.8709677299</v>
          </cell>
          <cell r="K227">
            <v>3070609.6774193491</v>
          </cell>
        </row>
        <row r="228">
          <cell r="A228">
            <v>46249</v>
          </cell>
          <cell r="B228">
            <v>22177.419354838708</v>
          </cell>
          <cell r="C228" t="str">
            <v>TJP</v>
          </cell>
          <cell r="D228">
            <v>4.4000000000000004</v>
          </cell>
          <cell r="E228">
            <v>4400</v>
          </cell>
          <cell r="F228">
            <v>15193.548387096775</v>
          </cell>
          <cell r="G228" t="str">
            <v>MPA</v>
          </cell>
          <cell r="H228">
            <v>4</v>
          </cell>
          <cell r="I228">
            <v>4000</v>
          </cell>
          <cell r="J228">
            <v>5204761.2903225683</v>
          </cell>
          <cell r="K228">
            <v>3085803.2258064458</v>
          </cell>
        </row>
        <row r="229">
          <cell r="A229">
            <v>46250</v>
          </cell>
          <cell r="B229">
            <v>22177.419354838708</v>
          </cell>
          <cell r="C229" t="str">
            <v>TJP</v>
          </cell>
          <cell r="D229">
            <v>4.4000000000000004</v>
          </cell>
          <cell r="E229">
            <v>4400</v>
          </cell>
          <cell r="F229">
            <v>15193.548387096775</v>
          </cell>
          <cell r="G229" t="str">
            <v>MPA</v>
          </cell>
          <cell r="H229">
            <v>4</v>
          </cell>
          <cell r="I229">
            <v>4000</v>
          </cell>
          <cell r="J229">
            <v>5226938.7096774066</v>
          </cell>
          <cell r="K229">
            <v>3100996.7741935425</v>
          </cell>
        </row>
        <row r="230">
          <cell r="A230">
            <v>46251</v>
          </cell>
          <cell r="B230">
            <v>22177.419354838708</v>
          </cell>
          <cell r="C230" t="str">
            <v>TJP</v>
          </cell>
          <cell r="D230">
            <v>4.4000000000000004</v>
          </cell>
          <cell r="E230">
            <v>4400</v>
          </cell>
          <cell r="F230">
            <v>15193.548387096775</v>
          </cell>
          <cell r="G230" t="str">
            <v>MPA</v>
          </cell>
          <cell r="H230">
            <v>4</v>
          </cell>
          <cell r="I230">
            <v>4000</v>
          </cell>
          <cell r="J230">
            <v>5249116.1290322449</v>
          </cell>
          <cell r="K230">
            <v>3116190.3225806393</v>
          </cell>
        </row>
        <row r="231">
          <cell r="A231">
            <v>46252</v>
          </cell>
          <cell r="B231">
            <v>22177.419354838708</v>
          </cell>
          <cell r="C231" t="str">
            <v>TJP</v>
          </cell>
          <cell r="D231">
            <v>4.4000000000000004</v>
          </cell>
          <cell r="E231">
            <v>4400</v>
          </cell>
          <cell r="F231">
            <v>15193.548387096775</v>
          </cell>
          <cell r="G231" t="str">
            <v>MPA</v>
          </cell>
          <cell r="H231">
            <v>4</v>
          </cell>
          <cell r="I231">
            <v>4000</v>
          </cell>
          <cell r="J231">
            <v>5271293.5483870832</v>
          </cell>
          <cell r="K231">
            <v>3131383.870967736</v>
          </cell>
        </row>
        <row r="232">
          <cell r="A232">
            <v>46253</v>
          </cell>
          <cell r="B232">
            <v>22177.419354838708</v>
          </cell>
          <cell r="C232" t="str">
            <v>TJP</v>
          </cell>
          <cell r="D232">
            <v>4.4000000000000004</v>
          </cell>
          <cell r="E232">
            <v>4400</v>
          </cell>
          <cell r="F232">
            <v>15193.548387096775</v>
          </cell>
          <cell r="G232" t="str">
            <v>MPA</v>
          </cell>
          <cell r="H232">
            <v>4</v>
          </cell>
          <cell r="I232">
            <v>4000</v>
          </cell>
          <cell r="J232">
            <v>5293470.9677419215</v>
          </cell>
          <cell r="K232">
            <v>3146577.4193548327</v>
          </cell>
        </row>
        <row r="233">
          <cell r="A233">
            <v>46254</v>
          </cell>
          <cell r="B233">
            <v>22177.419354838708</v>
          </cell>
          <cell r="C233" t="str">
            <v>TJP</v>
          </cell>
          <cell r="D233">
            <v>4.4000000000000004</v>
          </cell>
          <cell r="E233">
            <v>4400</v>
          </cell>
          <cell r="F233">
            <v>15193.548387096775</v>
          </cell>
          <cell r="G233" t="str">
            <v>MPA</v>
          </cell>
          <cell r="H233">
            <v>4</v>
          </cell>
          <cell r="I233">
            <v>4000</v>
          </cell>
          <cell r="J233">
            <v>5315648.3870967599</v>
          </cell>
          <cell r="K233">
            <v>3161770.9677419295</v>
          </cell>
        </row>
        <row r="234">
          <cell r="A234">
            <v>46255</v>
          </cell>
          <cell r="B234">
            <v>22177.419354838708</v>
          </cell>
          <cell r="C234" t="str">
            <v>TJP</v>
          </cell>
          <cell r="D234">
            <v>4.4000000000000004</v>
          </cell>
          <cell r="E234">
            <v>4400</v>
          </cell>
          <cell r="F234">
            <v>15193.548387096775</v>
          </cell>
          <cell r="G234" t="str">
            <v>MPA</v>
          </cell>
          <cell r="H234">
            <v>4</v>
          </cell>
          <cell r="I234">
            <v>4000</v>
          </cell>
          <cell r="J234">
            <v>5337825.8064515982</v>
          </cell>
          <cell r="K234">
            <v>3176964.5161290262</v>
          </cell>
        </row>
        <row r="235">
          <cell r="A235">
            <v>46256</v>
          </cell>
          <cell r="B235">
            <v>22177.419354838708</v>
          </cell>
          <cell r="C235" t="str">
            <v>TJP</v>
          </cell>
          <cell r="D235">
            <v>4.4000000000000004</v>
          </cell>
          <cell r="E235">
            <v>4400</v>
          </cell>
          <cell r="F235">
            <v>15193.548387096775</v>
          </cell>
          <cell r="G235" t="str">
            <v>MPA</v>
          </cell>
          <cell r="H235">
            <v>4</v>
          </cell>
          <cell r="I235">
            <v>4000</v>
          </cell>
          <cell r="J235">
            <v>5360003.2258064365</v>
          </cell>
          <cell r="K235">
            <v>3192158.0645161229</v>
          </cell>
        </row>
        <row r="236">
          <cell r="A236">
            <v>46257</v>
          </cell>
          <cell r="B236">
            <v>22177.419354838708</v>
          </cell>
          <cell r="C236" t="str">
            <v>TJP</v>
          </cell>
          <cell r="D236">
            <v>4.4000000000000004</v>
          </cell>
          <cell r="E236">
            <v>4400</v>
          </cell>
          <cell r="F236">
            <v>15193.548387096775</v>
          </cell>
          <cell r="G236" t="str">
            <v>MPA</v>
          </cell>
          <cell r="H236">
            <v>4</v>
          </cell>
          <cell r="I236">
            <v>4000</v>
          </cell>
          <cell r="J236">
            <v>5382180.6451612748</v>
          </cell>
          <cell r="K236">
            <v>3207351.6129032196</v>
          </cell>
        </row>
        <row r="237">
          <cell r="A237">
            <v>46258</v>
          </cell>
          <cell r="B237">
            <v>22177.419354838708</v>
          </cell>
          <cell r="C237" t="str">
            <v>TJP</v>
          </cell>
          <cell r="D237">
            <v>4.4000000000000004</v>
          </cell>
          <cell r="E237">
            <v>4400</v>
          </cell>
          <cell r="F237">
            <v>15193.548387096775</v>
          </cell>
          <cell r="G237" t="str">
            <v>MPA</v>
          </cell>
          <cell r="H237">
            <v>4</v>
          </cell>
          <cell r="I237">
            <v>4000</v>
          </cell>
          <cell r="J237">
            <v>5404358.0645161131</v>
          </cell>
          <cell r="K237">
            <v>3222545.1612903164</v>
          </cell>
        </row>
        <row r="238">
          <cell r="A238">
            <v>46259</v>
          </cell>
          <cell r="B238">
            <v>22177.419354838708</v>
          </cell>
          <cell r="C238" t="str">
            <v>TJP</v>
          </cell>
          <cell r="D238">
            <v>4.4000000000000004</v>
          </cell>
          <cell r="E238">
            <v>4400</v>
          </cell>
          <cell r="F238">
            <v>15193.548387096775</v>
          </cell>
          <cell r="G238" t="str">
            <v>MPA</v>
          </cell>
          <cell r="H238">
            <v>4</v>
          </cell>
          <cell r="I238">
            <v>4000</v>
          </cell>
          <cell r="J238">
            <v>5426535.4838709515</v>
          </cell>
          <cell r="K238">
            <v>3237738.7096774131</v>
          </cell>
        </row>
        <row r="239">
          <cell r="A239">
            <v>46260</v>
          </cell>
          <cell r="B239">
            <v>22177.419354838708</v>
          </cell>
          <cell r="C239" t="str">
            <v>TJP</v>
          </cell>
          <cell r="D239">
            <v>4.4000000000000004</v>
          </cell>
          <cell r="E239">
            <v>4400</v>
          </cell>
          <cell r="F239">
            <v>15193.548387096775</v>
          </cell>
          <cell r="G239" t="str">
            <v>MPA</v>
          </cell>
          <cell r="H239">
            <v>4</v>
          </cell>
          <cell r="I239">
            <v>4000</v>
          </cell>
          <cell r="J239">
            <v>5448712.9032257898</v>
          </cell>
          <cell r="K239">
            <v>3252932.2580645098</v>
          </cell>
        </row>
        <row r="240">
          <cell r="A240">
            <v>46261</v>
          </cell>
          <cell r="B240">
            <v>22177.419354838708</v>
          </cell>
          <cell r="C240" t="str">
            <v>TJP</v>
          </cell>
          <cell r="D240">
            <v>4.4000000000000004</v>
          </cell>
          <cell r="E240">
            <v>4400</v>
          </cell>
          <cell r="F240">
            <v>15193.548387096775</v>
          </cell>
          <cell r="G240" t="str">
            <v>MPA</v>
          </cell>
          <cell r="H240">
            <v>4</v>
          </cell>
          <cell r="I240">
            <v>4000</v>
          </cell>
          <cell r="J240">
            <v>5470890.3225806281</v>
          </cell>
          <cell r="K240">
            <v>3268125.8064516066</v>
          </cell>
        </row>
        <row r="241">
          <cell r="A241">
            <v>46262</v>
          </cell>
          <cell r="B241">
            <v>22177.419354838708</v>
          </cell>
          <cell r="C241" t="str">
            <v>TJP</v>
          </cell>
          <cell r="D241">
            <v>4.4000000000000004</v>
          </cell>
          <cell r="E241">
            <v>4400</v>
          </cell>
          <cell r="F241">
            <v>15193.548387096775</v>
          </cell>
          <cell r="G241" t="str">
            <v>MPA</v>
          </cell>
          <cell r="H241">
            <v>4</v>
          </cell>
          <cell r="I241">
            <v>4000</v>
          </cell>
          <cell r="J241">
            <v>5493067.7419354664</v>
          </cell>
          <cell r="K241">
            <v>3283319.3548387033</v>
          </cell>
        </row>
        <row r="242">
          <cell r="A242">
            <v>46263</v>
          </cell>
          <cell r="B242">
            <v>22177.419354838708</v>
          </cell>
          <cell r="C242" t="str">
            <v>TJP</v>
          </cell>
          <cell r="D242">
            <v>4.4000000000000004</v>
          </cell>
          <cell r="E242">
            <v>4400</v>
          </cell>
          <cell r="F242">
            <v>15193.548387096775</v>
          </cell>
          <cell r="G242" t="str">
            <v>MPA</v>
          </cell>
          <cell r="H242">
            <v>4</v>
          </cell>
          <cell r="I242">
            <v>4000</v>
          </cell>
          <cell r="J242">
            <v>5515245.1612903047</v>
          </cell>
          <cell r="K242">
            <v>3298512.9032258</v>
          </cell>
        </row>
        <row r="243">
          <cell r="A243">
            <v>46264</v>
          </cell>
          <cell r="B243">
            <v>22177.419354838708</v>
          </cell>
          <cell r="C243" t="str">
            <v>TJP</v>
          </cell>
          <cell r="D243">
            <v>4.4000000000000004</v>
          </cell>
          <cell r="E243">
            <v>4400</v>
          </cell>
          <cell r="F243">
            <v>15193.548387096775</v>
          </cell>
          <cell r="G243" t="str">
            <v>MPA</v>
          </cell>
          <cell r="H243">
            <v>4</v>
          </cell>
          <cell r="I243">
            <v>4000</v>
          </cell>
          <cell r="J243">
            <v>5537422.5806451431</v>
          </cell>
          <cell r="K243">
            <v>3313706.4516128968</v>
          </cell>
        </row>
        <row r="244">
          <cell r="A244">
            <v>46265</v>
          </cell>
          <cell r="B244">
            <v>22177.419354838708</v>
          </cell>
          <cell r="C244" t="str">
            <v>TJP</v>
          </cell>
          <cell r="D244">
            <v>4.4000000000000004</v>
          </cell>
          <cell r="E244">
            <v>4400</v>
          </cell>
          <cell r="F244">
            <v>15193.548387096775</v>
          </cell>
          <cell r="G244" t="str">
            <v>MPA</v>
          </cell>
          <cell r="H244">
            <v>4</v>
          </cell>
          <cell r="I244">
            <v>4000</v>
          </cell>
          <cell r="J244">
            <v>5559599.9999999814</v>
          </cell>
          <cell r="K244">
            <v>3328899.9999999935</v>
          </cell>
        </row>
        <row r="245">
          <cell r="A245">
            <v>46266</v>
          </cell>
          <cell r="B245">
            <v>22313.333333333332</v>
          </cell>
          <cell r="C245" t="str">
            <v>TJP</v>
          </cell>
          <cell r="D245">
            <v>4.5</v>
          </cell>
          <cell r="E245">
            <v>4500</v>
          </cell>
          <cell r="F245">
            <v>15283.333333333334</v>
          </cell>
          <cell r="G245" t="str">
            <v>MPA</v>
          </cell>
          <cell r="H245">
            <v>4</v>
          </cell>
          <cell r="I245">
            <v>4000</v>
          </cell>
          <cell r="J245">
            <v>5581913.3333333144</v>
          </cell>
          <cell r="K245">
            <v>3344183.333333327</v>
          </cell>
        </row>
        <row r="246">
          <cell r="A246">
            <v>46267</v>
          </cell>
          <cell r="B246">
            <v>22313.333333333332</v>
          </cell>
          <cell r="C246" t="str">
            <v>TJP</v>
          </cell>
          <cell r="D246">
            <v>4.5</v>
          </cell>
          <cell r="E246">
            <v>4500</v>
          </cell>
          <cell r="F246">
            <v>15283.333333333334</v>
          </cell>
          <cell r="G246" t="str">
            <v>MPA</v>
          </cell>
          <cell r="H246">
            <v>4</v>
          </cell>
          <cell r="I246">
            <v>4000</v>
          </cell>
          <cell r="J246">
            <v>5604226.6666666474</v>
          </cell>
          <cell r="K246">
            <v>3359466.6666666605</v>
          </cell>
        </row>
        <row r="247">
          <cell r="A247">
            <v>46268</v>
          </cell>
          <cell r="B247">
            <v>22313.333333333332</v>
          </cell>
          <cell r="C247" t="str">
            <v>TJP</v>
          </cell>
          <cell r="D247">
            <v>4.5</v>
          </cell>
          <cell r="E247">
            <v>4500</v>
          </cell>
          <cell r="F247">
            <v>15283.333333333334</v>
          </cell>
          <cell r="G247" t="str">
            <v>MPA</v>
          </cell>
          <cell r="H247">
            <v>4</v>
          </cell>
          <cell r="I247">
            <v>4000</v>
          </cell>
          <cell r="J247">
            <v>5626539.9999999804</v>
          </cell>
          <cell r="K247">
            <v>3374749.9999999939</v>
          </cell>
        </row>
        <row r="248">
          <cell r="A248">
            <v>46269</v>
          </cell>
          <cell r="B248">
            <v>22313.333333333332</v>
          </cell>
          <cell r="C248" t="str">
            <v>TJP</v>
          </cell>
          <cell r="D248">
            <v>4.5</v>
          </cell>
          <cell r="E248">
            <v>4500</v>
          </cell>
          <cell r="F248">
            <v>15283.333333333334</v>
          </cell>
          <cell r="G248" t="str">
            <v>MPA</v>
          </cell>
          <cell r="H248">
            <v>4</v>
          </cell>
          <cell r="I248">
            <v>4000</v>
          </cell>
          <cell r="J248">
            <v>5648853.3333333135</v>
          </cell>
          <cell r="K248">
            <v>3390033.3333333274</v>
          </cell>
        </row>
        <row r="249">
          <cell r="A249">
            <v>46270</v>
          </cell>
          <cell r="B249">
            <v>22313.333333333332</v>
          </cell>
          <cell r="C249" t="str">
            <v>TJP</v>
          </cell>
          <cell r="D249">
            <v>4.5</v>
          </cell>
          <cell r="E249">
            <v>4500</v>
          </cell>
          <cell r="F249">
            <v>15283.333333333334</v>
          </cell>
          <cell r="G249" t="str">
            <v>MPA</v>
          </cell>
          <cell r="H249">
            <v>4</v>
          </cell>
          <cell r="I249">
            <v>4000</v>
          </cell>
          <cell r="J249">
            <v>5671166.6666666465</v>
          </cell>
          <cell r="K249">
            <v>3405316.6666666609</v>
          </cell>
        </row>
        <row r="250">
          <cell r="A250">
            <v>46271</v>
          </cell>
          <cell r="B250">
            <v>22313.333333333332</v>
          </cell>
          <cell r="C250" t="str">
            <v>TJP</v>
          </cell>
          <cell r="D250">
            <v>4.5</v>
          </cell>
          <cell r="E250">
            <v>4500</v>
          </cell>
          <cell r="F250">
            <v>15283.333333333334</v>
          </cell>
          <cell r="G250" t="str">
            <v>MPA</v>
          </cell>
          <cell r="H250">
            <v>4</v>
          </cell>
          <cell r="I250">
            <v>4000</v>
          </cell>
          <cell r="J250">
            <v>5693479.9999999795</v>
          </cell>
          <cell r="K250">
            <v>3420599.9999999944</v>
          </cell>
        </row>
        <row r="251">
          <cell r="A251">
            <v>46272</v>
          </cell>
          <cell r="B251">
            <v>22313.333333333332</v>
          </cell>
          <cell r="C251" t="str">
            <v>TJP</v>
          </cell>
          <cell r="D251">
            <v>4.5</v>
          </cell>
          <cell r="E251">
            <v>4500</v>
          </cell>
          <cell r="F251">
            <v>15283.333333333334</v>
          </cell>
          <cell r="G251" t="str">
            <v>MPA</v>
          </cell>
          <cell r="H251">
            <v>4</v>
          </cell>
          <cell r="I251">
            <v>4000</v>
          </cell>
          <cell r="J251">
            <v>5715793.3333333125</v>
          </cell>
          <cell r="K251">
            <v>3435883.3333333279</v>
          </cell>
        </row>
        <row r="252">
          <cell r="A252">
            <v>46273</v>
          </cell>
          <cell r="B252">
            <v>22313.333333333332</v>
          </cell>
          <cell r="C252" t="str">
            <v>TJP</v>
          </cell>
          <cell r="D252">
            <v>4.5</v>
          </cell>
          <cell r="E252">
            <v>4500</v>
          </cell>
          <cell r="F252">
            <v>15283.333333333334</v>
          </cell>
          <cell r="G252" t="str">
            <v>MPA</v>
          </cell>
          <cell r="H252">
            <v>4</v>
          </cell>
          <cell r="I252">
            <v>4000</v>
          </cell>
          <cell r="J252">
            <v>5738106.6666666456</v>
          </cell>
          <cell r="K252">
            <v>3451166.6666666614</v>
          </cell>
        </row>
        <row r="253">
          <cell r="A253">
            <v>46274</v>
          </cell>
          <cell r="B253">
            <v>22313.333333333332</v>
          </cell>
          <cell r="C253" t="str">
            <v>TJP</v>
          </cell>
          <cell r="D253">
            <v>4.5</v>
          </cell>
          <cell r="E253">
            <v>4500</v>
          </cell>
          <cell r="F253">
            <v>15283.333333333334</v>
          </cell>
          <cell r="G253" t="str">
            <v>MPA</v>
          </cell>
          <cell r="H253">
            <v>4</v>
          </cell>
          <cell r="I253">
            <v>4000</v>
          </cell>
          <cell r="J253">
            <v>5760419.9999999786</v>
          </cell>
          <cell r="K253">
            <v>3466449.9999999949</v>
          </cell>
        </row>
        <row r="254">
          <cell r="A254">
            <v>46275</v>
          </cell>
          <cell r="B254">
            <v>22313.333333333332</v>
          </cell>
          <cell r="C254" t="str">
            <v>TJP</v>
          </cell>
          <cell r="D254">
            <v>4.5</v>
          </cell>
          <cell r="E254">
            <v>4500</v>
          </cell>
          <cell r="F254">
            <v>15283.333333333334</v>
          </cell>
          <cell r="G254" t="str">
            <v>MPA</v>
          </cell>
          <cell r="H254">
            <v>4</v>
          </cell>
          <cell r="I254">
            <v>4000</v>
          </cell>
          <cell r="J254">
            <v>5782733.3333333116</v>
          </cell>
          <cell r="K254">
            <v>3481733.3333333284</v>
          </cell>
        </row>
        <row r="255">
          <cell r="A255">
            <v>46276</v>
          </cell>
          <cell r="B255">
            <v>22313.333333333332</v>
          </cell>
          <cell r="C255" t="str">
            <v>TJP</v>
          </cell>
          <cell r="D255">
            <v>4.5</v>
          </cell>
          <cell r="E255">
            <v>4500</v>
          </cell>
          <cell r="F255">
            <v>15283.333333333334</v>
          </cell>
          <cell r="G255" t="str">
            <v>MPA</v>
          </cell>
          <cell r="H255">
            <v>4</v>
          </cell>
          <cell r="I255">
            <v>4000</v>
          </cell>
          <cell r="J255">
            <v>5805046.6666666446</v>
          </cell>
          <cell r="K255">
            <v>3497016.6666666619</v>
          </cell>
        </row>
        <row r="256">
          <cell r="A256">
            <v>46277</v>
          </cell>
          <cell r="B256">
            <v>22313.333333333332</v>
          </cell>
          <cell r="C256" t="str">
            <v>TJP</v>
          </cell>
          <cell r="D256">
            <v>4.5</v>
          </cell>
          <cell r="E256">
            <v>4500</v>
          </cell>
          <cell r="F256">
            <v>15283.333333333334</v>
          </cell>
          <cell r="G256" t="str">
            <v>MPA</v>
          </cell>
          <cell r="H256">
            <v>4</v>
          </cell>
          <cell r="I256">
            <v>4000</v>
          </cell>
          <cell r="J256">
            <v>5827359.9999999776</v>
          </cell>
          <cell r="K256">
            <v>3512299.9999999953</v>
          </cell>
        </row>
        <row r="257">
          <cell r="A257">
            <v>46278</v>
          </cell>
          <cell r="B257">
            <v>22313.333333333332</v>
          </cell>
          <cell r="C257" t="str">
            <v>TJP</v>
          </cell>
          <cell r="D257">
            <v>4.5</v>
          </cell>
          <cell r="E257">
            <v>4500</v>
          </cell>
          <cell r="F257">
            <v>15283.333333333334</v>
          </cell>
          <cell r="G257" t="str">
            <v>MPA</v>
          </cell>
          <cell r="H257">
            <v>4</v>
          </cell>
          <cell r="I257">
            <v>4000</v>
          </cell>
          <cell r="J257">
            <v>5849673.3333333107</v>
          </cell>
          <cell r="K257">
            <v>3527583.3333333288</v>
          </cell>
        </row>
        <row r="258">
          <cell r="A258">
            <v>46279</v>
          </cell>
          <cell r="B258">
            <v>22313.333333333332</v>
          </cell>
          <cell r="C258" t="str">
            <v>TJP</v>
          </cell>
          <cell r="D258">
            <v>4.5</v>
          </cell>
          <cell r="E258">
            <v>4500</v>
          </cell>
          <cell r="F258">
            <v>15283.333333333334</v>
          </cell>
          <cell r="G258" t="str">
            <v>MPA</v>
          </cell>
          <cell r="H258">
            <v>4</v>
          </cell>
          <cell r="I258">
            <v>4000</v>
          </cell>
          <cell r="J258">
            <v>5871986.6666666437</v>
          </cell>
          <cell r="K258">
            <v>3542866.6666666623</v>
          </cell>
        </row>
        <row r="259">
          <cell r="A259">
            <v>46280</v>
          </cell>
          <cell r="B259">
            <v>22313.333333333332</v>
          </cell>
          <cell r="C259" t="str">
            <v>TJP</v>
          </cell>
          <cell r="D259">
            <v>4.5</v>
          </cell>
          <cell r="E259">
            <v>4500</v>
          </cell>
          <cell r="F259">
            <v>15283.333333333334</v>
          </cell>
          <cell r="G259" t="str">
            <v>MPA</v>
          </cell>
          <cell r="H259">
            <v>4</v>
          </cell>
          <cell r="I259">
            <v>4000</v>
          </cell>
          <cell r="J259">
            <v>5894299.9999999767</v>
          </cell>
          <cell r="K259">
            <v>3558149.9999999958</v>
          </cell>
        </row>
        <row r="260">
          <cell r="A260">
            <v>46281</v>
          </cell>
          <cell r="B260">
            <v>22313.333333333332</v>
          </cell>
          <cell r="C260" t="str">
            <v>TJP</v>
          </cell>
          <cell r="D260">
            <v>4.5</v>
          </cell>
          <cell r="E260">
            <v>4500</v>
          </cell>
          <cell r="F260">
            <v>15283.333333333334</v>
          </cell>
          <cell r="G260" t="str">
            <v>MPA</v>
          </cell>
          <cell r="H260">
            <v>4</v>
          </cell>
          <cell r="I260">
            <v>4000</v>
          </cell>
          <cell r="J260">
            <v>5916613.3333333097</v>
          </cell>
          <cell r="K260">
            <v>3573433.3333333293</v>
          </cell>
        </row>
        <row r="261">
          <cell r="A261">
            <v>46282</v>
          </cell>
          <cell r="B261">
            <v>22313.333333333332</v>
          </cell>
          <cell r="C261" t="str">
            <v>TJP</v>
          </cell>
          <cell r="D261">
            <v>4.5</v>
          </cell>
          <cell r="E261">
            <v>4500</v>
          </cell>
          <cell r="F261">
            <v>15283.333333333334</v>
          </cell>
          <cell r="G261" t="str">
            <v>MPA</v>
          </cell>
          <cell r="H261">
            <v>4</v>
          </cell>
          <cell r="I261">
            <v>4000</v>
          </cell>
          <cell r="J261">
            <v>5938926.6666666428</v>
          </cell>
          <cell r="K261">
            <v>3588716.6666666628</v>
          </cell>
        </row>
        <row r="262">
          <cell r="A262">
            <v>46283</v>
          </cell>
          <cell r="B262">
            <v>22313.333333333332</v>
          </cell>
          <cell r="C262" t="str">
            <v>TJP</v>
          </cell>
          <cell r="D262">
            <v>4.5</v>
          </cell>
          <cell r="E262">
            <v>4500</v>
          </cell>
          <cell r="F262">
            <v>15283.333333333334</v>
          </cell>
          <cell r="G262" t="str">
            <v>MPA</v>
          </cell>
          <cell r="H262">
            <v>4</v>
          </cell>
          <cell r="I262">
            <v>4000</v>
          </cell>
          <cell r="J262">
            <v>5961239.9999999758</v>
          </cell>
          <cell r="K262">
            <v>3603999.9999999963</v>
          </cell>
        </row>
        <row r="263">
          <cell r="A263">
            <v>46284</v>
          </cell>
          <cell r="B263">
            <v>22313.333333333332</v>
          </cell>
          <cell r="C263" t="str">
            <v>TJP</v>
          </cell>
          <cell r="D263">
            <v>4.5</v>
          </cell>
          <cell r="E263">
            <v>4500</v>
          </cell>
          <cell r="F263">
            <v>15283.333333333334</v>
          </cell>
          <cell r="G263" t="str">
            <v>MPA</v>
          </cell>
          <cell r="H263">
            <v>4</v>
          </cell>
          <cell r="I263">
            <v>4000</v>
          </cell>
          <cell r="J263">
            <v>5983553.3333333088</v>
          </cell>
          <cell r="K263">
            <v>3619283.3333333298</v>
          </cell>
        </row>
        <row r="264">
          <cell r="A264">
            <v>46285</v>
          </cell>
          <cell r="B264">
            <v>22313.333333333332</v>
          </cell>
          <cell r="C264" t="str">
            <v>TJP</v>
          </cell>
          <cell r="D264">
            <v>4.5</v>
          </cell>
          <cell r="E264">
            <v>4500</v>
          </cell>
          <cell r="F264">
            <v>15283.333333333334</v>
          </cell>
          <cell r="G264" t="str">
            <v>MPA</v>
          </cell>
          <cell r="H264">
            <v>4</v>
          </cell>
          <cell r="I264">
            <v>4000</v>
          </cell>
          <cell r="J264">
            <v>6005866.6666666418</v>
          </cell>
          <cell r="K264">
            <v>3634566.6666666633</v>
          </cell>
        </row>
        <row r="265">
          <cell r="A265">
            <v>46286</v>
          </cell>
          <cell r="B265">
            <v>22313.333333333332</v>
          </cell>
          <cell r="C265" t="str">
            <v>TJP</v>
          </cell>
          <cell r="D265">
            <v>4.5</v>
          </cell>
          <cell r="E265">
            <v>4500</v>
          </cell>
          <cell r="F265">
            <v>15283.333333333334</v>
          </cell>
          <cell r="G265" t="str">
            <v>MPA</v>
          </cell>
          <cell r="H265">
            <v>4</v>
          </cell>
          <cell r="I265">
            <v>4000</v>
          </cell>
          <cell r="J265">
            <v>6028179.9999999749</v>
          </cell>
          <cell r="K265">
            <v>3649849.9999999967</v>
          </cell>
        </row>
        <row r="266">
          <cell r="A266">
            <v>46287</v>
          </cell>
          <cell r="B266">
            <v>22313.333333333332</v>
          </cell>
          <cell r="C266" t="str">
            <v>TJP</v>
          </cell>
          <cell r="D266">
            <v>4.5</v>
          </cell>
          <cell r="E266">
            <v>4500</v>
          </cell>
          <cell r="F266">
            <v>15283.333333333334</v>
          </cell>
          <cell r="G266" t="str">
            <v>MPA</v>
          </cell>
          <cell r="H266">
            <v>4</v>
          </cell>
          <cell r="I266">
            <v>4000</v>
          </cell>
          <cell r="J266">
            <v>6050493.3333333079</v>
          </cell>
          <cell r="K266">
            <v>3665133.3333333302</v>
          </cell>
        </row>
        <row r="267">
          <cell r="A267">
            <v>46288</v>
          </cell>
          <cell r="B267">
            <v>22313.333333333332</v>
          </cell>
          <cell r="C267" t="str">
            <v>TJP</v>
          </cell>
          <cell r="D267">
            <v>4.5</v>
          </cell>
          <cell r="E267">
            <v>4500</v>
          </cell>
          <cell r="F267">
            <v>15283.333333333334</v>
          </cell>
          <cell r="G267" t="str">
            <v>MPA</v>
          </cell>
          <cell r="H267">
            <v>4</v>
          </cell>
          <cell r="I267">
            <v>4000</v>
          </cell>
          <cell r="J267">
            <v>6072806.6666666409</v>
          </cell>
          <cell r="K267">
            <v>3680416.6666666637</v>
          </cell>
        </row>
        <row r="268">
          <cell r="A268">
            <v>46289</v>
          </cell>
          <cell r="B268">
            <v>22313.333333333332</v>
          </cell>
          <cell r="C268" t="str">
            <v>TJP</v>
          </cell>
          <cell r="D268">
            <v>4.5</v>
          </cell>
          <cell r="E268">
            <v>4500</v>
          </cell>
          <cell r="F268">
            <v>15283.333333333334</v>
          </cell>
          <cell r="G268" t="str">
            <v>MPA</v>
          </cell>
          <cell r="H268">
            <v>4</v>
          </cell>
          <cell r="I268">
            <v>4000</v>
          </cell>
          <cell r="J268">
            <v>6095119.9999999739</v>
          </cell>
          <cell r="K268">
            <v>3695699.9999999972</v>
          </cell>
        </row>
        <row r="269">
          <cell r="A269">
            <v>46290</v>
          </cell>
          <cell r="B269">
            <v>22313.333333333332</v>
          </cell>
          <cell r="C269" t="str">
            <v>TJP</v>
          </cell>
          <cell r="D269">
            <v>4.5</v>
          </cell>
          <cell r="E269">
            <v>4500</v>
          </cell>
          <cell r="F269">
            <v>15283.333333333334</v>
          </cell>
          <cell r="G269" t="str">
            <v>MPA</v>
          </cell>
          <cell r="H269">
            <v>4</v>
          </cell>
          <cell r="I269">
            <v>4000</v>
          </cell>
          <cell r="J269">
            <v>6117433.3333333069</v>
          </cell>
          <cell r="K269">
            <v>3710983.3333333307</v>
          </cell>
        </row>
        <row r="270">
          <cell r="A270">
            <v>46291</v>
          </cell>
          <cell r="B270">
            <v>22313.333333333332</v>
          </cell>
          <cell r="C270" t="str">
            <v>TJP</v>
          </cell>
          <cell r="D270">
            <v>4.5</v>
          </cell>
          <cell r="E270">
            <v>4500</v>
          </cell>
          <cell r="F270">
            <v>15283.333333333334</v>
          </cell>
          <cell r="G270" t="str">
            <v>MPA</v>
          </cell>
          <cell r="H270">
            <v>4</v>
          </cell>
          <cell r="I270">
            <v>4000</v>
          </cell>
          <cell r="J270">
            <v>6139746.66666664</v>
          </cell>
          <cell r="K270">
            <v>3726266.6666666642</v>
          </cell>
        </row>
        <row r="271">
          <cell r="A271">
            <v>46292</v>
          </cell>
          <cell r="B271">
            <v>22313.333333333332</v>
          </cell>
          <cell r="C271" t="str">
            <v>TJP</v>
          </cell>
          <cell r="D271">
            <v>4.5</v>
          </cell>
          <cell r="E271">
            <v>4500</v>
          </cell>
          <cell r="F271">
            <v>15283.333333333334</v>
          </cell>
          <cell r="G271" t="str">
            <v>MPA</v>
          </cell>
          <cell r="H271">
            <v>4</v>
          </cell>
          <cell r="I271">
            <v>4000</v>
          </cell>
          <cell r="J271">
            <v>6162059.999999973</v>
          </cell>
          <cell r="K271">
            <v>3741549.9999999977</v>
          </cell>
        </row>
        <row r="272">
          <cell r="A272">
            <v>46293</v>
          </cell>
          <cell r="B272">
            <v>22313.333333333332</v>
          </cell>
          <cell r="C272" t="str">
            <v>TJP</v>
          </cell>
          <cell r="D272">
            <v>4.5</v>
          </cell>
          <cell r="E272">
            <v>4500</v>
          </cell>
          <cell r="F272">
            <v>15283.333333333334</v>
          </cell>
          <cell r="G272" t="str">
            <v>MPA</v>
          </cell>
          <cell r="H272">
            <v>4</v>
          </cell>
          <cell r="I272">
            <v>4000</v>
          </cell>
          <cell r="J272">
            <v>6184373.333333306</v>
          </cell>
          <cell r="K272">
            <v>3756833.3333333312</v>
          </cell>
        </row>
        <row r="273">
          <cell r="A273">
            <v>46294</v>
          </cell>
          <cell r="B273">
            <v>22313.333333333332</v>
          </cell>
          <cell r="C273" t="str">
            <v>TJP</v>
          </cell>
          <cell r="D273">
            <v>4.5</v>
          </cell>
          <cell r="E273">
            <v>4500</v>
          </cell>
          <cell r="F273">
            <v>15283.333333333334</v>
          </cell>
          <cell r="G273" t="str">
            <v>MPA</v>
          </cell>
          <cell r="H273">
            <v>4</v>
          </cell>
          <cell r="I273">
            <v>4000</v>
          </cell>
          <cell r="J273">
            <v>6206686.666666639</v>
          </cell>
          <cell r="K273">
            <v>3772116.6666666646</v>
          </cell>
        </row>
        <row r="274">
          <cell r="A274">
            <v>46295</v>
          </cell>
          <cell r="B274">
            <v>22313.333333333332</v>
          </cell>
          <cell r="C274" t="str">
            <v>TJP</v>
          </cell>
          <cell r="D274">
            <v>4.5</v>
          </cell>
          <cell r="E274">
            <v>4500</v>
          </cell>
          <cell r="F274">
            <v>15283.333333333334</v>
          </cell>
          <cell r="G274" t="str">
            <v>MPA</v>
          </cell>
          <cell r="H274">
            <v>4</v>
          </cell>
          <cell r="I274">
            <v>4000</v>
          </cell>
          <cell r="J274">
            <v>6228999.9999999721</v>
          </cell>
          <cell r="K274">
            <v>3787399.9999999981</v>
          </cell>
        </row>
        <row r="275">
          <cell r="A275">
            <v>46296</v>
          </cell>
          <cell r="B275">
            <v>19316.129032258064</v>
          </cell>
          <cell r="C275" t="str">
            <v>TJP</v>
          </cell>
          <cell r="D275">
            <v>4.7</v>
          </cell>
          <cell r="E275">
            <v>4700</v>
          </cell>
          <cell r="F275">
            <v>13225.806451612903</v>
          </cell>
          <cell r="G275" t="str">
            <v>MPA</v>
          </cell>
          <cell r="H275">
            <v>4.8</v>
          </cell>
          <cell r="I275">
            <v>4800</v>
          </cell>
          <cell r="J275">
            <v>6248316.12903223</v>
          </cell>
          <cell r="K275">
            <v>3800625.8064516112</v>
          </cell>
        </row>
        <row r="276">
          <cell r="A276">
            <v>46297</v>
          </cell>
          <cell r="B276">
            <v>19316.129032258064</v>
          </cell>
          <cell r="C276" t="str">
            <v>TJP</v>
          </cell>
          <cell r="D276">
            <v>4.7</v>
          </cell>
          <cell r="E276">
            <v>4700</v>
          </cell>
          <cell r="F276">
            <v>13225.806451612903</v>
          </cell>
          <cell r="G276" t="str">
            <v>MPA</v>
          </cell>
          <cell r="H276">
            <v>4.8</v>
          </cell>
          <cell r="I276">
            <v>4800</v>
          </cell>
          <cell r="J276">
            <v>6267632.2580644879</v>
          </cell>
          <cell r="K276">
            <v>3813851.6129032243</v>
          </cell>
        </row>
        <row r="277">
          <cell r="A277">
            <v>46298</v>
          </cell>
          <cell r="B277">
            <v>19316.129032258064</v>
          </cell>
          <cell r="C277" t="str">
            <v>TJP</v>
          </cell>
          <cell r="D277">
            <v>4.7</v>
          </cell>
          <cell r="E277">
            <v>4700</v>
          </cell>
          <cell r="F277">
            <v>13225.806451612903</v>
          </cell>
          <cell r="G277" t="str">
            <v>MPA</v>
          </cell>
          <cell r="H277">
            <v>4.8</v>
          </cell>
          <cell r="I277">
            <v>4800</v>
          </cell>
          <cell r="J277">
            <v>6286948.3870967459</v>
          </cell>
          <cell r="K277">
            <v>3827077.4193548374</v>
          </cell>
        </row>
        <row r="278">
          <cell r="A278">
            <v>46299</v>
          </cell>
          <cell r="B278">
            <v>19316.129032258064</v>
          </cell>
          <cell r="C278" t="str">
            <v>TJP</v>
          </cell>
          <cell r="D278">
            <v>4.7</v>
          </cell>
          <cell r="E278">
            <v>4700</v>
          </cell>
          <cell r="F278">
            <v>13225.806451612903</v>
          </cell>
          <cell r="G278" t="str">
            <v>MPA</v>
          </cell>
          <cell r="H278">
            <v>4.8</v>
          </cell>
          <cell r="I278">
            <v>4800</v>
          </cell>
          <cell r="J278">
            <v>6306264.5161290038</v>
          </cell>
          <cell r="K278">
            <v>3840303.2258064505</v>
          </cell>
        </row>
        <row r="279">
          <cell r="A279">
            <v>46300</v>
          </cell>
          <cell r="B279">
            <v>19316.129032258064</v>
          </cell>
          <cell r="C279" t="str">
            <v>TJP</v>
          </cell>
          <cell r="D279">
            <v>4.7</v>
          </cell>
          <cell r="E279">
            <v>4700</v>
          </cell>
          <cell r="F279">
            <v>13225.806451612903</v>
          </cell>
          <cell r="G279" t="str">
            <v>MPA</v>
          </cell>
          <cell r="H279">
            <v>4.8</v>
          </cell>
          <cell r="I279">
            <v>4800</v>
          </cell>
          <cell r="J279">
            <v>6325580.6451612618</v>
          </cell>
          <cell r="K279">
            <v>3853529.0322580636</v>
          </cell>
        </row>
        <row r="280">
          <cell r="A280">
            <v>46301</v>
          </cell>
          <cell r="B280">
            <v>19316.129032258064</v>
          </cell>
          <cell r="C280" t="str">
            <v>TJP</v>
          </cell>
          <cell r="D280">
            <v>4.7</v>
          </cell>
          <cell r="E280">
            <v>4700</v>
          </cell>
          <cell r="F280">
            <v>13225.806451612903</v>
          </cell>
          <cell r="G280" t="str">
            <v>MPA</v>
          </cell>
          <cell r="H280">
            <v>4.8</v>
          </cell>
          <cell r="I280">
            <v>4800</v>
          </cell>
          <cell r="J280">
            <v>6344896.7741935197</v>
          </cell>
          <cell r="K280">
            <v>3866754.8387096766</v>
          </cell>
        </row>
        <row r="281">
          <cell r="A281">
            <v>46302</v>
          </cell>
          <cell r="B281">
            <v>19316.129032258064</v>
          </cell>
          <cell r="C281" t="str">
            <v>TJP</v>
          </cell>
          <cell r="D281">
            <v>4.7</v>
          </cell>
          <cell r="E281">
            <v>4700</v>
          </cell>
          <cell r="F281">
            <v>13225.806451612903</v>
          </cell>
          <cell r="G281" t="str">
            <v>MPA</v>
          </cell>
          <cell r="H281">
            <v>4.8</v>
          </cell>
          <cell r="I281">
            <v>4800</v>
          </cell>
          <cell r="J281">
            <v>6364212.9032257777</v>
          </cell>
          <cell r="K281">
            <v>3879980.6451612897</v>
          </cell>
        </row>
        <row r="282">
          <cell r="A282">
            <v>46303</v>
          </cell>
          <cell r="B282">
            <v>19316.129032258064</v>
          </cell>
          <cell r="C282" t="str">
            <v>TJP</v>
          </cell>
          <cell r="D282">
            <v>4.7</v>
          </cell>
          <cell r="E282">
            <v>4700</v>
          </cell>
          <cell r="F282">
            <v>13225.806451612903</v>
          </cell>
          <cell r="G282" t="str">
            <v>MPA</v>
          </cell>
          <cell r="H282">
            <v>4.8</v>
          </cell>
          <cell r="I282">
            <v>4800</v>
          </cell>
          <cell r="J282">
            <v>6383529.0322580356</v>
          </cell>
          <cell r="K282">
            <v>3893206.4516129028</v>
          </cell>
        </row>
        <row r="283">
          <cell r="A283">
            <v>46304</v>
          </cell>
          <cell r="B283">
            <v>19316.129032258064</v>
          </cell>
          <cell r="C283" t="str">
            <v>TJP</v>
          </cell>
          <cell r="D283">
            <v>4.7</v>
          </cell>
          <cell r="E283">
            <v>4700</v>
          </cell>
          <cell r="F283">
            <v>13225.806451612903</v>
          </cell>
          <cell r="G283" t="str">
            <v>MPA</v>
          </cell>
          <cell r="H283">
            <v>4.8</v>
          </cell>
          <cell r="I283">
            <v>4800</v>
          </cell>
          <cell r="J283">
            <v>6402845.1612902936</v>
          </cell>
          <cell r="K283">
            <v>3906432.2580645159</v>
          </cell>
        </row>
        <row r="284">
          <cell r="A284">
            <v>46305</v>
          </cell>
          <cell r="B284">
            <v>19316.129032258064</v>
          </cell>
          <cell r="C284" t="str">
            <v>TJP</v>
          </cell>
          <cell r="D284">
            <v>4.7</v>
          </cell>
          <cell r="E284">
            <v>4700</v>
          </cell>
          <cell r="F284">
            <v>13225.806451612903</v>
          </cell>
          <cell r="G284" t="str">
            <v>MPA</v>
          </cell>
          <cell r="H284">
            <v>4.8</v>
          </cell>
          <cell r="I284">
            <v>4800</v>
          </cell>
          <cell r="J284">
            <v>6422161.2903225515</v>
          </cell>
          <cell r="K284">
            <v>3919658.064516129</v>
          </cell>
        </row>
        <row r="285">
          <cell r="A285">
            <v>46306</v>
          </cell>
          <cell r="B285">
            <v>19316.129032258064</v>
          </cell>
          <cell r="C285" t="str">
            <v>TJP</v>
          </cell>
          <cell r="D285">
            <v>4.7</v>
          </cell>
          <cell r="E285">
            <v>4700</v>
          </cell>
          <cell r="F285">
            <v>13225.806451612903</v>
          </cell>
          <cell r="G285" t="str">
            <v>MPA</v>
          </cell>
          <cell r="H285">
            <v>4.8</v>
          </cell>
          <cell r="I285">
            <v>4800</v>
          </cell>
          <cell r="J285">
            <v>6441477.4193548094</v>
          </cell>
          <cell r="K285">
            <v>3932883.8709677421</v>
          </cell>
        </row>
        <row r="286">
          <cell r="A286">
            <v>46307</v>
          </cell>
          <cell r="B286">
            <v>19316.129032258064</v>
          </cell>
          <cell r="C286" t="str">
            <v>TJP</v>
          </cell>
          <cell r="D286">
            <v>4.7</v>
          </cell>
          <cell r="E286">
            <v>4700</v>
          </cell>
          <cell r="F286">
            <v>13225.806451612903</v>
          </cell>
          <cell r="G286" t="str">
            <v>MPA</v>
          </cell>
          <cell r="H286">
            <v>4.8</v>
          </cell>
          <cell r="I286">
            <v>4800</v>
          </cell>
          <cell r="J286">
            <v>6460793.5483870674</v>
          </cell>
          <cell r="K286">
            <v>3946109.6774193551</v>
          </cell>
        </row>
        <row r="287">
          <cell r="A287">
            <v>46308</v>
          </cell>
          <cell r="B287">
            <v>19316.129032258064</v>
          </cell>
          <cell r="C287" t="str">
            <v>TJP</v>
          </cell>
          <cell r="D287">
            <v>4.7</v>
          </cell>
          <cell r="E287">
            <v>4700</v>
          </cell>
          <cell r="F287">
            <v>13225.806451612903</v>
          </cell>
          <cell r="G287" t="str">
            <v>MPA</v>
          </cell>
          <cell r="H287">
            <v>4.8</v>
          </cell>
          <cell r="I287">
            <v>4800</v>
          </cell>
          <cell r="J287">
            <v>6480109.6774193253</v>
          </cell>
          <cell r="K287">
            <v>3959335.4838709682</v>
          </cell>
        </row>
        <row r="288">
          <cell r="A288">
            <v>46309</v>
          </cell>
          <cell r="B288">
            <v>19316.129032258064</v>
          </cell>
          <cell r="C288" t="str">
            <v>TJP</v>
          </cell>
          <cell r="D288">
            <v>4.7</v>
          </cell>
          <cell r="E288">
            <v>4700</v>
          </cell>
          <cell r="F288">
            <v>13225.806451612903</v>
          </cell>
          <cell r="G288" t="str">
            <v>MPA</v>
          </cell>
          <cell r="H288">
            <v>4.8</v>
          </cell>
          <cell r="I288">
            <v>4800</v>
          </cell>
          <cell r="J288">
            <v>6499425.8064515833</v>
          </cell>
          <cell r="K288">
            <v>3972561.2903225813</v>
          </cell>
        </row>
        <row r="289">
          <cell r="A289">
            <v>46310</v>
          </cell>
          <cell r="B289">
            <v>19316.129032258064</v>
          </cell>
          <cell r="C289" t="str">
            <v>TJP</v>
          </cell>
          <cell r="D289">
            <v>4.7</v>
          </cell>
          <cell r="E289">
            <v>4700</v>
          </cell>
          <cell r="F289">
            <v>13225.806451612903</v>
          </cell>
          <cell r="G289" t="str">
            <v>MPA</v>
          </cell>
          <cell r="H289">
            <v>4.8</v>
          </cell>
          <cell r="I289">
            <v>4800</v>
          </cell>
          <cell r="J289">
            <v>6518741.9354838412</v>
          </cell>
          <cell r="K289">
            <v>3985787.0967741944</v>
          </cell>
        </row>
        <row r="290">
          <cell r="A290">
            <v>46311</v>
          </cell>
          <cell r="B290">
            <v>19316.129032258064</v>
          </cell>
          <cell r="C290" t="str">
            <v>TJP</v>
          </cell>
          <cell r="D290">
            <v>4.7</v>
          </cell>
          <cell r="E290">
            <v>4700</v>
          </cell>
          <cell r="F290">
            <v>13225.806451612903</v>
          </cell>
          <cell r="G290" t="str">
            <v>MPA</v>
          </cell>
          <cell r="H290">
            <v>4.8</v>
          </cell>
          <cell r="I290">
            <v>4800</v>
          </cell>
          <cell r="J290">
            <v>6538058.0645160992</v>
          </cell>
          <cell r="K290">
            <v>3999012.9032258075</v>
          </cell>
        </row>
        <row r="291">
          <cell r="A291">
            <v>46312</v>
          </cell>
          <cell r="B291">
            <v>19316.129032258064</v>
          </cell>
          <cell r="C291" t="str">
            <v>TJP</v>
          </cell>
          <cell r="D291">
            <v>4.7</v>
          </cell>
          <cell r="E291">
            <v>4700</v>
          </cell>
          <cell r="F291">
            <v>13225.806451612903</v>
          </cell>
          <cell r="G291" t="str">
            <v>MPA</v>
          </cell>
          <cell r="H291">
            <v>4.8</v>
          </cell>
          <cell r="I291">
            <v>4800</v>
          </cell>
          <cell r="J291">
            <v>6557374.1935483571</v>
          </cell>
          <cell r="K291">
            <v>4012238.7096774206</v>
          </cell>
        </row>
        <row r="292">
          <cell r="A292">
            <v>46313</v>
          </cell>
          <cell r="B292">
            <v>19316.129032258064</v>
          </cell>
          <cell r="C292" t="str">
            <v>TJP</v>
          </cell>
          <cell r="D292">
            <v>4.7</v>
          </cell>
          <cell r="E292">
            <v>4700</v>
          </cell>
          <cell r="F292">
            <v>13225.806451612903</v>
          </cell>
          <cell r="G292" t="str">
            <v>MPA</v>
          </cell>
          <cell r="H292">
            <v>4.8</v>
          </cell>
          <cell r="I292">
            <v>4800</v>
          </cell>
          <cell r="J292">
            <v>6576690.3225806151</v>
          </cell>
          <cell r="K292">
            <v>4025464.5161290336</v>
          </cell>
        </row>
        <row r="293">
          <cell r="A293">
            <v>46314</v>
          </cell>
          <cell r="B293">
            <v>19316.129032258064</v>
          </cell>
          <cell r="C293" t="str">
            <v>TJP</v>
          </cell>
          <cell r="D293">
            <v>4.7</v>
          </cell>
          <cell r="E293">
            <v>4700</v>
          </cell>
          <cell r="F293">
            <v>13225.806451612903</v>
          </cell>
          <cell r="G293" t="str">
            <v>MPA</v>
          </cell>
          <cell r="H293">
            <v>4.8</v>
          </cell>
          <cell r="I293">
            <v>4800</v>
          </cell>
          <cell r="J293">
            <v>6596006.451612873</v>
          </cell>
          <cell r="K293">
            <v>4038690.3225806467</v>
          </cell>
        </row>
        <row r="294">
          <cell r="A294">
            <v>46315</v>
          </cell>
          <cell r="B294">
            <v>19316.129032258064</v>
          </cell>
          <cell r="C294" t="str">
            <v>TJP</v>
          </cell>
          <cell r="D294">
            <v>4.7</v>
          </cell>
          <cell r="E294">
            <v>4700</v>
          </cell>
          <cell r="F294">
            <v>13225.806451612903</v>
          </cell>
          <cell r="G294" t="str">
            <v>MPA</v>
          </cell>
          <cell r="H294">
            <v>4.8</v>
          </cell>
          <cell r="I294">
            <v>4800</v>
          </cell>
          <cell r="J294">
            <v>6615322.5806451309</v>
          </cell>
          <cell r="K294">
            <v>4051916.1290322598</v>
          </cell>
        </row>
        <row r="295">
          <cell r="A295">
            <v>46316</v>
          </cell>
          <cell r="B295">
            <v>19316.129032258064</v>
          </cell>
          <cell r="C295" t="str">
            <v>TJP</v>
          </cell>
          <cell r="D295">
            <v>4.7</v>
          </cell>
          <cell r="E295">
            <v>4700</v>
          </cell>
          <cell r="F295">
            <v>13225.806451612903</v>
          </cell>
          <cell r="G295" t="str">
            <v>MPA</v>
          </cell>
          <cell r="H295">
            <v>4.8</v>
          </cell>
          <cell r="I295">
            <v>4800</v>
          </cell>
          <cell r="J295">
            <v>6634638.7096773889</v>
          </cell>
          <cell r="K295">
            <v>4065141.9354838729</v>
          </cell>
        </row>
        <row r="296">
          <cell r="A296">
            <v>46317</v>
          </cell>
          <cell r="B296">
            <v>19316.129032258064</v>
          </cell>
          <cell r="C296" t="str">
            <v>TJP</v>
          </cell>
          <cell r="D296">
            <v>4.7</v>
          </cell>
          <cell r="E296">
            <v>4700</v>
          </cell>
          <cell r="F296">
            <v>13225.806451612903</v>
          </cell>
          <cell r="G296" t="str">
            <v>MPA</v>
          </cell>
          <cell r="H296">
            <v>4.8</v>
          </cell>
          <cell r="I296">
            <v>4800</v>
          </cell>
          <cell r="J296">
            <v>6653954.8387096468</v>
          </cell>
          <cell r="K296">
            <v>4078367.741935486</v>
          </cell>
        </row>
        <row r="297">
          <cell r="A297">
            <v>46318</v>
          </cell>
          <cell r="B297">
            <v>19316.129032258064</v>
          </cell>
          <cell r="C297" t="str">
            <v>TJP</v>
          </cell>
          <cell r="D297">
            <v>4.7</v>
          </cell>
          <cell r="E297">
            <v>4700</v>
          </cell>
          <cell r="F297">
            <v>13225.806451612903</v>
          </cell>
          <cell r="G297" t="str">
            <v>MPA</v>
          </cell>
          <cell r="H297">
            <v>4.8</v>
          </cell>
          <cell r="I297">
            <v>4800</v>
          </cell>
          <cell r="J297">
            <v>6673270.9677419048</v>
          </cell>
          <cell r="K297">
            <v>4091593.5483870991</v>
          </cell>
        </row>
        <row r="298">
          <cell r="A298">
            <v>46319</v>
          </cell>
          <cell r="B298">
            <v>19316.129032258064</v>
          </cell>
          <cell r="C298" t="str">
            <v>TJP</v>
          </cell>
          <cell r="D298">
            <v>4.7</v>
          </cell>
          <cell r="E298">
            <v>4700</v>
          </cell>
          <cell r="F298">
            <v>13225.806451612903</v>
          </cell>
          <cell r="G298" t="str">
            <v>MPA</v>
          </cell>
          <cell r="H298">
            <v>4.8</v>
          </cell>
          <cell r="I298">
            <v>4800</v>
          </cell>
          <cell r="J298">
            <v>6692587.0967741627</v>
          </cell>
          <cell r="K298">
            <v>4104819.3548387121</v>
          </cell>
        </row>
        <row r="299">
          <cell r="A299">
            <v>46320</v>
          </cell>
          <cell r="B299">
            <v>19316.129032258064</v>
          </cell>
          <cell r="C299" t="str">
            <v>TJP</v>
          </cell>
          <cell r="D299">
            <v>4.7</v>
          </cell>
          <cell r="E299">
            <v>4700</v>
          </cell>
          <cell r="F299">
            <v>13225.806451612903</v>
          </cell>
          <cell r="G299" t="str">
            <v>MPA</v>
          </cell>
          <cell r="H299">
            <v>4.8</v>
          </cell>
          <cell r="I299">
            <v>4800</v>
          </cell>
          <cell r="J299">
            <v>6711903.2258064207</v>
          </cell>
          <cell r="K299">
            <v>4118045.1612903252</v>
          </cell>
        </row>
        <row r="300">
          <cell r="A300">
            <v>46321</v>
          </cell>
          <cell r="B300">
            <v>19316.129032258064</v>
          </cell>
          <cell r="C300" t="str">
            <v>TJP</v>
          </cell>
          <cell r="D300">
            <v>4.7</v>
          </cell>
          <cell r="E300">
            <v>4700</v>
          </cell>
          <cell r="F300">
            <v>13225.806451612903</v>
          </cell>
          <cell r="G300" t="str">
            <v>MPA</v>
          </cell>
          <cell r="H300">
            <v>4.8</v>
          </cell>
          <cell r="I300">
            <v>4800</v>
          </cell>
          <cell r="J300">
            <v>6731219.3548386786</v>
          </cell>
          <cell r="K300">
            <v>4131270.9677419383</v>
          </cell>
        </row>
        <row r="301">
          <cell r="A301">
            <v>46322</v>
          </cell>
          <cell r="B301">
            <v>19316.129032258064</v>
          </cell>
          <cell r="C301" t="str">
            <v>TJP</v>
          </cell>
          <cell r="D301">
            <v>4.7</v>
          </cell>
          <cell r="E301">
            <v>4700</v>
          </cell>
          <cell r="F301">
            <v>13225.806451612903</v>
          </cell>
          <cell r="G301" t="str">
            <v>MPA</v>
          </cell>
          <cell r="H301">
            <v>4.8</v>
          </cell>
          <cell r="I301">
            <v>4800</v>
          </cell>
          <cell r="J301">
            <v>6750535.4838709366</v>
          </cell>
          <cell r="K301">
            <v>4144496.7741935514</v>
          </cell>
        </row>
        <row r="302">
          <cell r="A302">
            <v>46323</v>
          </cell>
          <cell r="B302">
            <v>19316.129032258064</v>
          </cell>
          <cell r="C302" t="str">
            <v>TJP</v>
          </cell>
          <cell r="D302">
            <v>4.7</v>
          </cell>
          <cell r="E302">
            <v>4700</v>
          </cell>
          <cell r="F302">
            <v>13225.806451612903</v>
          </cell>
          <cell r="G302" t="str">
            <v>MPA</v>
          </cell>
          <cell r="H302">
            <v>4.8</v>
          </cell>
          <cell r="I302">
            <v>4800</v>
          </cell>
          <cell r="J302">
            <v>6769851.6129031945</v>
          </cell>
          <cell r="K302">
            <v>4157722.5806451645</v>
          </cell>
        </row>
        <row r="303">
          <cell r="A303">
            <v>46324</v>
          </cell>
          <cell r="B303">
            <v>19316.129032258064</v>
          </cell>
          <cell r="C303" t="str">
            <v>TJP</v>
          </cell>
          <cell r="D303">
            <v>4.7</v>
          </cell>
          <cell r="E303">
            <v>4700</v>
          </cell>
          <cell r="F303">
            <v>13225.806451612903</v>
          </cell>
          <cell r="G303" t="str">
            <v>MPA</v>
          </cell>
          <cell r="H303">
            <v>4.8</v>
          </cell>
          <cell r="I303">
            <v>4800</v>
          </cell>
          <cell r="J303">
            <v>6789167.7419354524</v>
          </cell>
          <cell r="K303">
            <v>4170948.3870967776</v>
          </cell>
        </row>
        <row r="304">
          <cell r="A304">
            <v>46325</v>
          </cell>
          <cell r="B304">
            <v>19316.129032258064</v>
          </cell>
          <cell r="C304" t="str">
            <v>TJP</v>
          </cell>
          <cell r="D304">
            <v>4.7</v>
          </cell>
          <cell r="E304">
            <v>4700</v>
          </cell>
          <cell r="F304">
            <v>13225.806451612903</v>
          </cell>
          <cell r="G304" t="str">
            <v>MPA</v>
          </cell>
          <cell r="H304">
            <v>4.8</v>
          </cell>
          <cell r="I304">
            <v>4800</v>
          </cell>
          <cell r="J304">
            <v>6808483.8709677104</v>
          </cell>
          <cell r="K304">
            <v>4184174.1935483906</v>
          </cell>
        </row>
        <row r="305">
          <cell r="A305">
            <v>46326</v>
          </cell>
          <cell r="B305">
            <v>19316.129032258064</v>
          </cell>
          <cell r="C305" t="str">
            <v>TJP</v>
          </cell>
          <cell r="D305">
            <v>4.7</v>
          </cell>
          <cell r="E305">
            <v>4700</v>
          </cell>
          <cell r="F305">
            <v>13225.806451612903</v>
          </cell>
          <cell r="G305" t="str">
            <v>MPA</v>
          </cell>
          <cell r="H305">
            <v>4.8</v>
          </cell>
          <cell r="I305">
            <v>4800</v>
          </cell>
          <cell r="J305">
            <v>6827799.9999999683</v>
          </cell>
          <cell r="K305">
            <v>4197400.0000000037</v>
          </cell>
        </row>
        <row r="306">
          <cell r="A306">
            <v>46327</v>
          </cell>
          <cell r="B306">
            <v>19826.666666666668</v>
          </cell>
          <cell r="C306" t="str">
            <v>TJP</v>
          </cell>
          <cell r="D306">
            <v>4.8</v>
          </cell>
          <cell r="E306">
            <v>4800</v>
          </cell>
          <cell r="F306">
            <v>13573.333333333334</v>
          </cell>
          <cell r="G306" t="str">
            <v>MPA</v>
          </cell>
          <cell r="H306">
            <v>4.8</v>
          </cell>
          <cell r="I306">
            <v>4800</v>
          </cell>
          <cell r="J306">
            <v>6847626.6666666353</v>
          </cell>
          <cell r="K306">
            <v>4210973.3333333367</v>
          </cell>
        </row>
        <row r="307">
          <cell r="A307">
            <v>46328</v>
          </cell>
          <cell r="B307">
            <v>19826.666666666668</v>
          </cell>
          <cell r="C307" t="str">
            <v>TJP</v>
          </cell>
          <cell r="D307">
            <v>4.8</v>
          </cell>
          <cell r="E307">
            <v>4800</v>
          </cell>
          <cell r="F307">
            <v>13573.333333333334</v>
          </cell>
          <cell r="G307" t="str">
            <v>MPA</v>
          </cell>
          <cell r="H307">
            <v>4.8</v>
          </cell>
          <cell r="I307">
            <v>4800</v>
          </cell>
          <cell r="J307">
            <v>6867453.3333333023</v>
          </cell>
          <cell r="K307">
            <v>4224546.6666666698</v>
          </cell>
        </row>
        <row r="308">
          <cell r="A308">
            <v>46329</v>
          </cell>
          <cell r="B308">
            <v>19826.666666666668</v>
          </cell>
          <cell r="C308" t="str">
            <v>TJP</v>
          </cell>
          <cell r="D308">
            <v>4.8</v>
          </cell>
          <cell r="E308">
            <v>4800</v>
          </cell>
          <cell r="F308">
            <v>13573.333333333334</v>
          </cell>
          <cell r="G308" t="str">
            <v>MPA</v>
          </cell>
          <cell r="H308">
            <v>4.8</v>
          </cell>
          <cell r="I308">
            <v>4800</v>
          </cell>
          <cell r="J308">
            <v>6887279.9999999693</v>
          </cell>
          <cell r="K308">
            <v>4238120.0000000028</v>
          </cell>
        </row>
        <row r="309">
          <cell r="A309">
            <v>46330</v>
          </cell>
          <cell r="B309">
            <v>19826.666666666668</v>
          </cell>
          <cell r="C309" t="str">
            <v>TJP</v>
          </cell>
          <cell r="D309">
            <v>4.8</v>
          </cell>
          <cell r="E309">
            <v>4800</v>
          </cell>
          <cell r="F309">
            <v>13573.333333333334</v>
          </cell>
          <cell r="G309" t="str">
            <v>MPA</v>
          </cell>
          <cell r="H309">
            <v>4.8</v>
          </cell>
          <cell r="I309">
            <v>4800</v>
          </cell>
          <cell r="J309">
            <v>6907106.6666666362</v>
          </cell>
          <cell r="K309">
            <v>4251693.3333333358</v>
          </cell>
        </row>
        <row r="310">
          <cell r="A310">
            <v>46331</v>
          </cell>
          <cell r="B310">
            <v>19826.666666666668</v>
          </cell>
          <cell r="C310" t="str">
            <v>TJP</v>
          </cell>
          <cell r="D310">
            <v>4.8</v>
          </cell>
          <cell r="E310">
            <v>4800</v>
          </cell>
          <cell r="F310">
            <v>13573.333333333334</v>
          </cell>
          <cell r="G310" t="str">
            <v>MPA</v>
          </cell>
          <cell r="H310">
            <v>4.8</v>
          </cell>
          <cell r="I310">
            <v>4800</v>
          </cell>
          <cell r="J310">
            <v>6926933.3333333032</v>
          </cell>
          <cell r="K310">
            <v>4265266.6666666688</v>
          </cell>
        </row>
        <row r="311">
          <cell r="A311">
            <v>46332</v>
          </cell>
          <cell r="B311">
            <v>19826.666666666668</v>
          </cell>
          <cell r="C311" t="str">
            <v>TJP</v>
          </cell>
          <cell r="D311">
            <v>4.8</v>
          </cell>
          <cell r="E311">
            <v>4800</v>
          </cell>
          <cell r="F311">
            <v>13573.333333333334</v>
          </cell>
          <cell r="G311" t="str">
            <v>MPA</v>
          </cell>
          <cell r="H311">
            <v>4.8</v>
          </cell>
          <cell r="I311">
            <v>4800</v>
          </cell>
          <cell r="J311">
            <v>6946759.9999999702</v>
          </cell>
          <cell r="K311">
            <v>4278840.0000000019</v>
          </cell>
        </row>
        <row r="312">
          <cell r="A312">
            <v>46333</v>
          </cell>
          <cell r="B312">
            <v>19826.666666666668</v>
          </cell>
          <cell r="C312" t="str">
            <v>TJP</v>
          </cell>
          <cell r="D312">
            <v>4.8</v>
          </cell>
          <cell r="E312">
            <v>4800</v>
          </cell>
          <cell r="F312">
            <v>13573.333333333334</v>
          </cell>
          <cell r="G312" t="str">
            <v>MPA</v>
          </cell>
          <cell r="H312">
            <v>4.8</v>
          </cell>
          <cell r="I312">
            <v>4800</v>
          </cell>
          <cell r="J312">
            <v>6966586.6666666372</v>
          </cell>
          <cell r="K312">
            <v>4292413.3333333349</v>
          </cell>
        </row>
        <row r="313">
          <cell r="A313">
            <v>46334</v>
          </cell>
          <cell r="B313">
            <v>19826.666666666668</v>
          </cell>
          <cell r="C313" t="str">
            <v>TJP</v>
          </cell>
          <cell r="D313">
            <v>4.8</v>
          </cell>
          <cell r="E313">
            <v>4800</v>
          </cell>
          <cell r="F313">
            <v>13573.333333333334</v>
          </cell>
          <cell r="G313" t="str">
            <v>MPA</v>
          </cell>
          <cell r="H313">
            <v>4.8</v>
          </cell>
          <cell r="I313">
            <v>4800</v>
          </cell>
          <cell r="J313">
            <v>6986413.3333333042</v>
          </cell>
          <cell r="K313">
            <v>4305986.6666666679</v>
          </cell>
        </row>
        <row r="314">
          <cell r="A314">
            <v>46335</v>
          </cell>
          <cell r="B314">
            <v>19826.666666666668</v>
          </cell>
          <cell r="C314" t="str">
            <v>TJP</v>
          </cell>
          <cell r="D314">
            <v>4.8</v>
          </cell>
          <cell r="E314">
            <v>4800</v>
          </cell>
          <cell r="F314">
            <v>13573.333333333334</v>
          </cell>
          <cell r="G314" t="str">
            <v>MPA</v>
          </cell>
          <cell r="H314">
            <v>4.8</v>
          </cell>
          <cell r="I314">
            <v>4800</v>
          </cell>
          <cell r="J314">
            <v>7006239.9999999711</v>
          </cell>
          <cell r="K314">
            <v>4319560.0000000009</v>
          </cell>
        </row>
        <row r="315">
          <cell r="A315">
            <v>46336</v>
          </cell>
          <cell r="B315">
            <v>19826.666666666668</v>
          </cell>
          <cell r="C315" t="str">
            <v>TJP</v>
          </cell>
          <cell r="D315">
            <v>4.8</v>
          </cell>
          <cell r="E315">
            <v>4800</v>
          </cell>
          <cell r="F315">
            <v>13573.333333333334</v>
          </cell>
          <cell r="G315" t="str">
            <v>MPA</v>
          </cell>
          <cell r="H315">
            <v>4.8</v>
          </cell>
          <cell r="I315">
            <v>4800</v>
          </cell>
          <cell r="J315">
            <v>7026066.6666666381</v>
          </cell>
          <cell r="K315">
            <v>4333133.333333334</v>
          </cell>
        </row>
        <row r="316">
          <cell r="A316">
            <v>46337</v>
          </cell>
          <cell r="B316">
            <v>19826.666666666668</v>
          </cell>
          <cell r="C316" t="str">
            <v>TJP</v>
          </cell>
          <cell r="D316">
            <v>4.8</v>
          </cell>
          <cell r="E316">
            <v>4800</v>
          </cell>
          <cell r="F316">
            <v>13573.333333333334</v>
          </cell>
          <cell r="G316" t="str">
            <v>MPA</v>
          </cell>
          <cell r="H316">
            <v>4.8</v>
          </cell>
          <cell r="I316">
            <v>4800</v>
          </cell>
          <cell r="J316">
            <v>7045893.3333333051</v>
          </cell>
          <cell r="K316">
            <v>4346706.666666667</v>
          </cell>
        </row>
        <row r="317">
          <cell r="A317">
            <v>46338</v>
          </cell>
          <cell r="B317">
            <v>19826.666666666668</v>
          </cell>
          <cell r="C317" t="str">
            <v>TJP</v>
          </cell>
          <cell r="D317">
            <v>4.8</v>
          </cell>
          <cell r="E317">
            <v>4800</v>
          </cell>
          <cell r="F317">
            <v>13573.333333333334</v>
          </cell>
          <cell r="G317" t="str">
            <v>MPA</v>
          </cell>
          <cell r="H317">
            <v>4.8</v>
          </cell>
          <cell r="I317">
            <v>4800</v>
          </cell>
          <cell r="J317">
            <v>7065719.9999999721</v>
          </cell>
          <cell r="K317">
            <v>4360280</v>
          </cell>
        </row>
        <row r="318">
          <cell r="A318">
            <v>46339</v>
          </cell>
          <cell r="B318">
            <v>19826.666666666668</v>
          </cell>
          <cell r="C318" t="str">
            <v>TJP</v>
          </cell>
          <cell r="D318">
            <v>4.8</v>
          </cell>
          <cell r="E318">
            <v>4800</v>
          </cell>
          <cell r="F318">
            <v>13573.333333333334</v>
          </cell>
          <cell r="G318" t="str">
            <v>MPA</v>
          </cell>
          <cell r="H318">
            <v>4.8</v>
          </cell>
          <cell r="I318">
            <v>4800</v>
          </cell>
          <cell r="J318">
            <v>7085546.666666639</v>
          </cell>
          <cell r="K318">
            <v>4373853.333333333</v>
          </cell>
        </row>
        <row r="319">
          <cell r="A319">
            <v>46340</v>
          </cell>
          <cell r="B319">
            <v>19826.666666666668</v>
          </cell>
          <cell r="C319" t="str">
            <v>TJP</v>
          </cell>
          <cell r="D319">
            <v>4.8</v>
          </cell>
          <cell r="E319">
            <v>4800</v>
          </cell>
          <cell r="F319">
            <v>13573.333333333334</v>
          </cell>
          <cell r="G319" t="str">
            <v>MPA</v>
          </cell>
          <cell r="H319">
            <v>4.8</v>
          </cell>
          <cell r="I319">
            <v>4800</v>
          </cell>
          <cell r="J319">
            <v>7105373.333333306</v>
          </cell>
          <cell r="K319">
            <v>4387426.666666666</v>
          </cell>
        </row>
        <row r="320">
          <cell r="A320">
            <v>46341</v>
          </cell>
          <cell r="B320">
            <v>19826.666666666668</v>
          </cell>
          <cell r="C320" t="str">
            <v>TJP</v>
          </cell>
          <cell r="D320">
            <v>4.8</v>
          </cell>
          <cell r="E320">
            <v>4800</v>
          </cell>
          <cell r="F320">
            <v>13573.333333333334</v>
          </cell>
          <cell r="G320" t="str">
            <v>MPA</v>
          </cell>
          <cell r="H320">
            <v>4.8</v>
          </cell>
          <cell r="I320">
            <v>4800</v>
          </cell>
          <cell r="J320">
            <v>7125199.999999973</v>
          </cell>
          <cell r="K320">
            <v>4400999.9999999991</v>
          </cell>
        </row>
        <row r="321">
          <cell r="A321">
            <v>46342</v>
          </cell>
          <cell r="B321">
            <v>19826.666666666668</v>
          </cell>
          <cell r="C321" t="str">
            <v>TJP</v>
          </cell>
          <cell r="D321">
            <v>4.8</v>
          </cell>
          <cell r="E321">
            <v>4800</v>
          </cell>
          <cell r="F321">
            <v>13573.333333333334</v>
          </cell>
          <cell r="G321" t="str">
            <v>MPA</v>
          </cell>
          <cell r="H321">
            <v>4.8</v>
          </cell>
          <cell r="I321">
            <v>4800</v>
          </cell>
          <cell r="J321">
            <v>7145026.66666664</v>
          </cell>
          <cell r="K321">
            <v>4414573.3333333321</v>
          </cell>
        </row>
        <row r="322">
          <cell r="A322">
            <v>46343</v>
          </cell>
          <cell r="B322">
            <v>19826.666666666668</v>
          </cell>
          <cell r="C322" t="str">
            <v>TJP</v>
          </cell>
          <cell r="D322">
            <v>4.8</v>
          </cell>
          <cell r="E322">
            <v>4800</v>
          </cell>
          <cell r="F322">
            <v>13573.333333333334</v>
          </cell>
          <cell r="G322" t="str">
            <v>MPA</v>
          </cell>
          <cell r="H322">
            <v>4.8</v>
          </cell>
          <cell r="I322">
            <v>4800</v>
          </cell>
          <cell r="J322">
            <v>7164853.3333333069</v>
          </cell>
          <cell r="K322">
            <v>4428146.6666666651</v>
          </cell>
        </row>
        <row r="323">
          <cell r="A323">
            <v>46344</v>
          </cell>
          <cell r="B323">
            <v>19826.666666666668</v>
          </cell>
          <cell r="C323" t="str">
            <v>TJP</v>
          </cell>
          <cell r="D323">
            <v>4.8</v>
          </cell>
          <cell r="E323">
            <v>4800</v>
          </cell>
          <cell r="F323">
            <v>13573.333333333334</v>
          </cell>
          <cell r="G323" t="str">
            <v>MPA</v>
          </cell>
          <cell r="H323">
            <v>4.8</v>
          </cell>
          <cell r="I323">
            <v>4800</v>
          </cell>
          <cell r="J323">
            <v>7184679.9999999739</v>
          </cell>
          <cell r="K323">
            <v>4441719.9999999981</v>
          </cell>
        </row>
        <row r="324">
          <cell r="A324">
            <v>46345</v>
          </cell>
          <cell r="B324">
            <v>19826.666666666668</v>
          </cell>
          <cell r="C324" t="str">
            <v>TJP</v>
          </cell>
          <cell r="D324">
            <v>4.8</v>
          </cell>
          <cell r="E324">
            <v>4800</v>
          </cell>
          <cell r="F324">
            <v>13573.333333333334</v>
          </cell>
          <cell r="G324" t="str">
            <v>MPA</v>
          </cell>
          <cell r="H324">
            <v>4.8</v>
          </cell>
          <cell r="I324">
            <v>4800</v>
          </cell>
          <cell r="J324">
            <v>7204506.6666666409</v>
          </cell>
          <cell r="K324">
            <v>4455293.3333333312</v>
          </cell>
        </row>
        <row r="325">
          <cell r="A325">
            <v>46346</v>
          </cell>
          <cell r="B325">
            <v>19826.666666666668</v>
          </cell>
          <cell r="C325" t="str">
            <v>TJP</v>
          </cell>
          <cell r="D325">
            <v>4.8</v>
          </cell>
          <cell r="E325">
            <v>4800</v>
          </cell>
          <cell r="F325">
            <v>13573.333333333334</v>
          </cell>
          <cell r="G325" t="str">
            <v>MPA</v>
          </cell>
          <cell r="H325">
            <v>4.8</v>
          </cell>
          <cell r="I325">
            <v>4800</v>
          </cell>
          <cell r="J325">
            <v>7224333.3333333079</v>
          </cell>
          <cell r="K325">
            <v>4468866.6666666642</v>
          </cell>
        </row>
        <row r="326">
          <cell r="A326">
            <v>46347</v>
          </cell>
          <cell r="B326">
            <v>19826.666666666668</v>
          </cell>
          <cell r="C326" t="str">
            <v>TJP</v>
          </cell>
          <cell r="D326">
            <v>4.8</v>
          </cell>
          <cell r="E326">
            <v>4800</v>
          </cell>
          <cell r="F326">
            <v>13573.333333333334</v>
          </cell>
          <cell r="G326" t="str">
            <v>MPA</v>
          </cell>
          <cell r="H326">
            <v>4.8</v>
          </cell>
          <cell r="I326">
            <v>4800</v>
          </cell>
          <cell r="J326">
            <v>7244159.9999999749</v>
          </cell>
          <cell r="K326">
            <v>4482439.9999999972</v>
          </cell>
        </row>
        <row r="327">
          <cell r="A327">
            <v>46348</v>
          </cell>
          <cell r="B327">
            <v>19826.666666666668</v>
          </cell>
          <cell r="C327" t="str">
            <v>TJP</v>
          </cell>
          <cell r="D327">
            <v>4.8</v>
          </cell>
          <cell r="E327">
            <v>4800</v>
          </cell>
          <cell r="F327">
            <v>13573.333333333334</v>
          </cell>
          <cell r="G327" t="str">
            <v>MPA</v>
          </cell>
          <cell r="H327">
            <v>4.8</v>
          </cell>
          <cell r="I327">
            <v>4800</v>
          </cell>
          <cell r="J327">
            <v>7263986.6666666418</v>
          </cell>
          <cell r="K327">
            <v>4496013.3333333302</v>
          </cell>
        </row>
        <row r="328">
          <cell r="A328">
            <v>46349</v>
          </cell>
          <cell r="B328">
            <v>19826.666666666668</v>
          </cell>
          <cell r="C328" t="str">
            <v>TJP</v>
          </cell>
          <cell r="D328">
            <v>4.8</v>
          </cell>
          <cell r="E328">
            <v>4800</v>
          </cell>
          <cell r="F328">
            <v>13573.333333333334</v>
          </cell>
          <cell r="G328" t="str">
            <v>MPA</v>
          </cell>
          <cell r="H328">
            <v>4.8</v>
          </cell>
          <cell r="I328">
            <v>4800</v>
          </cell>
          <cell r="J328">
            <v>7283813.3333333088</v>
          </cell>
          <cell r="K328">
            <v>4509586.6666666633</v>
          </cell>
        </row>
        <row r="329">
          <cell r="A329">
            <v>46350</v>
          </cell>
          <cell r="B329">
            <v>19826.666666666668</v>
          </cell>
          <cell r="C329" t="str">
            <v>TJP</v>
          </cell>
          <cell r="D329">
            <v>4.8</v>
          </cell>
          <cell r="E329">
            <v>4800</v>
          </cell>
          <cell r="F329">
            <v>13573.333333333334</v>
          </cell>
          <cell r="G329" t="str">
            <v>MPA</v>
          </cell>
          <cell r="H329">
            <v>4.8</v>
          </cell>
          <cell r="I329">
            <v>4800</v>
          </cell>
          <cell r="J329">
            <v>7303639.9999999758</v>
          </cell>
          <cell r="K329">
            <v>4523159.9999999963</v>
          </cell>
        </row>
        <row r="330">
          <cell r="A330">
            <v>46351</v>
          </cell>
          <cell r="B330">
            <v>19826.666666666668</v>
          </cell>
          <cell r="C330" t="str">
            <v>TJP</v>
          </cell>
          <cell r="D330">
            <v>4.8</v>
          </cell>
          <cell r="E330">
            <v>4800</v>
          </cell>
          <cell r="F330">
            <v>13573.333333333334</v>
          </cell>
          <cell r="G330" t="str">
            <v>MPA</v>
          </cell>
          <cell r="H330">
            <v>4.8</v>
          </cell>
          <cell r="I330">
            <v>4800</v>
          </cell>
          <cell r="J330">
            <v>7323466.6666666428</v>
          </cell>
          <cell r="K330">
            <v>4536733.3333333293</v>
          </cell>
        </row>
        <row r="331">
          <cell r="A331">
            <v>46352</v>
          </cell>
          <cell r="B331">
            <v>19826.666666666668</v>
          </cell>
          <cell r="C331" t="str">
            <v>TJP</v>
          </cell>
          <cell r="D331">
            <v>4.8</v>
          </cell>
          <cell r="E331">
            <v>4800</v>
          </cell>
          <cell r="F331">
            <v>13573.333333333334</v>
          </cell>
          <cell r="G331" t="str">
            <v>MPA</v>
          </cell>
          <cell r="H331">
            <v>4.8</v>
          </cell>
          <cell r="I331">
            <v>4800</v>
          </cell>
          <cell r="J331">
            <v>7343293.3333333097</v>
          </cell>
          <cell r="K331">
            <v>4550306.6666666623</v>
          </cell>
        </row>
        <row r="332">
          <cell r="A332">
            <v>46353</v>
          </cell>
          <cell r="B332">
            <v>19826.666666666668</v>
          </cell>
          <cell r="C332" t="str">
            <v>TJP</v>
          </cell>
          <cell r="D332">
            <v>4.8</v>
          </cell>
          <cell r="E332">
            <v>4800</v>
          </cell>
          <cell r="F332">
            <v>13573.333333333334</v>
          </cell>
          <cell r="G332" t="str">
            <v>MPA</v>
          </cell>
          <cell r="H332">
            <v>4.8</v>
          </cell>
          <cell r="I332">
            <v>4800</v>
          </cell>
          <cell r="J332">
            <v>7363119.9999999767</v>
          </cell>
          <cell r="K332">
            <v>4563879.9999999953</v>
          </cell>
        </row>
        <row r="333">
          <cell r="A333">
            <v>46354</v>
          </cell>
          <cell r="B333">
            <v>19826.666666666668</v>
          </cell>
          <cell r="C333" t="str">
            <v>TJP</v>
          </cell>
          <cell r="D333">
            <v>4.8</v>
          </cell>
          <cell r="E333">
            <v>4800</v>
          </cell>
          <cell r="F333">
            <v>13573.333333333334</v>
          </cell>
          <cell r="G333" t="str">
            <v>MPA</v>
          </cell>
          <cell r="H333">
            <v>4.8</v>
          </cell>
          <cell r="I333">
            <v>4800</v>
          </cell>
          <cell r="J333">
            <v>7382946.6666666437</v>
          </cell>
          <cell r="K333">
            <v>4577453.3333333284</v>
          </cell>
        </row>
        <row r="334">
          <cell r="A334">
            <v>46355</v>
          </cell>
          <cell r="B334">
            <v>19826.666666666668</v>
          </cell>
          <cell r="C334" t="str">
            <v>TJP</v>
          </cell>
          <cell r="D334">
            <v>4.8</v>
          </cell>
          <cell r="E334">
            <v>4800</v>
          </cell>
          <cell r="F334">
            <v>13573.333333333334</v>
          </cell>
          <cell r="G334" t="str">
            <v>MPA</v>
          </cell>
          <cell r="H334">
            <v>4.8</v>
          </cell>
          <cell r="I334">
            <v>4800</v>
          </cell>
          <cell r="J334">
            <v>7402773.3333333107</v>
          </cell>
          <cell r="K334">
            <v>4591026.6666666614</v>
          </cell>
        </row>
        <row r="335">
          <cell r="A335">
            <v>46356</v>
          </cell>
          <cell r="B335">
            <v>19826.666666666668</v>
          </cell>
          <cell r="C335" t="str">
            <v>TJP</v>
          </cell>
          <cell r="D335">
            <v>4.8</v>
          </cell>
          <cell r="E335">
            <v>4800</v>
          </cell>
          <cell r="F335">
            <v>13573.333333333334</v>
          </cell>
          <cell r="G335" t="str">
            <v>MPA</v>
          </cell>
          <cell r="H335">
            <v>4.8</v>
          </cell>
          <cell r="I335">
            <v>4800</v>
          </cell>
          <cell r="J335">
            <v>7422599.9999999776</v>
          </cell>
          <cell r="K335">
            <v>4604599.9999999944</v>
          </cell>
        </row>
        <row r="336">
          <cell r="A336">
            <v>46357</v>
          </cell>
          <cell r="B336">
            <v>18625.806451612902</v>
          </cell>
          <cell r="C336" t="str">
            <v>TJP</v>
          </cell>
          <cell r="D336">
            <v>4.8</v>
          </cell>
          <cell r="E336">
            <v>4800</v>
          </cell>
          <cell r="F336">
            <v>12754.838709677419</v>
          </cell>
          <cell r="G336" t="str">
            <v>MPA</v>
          </cell>
          <cell r="H336">
            <v>4.8</v>
          </cell>
          <cell r="I336">
            <v>4800</v>
          </cell>
          <cell r="J336">
            <v>7441225.8064515907</v>
          </cell>
          <cell r="K336">
            <v>4617354.838709672</v>
          </cell>
        </row>
        <row r="337">
          <cell r="A337">
            <v>46358</v>
          </cell>
          <cell r="B337">
            <v>18625.806451612902</v>
          </cell>
          <cell r="C337" t="str">
            <v>TJP</v>
          </cell>
          <cell r="D337">
            <v>4.8</v>
          </cell>
          <cell r="E337">
            <v>4800</v>
          </cell>
          <cell r="F337">
            <v>12754.838709677419</v>
          </cell>
          <cell r="G337" t="str">
            <v>MPA</v>
          </cell>
          <cell r="H337">
            <v>4.8</v>
          </cell>
          <cell r="I337">
            <v>4800</v>
          </cell>
          <cell r="J337">
            <v>7459851.6129032038</v>
          </cell>
          <cell r="K337">
            <v>4630109.6774193496</v>
          </cell>
        </row>
        <row r="338">
          <cell r="A338">
            <v>46359</v>
          </cell>
          <cell r="B338">
            <v>18625.806451612902</v>
          </cell>
          <cell r="C338" t="str">
            <v>TJP</v>
          </cell>
          <cell r="D338">
            <v>4.8</v>
          </cell>
          <cell r="E338">
            <v>4800</v>
          </cell>
          <cell r="F338">
            <v>12754.838709677419</v>
          </cell>
          <cell r="G338" t="str">
            <v>MPA</v>
          </cell>
          <cell r="H338">
            <v>4.8</v>
          </cell>
          <cell r="I338">
            <v>4800</v>
          </cell>
          <cell r="J338">
            <v>7478477.4193548169</v>
          </cell>
          <cell r="K338">
            <v>4642864.5161290271</v>
          </cell>
        </row>
        <row r="339">
          <cell r="A339">
            <v>46360</v>
          </cell>
          <cell r="B339">
            <v>18625.806451612902</v>
          </cell>
          <cell r="C339" t="str">
            <v>TJP</v>
          </cell>
          <cell r="D339">
            <v>4.8</v>
          </cell>
          <cell r="E339">
            <v>4800</v>
          </cell>
          <cell r="F339">
            <v>12754.838709677419</v>
          </cell>
          <cell r="G339" t="str">
            <v>MPA</v>
          </cell>
          <cell r="H339">
            <v>4.8</v>
          </cell>
          <cell r="I339">
            <v>4800</v>
          </cell>
          <cell r="J339">
            <v>7497103.22580643</v>
          </cell>
          <cell r="K339">
            <v>4655619.3548387047</v>
          </cell>
        </row>
        <row r="340">
          <cell r="A340">
            <v>46361</v>
          </cell>
          <cell r="B340">
            <v>18625.806451612902</v>
          </cell>
          <cell r="C340" t="str">
            <v>TJP</v>
          </cell>
          <cell r="D340">
            <v>4.8</v>
          </cell>
          <cell r="E340">
            <v>4800</v>
          </cell>
          <cell r="F340">
            <v>12754.838709677419</v>
          </cell>
          <cell r="G340" t="str">
            <v>MPA</v>
          </cell>
          <cell r="H340">
            <v>4.8</v>
          </cell>
          <cell r="I340">
            <v>4800</v>
          </cell>
          <cell r="J340">
            <v>7515729.0322580431</v>
          </cell>
          <cell r="K340">
            <v>4668374.1935483823</v>
          </cell>
        </row>
        <row r="341">
          <cell r="A341">
            <v>46362</v>
          </cell>
          <cell r="B341">
            <v>18625.806451612902</v>
          </cell>
          <cell r="C341" t="str">
            <v>TJP</v>
          </cell>
          <cell r="D341">
            <v>4.8</v>
          </cell>
          <cell r="E341">
            <v>4800</v>
          </cell>
          <cell r="F341">
            <v>12754.838709677419</v>
          </cell>
          <cell r="G341" t="str">
            <v>MPA</v>
          </cell>
          <cell r="H341">
            <v>4.8</v>
          </cell>
          <cell r="I341">
            <v>4800</v>
          </cell>
          <cell r="J341">
            <v>7534354.8387096561</v>
          </cell>
          <cell r="K341">
            <v>4681129.0322580598</v>
          </cell>
        </row>
        <row r="342">
          <cell r="A342">
            <v>46363</v>
          </cell>
          <cell r="B342">
            <v>18625.806451612902</v>
          </cell>
          <cell r="C342" t="str">
            <v>TJP</v>
          </cell>
          <cell r="D342">
            <v>4.8</v>
          </cell>
          <cell r="E342">
            <v>4800</v>
          </cell>
          <cell r="F342">
            <v>12754.838709677419</v>
          </cell>
          <cell r="G342" t="str">
            <v>MPA</v>
          </cell>
          <cell r="H342">
            <v>4.8</v>
          </cell>
          <cell r="I342">
            <v>4800</v>
          </cell>
          <cell r="J342">
            <v>7552980.6451612692</v>
          </cell>
          <cell r="K342">
            <v>4693883.8709677374</v>
          </cell>
        </row>
        <row r="343">
          <cell r="A343">
            <v>46364</v>
          </cell>
          <cell r="B343">
            <v>18625.806451612902</v>
          </cell>
          <cell r="C343" t="str">
            <v>TJP</v>
          </cell>
          <cell r="D343">
            <v>4.8</v>
          </cell>
          <cell r="E343">
            <v>4800</v>
          </cell>
          <cell r="F343">
            <v>12754.838709677419</v>
          </cell>
          <cell r="G343" t="str">
            <v>MPA</v>
          </cell>
          <cell r="H343">
            <v>4.8</v>
          </cell>
          <cell r="I343">
            <v>4800</v>
          </cell>
          <cell r="J343">
            <v>7571606.4516128823</v>
          </cell>
          <cell r="K343">
            <v>4706638.709677415</v>
          </cell>
        </row>
        <row r="344">
          <cell r="A344">
            <v>46365</v>
          </cell>
          <cell r="B344">
            <v>18625.806451612902</v>
          </cell>
          <cell r="C344" t="str">
            <v>TJP</v>
          </cell>
          <cell r="D344">
            <v>4.8</v>
          </cell>
          <cell r="E344">
            <v>4800</v>
          </cell>
          <cell r="F344">
            <v>12754.838709677419</v>
          </cell>
          <cell r="G344" t="str">
            <v>MPA</v>
          </cell>
          <cell r="H344">
            <v>4.8</v>
          </cell>
          <cell r="I344">
            <v>4800</v>
          </cell>
          <cell r="J344">
            <v>7590232.2580644954</v>
          </cell>
          <cell r="K344">
            <v>4719393.5483870925</v>
          </cell>
        </row>
        <row r="345">
          <cell r="A345">
            <v>46366</v>
          </cell>
          <cell r="B345">
            <v>18625.806451612902</v>
          </cell>
          <cell r="C345" t="str">
            <v>TJP</v>
          </cell>
          <cell r="D345">
            <v>4.8</v>
          </cell>
          <cell r="E345">
            <v>4800</v>
          </cell>
          <cell r="F345">
            <v>12754.838709677419</v>
          </cell>
          <cell r="G345" t="str">
            <v>MPA</v>
          </cell>
          <cell r="H345">
            <v>4.8</v>
          </cell>
          <cell r="I345">
            <v>4800</v>
          </cell>
          <cell r="J345">
            <v>7608858.0645161085</v>
          </cell>
          <cell r="K345">
            <v>4732148.3870967701</v>
          </cell>
        </row>
        <row r="346">
          <cell r="A346">
            <v>46367</v>
          </cell>
          <cell r="B346">
            <v>18625.806451612902</v>
          </cell>
          <cell r="C346" t="str">
            <v>TJP</v>
          </cell>
          <cell r="D346">
            <v>4.8</v>
          </cell>
          <cell r="E346">
            <v>4800</v>
          </cell>
          <cell r="F346">
            <v>12754.838709677419</v>
          </cell>
          <cell r="G346" t="str">
            <v>MPA</v>
          </cell>
          <cell r="H346">
            <v>4.8</v>
          </cell>
          <cell r="I346">
            <v>4800</v>
          </cell>
          <cell r="J346">
            <v>7627483.8709677216</v>
          </cell>
          <cell r="K346">
            <v>4744903.2258064477</v>
          </cell>
        </row>
        <row r="347">
          <cell r="A347">
            <v>46368</v>
          </cell>
          <cell r="B347">
            <v>18625.806451612902</v>
          </cell>
          <cell r="C347" t="str">
            <v>TJP</v>
          </cell>
          <cell r="D347">
            <v>4.8</v>
          </cell>
          <cell r="E347">
            <v>4800</v>
          </cell>
          <cell r="F347">
            <v>12754.838709677419</v>
          </cell>
          <cell r="G347" t="str">
            <v>MPA</v>
          </cell>
          <cell r="H347">
            <v>4.8</v>
          </cell>
          <cell r="I347">
            <v>4800</v>
          </cell>
          <cell r="J347">
            <v>7646109.6774193347</v>
          </cell>
          <cell r="K347">
            <v>4757658.0645161252</v>
          </cell>
        </row>
        <row r="348">
          <cell r="A348">
            <v>46369</v>
          </cell>
          <cell r="B348">
            <v>18625.806451612902</v>
          </cell>
          <cell r="C348" t="str">
            <v>TJP</v>
          </cell>
          <cell r="D348">
            <v>4.8</v>
          </cell>
          <cell r="E348">
            <v>4800</v>
          </cell>
          <cell r="F348">
            <v>12754.838709677419</v>
          </cell>
          <cell r="G348" t="str">
            <v>MPA</v>
          </cell>
          <cell r="H348">
            <v>4.8</v>
          </cell>
          <cell r="I348">
            <v>4800</v>
          </cell>
          <cell r="J348">
            <v>7664735.4838709477</v>
          </cell>
          <cell r="K348">
            <v>4770412.9032258028</v>
          </cell>
        </row>
        <row r="349">
          <cell r="A349">
            <v>46370</v>
          </cell>
          <cell r="B349">
            <v>18625.806451612902</v>
          </cell>
          <cell r="C349" t="str">
            <v>TJP</v>
          </cell>
          <cell r="D349">
            <v>4.8</v>
          </cell>
          <cell r="E349">
            <v>4800</v>
          </cell>
          <cell r="F349">
            <v>12754.838709677419</v>
          </cell>
          <cell r="G349" t="str">
            <v>MPA</v>
          </cell>
          <cell r="H349">
            <v>4.8</v>
          </cell>
          <cell r="I349">
            <v>4800</v>
          </cell>
          <cell r="J349">
            <v>7683361.2903225608</v>
          </cell>
          <cell r="K349">
            <v>4783167.7419354804</v>
          </cell>
        </row>
        <row r="350">
          <cell r="A350">
            <v>46371</v>
          </cell>
          <cell r="B350">
            <v>18625.806451612902</v>
          </cell>
          <cell r="C350" t="str">
            <v>TJP</v>
          </cell>
          <cell r="D350">
            <v>4.8</v>
          </cell>
          <cell r="E350">
            <v>4800</v>
          </cell>
          <cell r="F350">
            <v>12754.838709677419</v>
          </cell>
          <cell r="G350" t="str">
            <v>MPA</v>
          </cell>
          <cell r="H350">
            <v>4.8</v>
          </cell>
          <cell r="I350">
            <v>4800</v>
          </cell>
          <cell r="J350">
            <v>7701987.0967741739</v>
          </cell>
          <cell r="K350">
            <v>4795922.580645158</v>
          </cell>
        </row>
        <row r="351">
          <cell r="A351">
            <v>46372</v>
          </cell>
          <cell r="B351">
            <v>18625.806451612902</v>
          </cell>
          <cell r="C351" t="str">
            <v>TJP</v>
          </cell>
          <cell r="D351">
            <v>4.8</v>
          </cell>
          <cell r="E351">
            <v>4800</v>
          </cell>
          <cell r="F351">
            <v>12754.838709677419</v>
          </cell>
          <cell r="G351" t="str">
            <v>MPA</v>
          </cell>
          <cell r="H351">
            <v>4.8</v>
          </cell>
          <cell r="I351">
            <v>4800</v>
          </cell>
          <cell r="J351">
            <v>7720612.903225787</v>
          </cell>
          <cell r="K351">
            <v>4808677.4193548355</v>
          </cell>
        </row>
        <row r="352">
          <cell r="A352">
            <v>46373</v>
          </cell>
          <cell r="B352">
            <v>18625.806451612902</v>
          </cell>
          <cell r="C352" t="str">
            <v>TJP</v>
          </cell>
          <cell r="D352">
            <v>4.8</v>
          </cell>
          <cell r="E352">
            <v>4800</v>
          </cell>
          <cell r="F352">
            <v>12754.838709677419</v>
          </cell>
          <cell r="G352" t="str">
            <v>MPA</v>
          </cell>
          <cell r="H352">
            <v>4.8</v>
          </cell>
          <cell r="I352">
            <v>4800</v>
          </cell>
          <cell r="J352">
            <v>7739238.7096774001</v>
          </cell>
          <cell r="K352">
            <v>4821432.2580645131</v>
          </cell>
        </row>
        <row r="353">
          <cell r="A353">
            <v>46374</v>
          </cell>
          <cell r="B353">
            <v>18625.806451612902</v>
          </cell>
          <cell r="C353" t="str">
            <v>TJP</v>
          </cell>
          <cell r="D353">
            <v>4.8</v>
          </cell>
          <cell r="E353">
            <v>4800</v>
          </cell>
          <cell r="F353">
            <v>12754.838709677419</v>
          </cell>
          <cell r="G353" t="str">
            <v>MPA</v>
          </cell>
          <cell r="H353">
            <v>4.8</v>
          </cell>
          <cell r="I353">
            <v>4800</v>
          </cell>
          <cell r="J353">
            <v>7757864.5161290132</v>
          </cell>
          <cell r="K353">
            <v>4834187.0967741907</v>
          </cell>
        </row>
        <row r="354">
          <cell r="A354">
            <v>46375</v>
          </cell>
          <cell r="B354">
            <v>18625.806451612902</v>
          </cell>
          <cell r="C354" t="str">
            <v>TJP</v>
          </cell>
          <cell r="D354">
            <v>4.8</v>
          </cell>
          <cell r="E354">
            <v>4800</v>
          </cell>
          <cell r="F354">
            <v>12754.838709677419</v>
          </cell>
          <cell r="G354" t="str">
            <v>MPA</v>
          </cell>
          <cell r="H354">
            <v>4.8</v>
          </cell>
          <cell r="I354">
            <v>4800</v>
          </cell>
          <cell r="J354">
            <v>7776490.3225806262</v>
          </cell>
          <cell r="K354">
            <v>4846941.9354838682</v>
          </cell>
        </row>
        <row r="355">
          <cell r="A355">
            <v>46376</v>
          </cell>
          <cell r="B355">
            <v>18625.806451612902</v>
          </cell>
          <cell r="C355" t="str">
            <v>TJP</v>
          </cell>
          <cell r="D355">
            <v>4.8</v>
          </cell>
          <cell r="E355">
            <v>4800</v>
          </cell>
          <cell r="F355">
            <v>12754.838709677419</v>
          </cell>
          <cell r="G355" t="str">
            <v>MPA</v>
          </cell>
          <cell r="H355">
            <v>4.8</v>
          </cell>
          <cell r="I355">
            <v>4800</v>
          </cell>
          <cell r="J355">
            <v>7795116.1290322393</v>
          </cell>
          <cell r="K355">
            <v>4859696.7741935458</v>
          </cell>
        </row>
        <row r="356">
          <cell r="A356">
            <v>46377</v>
          </cell>
          <cell r="B356">
            <v>18625.806451612902</v>
          </cell>
          <cell r="C356" t="str">
            <v>TJP</v>
          </cell>
          <cell r="D356">
            <v>4.8</v>
          </cell>
          <cell r="E356">
            <v>4800</v>
          </cell>
          <cell r="F356">
            <v>12754.838709677419</v>
          </cell>
          <cell r="G356" t="str">
            <v>MPA</v>
          </cell>
          <cell r="H356">
            <v>4.8</v>
          </cell>
          <cell r="I356">
            <v>4800</v>
          </cell>
          <cell r="J356">
            <v>7813741.9354838524</v>
          </cell>
          <cell r="K356">
            <v>4872451.6129032234</v>
          </cell>
        </row>
        <row r="357">
          <cell r="A357">
            <v>46378</v>
          </cell>
          <cell r="B357">
            <v>18625.806451612902</v>
          </cell>
          <cell r="C357" t="str">
            <v>TJP</v>
          </cell>
          <cell r="D357">
            <v>4.8</v>
          </cell>
          <cell r="E357">
            <v>4800</v>
          </cell>
          <cell r="F357">
            <v>12754.838709677419</v>
          </cell>
          <cell r="G357" t="str">
            <v>MPA</v>
          </cell>
          <cell r="H357">
            <v>4.8</v>
          </cell>
          <cell r="I357">
            <v>4800</v>
          </cell>
          <cell r="J357">
            <v>7832367.7419354655</v>
          </cell>
          <cell r="K357">
            <v>4885206.4516129009</v>
          </cell>
        </row>
        <row r="358">
          <cell r="A358">
            <v>46379</v>
          </cell>
          <cell r="B358">
            <v>18625.806451612902</v>
          </cell>
          <cell r="C358" t="str">
            <v>TJP</v>
          </cell>
          <cell r="D358">
            <v>4.8</v>
          </cell>
          <cell r="E358">
            <v>4800</v>
          </cell>
          <cell r="F358">
            <v>12754.838709677419</v>
          </cell>
          <cell r="G358" t="str">
            <v>MPA</v>
          </cell>
          <cell r="H358">
            <v>4.8</v>
          </cell>
          <cell r="I358">
            <v>4800</v>
          </cell>
          <cell r="J358">
            <v>7850993.5483870786</v>
          </cell>
          <cell r="K358">
            <v>4897961.2903225785</v>
          </cell>
        </row>
        <row r="359">
          <cell r="A359">
            <v>46380</v>
          </cell>
          <cell r="B359">
            <v>18625.806451612902</v>
          </cell>
          <cell r="C359" t="str">
            <v>TJP</v>
          </cell>
          <cell r="D359">
            <v>4.8</v>
          </cell>
          <cell r="E359">
            <v>4800</v>
          </cell>
          <cell r="F359">
            <v>12754.838709677419</v>
          </cell>
          <cell r="G359" t="str">
            <v>MPA</v>
          </cell>
          <cell r="H359">
            <v>4.8</v>
          </cell>
          <cell r="I359">
            <v>4800</v>
          </cell>
          <cell r="J359">
            <v>7869619.3548386917</v>
          </cell>
          <cell r="K359">
            <v>4910716.1290322561</v>
          </cell>
        </row>
        <row r="360">
          <cell r="A360">
            <v>46381</v>
          </cell>
          <cell r="B360">
            <v>18625.806451612902</v>
          </cell>
          <cell r="C360" t="str">
            <v>TJP</v>
          </cell>
          <cell r="D360">
            <v>4.8</v>
          </cell>
          <cell r="E360">
            <v>4800</v>
          </cell>
          <cell r="F360">
            <v>12754.838709677419</v>
          </cell>
          <cell r="G360" t="str">
            <v>MPA</v>
          </cell>
          <cell r="H360">
            <v>4.8</v>
          </cell>
          <cell r="I360">
            <v>4800</v>
          </cell>
          <cell r="J360">
            <v>7888245.1612903047</v>
          </cell>
          <cell r="K360">
            <v>4923470.9677419337</v>
          </cell>
        </row>
        <row r="361">
          <cell r="A361">
            <v>46382</v>
          </cell>
          <cell r="B361">
            <v>18625.806451612902</v>
          </cell>
          <cell r="C361" t="str">
            <v>TJP</v>
          </cell>
          <cell r="D361">
            <v>4.8</v>
          </cell>
          <cell r="E361">
            <v>4800</v>
          </cell>
          <cell r="F361">
            <v>12754.838709677419</v>
          </cell>
          <cell r="G361" t="str">
            <v>MPA</v>
          </cell>
          <cell r="H361">
            <v>4.8</v>
          </cell>
          <cell r="I361">
            <v>4800</v>
          </cell>
          <cell r="J361">
            <v>7906870.9677419178</v>
          </cell>
          <cell r="K361">
            <v>4936225.8064516112</v>
          </cell>
        </row>
        <row r="362">
          <cell r="A362">
            <v>46383</v>
          </cell>
          <cell r="B362">
            <v>18625.806451612902</v>
          </cell>
          <cell r="C362" t="str">
            <v>TJP</v>
          </cell>
          <cell r="D362">
            <v>4.8</v>
          </cell>
          <cell r="E362">
            <v>4800</v>
          </cell>
          <cell r="F362">
            <v>12754.838709677419</v>
          </cell>
          <cell r="G362" t="str">
            <v>MPA</v>
          </cell>
          <cell r="H362">
            <v>4.8</v>
          </cell>
          <cell r="I362">
            <v>4800</v>
          </cell>
          <cell r="J362">
            <v>7925496.7741935309</v>
          </cell>
          <cell r="K362">
            <v>4948980.6451612888</v>
          </cell>
        </row>
        <row r="363">
          <cell r="A363">
            <v>46384</v>
          </cell>
          <cell r="B363">
            <v>18625.806451612902</v>
          </cell>
          <cell r="C363" t="str">
            <v>TJP</v>
          </cell>
          <cell r="D363">
            <v>4.8</v>
          </cell>
          <cell r="E363">
            <v>4800</v>
          </cell>
          <cell r="F363">
            <v>12754.838709677419</v>
          </cell>
          <cell r="G363" t="str">
            <v>MPA</v>
          </cell>
          <cell r="H363">
            <v>4.8</v>
          </cell>
          <cell r="I363">
            <v>4800</v>
          </cell>
          <cell r="J363">
            <v>7944122.580645144</v>
          </cell>
          <cell r="K363">
            <v>4961735.4838709664</v>
          </cell>
        </row>
        <row r="364">
          <cell r="A364">
            <v>46385</v>
          </cell>
          <cell r="B364">
            <v>18625.806451612902</v>
          </cell>
          <cell r="C364" t="str">
            <v>TJP</v>
          </cell>
          <cell r="D364">
            <v>4.8</v>
          </cell>
          <cell r="E364">
            <v>4800</v>
          </cell>
          <cell r="F364">
            <v>12754.838709677419</v>
          </cell>
          <cell r="G364" t="str">
            <v>MPA</v>
          </cell>
          <cell r="H364">
            <v>4.8</v>
          </cell>
          <cell r="I364">
            <v>4800</v>
          </cell>
          <cell r="J364">
            <v>7962748.3870967571</v>
          </cell>
          <cell r="K364">
            <v>4974490.3225806439</v>
          </cell>
        </row>
        <row r="365">
          <cell r="A365">
            <v>46386</v>
          </cell>
          <cell r="B365">
            <v>18625.806451612902</v>
          </cell>
          <cell r="C365" t="str">
            <v>TJP</v>
          </cell>
          <cell r="D365">
            <v>4.8</v>
          </cell>
          <cell r="E365">
            <v>4800</v>
          </cell>
          <cell r="F365">
            <v>12754.838709677419</v>
          </cell>
          <cell r="G365" t="str">
            <v>MPA</v>
          </cell>
          <cell r="H365">
            <v>4.8</v>
          </cell>
          <cell r="I365">
            <v>4800</v>
          </cell>
          <cell r="J365">
            <v>7981374.1935483702</v>
          </cell>
          <cell r="K365">
            <v>4987245.1612903215</v>
          </cell>
        </row>
        <row r="366">
          <cell r="A366">
            <v>46387</v>
          </cell>
          <cell r="B366">
            <v>18625.806451612902</v>
          </cell>
          <cell r="C366" t="str">
            <v>TJP</v>
          </cell>
          <cell r="D366">
            <v>4.8</v>
          </cell>
          <cell r="E366">
            <v>4800</v>
          </cell>
          <cell r="F366">
            <v>12754.838709677419</v>
          </cell>
          <cell r="G366" t="str">
            <v>MPA</v>
          </cell>
          <cell r="H366">
            <v>4.8</v>
          </cell>
          <cell r="I366">
            <v>4800</v>
          </cell>
          <cell r="J366">
            <v>7999999.9999999832</v>
          </cell>
          <cell r="K366">
            <v>4999999.9999999991</v>
          </cell>
        </row>
      </sheetData>
      <sheetData sheetId="3">
        <row r="2">
          <cell r="G2">
            <v>46266</v>
          </cell>
        </row>
        <row r="47">
          <cell r="V47">
            <v>3714</v>
          </cell>
          <cell r="W47">
            <v>2441</v>
          </cell>
          <cell r="X47">
            <v>0</v>
          </cell>
          <cell r="Y47">
            <v>0</v>
          </cell>
          <cell r="Z47">
            <v>0</v>
          </cell>
        </row>
        <row r="49">
          <cell r="V49">
            <v>0</v>
          </cell>
          <cell r="W49">
            <v>0</v>
          </cell>
          <cell r="X49">
            <v>2459</v>
          </cell>
          <cell r="Y49">
            <v>3493</v>
          </cell>
          <cell r="Z49">
            <v>3611</v>
          </cell>
          <cell r="AA49">
            <v>0</v>
          </cell>
        </row>
        <row r="50"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E50">
            <v>2973.660684999777</v>
          </cell>
        </row>
        <row r="99">
          <cell r="AB99">
            <v>46266</v>
          </cell>
          <cell r="AC99">
            <v>3037.107</v>
          </cell>
          <cell r="AD99">
            <v>2457.3359999999998</v>
          </cell>
        </row>
        <row r="100">
          <cell r="AB100">
            <v>46267</v>
          </cell>
          <cell r="AC100">
            <v>3112.5010000000002</v>
          </cell>
          <cell r="AD100">
            <v>2613.942</v>
          </cell>
        </row>
        <row r="101">
          <cell r="AB101">
            <v>46268</v>
          </cell>
          <cell r="AC101">
            <v>3159.9569999999999</v>
          </cell>
          <cell r="AD101">
            <v>2432.576</v>
          </cell>
        </row>
        <row r="102">
          <cell r="AB102">
            <v>46269</v>
          </cell>
          <cell r="AC102">
            <v>3152.2330000000002</v>
          </cell>
          <cell r="AD102">
            <v>2658.6610000000001</v>
          </cell>
        </row>
        <row r="103">
          <cell r="AB103">
            <v>46270</v>
          </cell>
          <cell r="AC103">
            <v>3100.913</v>
          </cell>
          <cell r="AD103">
            <v>2524.4349999999999</v>
          </cell>
        </row>
        <row r="104">
          <cell r="AB104">
            <v>46271</v>
          </cell>
          <cell r="AC104">
            <v>3072.3629999999998</v>
          </cell>
          <cell r="AD104">
            <v>2772.0479999999998</v>
          </cell>
          <cell r="AN104">
            <v>3637.3737373737449</v>
          </cell>
          <cell r="AO104">
            <v>3442.3322683706069</v>
          </cell>
        </row>
        <row r="105">
          <cell r="AB105">
            <v>46272</v>
          </cell>
          <cell r="AC105">
            <v>3158.9720000000002</v>
          </cell>
          <cell r="AD105">
            <v>2627.9079999999999</v>
          </cell>
        </row>
        <row r="106">
          <cell r="AB106">
            <v>46273</v>
          </cell>
          <cell r="AC106">
            <v>0</v>
          </cell>
          <cell r="AD106">
            <v>0</v>
          </cell>
        </row>
        <row r="107">
          <cell r="AB107">
            <v>46274</v>
          </cell>
          <cell r="AC107">
            <v>0</v>
          </cell>
          <cell r="AD107">
            <v>0</v>
          </cell>
        </row>
        <row r="108">
          <cell r="AB108">
            <v>46275</v>
          </cell>
          <cell r="AC108">
            <v>0</v>
          </cell>
          <cell r="AD108">
            <v>0</v>
          </cell>
        </row>
        <row r="109">
          <cell r="AB109">
            <v>46276</v>
          </cell>
          <cell r="AC109">
            <v>0</v>
          </cell>
          <cell r="AD109">
            <v>0</v>
          </cell>
        </row>
        <row r="110">
          <cell r="AB110">
            <v>46277</v>
          </cell>
          <cell r="AC110">
            <v>0</v>
          </cell>
          <cell r="AD110">
            <v>0</v>
          </cell>
        </row>
        <row r="111">
          <cell r="AB111">
            <v>46278</v>
          </cell>
          <cell r="AC111">
            <v>0</v>
          </cell>
          <cell r="AD111">
            <v>0</v>
          </cell>
        </row>
        <row r="112">
          <cell r="AB112">
            <v>46279</v>
          </cell>
          <cell r="AC112">
            <v>0</v>
          </cell>
          <cell r="AD112">
            <v>0</v>
          </cell>
          <cell r="AN112">
            <v>3549.8985801217036</v>
          </cell>
          <cell r="AO112">
            <v>3200</v>
          </cell>
          <cell r="AT112">
            <v>3126.8000176385854</v>
          </cell>
          <cell r="AU112">
            <v>3047.400227916648</v>
          </cell>
        </row>
        <row r="113">
          <cell r="AB113">
            <v>46280</v>
          </cell>
          <cell r="AC113">
            <v>0</v>
          </cell>
          <cell r="AD113">
            <v>0</v>
          </cell>
          <cell r="AH113">
            <v>3080.6237557589193</v>
          </cell>
          <cell r="AI113">
            <v>2581.5165905061713</v>
          </cell>
          <cell r="AN113">
            <v>3855.2600564279032</v>
          </cell>
          <cell r="AO113">
            <v>2993.4694654674749</v>
          </cell>
          <cell r="AT113">
            <v>3141.4238543317492</v>
          </cell>
          <cell r="AU113">
            <v>2763.0644593535371</v>
          </cell>
        </row>
        <row r="114">
          <cell r="AB114">
            <v>46281</v>
          </cell>
          <cell r="AC114">
            <v>0</v>
          </cell>
          <cell r="AD114">
            <v>0</v>
          </cell>
        </row>
        <row r="115">
          <cell r="AB115">
            <v>46282</v>
          </cell>
          <cell r="AC115">
            <v>0</v>
          </cell>
          <cell r="AD115">
            <v>0</v>
          </cell>
        </row>
        <row r="116">
          <cell r="AB116">
            <v>46283</v>
          </cell>
          <cell r="AC116">
            <v>0</v>
          </cell>
          <cell r="AD116">
            <v>0</v>
          </cell>
        </row>
        <row r="117">
          <cell r="AB117">
            <v>46284</v>
          </cell>
          <cell r="AC117">
            <v>0</v>
          </cell>
          <cell r="AD117">
            <v>0</v>
          </cell>
        </row>
        <row r="118">
          <cell r="AB118">
            <v>46285</v>
          </cell>
          <cell r="AC118">
            <v>0</v>
          </cell>
          <cell r="AD118">
            <v>0</v>
          </cell>
        </row>
        <row r="119">
          <cell r="AB119">
            <v>46286</v>
          </cell>
          <cell r="AC119">
            <v>0</v>
          </cell>
          <cell r="AD119">
            <v>0</v>
          </cell>
        </row>
        <row r="120">
          <cell r="AB120">
            <v>46287</v>
          </cell>
          <cell r="AC120">
            <v>0</v>
          </cell>
          <cell r="AD120">
            <v>0</v>
          </cell>
        </row>
        <row r="121">
          <cell r="AB121">
            <v>46288</v>
          </cell>
          <cell r="AC121">
            <v>0</v>
          </cell>
          <cell r="AD121">
            <v>0</v>
          </cell>
        </row>
        <row r="122">
          <cell r="AB122">
            <v>46289</v>
          </cell>
          <cell r="AC122">
            <v>0</v>
          </cell>
          <cell r="AD122">
            <v>0</v>
          </cell>
        </row>
        <row r="123">
          <cell r="AB123">
            <v>46290</v>
          </cell>
          <cell r="AC123">
            <v>0</v>
          </cell>
          <cell r="AD123">
            <v>0</v>
          </cell>
        </row>
        <row r="124">
          <cell r="AB124">
            <v>46291</v>
          </cell>
          <cell r="AC124">
            <v>0</v>
          </cell>
          <cell r="AD124">
            <v>0</v>
          </cell>
        </row>
        <row r="125">
          <cell r="AB125">
            <v>46292</v>
          </cell>
          <cell r="AC125">
            <v>0</v>
          </cell>
          <cell r="AD125">
            <v>0</v>
          </cell>
        </row>
        <row r="126">
          <cell r="AB126">
            <v>46293</v>
          </cell>
          <cell r="AC126">
            <v>0</v>
          </cell>
          <cell r="AD126">
            <v>0</v>
          </cell>
        </row>
        <row r="127">
          <cell r="AB127">
            <v>46294</v>
          </cell>
          <cell r="AC127">
            <v>0</v>
          </cell>
          <cell r="AD127">
            <v>0</v>
          </cell>
        </row>
        <row r="128">
          <cell r="AB128">
            <v>46295</v>
          </cell>
          <cell r="AC128">
            <v>0</v>
          </cell>
          <cell r="AD128">
            <v>0</v>
          </cell>
        </row>
        <row r="129">
          <cell r="AB129">
            <v>46296</v>
          </cell>
          <cell r="AC129">
            <v>0</v>
          </cell>
          <cell r="AD129">
            <v>0</v>
          </cell>
        </row>
        <row r="134">
          <cell r="Y134">
            <v>3112.8388313898317</v>
          </cell>
          <cell r="Z134">
            <v>2585.1213317356096</v>
          </cell>
        </row>
      </sheetData>
      <sheetData sheetId="4">
        <row r="57">
          <cell r="AC57">
            <v>46266</v>
          </cell>
          <cell r="AD57">
            <v>4695</v>
          </cell>
          <cell r="AE57">
            <v>4950</v>
          </cell>
          <cell r="AF57">
            <v>4872.3300811943427</v>
          </cell>
        </row>
        <row r="58">
          <cell r="AC58">
            <v>46267</v>
          </cell>
          <cell r="AD58">
            <v>4835</v>
          </cell>
          <cell r="AE58">
            <v>4942</v>
          </cell>
          <cell r="AF58">
            <v>4911.2929952840395</v>
          </cell>
        </row>
        <row r="59">
          <cell r="AC59">
            <v>46268</v>
          </cell>
          <cell r="AD59">
            <v>4898</v>
          </cell>
          <cell r="AE59">
            <v>4832</v>
          </cell>
          <cell r="AF59">
            <v>4848.6879417434138</v>
          </cell>
        </row>
        <row r="60">
          <cell r="AC60">
            <v>46269</v>
          </cell>
          <cell r="AD60">
            <v>4896</v>
          </cell>
          <cell r="AE60">
            <v>4900</v>
          </cell>
          <cell r="AF60">
            <v>4898.7056544128891</v>
          </cell>
        </row>
        <row r="61">
          <cell r="AC61">
            <v>46270</v>
          </cell>
          <cell r="AD61">
            <v>4922</v>
          </cell>
          <cell r="AE61">
            <v>4960</v>
          </cell>
          <cell r="AF61">
            <v>4949.2220060476784</v>
          </cell>
        </row>
        <row r="62">
          <cell r="AC62">
            <v>46271</v>
          </cell>
          <cell r="AD62">
            <v>4913</v>
          </cell>
          <cell r="AE62">
            <v>4988</v>
          </cell>
          <cell r="AF62">
            <v>4967.1784966737823</v>
          </cell>
        </row>
        <row r="63">
          <cell r="AC63">
            <v>46272</v>
          </cell>
          <cell r="AD63">
            <v>4815</v>
          </cell>
          <cell r="AE63">
            <v>4936</v>
          </cell>
          <cell r="AF63">
            <v>4904.1948889858331</v>
          </cell>
        </row>
        <row r="64">
          <cell r="AC64">
            <v>46273</v>
          </cell>
          <cell r="AD64">
            <v>0</v>
          </cell>
          <cell r="AE64">
            <v>0</v>
          </cell>
          <cell r="AF64">
            <v>0</v>
          </cell>
        </row>
        <row r="65">
          <cell r="AC65">
            <v>46274</v>
          </cell>
          <cell r="AD65">
            <v>0</v>
          </cell>
          <cell r="AE65">
            <v>0</v>
          </cell>
          <cell r="AF65">
            <v>0</v>
          </cell>
        </row>
        <row r="66">
          <cell r="AC66">
            <v>46275</v>
          </cell>
          <cell r="AD66">
            <v>0</v>
          </cell>
          <cell r="AE66">
            <v>0</v>
          </cell>
          <cell r="AF66">
            <v>0</v>
          </cell>
        </row>
        <row r="67">
          <cell r="AC67">
            <v>46276</v>
          </cell>
          <cell r="AD67">
            <v>0</v>
          </cell>
          <cell r="AE67">
            <v>0</v>
          </cell>
          <cell r="AF67">
            <v>0</v>
          </cell>
        </row>
        <row r="68">
          <cell r="AC68">
            <v>46277</v>
          </cell>
          <cell r="AD68">
            <v>0</v>
          </cell>
          <cell r="AE68">
            <v>0</v>
          </cell>
          <cell r="AF68">
            <v>0</v>
          </cell>
        </row>
        <row r="69">
          <cell r="AC69">
            <v>46278</v>
          </cell>
          <cell r="AD69">
            <v>0</v>
          </cell>
          <cell r="AE69">
            <v>0</v>
          </cell>
          <cell r="AF69">
            <v>0</v>
          </cell>
        </row>
        <row r="70">
          <cell r="AC70">
            <v>46279</v>
          </cell>
          <cell r="AD70">
            <v>0</v>
          </cell>
          <cell r="AE70">
            <v>0</v>
          </cell>
          <cell r="AF70">
            <v>0</v>
          </cell>
        </row>
        <row r="71">
          <cell r="AC71">
            <v>46280</v>
          </cell>
          <cell r="AD71">
            <v>0</v>
          </cell>
          <cell r="AE71">
            <v>0</v>
          </cell>
          <cell r="AF71">
            <v>0</v>
          </cell>
        </row>
        <row r="72">
          <cell r="AC72">
            <v>46281</v>
          </cell>
          <cell r="AD72">
            <v>0</v>
          </cell>
          <cell r="AE72">
            <v>0</v>
          </cell>
          <cell r="AF72">
            <v>0</v>
          </cell>
        </row>
        <row r="73">
          <cell r="AC73">
            <v>46282</v>
          </cell>
          <cell r="AD73">
            <v>0</v>
          </cell>
          <cell r="AE73">
            <v>0</v>
          </cell>
          <cell r="AF73">
            <v>0</v>
          </cell>
        </row>
        <row r="74">
          <cell r="AC74">
            <v>46283</v>
          </cell>
          <cell r="AD74">
            <v>0</v>
          </cell>
          <cell r="AE74">
            <v>0</v>
          </cell>
          <cell r="AF74">
            <v>0</v>
          </cell>
        </row>
        <row r="75">
          <cell r="AC75">
            <v>46284</v>
          </cell>
          <cell r="AD75">
            <v>0</v>
          </cell>
          <cell r="AE75">
            <v>0</v>
          </cell>
          <cell r="AF75">
            <v>0</v>
          </cell>
        </row>
        <row r="76">
          <cell r="AC76">
            <v>46285</v>
          </cell>
          <cell r="AD76">
            <v>0</v>
          </cell>
          <cell r="AE76">
            <v>0</v>
          </cell>
          <cell r="AF76">
            <v>0</v>
          </cell>
        </row>
        <row r="77">
          <cell r="AC77">
            <v>46286</v>
          </cell>
          <cell r="AD77">
            <v>0</v>
          </cell>
          <cell r="AE77">
            <v>0</v>
          </cell>
          <cell r="AF77">
            <v>0</v>
          </cell>
        </row>
        <row r="78">
          <cell r="AC78">
            <v>46287</v>
          </cell>
          <cell r="AD78">
            <v>0</v>
          </cell>
          <cell r="AE78">
            <v>0</v>
          </cell>
          <cell r="AF78">
            <v>0</v>
          </cell>
        </row>
        <row r="79">
          <cell r="AC79">
            <v>46288</v>
          </cell>
          <cell r="AD79">
            <v>0</v>
          </cell>
          <cell r="AE79">
            <v>0</v>
          </cell>
          <cell r="AF79">
            <v>0</v>
          </cell>
        </row>
        <row r="80">
          <cell r="AC80">
            <v>46289</v>
          </cell>
          <cell r="AD80">
            <v>0</v>
          </cell>
          <cell r="AE80">
            <v>0</v>
          </cell>
          <cell r="AF80">
            <v>0</v>
          </cell>
        </row>
        <row r="81">
          <cell r="AC81">
            <v>46290</v>
          </cell>
          <cell r="AD81">
            <v>0</v>
          </cell>
          <cell r="AE81">
            <v>0</v>
          </cell>
          <cell r="AF81">
            <v>0</v>
          </cell>
        </row>
        <row r="82">
          <cell r="AC82">
            <v>46291</v>
          </cell>
          <cell r="AD82">
            <v>0</v>
          </cell>
          <cell r="AE82">
            <v>0</v>
          </cell>
          <cell r="AF82">
            <v>0</v>
          </cell>
        </row>
        <row r="83">
          <cell r="AC83">
            <v>46292</v>
          </cell>
          <cell r="AD83">
            <v>0</v>
          </cell>
          <cell r="AE83">
            <v>0</v>
          </cell>
          <cell r="AF83">
            <v>0</v>
          </cell>
        </row>
        <row r="84">
          <cell r="AC84">
            <v>46293</v>
          </cell>
          <cell r="AD84">
            <v>0</v>
          </cell>
          <cell r="AE84">
            <v>0</v>
          </cell>
          <cell r="AF84">
            <v>0</v>
          </cell>
        </row>
        <row r="85">
          <cell r="AC85">
            <v>46294</v>
          </cell>
          <cell r="AD85">
            <v>0</v>
          </cell>
          <cell r="AE85">
            <v>0</v>
          </cell>
          <cell r="AF85">
            <v>0</v>
          </cell>
        </row>
        <row r="86">
          <cell r="AC86">
            <v>46295</v>
          </cell>
          <cell r="AD86">
            <v>0</v>
          </cell>
          <cell r="AE86">
            <v>0</v>
          </cell>
          <cell r="AF86">
            <v>0</v>
          </cell>
        </row>
        <row r="87">
          <cell r="AC87">
            <v>46296</v>
          </cell>
          <cell r="AD87">
            <v>0</v>
          </cell>
          <cell r="AE87">
            <v>0</v>
          </cell>
          <cell r="AF87">
            <v>0</v>
          </cell>
        </row>
        <row r="103">
          <cell r="AJ103">
            <v>4700</v>
          </cell>
          <cell r="AK103">
            <v>4000</v>
          </cell>
        </row>
        <row r="111">
          <cell r="AD111">
            <v>4851.7770691420683</v>
          </cell>
          <cell r="AE111">
            <v>4928.2722200220023</v>
          </cell>
          <cell r="AJ111">
            <v>4000</v>
          </cell>
          <cell r="AK111">
            <v>4500</v>
          </cell>
          <cell r="AP111">
            <v>4400</v>
          </cell>
          <cell r="AQ111">
            <v>4500</v>
          </cell>
        </row>
        <row r="112">
          <cell r="AD112">
            <v>4237.8774474618049</v>
          </cell>
          <cell r="AE112">
            <v>3961.4515232119998</v>
          </cell>
          <cell r="AJ112">
            <v>4312.6731260377555</v>
          </cell>
          <cell r="AK112">
            <v>3908.4309830243806</v>
          </cell>
          <cell r="AP112">
            <v>4378.2666344561858</v>
          </cell>
          <cell r="AQ112">
            <v>4269.3349247248452</v>
          </cell>
        </row>
      </sheetData>
      <sheetData sheetId="5"/>
      <sheetData sheetId="6">
        <row r="1">
          <cell r="D1" t="str">
            <v>January</v>
          </cell>
          <cell r="E1" t="str">
            <v>February</v>
          </cell>
          <cell r="F1" t="str">
            <v>March</v>
          </cell>
          <cell r="G1" t="str">
            <v>April</v>
          </cell>
          <cell r="H1" t="str">
            <v>May</v>
          </cell>
          <cell r="I1" t="str">
            <v>June</v>
          </cell>
          <cell r="J1" t="str">
            <v>July</v>
          </cell>
          <cell r="K1" t="str">
            <v>August</v>
          </cell>
          <cell r="L1" t="str">
            <v>September</v>
          </cell>
          <cell r="M1" t="str">
            <v>October</v>
          </cell>
          <cell r="N1" t="str">
            <v>November</v>
          </cell>
          <cell r="O1" t="str">
            <v>December</v>
          </cell>
        </row>
        <row r="2">
          <cell r="D2" t="str">
            <v>Jan</v>
          </cell>
          <cell r="E2" t="str">
            <v>Feb</v>
          </cell>
          <cell r="F2" t="str">
            <v>Mar</v>
          </cell>
          <cell r="G2" t="str">
            <v>Apr</v>
          </cell>
          <cell r="H2" t="str">
            <v>May</v>
          </cell>
          <cell r="I2" t="str">
            <v>Jun</v>
          </cell>
          <cell r="J2" t="str">
            <v>Jul</v>
          </cell>
          <cell r="K2" t="str">
            <v>Aug</v>
          </cell>
          <cell r="L2" t="str">
            <v>Sep</v>
          </cell>
          <cell r="M2" t="str">
            <v>Oct</v>
          </cell>
          <cell r="N2" t="str">
            <v>Nov</v>
          </cell>
          <cell r="O2" t="str">
            <v>Dec</v>
          </cell>
        </row>
        <row r="3">
          <cell r="D3">
            <v>392.46612018702842</v>
          </cell>
          <cell r="E3">
            <v>441.80201957197852</v>
          </cell>
          <cell r="F3">
            <v>520.83726224742838</v>
          </cell>
          <cell r="G3">
            <v>501.22</v>
          </cell>
          <cell r="H3">
            <v>407.16</v>
          </cell>
          <cell r="I3">
            <v>259.60000000000002</v>
          </cell>
          <cell r="J3">
            <v>234.13</v>
          </cell>
          <cell r="K3">
            <v>154.32</v>
          </cell>
          <cell r="L3">
            <v>253.84</v>
          </cell>
          <cell r="M3">
            <v>279.51</v>
          </cell>
          <cell r="N3">
            <v>431.07</v>
          </cell>
          <cell r="O3">
            <v>334.81</v>
          </cell>
        </row>
        <row r="4">
          <cell r="D4">
            <v>0.18313553085690396</v>
          </cell>
          <cell r="E4">
            <v>0.22077574449925047</v>
          </cell>
          <cell r="F4">
            <v>0.22548232354985495</v>
          </cell>
          <cell r="G4">
            <v>0.22631139127536631</v>
          </cell>
          <cell r="H4">
            <v>0.18798271591974527</v>
          </cell>
          <cell r="I4">
            <v>0.14394947605734024</v>
          </cell>
          <cell r="J4">
            <v>0.13090395645670524</v>
          </cell>
          <cell r="K4">
            <v>0.10457640751868742</v>
          </cell>
          <cell r="L4">
            <v>0.14198604326346626</v>
          </cell>
          <cell r="M4">
            <v>0.14587381199870811</v>
          </cell>
          <cell r="N4">
            <v>0.20239909778747406</v>
          </cell>
          <cell r="O4">
            <v>0.16411605553050093</v>
          </cell>
        </row>
        <row r="5">
          <cell r="D5">
            <v>31</v>
          </cell>
          <cell r="E5">
            <v>28</v>
          </cell>
          <cell r="F5">
            <v>31</v>
          </cell>
          <cell r="G5">
            <v>30</v>
          </cell>
          <cell r="H5">
            <v>31</v>
          </cell>
          <cell r="I5">
            <v>30</v>
          </cell>
          <cell r="J5">
            <v>31</v>
          </cell>
          <cell r="K5">
            <v>31</v>
          </cell>
          <cell r="L5">
            <v>30</v>
          </cell>
          <cell r="M5">
            <v>31</v>
          </cell>
          <cell r="N5">
            <v>30</v>
          </cell>
          <cell r="O5">
            <v>31</v>
          </cell>
        </row>
        <row r="6">
          <cell r="D6">
            <v>136.25283495753655</v>
          </cell>
          <cell r="E6">
            <v>148.36130030349634</v>
          </cell>
          <cell r="F6">
            <v>167.75884872109208</v>
          </cell>
          <cell r="G6">
            <v>162.94420171826374</v>
          </cell>
          <cell r="H6">
            <v>139.85914064429048</v>
          </cell>
          <cell r="I6">
            <v>103.64362276128497</v>
          </cell>
          <cell r="J6">
            <v>97.392543603788695</v>
          </cell>
          <cell r="K6">
            <v>77.804847193903441</v>
          </cell>
          <cell r="L6">
            <v>102.22995114969569</v>
          </cell>
          <cell r="M6">
            <v>108.53011612703884</v>
          </cell>
          <cell r="N6">
            <v>145.72735040698132</v>
          </cell>
          <cell r="O6">
            <v>122.1023453146927</v>
          </cell>
        </row>
        <row r="7"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5</v>
          </cell>
          <cell r="I7">
            <v>6</v>
          </cell>
          <cell r="J7">
            <v>7</v>
          </cell>
          <cell r="K7">
            <v>8</v>
          </cell>
          <cell r="L7">
            <v>9</v>
          </cell>
          <cell r="M7">
            <v>10</v>
          </cell>
          <cell r="N7">
            <v>11</v>
          </cell>
          <cell r="O7">
            <v>12</v>
          </cell>
        </row>
        <row r="8">
          <cell r="D8">
            <v>744</v>
          </cell>
          <cell r="E8">
            <v>672</v>
          </cell>
          <cell r="F8">
            <v>744</v>
          </cell>
          <cell r="G8">
            <v>720</v>
          </cell>
          <cell r="H8">
            <v>744</v>
          </cell>
          <cell r="I8">
            <v>720</v>
          </cell>
          <cell r="J8">
            <v>744</v>
          </cell>
          <cell r="K8">
            <v>744</v>
          </cell>
          <cell r="L8">
            <v>720</v>
          </cell>
          <cell r="M8">
            <v>744</v>
          </cell>
          <cell r="N8">
            <v>720</v>
          </cell>
          <cell r="O8">
            <v>744</v>
          </cell>
        </row>
        <row r="9">
          <cell r="D9">
            <v>0.18313553085690396</v>
          </cell>
          <cell r="E9">
            <v>0.2207757444992505</v>
          </cell>
          <cell r="F9">
            <v>0.22548232354985495</v>
          </cell>
          <cell r="G9">
            <v>0.22631139127536631</v>
          </cell>
          <cell r="H9">
            <v>0.18798271591974527</v>
          </cell>
          <cell r="I9">
            <v>0.14394947605734024</v>
          </cell>
          <cell r="J9">
            <v>0.13090395645670524</v>
          </cell>
          <cell r="K9">
            <v>0.10457640751868742</v>
          </cell>
          <cell r="L9">
            <v>0.14198604326346626</v>
          </cell>
          <cell r="M9">
            <v>0.14587381199870811</v>
          </cell>
          <cell r="N9">
            <v>0.20239909778747406</v>
          </cell>
          <cell r="O9">
            <v>0.16411605553050093</v>
          </cell>
        </row>
        <row r="10">
          <cell r="D10">
            <v>607.74716504246339</v>
          </cell>
          <cell r="E10">
            <v>523.63869969650364</v>
          </cell>
          <cell r="F10">
            <v>576.24115127890786</v>
          </cell>
          <cell r="G10">
            <v>557.05579828173632</v>
          </cell>
          <cell r="H10">
            <v>604.14085935570949</v>
          </cell>
          <cell r="I10">
            <v>616.35637723871503</v>
          </cell>
          <cell r="J10">
            <v>646.60745639621132</v>
          </cell>
          <cell r="K10">
            <v>666.19515280609653</v>
          </cell>
          <cell r="L10">
            <v>617.77004885030431</v>
          </cell>
          <cell r="M10">
            <v>635.46988387296119</v>
          </cell>
          <cell r="N10">
            <v>574.27264959301874</v>
          </cell>
          <cell r="O10">
            <v>621.89765468530732</v>
          </cell>
        </row>
        <row r="11">
          <cell r="D11">
            <v>12.660197425388013</v>
          </cell>
          <cell r="E11">
            <v>15.778643556142089</v>
          </cell>
          <cell r="F11">
            <v>16.801202007981562</v>
          </cell>
          <cell r="G11">
            <v>16.707333333333334</v>
          </cell>
          <cell r="H11">
            <v>13.134193548387097</v>
          </cell>
          <cell r="I11">
            <v>8.6533333333333342</v>
          </cell>
          <cell r="J11">
            <v>7.5525806451612905</v>
          </cell>
          <cell r="K11">
            <v>4.9780645161290318</v>
          </cell>
          <cell r="L11">
            <v>8.461333333333334</v>
          </cell>
          <cell r="M11">
            <v>9.0164516129032251</v>
          </cell>
          <cell r="N11">
            <v>14.369</v>
          </cell>
          <cell r="O11">
            <v>10.800322580645162</v>
          </cell>
        </row>
        <row r="12">
          <cell r="D12">
            <v>95.376984470275573</v>
          </cell>
          <cell r="E12">
            <v>103.85291021244743</v>
          </cell>
          <cell r="F12">
            <v>117.43119410476444</v>
          </cell>
          <cell r="G12">
            <v>124.18099029871648</v>
          </cell>
          <cell r="H12">
            <v>104.75340175578725</v>
          </cell>
          <cell r="I12">
            <v>74.275675140917627</v>
          </cell>
          <cell r="J12">
            <v>69.014983240126554</v>
          </cell>
          <cell r="K12">
            <v>52.530655772433782</v>
          </cell>
          <cell r="L12">
            <v>73.085978032611507</v>
          </cell>
          <cell r="M12">
            <v>78.387978860774325</v>
          </cell>
          <cell r="N12">
            <v>109.69188402307874</v>
          </cell>
          <cell r="O12">
            <v>89.80989727906038</v>
          </cell>
        </row>
        <row r="13">
          <cell r="D13">
            <v>40.875850487260962</v>
          </cell>
          <cell r="E13">
            <v>44.508390091048902</v>
          </cell>
          <cell r="F13">
            <v>50.327654616327621</v>
          </cell>
          <cell r="G13">
            <v>38.763211419547261</v>
          </cell>
          <cell r="H13">
            <v>35.105738888503218</v>
          </cell>
          <cell r="I13">
            <v>29.367947620367353</v>
          </cell>
          <cell r="J13">
            <v>28.377560363662141</v>
          </cell>
          <cell r="K13">
            <v>25.274191421469656</v>
          </cell>
          <cell r="L13">
            <v>29.143973117084194</v>
          </cell>
          <cell r="M13">
            <v>30.142137266264513</v>
          </cell>
          <cell r="N13">
            <v>36.035466383902573</v>
          </cell>
          <cell r="O13">
            <v>32.292448035632319</v>
          </cell>
        </row>
        <row r="14">
          <cell r="D14">
            <v>4.3952527405656951</v>
          </cell>
          <cell r="E14">
            <v>5.2986178679820117</v>
          </cell>
          <cell r="F14">
            <v>5.4115757651965186</v>
          </cell>
          <cell r="G14">
            <v>5.4314733906087911</v>
          </cell>
          <cell r="H14">
            <v>4.5115851820738859</v>
          </cell>
          <cell r="I14">
            <v>3.4547874253761659</v>
          </cell>
          <cell r="J14">
            <v>3.1416949549609257</v>
          </cell>
          <cell r="K14">
            <v>2.5098337804484983</v>
          </cell>
          <cell r="L14">
            <v>3.4076650383231897</v>
          </cell>
          <cell r="M14">
            <v>3.5009714879689948</v>
          </cell>
          <cell r="N14">
            <v>4.857578346899377</v>
          </cell>
          <cell r="O14">
            <v>3.9387853327320226</v>
          </cell>
        </row>
        <row r="22">
          <cell r="F22" t="str">
            <v>Rainfall</v>
          </cell>
          <cell r="H22" t="str">
            <v>Duration</v>
          </cell>
        </row>
        <row r="23">
          <cell r="F23" t="str">
            <v>Total</v>
          </cell>
          <cell r="H23" t="str">
            <v>Total</v>
          </cell>
        </row>
        <row r="24">
          <cell r="F24" t="str">
            <v>Daily</v>
          </cell>
          <cell r="G24" t="str">
            <v>cum</v>
          </cell>
          <cell r="H24" t="str">
            <v>Daily</v>
          </cell>
          <cell r="I24" t="str">
            <v>Cum</v>
          </cell>
        </row>
        <row r="25">
          <cell r="E25">
            <v>46023</v>
          </cell>
          <cell r="F25">
            <v>12.660197425388013</v>
          </cell>
          <cell r="G25">
            <v>12.660197425388013</v>
          </cell>
          <cell r="H25">
            <v>4.3952527405656951</v>
          </cell>
          <cell r="I25">
            <v>4.3952527405656951</v>
          </cell>
        </row>
        <row r="26">
          <cell r="E26">
            <v>46024</v>
          </cell>
          <cell r="F26">
            <v>12.660197425388013</v>
          </cell>
          <cell r="G26">
            <v>25.320394850776026</v>
          </cell>
          <cell r="H26">
            <v>4.3952527405656951</v>
          </cell>
          <cell r="I26">
            <v>8.7905054811313903</v>
          </cell>
        </row>
        <row r="27">
          <cell r="E27">
            <v>46025</v>
          </cell>
          <cell r="F27">
            <v>12.660197425388013</v>
          </cell>
          <cell r="G27">
            <v>37.980592276164039</v>
          </cell>
          <cell r="H27">
            <v>4.3952527405656951</v>
          </cell>
          <cell r="I27">
            <v>13.185758221697085</v>
          </cell>
        </row>
        <row r="28">
          <cell r="E28">
            <v>46026</v>
          </cell>
          <cell r="F28">
            <v>12.660197425388013</v>
          </cell>
          <cell r="G28">
            <v>50.640789701552052</v>
          </cell>
          <cell r="H28">
            <v>4.3952527405656951</v>
          </cell>
          <cell r="I28">
            <v>17.581010962262781</v>
          </cell>
        </row>
        <row r="29">
          <cell r="E29">
            <v>46027</v>
          </cell>
          <cell r="F29">
            <v>12.660197425388013</v>
          </cell>
          <cell r="G29">
            <v>63.300987126940065</v>
          </cell>
          <cell r="H29">
            <v>4.3952527405656951</v>
          </cell>
          <cell r="I29">
            <v>21.976263702828476</v>
          </cell>
        </row>
        <row r="30">
          <cell r="E30">
            <v>46028</v>
          </cell>
          <cell r="F30">
            <v>12.660197425388013</v>
          </cell>
          <cell r="G30">
            <v>75.961184552328078</v>
          </cell>
          <cell r="H30">
            <v>4.3952527405656951</v>
          </cell>
          <cell r="I30">
            <v>26.371516443394171</v>
          </cell>
        </row>
        <row r="31">
          <cell r="E31">
            <v>46029</v>
          </cell>
          <cell r="F31">
            <v>12.660197425388013</v>
          </cell>
          <cell r="G31">
            <v>88.621381977716084</v>
          </cell>
          <cell r="H31">
            <v>4.3952527405656951</v>
          </cell>
          <cell r="I31">
            <v>30.766769183959866</v>
          </cell>
        </row>
        <row r="32">
          <cell r="E32">
            <v>46030</v>
          </cell>
          <cell r="F32">
            <v>12.660197425388013</v>
          </cell>
          <cell r="G32">
            <v>101.2815794031041</v>
          </cell>
          <cell r="H32">
            <v>4.3952527405656951</v>
          </cell>
          <cell r="I32">
            <v>35.162021924525561</v>
          </cell>
        </row>
        <row r="33">
          <cell r="E33">
            <v>46031</v>
          </cell>
          <cell r="F33">
            <v>12.660197425388013</v>
          </cell>
          <cell r="G33">
            <v>113.94177682849212</v>
          </cell>
          <cell r="H33">
            <v>4.3952527405656951</v>
          </cell>
          <cell r="I33">
            <v>39.557274665091256</v>
          </cell>
        </row>
        <row r="34">
          <cell r="E34">
            <v>46032</v>
          </cell>
          <cell r="F34">
            <v>12.660197425388013</v>
          </cell>
          <cell r="G34">
            <v>126.60197425388014</v>
          </cell>
          <cell r="H34">
            <v>4.3952527405656951</v>
          </cell>
          <cell r="I34">
            <v>43.952527405656951</v>
          </cell>
        </row>
        <row r="35">
          <cell r="E35">
            <v>46033</v>
          </cell>
          <cell r="F35">
            <v>12.660197425388013</v>
          </cell>
          <cell r="G35">
            <v>139.26217167926816</v>
          </cell>
          <cell r="H35">
            <v>4.3952527405656951</v>
          </cell>
          <cell r="I35">
            <v>48.347780146222647</v>
          </cell>
        </row>
        <row r="36">
          <cell r="E36">
            <v>46034</v>
          </cell>
          <cell r="F36">
            <v>12.660197425388013</v>
          </cell>
          <cell r="G36">
            <v>151.92236910465618</v>
          </cell>
          <cell r="H36">
            <v>4.3952527405656951</v>
          </cell>
          <cell r="I36">
            <v>52.743032886788342</v>
          </cell>
        </row>
        <row r="37">
          <cell r="E37">
            <v>46035</v>
          </cell>
          <cell r="F37">
            <v>12.660197425388013</v>
          </cell>
          <cell r="G37">
            <v>164.5825665300442</v>
          </cell>
          <cell r="H37">
            <v>4.3952527405656951</v>
          </cell>
          <cell r="I37">
            <v>57.138285627354037</v>
          </cell>
        </row>
        <row r="38">
          <cell r="E38">
            <v>46036</v>
          </cell>
          <cell r="F38">
            <v>12.660197425388013</v>
          </cell>
          <cell r="G38">
            <v>177.24276395543222</v>
          </cell>
          <cell r="H38">
            <v>4.3952527405656951</v>
          </cell>
          <cell r="I38">
            <v>61.533538367919732</v>
          </cell>
        </row>
        <row r="39">
          <cell r="E39">
            <v>46037</v>
          </cell>
          <cell r="F39">
            <v>12.660197425388013</v>
          </cell>
          <cell r="G39">
            <v>189.90296138082024</v>
          </cell>
          <cell r="H39">
            <v>4.3952527405656951</v>
          </cell>
          <cell r="I39">
            <v>65.928791108485427</v>
          </cell>
        </row>
        <row r="40">
          <cell r="E40">
            <v>46038</v>
          </cell>
          <cell r="F40">
            <v>12.660197425388013</v>
          </cell>
          <cell r="G40">
            <v>202.56315880620826</v>
          </cell>
          <cell r="H40">
            <v>4.3952527405656951</v>
          </cell>
          <cell r="I40">
            <v>70.324043849051122</v>
          </cell>
        </row>
        <row r="41">
          <cell r="E41">
            <v>46039</v>
          </cell>
          <cell r="F41">
            <v>12.660197425388013</v>
          </cell>
          <cell r="G41">
            <v>215.22335623159628</v>
          </cell>
          <cell r="H41">
            <v>4.3952527405656951</v>
          </cell>
          <cell r="I41">
            <v>74.719296589616818</v>
          </cell>
        </row>
        <row r="42">
          <cell r="E42">
            <v>46040</v>
          </cell>
          <cell r="F42">
            <v>12.660197425388013</v>
          </cell>
          <cell r="G42">
            <v>227.8835536569843</v>
          </cell>
          <cell r="H42">
            <v>4.3952527405656951</v>
          </cell>
          <cell r="I42">
            <v>79.114549330182513</v>
          </cell>
        </row>
        <row r="43">
          <cell r="E43">
            <v>46041</v>
          </cell>
          <cell r="F43">
            <v>12.660197425388013</v>
          </cell>
          <cell r="G43">
            <v>240.54375108237232</v>
          </cell>
          <cell r="H43">
            <v>4.3952527405656951</v>
          </cell>
          <cell r="I43">
            <v>83.509802070748208</v>
          </cell>
        </row>
        <row r="44">
          <cell r="E44">
            <v>46042</v>
          </cell>
          <cell r="F44">
            <v>12.660197425388013</v>
          </cell>
          <cell r="G44">
            <v>253.20394850776034</v>
          </cell>
          <cell r="H44">
            <v>4.3952527405656951</v>
          </cell>
          <cell r="I44">
            <v>87.905054811313903</v>
          </cell>
        </row>
        <row r="45">
          <cell r="E45">
            <v>46043</v>
          </cell>
          <cell r="F45">
            <v>12.660197425388013</v>
          </cell>
          <cell r="G45">
            <v>265.86414593314834</v>
          </cell>
          <cell r="H45">
            <v>4.3952527405656951</v>
          </cell>
          <cell r="I45">
            <v>92.300307551879598</v>
          </cell>
        </row>
        <row r="46">
          <cell r="E46">
            <v>46044</v>
          </cell>
          <cell r="F46">
            <v>12.660197425388013</v>
          </cell>
          <cell r="G46">
            <v>278.52434335853633</v>
          </cell>
          <cell r="H46">
            <v>4.3952527405656951</v>
          </cell>
          <cell r="I46">
            <v>96.695560292445293</v>
          </cell>
        </row>
        <row r="47">
          <cell r="E47">
            <v>46045</v>
          </cell>
          <cell r="F47">
            <v>12.660197425388013</v>
          </cell>
          <cell r="G47">
            <v>291.18454078392432</v>
          </cell>
          <cell r="H47">
            <v>4.3952527405656951</v>
          </cell>
          <cell r="I47">
            <v>101.09081303301099</v>
          </cell>
        </row>
        <row r="48">
          <cell r="E48">
            <v>46046</v>
          </cell>
          <cell r="F48">
            <v>12.660197425388013</v>
          </cell>
          <cell r="G48">
            <v>303.84473820931231</v>
          </cell>
          <cell r="H48">
            <v>4.3952527405656951</v>
          </cell>
          <cell r="I48">
            <v>105.48606577357668</v>
          </cell>
        </row>
        <row r="49">
          <cell r="E49">
            <v>46047</v>
          </cell>
          <cell r="F49">
            <v>12.660197425388013</v>
          </cell>
          <cell r="G49">
            <v>316.5049356347003</v>
          </cell>
          <cell r="H49">
            <v>4.3952527405656951</v>
          </cell>
          <cell r="I49">
            <v>109.88131851414238</v>
          </cell>
        </row>
        <row r="50">
          <cell r="E50">
            <v>46048</v>
          </cell>
          <cell r="F50">
            <v>12.660197425388013</v>
          </cell>
          <cell r="G50">
            <v>329.16513306008829</v>
          </cell>
          <cell r="H50">
            <v>4.3952527405656951</v>
          </cell>
          <cell r="I50">
            <v>114.27657125470807</v>
          </cell>
        </row>
        <row r="51">
          <cell r="E51">
            <v>46049</v>
          </cell>
          <cell r="F51">
            <v>12.660197425388013</v>
          </cell>
          <cell r="G51">
            <v>341.82533048547629</v>
          </cell>
          <cell r="H51">
            <v>4.3952527405656951</v>
          </cell>
          <cell r="I51">
            <v>118.67182399527377</v>
          </cell>
        </row>
        <row r="52">
          <cell r="E52">
            <v>46050</v>
          </cell>
          <cell r="F52">
            <v>12.660197425388013</v>
          </cell>
          <cell r="G52">
            <v>354.48552791086428</v>
          </cell>
          <cell r="H52">
            <v>4.3952527405656951</v>
          </cell>
          <cell r="I52">
            <v>123.06707673583946</v>
          </cell>
        </row>
        <row r="53">
          <cell r="E53">
            <v>46051</v>
          </cell>
          <cell r="F53">
            <v>12.660197425388013</v>
          </cell>
          <cell r="G53">
            <v>367.14572533625227</v>
          </cell>
          <cell r="H53">
            <v>4.3952527405656951</v>
          </cell>
          <cell r="I53">
            <v>127.46232947640516</v>
          </cell>
        </row>
        <row r="54">
          <cell r="E54">
            <v>46052</v>
          </cell>
          <cell r="F54">
            <v>12.660197425388013</v>
          </cell>
          <cell r="G54">
            <v>379.80592276164026</v>
          </cell>
          <cell r="H54">
            <v>4.3952527405656951</v>
          </cell>
          <cell r="I54">
            <v>131.85758221697085</v>
          </cell>
        </row>
        <row r="55">
          <cell r="E55">
            <v>46053</v>
          </cell>
          <cell r="F55">
            <v>12.660197425388013</v>
          </cell>
          <cell r="G55">
            <v>392.46612018702825</v>
          </cell>
          <cell r="H55">
            <v>4.3952527405656951</v>
          </cell>
          <cell r="I55">
            <v>136.25283495753655</v>
          </cell>
        </row>
        <row r="56">
          <cell r="E56">
            <v>46054</v>
          </cell>
          <cell r="F56">
            <v>15.778643556142089</v>
          </cell>
          <cell r="G56">
            <v>408.24476374317032</v>
          </cell>
          <cell r="H56">
            <v>5.2986178679820117</v>
          </cell>
          <cell r="I56">
            <v>141.55145282551857</v>
          </cell>
        </row>
        <row r="57">
          <cell r="E57">
            <v>46055</v>
          </cell>
          <cell r="F57">
            <v>15.778643556142089</v>
          </cell>
          <cell r="G57">
            <v>424.0234072993124</v>
          </cell>
          <cell r="H57">
            <v>5.2986178679820117</v>
          </cell>
          <cell r="I57">
            <v>146.85007069350058</v>
          </cell>
        </row>
        <row r="58">
          <cell r="E58">
            <v>46056</v>
          </cell>
          <cell r="F58">
            <v>15.778643556142089</v>
          </cell>
          <cell r="G58">
            <v>439.80205085545447</v>
          </cell>
          <cell r="H58">
            <v>5.2986178679820117</v>
          </cell>
          <cell r="I58">
            <v>152.1486885614826</v>
          </cell>
        </row>
        <row r="59">
          <cell r="E59">
            <v>46057</v>
          </cell>
          <cell r="F59">
            <v>15.778643556142089</v>
          </cell>
          <cell r="G59">
            <v>455.58069441159654</v>
          </cell>
          <cell r="H59">
            <v>5.2986178679820117</v>
          </cell>
          <cell r="I59">
            <v>157.44730642946462</v>
          </cell>
        </row>
        <row r="60">
          <cell r="E60">
            <v>46058</v>
          </cell>
          <cell r="F60">
            <v>15.778643556142089</v>
          </cell>
          <cell r="G60">
            <v>471.35933796773861</v>
          </cell>
          <cell r="H60">
            <v>5.2986178679820117</v>
          </cell>
          <cell r="I60">
            <v>162.74592429744663</v>
          </cell>
        </row>
        <row r="61">
          <cell r="E61">
            <v>46059</v>
          </cell>
          <cell r="F61">
            <v>15.778643556142089</v>
          </cell>
          <cell r="G61">
            <v>487.13798152388068</v>
          </cell>
          <cell r="H61">
            <v>5.2986178679820117</v>
          </cell>
          <cell r="I61">
            <v>168.04454216542865</v>
          </cell>
        </row>
        <row r="62">
          <cell r="E62">
            <v>46060</v>
          </cell>
          <cell r="F62">
            <v>15.778643556142089</v>
          </cell>
          <cell r="G62">
            <v>502.91662508002275</v>
          </cell>
          <cell r="H62">
            <v>5.2986178679820117</v>
          </cell>
          <cell r="I62">
            <v>173.34316003341067</v>
          </cell>
        </row>
        <row r="63">
          <cell r="E63">
            <v>46061</v>
          </cell>
          <cell r="F63">
            <v>15.778643556142089</v>
          </cell>
          <cell r="G63">
            <v>518.69526863616488</v>
          </cell>
          <cell r="H63">
            <v>5.2986178679820117</v>
          </cell>
          <cell r="I63">
            <v>178.64177790139269</v>
          </cell>
        </row>
        <row r="64">
          <cell r="E64">
            <v>46062</v>
          </cell>
          <cell r="F64">
            <v>15.778643556142089</v>
          </cell>
          <cell r="G64">
            <v>534.47391219230701</v>
          </cell>
          <cell r="H64">
            <v>5.2986178679820117</v>
          </cell>
          <cell r="I64">
            <v>183.9403957693747</v>
          </cell>
        </row>
        <row r="65">
          <cell r="E65">
            <v>46063</v>
          </cell>
          <cell r="F65">
            <v>15.778643556142089</v>
          </cell>
          <cell r="G65">
            <v>550.25255574844914</v>
          </cell>
          <cell r="H65">
            <v>5.2986178679820117</v>
          </cell>
          <cell r="I65">
            <v>189.23901363735672</v>
          </cell>
        </row>
        <row r="66">
          <cell r="E66">
            <v>46064</v>
          </cell>
          <cell r="F66">
            <v>15.778643556142089</v>
          </cell>
          <cell r="G66">
            <v>566.03119930459127</v>
          </cell>
          <cell r="H66">
            <v>5.2986178679820117</v>
          </cell>
          <cell r="I66">
            <v>194.53763150533874</v>
          </cell>
        </row>
        <row r="67">
          <cell r="E67">
            <v>46065</v>
          </cell>
          <cell r="F67">
            <v>15.778643556142089</v>
          </cell>
          <cell r="G67">
            <v>581.8098428607334</v>
          </cell>
          <cell r="H67">
            <v>5.2986178679820117</v>
          </cell>
          <cell r="I67">
            <v>199.83624937332075</v>
          </cell>
        </row>
        <row r="68">
          <cell r="E68">
            <v>46066</v>
          </cell>
          <cell r="F68">
            <v>15.778643556142089</v>
          </cell>
          <cell r="G68">
            <v>597.58848641687553</v>
          </cell>
          <cell r="H68">
            <v>5.2986178679820117</v>
          </cell>
          <cell r="I68">
            <v>205.13486724130277</v>
          </cell>
        </row>
        <row r="69">
          <cell r="E69">
            <v>46067</v>
          </cell>
          <cell r="F69">
            <v>15.778643556142089</v>
          </cell>
          <cell r="G69">
            <v>613.36712997301765</v>
          </cell>
          <cell r="H69">
            <v>5.2986178679820117</v>
          </cell>
          <cell r="I69">
            <v>210.43348510928479</v>
          </cell>
        </row>
        <row r="70">
          <cell r="E70">
            <v>46068</v>
          </cell>
          <cell r="F70">
            <v>15.778643556142089</v>
          </cell>
          <cell r="G70">
            <v>629.14577352915978</v>
          </cell>
          <cell r="H70">
            <v>5.2986178679820117</v>
          </cell>
          <cell r="I70">
            <v>215.73210297726681</v>
          </cell>
        </row>
        <row r="71">
          <cell r="E71">
            <v>46069</v>
          </cell>
          <cell r="F71">
            <v>15.778643556142089</v>
          </cell>
          <cell r="G71">
            <v>644.92441708530191</v>
          </cell>
          <cell r="H71">
            <v>5.2986178679820117</v>
          </cell>
          <cell r="I71">
            <v>221.03072084524882</v>
          </cell>
        </row>
        <row r="72">
          <cell r="E72">
            <v>46070</v>
          </cell>
          <cell r="F72">
            <v>15.778643556142089</v>
          </cell>
          <cell r="G72">
            <v>660.70306064144404</v>
          </cell>
          <cell r="H72">
            <v>5.2986178679820117</v>
          </cell>
          <cell r="I72">
            <v>226.32933871323084</v>
          </cell>
        </row>
        <row r="73">
          <cell r="E73">
            <v>46071</v>
          </cell>
          <cell r="F73">
            <v>15.778643556142089</v>
          </cell>
          <cell r="G73">
            <v>676.48170419758617</v>
          </cell>
          <cell r="H73">
            <v>5.2986178679820117</v>
          </cell>
          <cell r="I73">
            <v>231.62795658121286</v>
          </cell>
        </row>
        <row r="74">
          <cell r="E74">
            <v>46072</v>
          </cell>
          <cell r="F74">
            <v>15.778643556142089</v>
          </cell>
          <cell r="G74">
            <v>692.2603477537283</v>
          </cell>
          <cell r="H74">
            <v>5.2986178679820117</v>
          </cell>
          <cell r="I74">
            <v>236.92657444919487</v>
          </cell>
        </row>
        <row r="75">
          <cell r="E75">
            <v>46073</v>
          </cell>
          <cell r="F75">
            <v>15.778643556142089</v>
          </cell>
          <cell r="G75">
            <v>708.03899130987043</v>
          </cell>
          <cell r="H75">
            <v>5.2986178679820117</v>
          </cell>
          <cell r="I75">
            <v>242.22519231717689</v>
          </cell>
        </row>
        <row r="76">
          <cell r="E76">
            <v>46074</v>
          </cell>
          <cell r="F76">
            <v>15.778643556142089</v>
          </cell>
          <cell r="G76">
            <v>723.81763486601255</v>
          </cell>
          <cell r="H76">
            <v>5.2986178679820117</v>
          </cell>
          <cell r="I76">
            <v>247.52381018515891</v>
          </cell>
        </row>
        <row r="77">
          <cell r="E77">
            <v>46075</v>
          </cell>
          <cell r="F77">
            <v>15.778643556142089</v>
          </cell>
          <cell r="G77">
            <v>739.59627842215468</v>
          </cell>
          <cell r="H77">
            <v>5.2986178679820117</v>
          </cell>
          <cell r="I77">
            <v>252.82242805314092</v>
          </cell>
        </row>
        <row r="78">
          <cell r="E78">
            <v>46076</v>
          </cell>
          <cell r="F78">
            <v>15.778643556142089</v>
          </cell>
          <cell r="G78">
            <v>755.37492197829681</v>
          </cell>
          <cell r="H78">
            <v>5.2986178679820117</v>
          </cell>
          <cell r="I78">
            <v>258.12104592112291</v>
          </cell>
        </row>
        <row r="79">
          <cell r="E79">
            <v>46077</v>
          </cell>
          <cell r="F79">
            <v>15.778643556142089</v>
          </cell>
          <cell r="G79">
            <v>771.15356553443894</v>
          </cell>
          <cell r="H79">
            <v>5.2986178679820117</v>
          </cell>
          <cell r="I79">
            <v>263.4196637891049</v>
          </cell>
        </row>
        <row r="80">
          <cell r="E80">
            <v>46078</v>
          </cell>
          <cell r="F80">
            <v>15.778643556142089</v>
          </cell>
          <cell r="G80">
            <v>786.93220909058107</v>
          </cell>
          <cell r="H80">
            <v>5.2986178679820117</v>
          </cell>
          <cell r="I80">
            <v>268.71828165708689</v>
          </cell>
        </row>
        <row r="81">
          <cell r="E81">
            <v>46079</v>
          </cell>
          <cell r="F81">
            <v>15.778643556142089</v>
          </cell>
          <cell r="G81">
            <v>802.7108526467232</v>
          </cell>
          <cell r="H81">
            <v>5.2986178679820117</v>
          </cell>
          <cell r="I81">
            <v>274.01689952506888</v>
          </cell>
        </row>
        <row r="82">
          <cell r="E82">
            <v>46080</v>
          </cell>
          <cell r="F82">
            <v>15.778643556142089</v>
          </cell>
          <cell r="G82">
            <v>818.48949620286533</v>
          </cell>
          <cell r="H82">
            <v>5.2986178679820117</v>
          </cell>
          <cell r="I82">
            <v>279.31551739305087</v>
          </cell>
        </row>
        <row r="83">
          <cell r="E83">
            <v>46081</v>
          </cell>
          <cell r="F83">
            <v>15.778643556142089</v>
          </cell>
          <cell r="G83">
            <v>834.26813975900745</v>
          </cell>
          <cell r="H83">
            <v>5.2986178679820117</v>
          </cell>
          <cell r="I83">
            <v>284.61413526103286</v>
          </cell>
        </row>
        <row r="84">
          <cell r="E84">
            <v>46082</v>
          </cell>
          <cell r="F84">
            <v>16.801202007981562</v>
          </cell>
          <cell r="G84">
            <v>851.06934176698906</v>
          </cell>
          <cell r="H84">
            <v>5.4115757651965186</v>
          </cell>
          <cell r="I84">
            <v>290.02571102622937</v>
          </cell>
        </row>
        <row r="85">
          <cell r="E85">
            <v>46083</v>
          </cell>
          <cell r="F85">
            <v>16.801202007981562</v>
          </cell>
          <cell r="G85">
            <v>867.87054377497066</v>
          </cell>
          <cell r="H85">
            <v>5.4115757651965186</v>
          </cell>
          <cell r="I85">
            <v>295.43728679142589</v>
          </cell>
        </row>
        <row r="86">
          <cell r="E86">
            <v>46084</v>
          </cell>
          <cell r="F86">
            <v>16.801202007981562</v>
          </cell>
          <cell r="G86">
            <v>884.67174578295226</v>
          </cell>
          <cell r="H86">
            <v>5.4115757651965186</v>
          </cell>
          <cell r="I86">
            <v>300.84886255662241</v>
          </cell>
        </row>
        <row r="87">
          <cell r="E87">
            <v>46085</v>
          </cell>
          <cell r="F87">
            <v>16.801202007981562</v>
          </cell>
          <cell r="G87">
            <v>901.47294779093386</v>
          </cell>
          <cell r="H87">
            <v>5.4115757651965186</v>
          </cell>
          <cell r="I87">
            <v>306.26043832181892</v>
          </cell>
        </row>
        <row r="88">
          <cell r="E88">
            <v>46086</v>
          </cell>
          <cell r="F88">
            <v>16.801202007981562</v>
          </cell>
          <cell r="G88">
            <v>918.27414979891546</v>
          </cell>
          <cell r="H88">
            <v>5.4115757651965186</v>
          </cell>
          <cell r="I88">
            <v>311.67201408701544</v>
          </cell>
        </row>
        <row r="89">
          <cell r="E89">
            <v>46087</v>
          </cell>
          <cell r="F89">
            <v>16.801202007981562</v>
          </cell>
          <cell r="G89">
            <v>935.07535180689706</v>
          </cell>
          <cell r="H89">
            <v>5.4115757651965186</v>
          </cell>
          <cell r="I89">
            <v>317.08358985221196</v>
          </cell>
        </row>
        <row r="90">
          <cell r="E90">
            <v>46088</v>
          </cell>
          <cell r="F90">
            <v>16.801202007981562</v>
          </cell>
          <cell r="G90">
            <v>951.87655381487866</v>
          </cell>
          <cell r="H90">
            <v>5.4115757651965186</v>
          </cell>
          <cell r="I90">
            <v>322.49516561740847</v>
          </cell>
        </row>
        <row r="91">
          <cell r="E91">
            <v>46089</v>
          </cell>
          <cell r="F91">
            <v>16.801202007981562</v>
          </cell>
          <cell r="G91">
            <v>968.67775582286026</v>
          </cell>
          <cell r="H91">
            <v>5.4115757651965186</v>
          </cell>
          <cell r="I91">
            <v>327.90674138260499</v>
          </cell>
        </row>
        <row r="92">
          <cell r="E92">
            <v>46090</v>
          </cell>
          <cell r="F92">
            <v>16.801202007981562</v>
          </cell>
          <cell r="G92">
            <v>985.47895783084186</v>
          </cell>
          <cell r="H92">
            <v>5.4115757651965186</v>
          </cell>
          <cell r="I92">
            <v>333.31831714780151</v>
          </cell>
        </row>
        <row r="93">
          <cell r="E93">
            <v>46091</v>
          </cell>
          <cell r="F93">
            <v>16.801202007981562</v>
          </cell>
          <cell r="G93">
            <v>1002.2801598388235</v>
          </cell>
          <cell r="H93">
            <v>5.4115757651965186</v>
          </cell>
          <cell r="I93">
            <v>338.72989291299803</v>
          </cell>
        </row>
        <row r="94">
          <cell r="E94">
            <v>46092</v>
          </cell>
          <cell r="F94">
            <v>16.801202007981562</v>
          </cell>
          <cell r="G94">
            <v>1019.0813618468051</v>
          </cell>
          <cell r="H94">
            <v>5.4115757651965186</v>
          </cell>
          <cell r="I94">
            <v>344.14146867819454</v>
          </cell>
        </row>
        <row r="95">
          <cell r="E95">
            <v>46093</v>
          </cell>
          <cell r="F95">
            <v>16.801202007981562</v>
          </cell>
          <cell r="G95">
            <v>1035.8825638547867</v>
          </cell>
          <cell r="H95">
            <v>5.4115757651965186</v>
          </cell>
          <cell r="I95">
            <v>349.55304444339106</v>
          </cell>
        </row>
        <row r="96">
          <cell r="E96">
            <v>46094</v>
          </cell>
          <cell r="F96">
            <v>16.801202007981562</v>
          </cell>
          <cell r="G96">
            <v>1052.6837658627683</v>
          </cell>
          <cell r="H96">
            <v>5.4115757651965186</v>
          </cell>
          <cell r="I96">
            <v>354.96462020858758</v>
          </cell>
        </row>
        <row r="97">
          <cell r="E97">
            <v>46095</v>
          </cell>
          <cell r="F97">
            <v>16.801202007981562</v>
          </cell>
          <cell r="G97">
            <v>1069.4849678707499</v>
          </cell>
          <cell r="H97">
            <v>5.4115757651965186</v>
          </cell>
          <cell r="I97">
            <v>360.37619597378409</v>
          </cell>
        </row>
        <row r="98">
          <cell r="E98">
            <v>46096</v>
          </cell>
          <cell r="F98">
            <v>16.801202007981562</v>
          </cell>
          <cell r="G98">
            <v>1086.2861698787315</v>
          </cell>
          <cell r="H98">
            <v>5.4115757651965186</v>
          </cell>
          <cell r="I98">
            <v>365.78777173898061</v>
          </cell>
        </row>
        <row r="99">
          <cell r="E99">
            <v>46097</v>
          </cell>
          <cell r="F99">
            <v>16.801202007981562</v>
          </cell>
          <cell r="G99">
            <v>1103.0873718867131</v>
          </cell>
          <cell r="H99">
            <v>5.4115757651965186</v>
          </cell>
          <cell r="I99">
            <v>371.19934750417713</v>
          </cell>
        </row>
        <row r="100">
          <cell r="E100">
            <v>46098</v>
          </cell>
          <cell r="F100">
            <v>16.801202007981562</v>
          </cell>
          <cell r="G100">
            <v>1119.8885738946947</v>
          </cell>
          <cell r="H100">
            <v>5.4115757651965186</v>
          </cell>
          <cell r="I100">
            <v>376.61092326937364</v>
          </cell>
        </row>
        <row r="101">
          <cell r="E101">
            <v>46099</v>
          </cell>
          <cell r="F101">
            <v>16.801202007981562</v>
          </cell>
          <cell r="G101">
            <v>1136.6897759026763</v>
          </cell>
          <cell r="H101">
            <v>5.4115757651965186</v>
          </cell>
          <cell r="I101">
            <v>382.02249903457016</v>
          </cell>
        </row>
        <row r="102">
          <cell r="E102">
            <v>46100</v>
          </cell>
          <cell r="F102">
            <v>16.801202007981562</v>
          </cell>
          <cell r="G102">
            <v>1153.4909779106579</v>
          </cell>
          <cell r="H102">
            <v>5.4115757651965186</v>
          </cell>
          <cell r="I102">
            <v>387.43407479976668</v>
          </cell>
        </row>
        <row r="103">
          <cell r="E103">
            <v>46101</v>
          </cell>
          <cell r="F103">
            <v>16.801202007981562</v>
          </cell>
          <cell r="G103">
            <v>1170.2921799186395</v>
          </cell>
          <cell r="H103">
            <v>5.4115757651965186</v>
          </cell>
          <cell r="I103">
            <v>392.84565056496319</v>
          </cell>
        </row>
        <row r="104">
          <cell r="E104">
            <v>46102</v>
          </cell>
          <cell r="F104">
            <v>16.801202007981562</v>
          </cell>
          <cell r="G104">
            <v>1187.0933819266211</v>
          </cell>
          <cell r="H104">
            <v>5.4115757651965186</v>
          </cell>
          <cell r="I104">
            <v>398.25722633015971</v>
          </cell>
        </row>
        <row r="105">
          <cell r="E105">
            <v>46103</v>
          </cell>
          <cell r="F105">
            <v>16.801202007981562</v>
          </cell>
          <cell r="G105">
            <v>1203.8945839346027</v>
          </cell>
          <cell r="H105">
            <v>5.4115757651965186</v>
          </cell>
          <cell r="I105">
            <v>403.66880209535623</v>
          </cell>
        </row>
        <row r="106">
          <cell r="E106">
            <v>46104</v>
          </cell>
          <cell r="F106">
            <v>16.801202007981562</v>
          </cell>
          <cell r="G106">
            <v>1220.6957859425843</v>
          </cell>
          <cell r="H106">
            <v>5.4115757651965186</v>
          </cell>
          <cell r="I106">
            <v>409.08037786055274</v>
          </cell>
        </row>
        <row r="107">
          <cell r="E107">
            <v>46105</v>
          </cell>
          <cell r="F107">
            <v>16.801202007981562</v>
          </cell>
          <cell r="G107">
            <v>1237.4969879505659</v>
          </cell>
          <cell r="H107">
            <v>5.4115757651965186</v>
          </cell>
          <cell r="I107">
            <v>414.49195362574926</v>
          </cell>
        </row>
        <row r="108">
          <cell r="E108">
            <v>46106</v>
          </cell>
          <cell r="F108">
            <v>16.801202007981562</v>
          </cell>
          <cell r="G108">
            <v>1254.2981899585475</v>
          </cell>
          <cell r="H108">
            <v>5.4115757651965186</v>
          </cell>
          <cell r="I108">
            <v>419.90352939094578</v>
          </cell>
        </row>
        <row r="109">
          <cell r="E109">
            <v>46107</v>
          </cell>
          <cell r="F109">
            <v>16.801202007981562</v>
          </cell>
          <cell r="G109">
            <v>1271.0993919665291</v>
          </cell>
          <cell r="H109">
            <v>5.4115757651965186</v>
          </cell>
          <cell r="I109">
            <v>425.31510515614229</v>
          </cell>
        </row>
        <row r="110">
          <cell r="E110">
            <v>46108</v>
          </cell>
          <cell r="F110">
            <v>16.801202007981562</v>
          </cell>
          <cell r="G110">
            <v>1287.9005939745107</v>
          </cell>
          <cell r="H110">
            <v>5.4115757651965186</v>
          </cell>
          <cell r="I110">
            <v>430.72668092133881</v>
          </cell>
        </row>
        <row r="111">
          <cell r="E111">
            <v>46109</v>
          </cell>
          <cell r="F111">
            <v>16.801202007981562</v>
          </cell>
          <cell r="G111">
            <v>1304.7017959824923</v>
          </cell>
          <cell r="H111">
            <v>5.4115757651965186</v>
          </cell>
          <cell r="I111">
            <v>436.13825668653533</v>
          </cell>
        </row>
        <row r="112">
          <cell r="E112">
            <v>46110</v>
          </cell>
          <cell r="F112">
            <v>16.801202007981562</v>
          </cell>
          <cell r="G112">
            <v>1321.5029979904739</v>
          </cell>
          <cell r="H112">
            <v>5.4115757651965186</v>
          </cell>
          <cell r="I112">
            <v>441.54983245173185</v>
          </cell>
        </row>
        <row r="113">
          <cell r="E113">
            <v>46111</v>
          </cell>
          <cell r="F113">
            <v>16.801202007981562</v>
          </cell>
          <cell r="G113">
            <v>1338.3041999984555</v>
          </cell>
          <cell r="H113">
            <v>5.4115757651965186</v>
          </cell>
          <cell r="I113">
            <v>446.96140821692836</v>
          </cell>
        </row>
        <row r="114">
          <cell r="E114">
            <v>46112</v>
          </cell>
          <cell r="F114">
            <v>16.801202007981562</v>
          </cell>
          <cell r="G114">
            <v>1355.1054020064371</v>
          </cell>
          <cell r="H114">
            <v>5.4115757651965186</v>
          </cell>
          <cell r="I114">
            <v>452.37298398212488</v>
          </cell>
        </row>
        <row r="115">
          <cell r="E115">
            <v>46113</v>
          </cell>
          <cell r="F115">
            <v>16.707333333333334</v>
          </cell>
          <cell r="G115">
            <v>1371.8127353397704</v>
          </cell>
          <cell r="H115">
            <v>5.4314733906087911</v>
          </cell>
          <cell r="I115">
            <v>457.80445737273368</v>
          </cell>
        </row>
        <row r="116">
          <cell r="E116">
            <v>46114</v>
          </cell>
          <cell r="F116">
            <v>16.707333333333334</v>
          </cell>
          <cell r="G116">
            <v>1388.5200686731037</v>
          </cell>
          <cell r="H116">
            <v>5.4314733906087911</v>
          </cell>
          <cell r="I116">
            <v>463.23593076334248</v>
          </cell>
        </row>
        <row r="117">
          <cell r="E117">
            <v>46115</v>
          </cell>
          <cell r="F117">
            <v>16.707333333333334</v>
          </cell>
          <cell r="G117">
            <v>1405.2274020064369</v>
          </cell>
          <cell r="H117">
            <v>5.4314733906087911</v>
          </cell>
          <cell r="I117">
            <v>468.66740415395128</v>
          </cell>
        </row>
        <row r="118">
          <cell r="E118">
            <v>46116</v>
          </cell>
          <cell r="F118">
            <v>16.707333333333334</v>
          </cell>
          <cell r="G118">
            <v>1421.9347353397702</v>
          </cell>
          <cell r="H118">
            <v>5.4314733906087911</v>
          </cell>
          <cell r="I118">
            <v>474.09887754456008</v>
          </cell>
        </row>
        <row r="119">
          <cell r="E119">
            <v>46117</v>
          </cell>
          <cell r="F119">
            <v>16.707333333333334</v>
          </cell>
          <cell r="G119">
            <v>1438.6420686731035</v>
          </cell>
          <cell r="H119">
            <v>5.4314733906087911</v>
          </cell>
          <cell r="I119">
            <v>479.53035093516888</v>
          </cell>
        </row>
        <row r="120">
          <cell r="E120">
            <v>46118</v>
          </cell>
          <cell r="F120">
            <v>16.707333333333334</v>
          </cell>
          <cell r="G120">
            <v>1455.3494020064368</v>
          </cell>
          <cell r="H120">
            <v>5.4314733906087911</v>
          </cell>
          <cell r="I120">
            <v>484.96182432577768</v>
          </cell>
        </row>
        <row r="121">
          <cell r="E121">
            <v>46119</v>
          </cell>
          <cell r="F121">
            <v>16.707333333333334</v>
          </cell>
          <cell r="G121">
            <v>1472.0567353397701</v>
          </cell>
          <cell r="H121">
            <v>5.4314733906087911</v>
          </cell>
          <cell r="I121">
            <v>490.39329771638648</v>
          </cell>
        </row>
        <row r="122">
          <cell r="E122">
            <v>46120</v>
          </cell>
          <cell r="F122">
            <v>16.707333333333334</v>
          </cell>
          <cell r="G122">
            <v>1488.7640686731033</v>
          </cell>
          <cell r="H122">
            <v>5.4314733906087911</v>
          </cell>
          <cell r="I122">
            <v>495.82477110699529</v>
          </cell>
        </row>
        <row r="123">
          <cell r="E123">
            <v>46121</v>
          </cell>
          <cell r="F123">
            <v>16.707333333333334</v>
          </cell>
          <cell r="G123">
            <v>1505.4714020064366</v>
          </cell>
          <cell r="H123">
            <v>5.4314733906087911</v>
          </cell>
          <cell r="I123">
            <v>501.25624449760409</v>
          </cell>
        </row>
        <row r="124">
          <cell r="E124">
            <v>46122</v>
          </cell>
          <cell r="F124">
            <v>16.707333333333334</v>
          </cell>
          <cell r="G124">
            <v>1522.1787353397699</v>
          </cell>
          <cell r="H124">
            <v>5.4314733906087911</v>
          </cell>
          <cell r="I124">
            <v>506.68771788821289</v>
          </cell>
        </row>
        <row r="125">
          <cell r="E125">
            <v>46123</v>
          </cell>
          <cell r="F125">
            <v>16.707333333333334</v>
          </cell>
          <cell r="G125">
            <v>1538.8860686731032</v>
          </cell>
          <cell r="H125">
            <v>5.4314733906087911</v>
          </cell>
          <cell r="I125">
            <v>512.11919127882163</v>
          </cell>
        </row>
        <row r="126">
          <cell r="E126">
            <v>46124</v>
          </cell>
          <cell r="F126">
            <v>16.707333333333334</v>
          </cell>
          <cell r="G126">
            <v>1555.5934020064365</v>
          </cell>
          <cell r="H126">
            <v>5.4314733906087911</v>
          </cell>
          <cell r="I126">
            <v>517.55066466943038</v>
          </cell>
        </row>
        <row r="127">
          <cell r="E127">
            <v>46125</v>
          </cell>
          <cell r="F127">
            <v>16.707333333333334</v>
          </cell>
          <cell r="G127">
            <v>1572.3007353397697</v>
          </cell>
          <cell r="H127">
            <v>5.4314733906087911</v>
          </cell>
          <cell r="I127">
            <v>522.98213806003912</v>
          </cell>
        </row>
        <row r="128">
          <cell r="E128">
            <v>46126</v>
          </cell>
          <cell r="F128">
            <v>16.707333333333334</v>
          </cell>
          <cell r="G128">
            <v>1589.008068673103</v>
          </cell>
          <cell r="H128">
            <v>5.4314733906087911</v>
          </cell>
          <cell r="I128">
            <v>528.41361145064786</v>
          </cell>
        </row>
        <row r="129">
          <cell r="E129">
            <v>46127</v>
          </cell>
          <cell r="F129">
            <v>16.707333333333334</v>
          </cell>
          <cell r="G129">
            <v>1605.7154020064363</v>
          </cell>
          <cell r="H129">
            <v>5.4314733906087911</v>
          </cell>
          <cell r="I129">
            <v>533.84508484125661</v>
          </cell>
        </row>
        <row r="130">
          <cell r="E130">
            <v>46128</v>
          </cell>
          <cell r="F130">
            <v>16.707333333333334</v>
          </cell>
          <cell r="G130">
            <v>1622.4227353397696</v>
          </cell>
          <cell r="H130">
            <v>5.4314733906087911</v>
          </cell>
          <cell r="I130">
            <v>539.27655823186535</v>
          </cell>
        </row>
        <row r="131">
          <cell r="E131">
            <v>46129</v>
          </cell>
          <cell r="F131">
            <v>16.707333333333334</v>
          </cell>
          <cell r="G131">
            <v>1639.1300686731029</v>
          </cell>
          <cell r="H131">
            <v>5.4314733906087911</v>
          </cell>
          <cell r="I131">
            <v>544.7080316224741</v>
          </cell>
        </row>
        <row r="132">
          <cell r="E132">
            <v>46130</v>
          </cell>
          <cell r="F132">
            <v>16.707333333333334</v>
          </cell>
          <cell r="G132">
            <v>1655.8374020064362</v>
          </cell>
          <cell r="H132">
            <v>5.4314733906087911</v>
          </cell>
          <cell r="I132">
            <v>550.13950501308284</v>
          </cell>
        </row>
        <row r="133">
          <cell r="E133">
            <v>46131</v>
          </cell>
          <cell r="F133">
            <v>16.707333333333334</v>
          </cell>
          <cell r="G133">
            <v>1672.5447353397694</v>
          </cell>
          <cell r="H133">
            <v>5.4314733906087911</v>
          </cell>
          <cell r="I133">
            <v>555.57097840369158</v>
          </cell>
        </row>
        <row r="134">
          <cell r="E134">
            <v>46132</v>
          </cell>
          <cell r="F134">
            <v>16.707333333333334</v>
          </cell>
          <cell r="G134">
            <v>1689.2520686731027</v>
          </cell>
          <cell r="H134">
            <v>5.4314733906087911</v>
          </cell>
          <cell r="I134">
            <v>561.00245179430033</v>
          </cell>
        </row>
        <row r="135">
          <cell r="E135">
            <v>46133</v>
          </cell>
          <cell r="F135">
            <v>16.707333333333334</v>
          </cell>
          <cell r="G135">
            <v>1705.959402006436</v>
          </cell>
          <cell r="H135">
            <v>5.4314733906087911</v>
          </cell>
          <cell r="I135">
            <v>566.43392518490907</v>
          </cell>
        </row>
        <row r="136">
          <cell r="E136">
            <v>46134</v>
          </cell>
          <cell r="F136">
            <v>16.707333333333334</v>
          </cell>
          <cell r="G136">
            <v>1722.6667353397693</v>
          </cell>
          <cell r="H136">
            <v>5.4314733906087911</v>
          </cell>
          <cell r="I136">
            <v>571.86539857551782</v>
          </cell>
        </row>
        <row r="137">
          <cell r="E137">
            <v>46135</v>
          </cell>
          <cell r="F137">
            <v>16.707333333333334</v>
          </cell>
          <cell r="G137">
            <v>1739.3740686731026</v>
          </cell>
          <cell r="H137">
            <v>5.4314733906087911</v>
          </cell>
          <cell r="I137">
            <v>577.29687196612656</v>
          </cell>
        </row>
        <row r="138">
          <cell r="E138">
            <v>46136</v>
          </cell>
          <cell r="F138">
            <v>16.707333333333334</v>
          </cell>
          <cell r="G138">
            <v>1756.0814020064358</v>
          </cell>
          <cell r="H138">
            <v>5.4314733906087911</v>
          </cell>
          <cell r="I138">
            <v>582.7283453567353</v>
          </cell>
        </row>
        <row r="139">
          <cell r="E139">
            <v>46137</v>
          </cell>
          <cell r="F139">
            <v>16.707333333333334</v>
          </cell>
          <cell r="G139">
            <v>1772.7887353397691</v>
          </cell>
          <cell r="H139">
            <v>5.4314733906087911</v>
          </cell>
          <cell r="I139">
            <v>588.15981874734405</v>
          </cell>
        </row>
        <row r="140">
          <cell r="E140">
            <v>46138</v>
          </cell>
          <cell r="F140">
            <v>16.707333333333334</v>
          </cell>
          <cell r="G140">
            <v>1789.4960686731024</v>
          </cell>
          <cell r="H140">
            <v>5.4314733906087911</v>
          </cell>
          <cell r="I140">
            <v>593.59129213795279</v>
          </cell>
        </row>
        <row r="141">
          <cell r="E141">
            <v>46139</v>
          </cell>
          <cell r="F141">
            <v>16.707333333333334</v>
          </cell>
          <cell r="G141">
            <v>1806.2034020064357</v>
          </cell>
          <cell r="H141">
            <v>5.4314733906087911</v>
          </cell>
          <cell r="I141">
            <v>599.02276552856154</v>
          </cell>
        </row>
        <row r="142">
          <cell r="E142">
            <v>46140</v>
          </cell>
          <cell r="F142">
            <v>16.707333333333334</v>
          </cell>
          <cell r="G142">
            <v>1822.910735339769</v>
          </cell>
          <cell r="H142">
            <v>5.4314733906087911</v>
          </cell>
          <cell r="I142">
            <v>604.45423891917028</v>
          </cell>
        </row>
        <row r="143">
          <cell r="E143">
            <v>46141</v>
          </cell>
          <cell r="F143">
            <v>16.707333333333334</v>
          </cell>
          <cell r="G143">
            <v>1839.6180686731022</v>
          </cell>
          <cell r="H143">
            <v>5.4314733906087911</v>
          </cell>
          <cell r="I143">
            <v>609.88571230977902</v>
          </cell>
        </row>
        <row r="144">
          <cell r="E144">
            <v>46142</v>
          </cell>
          <cell r="F144">
            <v>16.707333333333334</v>
          </cell>
          <cell r="G144">
            <v>1856.3254020064355</v>
          </cell>
          <cell r="H144">
            <v>5.4314733906087911</v>
          </cell>
          <cell r="I144">
            <v>615.31718570038777</v>
          </cell>
        </row>
        <row r="145">
          <cell r="E145">
            <v>46143</v>
          </cell>
          <cell r="F145">
            <v>13.134193548387097</v>
          </cell>
          <cell r="G145">
            <v>1869.4595955548227</v>
          </cell>
          <cell r="H145">
            <v>4.5115851820738859</v>
          </cell>
          <cell r="I145">
            <v>619.82877088246164</v>
          </cell>
        </row>
        <row r="146">
          <cell r="E146">
            <v>46144</v>
          </cell>
          <cell r="F146">
            <v>13.134193548387097</v>
          </cell>
          <cell r="G146">
            <v>1882.5937891032099</v>
          </cell>
          <cell r="H146">
            <v>4.5115851820738859</v>
          </cell>
          <cell r="I146">
            <v>624.34035606453551</v>
          </cell>
        </row>
        <row r="147">
          <cell r="E147">
            <v>46145</v>
          </cell>
          <cell r="F147">
            <v>13.134193548387097</v>
          </cell>
          <cell r="G147">
            <v>1895.7279826515971</v>
          </cell>
          <cell r="H147">
            <v>4.5115851820738859</v>
          </cell>
          <cell r="I147">
            <v>628.85194124660939</v>
          </cell>
        </row>
        <row r="148">
          <cell r="E148">
            <v>46146</v>
          </cell>
          <cell r="F148">
            <v>13.134193548387097</v>
          </cell>
          <cell r="G148">
            <v>1908.8621761999843</v>
          </cell>
          <cell r="H148">
            <v>4.5115851820738859</v>
          </cell>
          <cell r="I148">
            <v>633.36352642868326</v>
          </cell>
        </row>
        <row r="149">
          <cell r="E149">
            <v>46147</v>
          </cell>
          <cell r="F149">
            <v>13.134193548387097</v>
          </cell>
          <cell r="G149">
            <v>1921.9963697483715</v>
          </cell>
          <cell r="H149">
            <v>4.5115851820738859</v>
          </cell>
          <cell r="I149">
            <v>637.87511161075713</v>
          </cell>
        </row>
        <row r="150">
          <cell r="E150">
            <v>46148</v>
          </cell>
          <cell r="F150">
            <v>13.134193548387097</v>
          </cell>
          <cell r="G150">
            <v>1935.1305632967587</v>
          </cell>
          <cell r="H150">
            <v>4.5115851820738859</v>
          </cell>
          <cell r="I150">
            <v>642.386696792831</v>
          </cell>
        </row>
        <row r="151">
          <cell r="E151">
            <v>46149</v>
          </cell>
          <cell r="F151">
            <v>13.134193548387097</v>
          </cell>
          <cell r="G151">
            <v>1948.2647568451459</v>
          </cell>
          <cell r="H151">
            <v>4.5115851820738859</v>
          </cell>
          <cell r="I151">
            <v>646.89828197490488</v>
          </cell>
        </row>
        <row r="152">
          <cell r="E152">
            <v>46150</v>
          </cell>
          <cell r="F152">
            <v>13.134193548387097</v>
          </cell>
          <cell r="G152">
            <v>1961.3989503935331</v>
          </cell>
          <cell r="H152">
            <v>4.5115851820738859</v>
          </cell>
          <cell r="I152">
            <v>651.40986715697875</v>
          </cell>
        </row>
        <row r="153">
          <cell r="E153">
            <v>46151</v>
          </cell>
          <cell r="F153">
            <v>13.134193548387097</v>
          </cell>
          <cell r="G153">
            <v>1974.5331439419203</v>
          </cell>
          <cell r="H153">
            <v>4.5115851820738859</v>
          </cell>
          <cell r="I153">
            <v>655.92145233905262</v>
          </cell>
        </row>
        <row r="154">
          <cell r="E154">
            <v>46152</v>
          </cell>
          <cell r="F154">
            <v>13.134193548387097</v>
          </cell>
          <cell r="G154">
            <v>1987.6673374903075</v>
          </cell>
          <cell r="H154">
            <v>4.5115851820738859</v>
          </cell>
          <cell r="I154">
            <v>660.43303752112649</v>
          </cell>
        </row>
        <row r="155">
          <cell r="E155">
            <v>46153</v>
          </cell>
          <cell r="F155">
            <v>13.134193548387097</v>
          </cell>
          <cell r="G155">
            <v>2000.8015310386947</v>
          </cell>
          <cell r="H155">
            <v>4.5115851820738859</v>
          </cell>
          <cell r="I155">
            <v>664.94462270320037</v>
          </cell>
        </row>
        <row r="156">
          <cell r="E156">
            <v>46154</v>
          </cell>
          <cell r="F156">
            <v>13.134193548387097</v>
          </cell>
          <cell r="G156">
            <v>2013.9357245870819</v>
          </cell>
          <cell r="H156">
            <v>4.5115851820738859</v>
          </cell>
          <cell r="I156">
            <v>669.45620788527424</v>
          </cell>
        </row>
        <row r="157">
          <cell r="E157">
            <v>46155</v>
          </cell>
          <cell r="F157">
            <v>13.134193548387097</v>
          </cell>
          <cell r="G157">
            <v>2027.0699181354692</v>
          </cell>
          <cell r="H157">
            <v>4.5115851820738859</v>
          </cell>
          <cell r="I157">
            <v>673.96779306734811</v>
          </cell>
        </row>
        <row r="158">
          <cell r="E158">
            <v>46156</v>
          </cell>
          <cell r="F158">
            <v>13.134193548387097</v>
          </cell>
          <cell r="G158">
            <v>2040.2041116838564</v>
          </cell>
          <cell r="H158">
            <v>4.5115851820738859</v>
          </cell>
          <cell r="I158">
            <v>678.47937824942198</v>
          </cell>
        </row>
        <row r="159">
          <cell r="E159">
            <v>46157</v>
          </cell>
          <cell r="F159">
            <v>13.134193548387097</v>
          </cell>
          <cell r="G159">
            <v>2053.3383052322433</v>
          </cell>
          <cell r="H159">
            <v>4.5115851820738859</v>
          </cell>
          <cell r="I159">
            <v>682.99096343149586</v>
          </cell>
        </row>
        <row r="160">
          <cell r="E160">
            <v>46158</v>
          </cell>
          <cell r="F160">
            <v>13.134193548387097</v>
          </cell>
          <cell r="G160">
            <v>2066.4724987806303</v>
          </cell>
          <cell r="H160">
            <v>4.5115851820738859</v>
          </cell>
          <cell r="I160">
            <v>687.50254861356973</v>
          </cell>
        </row>
        <row r="161">
          <cell r="E161">
            <v>46159</v>
          </cell>
          <cell r="F161">
            <v>13.134193548387097</v>
          </cell>
          <cell r="G161">
            <v>2079.6066923290173</v>
          </cell>
          <cell r="H161">
            <v>4.5115851820738859</v>
          </cell>
          <cell r="I161">
            <v>692.0141337956436</v>
          </cell>
        </row>
        <row r="162">
          <cell r="E162">
            <v>46160</v>
          </cell>
          <cell r="F162">
            <v>13.134193548387097</v>
          </cell>
          <cell r="G162">
            <v>2092.7408858774043</v>
          </cell>
          <cell r="H162">
            <v>4.5115851820738859</v>
          </cell>
          <cell r="I162">
            <v>696.52571897771747</v>
          </cell>
        </row>
        <row r="163">
          <cell r="E163">
            <v>46161</v>
          </cell>
          <cell r="F163">
            <v>13.134193548387097</v>
          </cell>
          <cell r="G163">
            <v>2105.8750794257912</v>
          </cell>
          <cell r="H163">
            <v>4.5115851820738859</v>
          </cell>
          <cell r="I163">
            <v>701.03730415979135</v>
          </cell>
        </row>
        <row r="164">
          <cell r="E164">
            <v>46162</v>
          </cell>
          <cell r="F164">
            <v>13.134193548387097</v>
          </cell>
          <cell r="G164">
            <v>2119.0092729741782</v>
          </cell>
          <cell r="H164">
            <v>4.5115851820738859</v>
          </cell>
          <cell r="I164">
            <v>705.54888934186522</v>
          </cell>
        </row>
        <row r="165">
          <cell r="E165">
            <v>46163</v>
          </cell>
          <cell r="F165">
            <v>13.134193548387097</v>
          </cell>
          <cell r="G165">
            <v>2132.1434665225652</v>
          </cell>
          <cell r="H165">
            <v>4.5115851820738859</v>
          </cell>
          <cell r="I165">
            <v>710.06047452393909</v>
          </cell>
        </row>
        <row r="166">
          <cell r="E166">
            <v>46164</v>
          </cell>
          <cell r="F166">
            <v>13.134193548387097</v>
          </cell>
          <cell r="G166">
            <v>2145.2776600709522</v>
          </cell>
          <cell r="H166">
            <v>4.5115851820738859</v>
          </cell>
          <cell r="I166">
            <v>714.57205970601296</v>
          </cell>
        </row>
        <row r="167">
          <cell r="E167">
            <v>46165</v>
          </cell>
          <cell r="F167">
            <v>13.134193548387097</v>
          </cell>
          <cell r="G167">
            <v>2158.4118536193391</v>
          </cell>
          <cell r="H167">
            <v>4.5115851820738859</v>
          </cell>
          <cell r="I167">
            <v>719.08364488808684</v>
          </cell>
        </row>
        <row r="168">
          <cell r="E168">
            <v>46166</v>
          </cell>
          <cell r="F168">
            <v>13.134193548387097</v>
          </cell>
          <cell r="G168">
            <v>2171.5460471677261</v>
          </cell>
          <cell r="H168">
            <v>4.5115851820738859</v>
          </cell>
          <cell r="I168">
            <v>723.59523007016071</v>
          </cell>
        </row>
        <row r="169">
          <cell r="E169">
            <v>46167</v>
          </cell>
          <cell r="F169">
            <v>13.134193548387097</v>
          </cell>
          <cell r="G169">
            <v>2184.6802407161131</v>
          </cell>
          <cell r="H169">
            <v>4.5115851820738859</v>
          </cell>
          <cell r="I169">
            <v>728.10681525223458</v>
          </cell>
        </row>
        <row r="170">
          <cell r="E170">
            <v>46168</v>
          </cell>
          <cell r="F170">
            <v>13.134193548387097</v>
          </cell>
          <cell r="G170">
            <v>2197.8144342645001</v>
          </cell>
          <cell r="H170">
            <v>4.5115851820738859</v>
          </cell>
          <cell r="I170">
            <v>732.61840043430846</v>
          </cell>
        </row>
        <row r="171">
          <cell r="E171">
            <v>46169</v>
          </cell>
          <cell r="F171">
            <v>13.134193548387097</v>
          </cell>
          <cell r="G171">
            <v>2210.948627812887</v>
          </cell>
          <cell r="H171">
            <v>4.5115851820738859</v>
          </cell>
          <cell r="I171">
            <v>737.12998561638233</v>
          </cell>
        </row>
        <row r="172">
          <cell r="E172">
            <v>46170</v>
          </cell>
          <cell r="F172">
            <v>13.134193548387097</v>
          </cell>
          <cell r="G172">
            <v>2224.082821361274</v>
          </cell>
          <cell r="H172">
            <v>4.5115851820738859</v>
          </cell>
          <cell r="I172">
            <v>741.6415707984562</v>
          </cell>
        </row>
        <row r="173">
          <cell r="E173">
            <v>46171</v>
          </cell>
          <cell r="F173">
            <v>13.134193548387097</v>
          </cell>
          <cell r="G173">
            <v>2237.217014909661</v>
          </cell>
          <cell r="H173">
            <v>4.5115851820738859</v>
          </cell>
          <cell r="I173">
            <v>746.15315598053007</v>
          </cell>
        </row>
        <row r="174">
          <cell r="E174">
            <v>46172</v>
          </cell>
          <cell r="F174">
            <v>13.134193548387097</v>
          </cell>
          <cell r="G174">
            <v>2250.3512084580479</v>
          </cell>
          <cell r="H174">
            <v>4.5115851820738859</v>
          </cell>
          <cell r="I174">
            <v>750.66474116260395</v>
          </cell>
        </row>
        <row r="175">
          <cell r="E175">
            <v>46173</v>
          </cell>
          <cell r="F175">
            <v>13.134193548387097</v>
          </cell>
          <cell r="G175">
            <v>2263.4854020064349</v>
          </cell>
          <cell r="H175">
            <v>4.5115851820738859</v>
          </cell>
          <cell r="I175">
            <v>755.17632634467782</v>
          </cell>
        </row>
        <row r="176">
          <cell r="E176">
            <v>46174</v>
          </cell>
          <cell r="F176">
            <v>8.6533333333333342</v>
          </cell>
          <cell r="G176">
            <v>2272.1387353397681</v>
          </cell>
          <cell r="H176">
            <v>3.4547874253761659</v>
          </cell>
          <cell r="I176">
            <v>758.63111377005396</v>
          </cell>
        </row>
        <row r="177">
          <cell r="E177">
            <v>46175</v>
          </cell>
          <cell r="F177">
            <v>8.6533333333333342</v>
          </cell>
          <cell r="G177">
            <v>2280.7920686731013</v>
          </cell>
          <cell r="H177">
            <v>3.4547874253761659</v>
          </cell>
          <cell r="I177">
            <v>762.0859011954301</v>
          </cell>
        </row>
        <row r="178">
          <cell r="E178">
            <v>46176</v>
          </cell>
          <cell r="F178">
            <v>8.6533333333333342</v>
          </cell>
          <cell r="G178">
            <v>2289.4454020064345</v>
          </cell>
          <cell r="H178">
            <v>3.4547874253761659</v>
          </cell>
          <cell r="I178">
            <v>765.54068862080624</v>
          </cell>
        </row>
        <row r="179">
          <cell r="E179">
            <v>46177</v>
          </cell>
          <cell r="F179">
            <v>8.6533333333333342</v>
          </cell>
          <cell r="G179">
            <v>2298.0987353397677</v>
          </cell>
          <cell r="H179">
            <v>3.4547874253761659</v>
          </cell>
          <cell r="I179">
            <v>768.99547604618238</v>
          </cell>
        </row>
        <row r="180">
          <cell r="E180">
            <v>46178</v>
          </cell>
          <cell r="F180">
            <v>8.6533333333333342</v>
          </cell>
          <cell r="G180">
            <v>2306.7520686731009</v>
          </cell>
          <cell r="H180">
            <v>3.4547874253761659</v>
          </cell>
          <cell r="I180">
            <v>772.45026347155851</v>
          </cell>
        </row>
        <row r="181">
          <cell r="E181">
            <v>46179</v>
          </cell>
          <cell r="F181">
            <v>8.6533333333333342</v>
          </cell>
          <cell r="G181">
            <v>2315.4054020064341</v>
          </cell>
          <cell r="H181">
            <v>3.4547874253761659</v>
          </cell>
          <cell r="I181">
            <v>775.90505089693465</v>
          </cell>
        </row>
        <row r="182">
          <cell r="E182">
            <v>46180</v>
          </cell>
          <cell r="F182">
            <v>8.6533333333333342</v>
          </cell>
          <cell r="G182">
            <v>2324.0587353397673</v>
          </cell>
          <cell r="H182">
            <v>3.4547874253761659</v>
          </cell>
          <cell r="I182">
            <v>779.35983832231079</v>
          </cell>
        </row>
        <row r="183">
          <cell r="E183">
            <v>46181</v>
          </cell>
          <cell r="F183">
            <v>8.6533333333333342</v>
          </cell>
          <cell r="G183">
            <v>2332.7120686731005</v>
          </cell>
          <cell r="H183">
            <v>3.4547874253761659</v>
          </cell>
          <cell r="I183">
            <v>782.81462574768693</v>
          </cell>
        </row>
        <row r="184">
          <cell r="E184">
            <v>46182</v>
          </cell>
          <cell r="F184">
            <v>8.6533333333333342</v>
          </cell>
          <cell r="G184">
            <v>2341.3654020064337</v>
          </cell>
          <cell r="H184">
            <v>3.4547874253761659</v>
          </cell>
          <cell r="I184">
            <v>786.26941317306307</v>
          </cell>
        </row>
        <row r="185">
          <cell r="E185">
            <v>46183</v>
          </cell>
          <cell r="F185">
            <v>8.6533333333333342</v>
          </cell>
          <cell r="G185">
            <v>2350.0187353397669</v>
          </cell>
          <cell r="H185">
            <v>3.4547874253761659</v>
          </cell>
          <cell r="I185">
            <v>789.72420059843921</v>
          </cell>
        </row>
        <row r="186">
          <cell r="E186">
            <v>46184</v>
          </cell>
          <cell r="F186">
            <v>8.6533333333333342</v>
          </cell>
          <cell r="G186">
            <v>2358.6720686731001</v>
          </cell>
          <cell r="H186">
            <v>3.4547874253761659</v>
          </cell>
          <cell r="I186">
            <v>793.17898802381535</v>
          </cell>
        </row>
        <row r="187">
          <cell r="E187">
            <v>46185</v>
          </cell>
          <cell r="F187">
            <v>8.6533333333333342</v>
          </cell>
          <cell r="G187">
            <v>2367.3254020064333</v>
          </cell>
          <cell r="H187">
            <v>3.4547874253761659</v>
          </cell>
          <cell r="I187">
            <v>796.63377544919149</v>
          </cell>
        </row>
        <row r="188">
          <cell r="E188">
            <v>46186</v>
          </cell>
          <cell r="F188">
            <v>8.6533333333333342</v>
          </cell>
          <cell r="G188">
            <v>2375.9787353397664</v>
          </cell>
          <cell r="H188">
            <v>3.4547874253761659</v>
          </cell>
          <cell r="I188">
            <v>800.08856287456763</v>
          </cell>
        </row>
        <row r="189">
          <cell r="E189">
            <v>46187</v>
          </cell>
          <cell r="F189">
            <v>8.6533333333333342</v>
          </cell>
          <cell r="G189">
            <v>2384.6320686730996</v>
          </cell>
          <cell r="H189">
            <v>3.4547874253761659</v>
          </cell>
          <cell r="I189">
            <v>803.54335029994377</v>
          </cell>
        </row>
        <row r="190">
          <cell r="E190">
            <v>46188</v>
          </cell>
          <cell r="F190">
            <v>8.6533333333333342</v>
          </cell>
          <cell r="G190">
            <v>2393.2854020064328</v>
          </cell>
          <cell r="H190">
            <v>3.4547874253761659</v>
          </cell>
          <cell r="I190">
            <v>806.99813772531991</v>
          </cell>
        </row>
        <row r="191">
          <cell r="E191">
            <v>46189</v>
          </cell>
          <cell r="F191">
            <v>8.6533333333333342</v>
          </cell>
          <cell r="G191">
            <v>2401.938735339766</v>
          </cell>
          <cell r="H191">
            <v>3.4547874253761659</v>
          </cell>
          <cell r="I191">
            <v>810.45292515069605</v>
          </cell>
        </row>
        <row r="192">
          <cell r="E192">
            <v>46190</v>
          </cell>
          <cell r="F192">
            <v>8.6533333333333342</v>
          </cell>
          <cell r="G192">
            <v>2410.5920686730992</v>
          </cell>
          <cell r="H192">
            <v>3.4547874253761659</v>
          </cell>
          <cell r="I192">
            <v>813.90771257607219</v>
          </cell>
        </row>
        <row r="193">
          <cell r="E193">
            <v>46191</v>
          </cell>
          <cell r="F193">
            <v>8.6533333333333342</v>
          </cell>
          <cell r="G193">
            <v>2419.2454020064324</v>
          </cell>
          <cell r="H193">
            <v>3.4547874253761659</v>
          </cell>
          <cell r="I193">
            <v>817.36250000144832</v>
          </cell>
        </row>
        <row r="194">
          <cell r="E194">
            <v>46192</v>
          </cell>
          <cell r="F194">
            <v>8.6533333333333342</v>
          </cell>
          <cell r="G194">
            <v>2427.8987353397656</v>
          </cell>
          <cell r="H194">
            <v>3.4547874253761659</v>
          </cell>
          <cell r="I194">
            <v>820.81728742682446</v>
          </cell>
        </row>
        <row r="195">
          <cell r="E195">
            <v>46193</v>
          </cell>
          <cell r="F195">
            <v>8.6533333333333342</v>
          </cell>
          <cell r="G195">
            <v>2436.5520686730988</v>
          </cell>
          <cell r="H195">
            <v>3.4547874253761659</v>
          </cell>
          <cell r="I195">
            <v>824.2720748522006</v>
          </cell>
        </row>
        <row r="196">
          <cell r="E196">
            <v>46194</v>
          </cell>
          <cell r="F196">
            <v>8.6533333333333342</v>
          </cell>
          <cell r="G196">
            <v>2445.205402006432</v>
          </cell>
          <cell r="H196">
            <v>3.4547874253761659</v>
          </cell>
          <cell r="I196">
            <v>827.72686227757674</v>
          </cell>
        </row>
        <row r="197">
          <cell r="E197">
            <v>46195</v>
          </cell>
          <cell r="F197">
            <v>8.6533333333333342</v>
          </cell>
          <cell r="G197">
            <v>2453.8587353397652</v>
          </cell>
          <cell r="H197">
            <v>3.4547874253761659</v>
          </cell>
          <cell r="I197">
            <v>831.18164970295288</v>
          </cell>
        </row>
        <row r="198">
          <cell r="E198">
            <v>46196</v>
          </cell>
          <cell r="F198">
            <v>8.6533333333333342</v>
          </cell>
          <cell r="G198">
            <v>2462.5120686730984</v>
          </cell>
          <cell r="H198">
            <v>3.4547874253761659</v>
          </cell>
          <cell r="I198">
            <v>834.63643712832902</v>
          </cell>
        </row>
        <row r="199">
          <cell r="E199">
            <v>46197</v>
          </cell>
          <cell r="F199">
            <v>8.6533333333333342</v>
          </cell>
          <cell r="G199">
            <v>2471.1654020064316</v>
          </cell>
          <cell r="H199">
            <v>3.4547874253761659</v>
          </cell>
          <cell r="I199">
            <v>838.09122455370516</v>
          </cell>
        </row>
        <row r="200">
          <cell r="E200">
            <v>46198</v>
          </cell>
          <cell r="F200">
            <v>8.6533333333333342</v>
          </cell>
          <cell r="G200">
            <v>2479.8187353397648</v>
          </cell>
          <cell r="H200">
            <v>3.4547874253761659</v>
          </cell>
          <cell r="I200">
            <v>841.5460119790813</v>
          </cell>
        </row>
        <row r="201">
          <cell r="E201">
            <v>46199</v>
          </cell>
          <cell r="F201">
            <v>8.6533333333333342</v>
          </cell>
          <cell r="G201">
            <v>2488.472068673098</v>
          </cell>
          <cell r="H201">
            <v>3.4547874253761659</v>
          </cell>
          <cell r="I201">
            <v>845.00079940445744</v>
          </cell>
        </row>
        <row r="202">
          <cell r="E202">
            <v>46200</v>
          </cell>
          <cell r="F202">
            <v>8.6533333333333342</v>
          </cell>
          <cell r="G202">
            <v>2497.1254020064312</v>
          </cell>
          <cell r="H202">
            <v>3.4547874253761659</v>
          </cell>
          <cell r="I202">
            <v>848.45558682983358</v>
          </cell>
        </row>
        <row r="203">
          <cell r="E203">
            <v>46201</v>
          </cell>
          <cell r="F203">
            <v>8.6533333333333342</v>
          </cell>
          <cell r="G203">
            <v>2505.7787353397644</v>
          </cell>
          <cell r="H203">
            <v>3.4547874253761659</v>
          </cell>
          <cell r="I203">
            <v>851.91037425520972</v>
          </cell>
        </row>
        <row r="204">
          <cell r="E204">
            <v>46202</v>
          </cell>
          <cell r="F204">
            <v>8.6533333333333342</v>
          </cell>
          <cell r="G204">
            <v>2514.4320686730975</v>
          </cell>
          <cell r="H204">
            <v>3.4547874253761659</v>
          </cell>
          <cell r="I204">
            <v>855.36516168058586</v>
          </cell>
        </row>
        <row r="205">
          <cell r="E205">
            <v>46203</v>
          </cell>
          <cell r="F205">
            <v>8.6533333333333342</v>
          </cell>
          <cell r="G205">
            <v>2523.0854020064307</v>
          </cell>
          <cell r="H205">
            <v>3.4547874253761659</v>
          </cell>
          <cell r="I205">
            <v>858.819949105962</v>
          </cell>
        </row>
        <row r="206">
          <cell r="E206">
            <v>46204</v>
          </cell>
          <cell r="F206">
            <v>7.5525806451612905</v>
          </cell>
          <cell r="G206">
            <v>2530.6379826515922</v>
          </cell>
          <cell r="H206">
            <v>3.1416949549609257</v>
          </cell>
          <cell r="I206">
            <v>861.96164406092294</v>
          </cell>
        </row>
        <row r="207">
          <cell r="E207">
            <v>46205</v>
          </cell>
          <cell r="F207">
            <v>7.5525806451612905</v>
          </cell>
          <cell r="G207">
            <v>2538.1905632967537</v>
          </cell>
          <cell r="H207">
            <v>3.1416949549609257</v>
          </cell>
          <cell r="I207">
            <v>865.10333901588388</v>
          </cell>
        </row>
        <row r="208">
          <cell r="E208">
            <v>46206</v>
          </cell>
          <cell r="F208">
            <v>7.5525806451612905</v>
          </cell>
          <cell r="G208">
            <v>2545.7431439419152</v>
          </cell>
          <cell r="H208">
            <v>3.1416949549609257</v>
          </cell>
          <cell r="I208">
            <v>868.24503397084482</v>
          </cell>
        </row>
        <row r="209">
          <cell r="E209">
            <v>46207</v>
          </cell>
          <cell r="F209">
            <v>7.5525806451612905</v>
          </cell>
          <cell r="G209">
            <v>2553.2957245870766</v>
          </cell>
          <cell r="H209">
            <v>3.1416949549609257</v>
          </cell>
          <cell r="I209">
            <v>871.38672892580576</v>
          </cell>
        </row>
        <row r="210">
          <cell r="E210">
            <v>46208</v>
          </cell>
          <cell r="F210">
            <v>7.5525806451612905</v>
          </cell>
          <cell r="G210">
            <v>2560.8483052322381</v>
          </cell>
          <cell r="H210">
            <v>3.1416949549609257</v>
          </cell>
          <cell r="I210">
            <v>874.5284238807667</v>
          </cell>
        </row>
        <row r="211">
          <cell r="E211">
            <v>46209</v>
          </cell>
          <cell r="F211">
            <v>7.5525806451612905</v>
          </cell>
          <cell r="G211">
            <v>2568.4008858773996</v>
          </cell>
          <cell r="H211">
            <v>3.1416949549609257</v>
          </cell>
          <cell r="I211">
            <v>877.67011883572764</v>
          </cell>
        </row>
        <row r="212">
          <cell r="E212">
            <v>46210</v>
          </cell>
          <cell r="F212">
            <v>7.5525806451612905</v>
          </cell>
          <cell r="G212">
            <v>2575.953466522561</v>
          </cell>
          <cell r="H212">
            <v>3.1416949549609257</v>
          </cell>
          <cell r="I212">
            <v>880.81181379068857</v>
          </cell>
        </row>
        <row r="213">
          <cell r="E213">
            <v>46211</v>
          </cell>
          <cell r="F213">
            <v>7.5525806451612905</v>
          </cell>
          <cell r="G213">
            <v>2583.5060471677225</v>
          </cell>
          <cell r="H213">
            <v>3.1416949549609257</v>
          </cell>
          <cell r="I213">
            <v>883.95350874564951</v>
          </cell>
        </row>
        <row r="214">
          <cell r="E214">
            <v>46212</v>
          </cell>
          <cell r="F214">
            <v>7.5525806451612905</v>
          </cell>
          <cell r="G214">
            <v>2591.058627812884</v>
          </cell>
          <cell r="H214">
            <v>3.1416949549609257</v>
          </cell>
          <cell r="I214">
            <v>887.09520370061045</v>
          </cell>
        </row>
        <row r="215">
          <cell r="E215">
            <v>46213</v>
          </cell>
          <cell r="F215">
            <v>7.5525806451612905</v>
          </cell>
          <cell r="G215">
            <v>2598.6112084580454</v>
          </cell>
          <cell r="H215">
            <v>3.1416949549609257</v>
          </cell>
          <cell r="I215">
            <v>890.23689865557139</v>
          </cell>
        </row>
        <row r="216">
          <cell r="E216">
            <v>46214</v>
          </cell>
          <cell r="F216">
            <v>7.5525806451612905</v>
          </cell>
          <cell r="G216">
            <v>2606.1637891032069</v>
          </cell>
          <cell r="H216">
            <v>3.1416949549609257</v>
          </cell>
          <cell r="I216">
            <v>893.37859361053233</v>
          </cell>
        </row>
        <row r="217">
          <cell r="E217">
            <v>46215</v>
          </cell>
          <cell r="F217">
            <v>7.5525806451612905</v>
          </cell>
          <cell r="G217">
            <v>2613.7163697483684</v>
          </cell>
          <cell r="H217">
            <v>3.1416949549609257</v>
          </cell>
          <cell r="I217">
            <v>896.52028856549327</v>
          </cell>
        </row>
        <row r="218">
          <cell r="E218">
            <v>46216</v>
          </cell>
          <cell r="F218">
            <v>7.5525806451612905</v>
          </cell>
          <cell r="G218">
            <v>2621.2689503935298</v>
          </cell>
          <cell r="H218">
            <v>3.1416949549609257</v>
          </cell>
          <cell r="I218">
            <v>899.66198352045421</v>
          </cell>
        </row>
        <row r="219">
          <cell r="E219">
            <v>46217</v>
          </cell>
          <cell r="F219">
            <v>7.5525806451612905</v>
          </cell>
          <cell r="G219">
            <v>2628.8215310386913</v>
          </cell>
          <cell r="H219">
            <v>3.1416949549609257</v>
          </cell>
          <cell r="I219">
            <v>902.80367847541515</v>
          </cell>
        </row>
        <row r="220">
          <cell r="E220">
            <v>46218</v>
          </cell>
          <cell r="F220">
            <v>7.5525806451612905</v>
          </cell>
          <cell r="G220">
            <v>2636.3741116838528</v>
          </cell>
          <cell r="H220">
            <v>3.1416949549609257</v>
          </cell>
          <cell r="I220">
            <v>905.94537343037609</v>
          </cell>
        </row>
        <row r="221">
          <cell r="E221">
            <v>46219</v>
          </cell>
          <cell r="F221">
            <v>7.5525806451612905</v>
          </cell>
          <cell r="G221">
            <v>2643.9266923290143</v>
          </cell>
          <cell r="H221">
            <v>3.1416949549609257</v>
          </cell>
          <cell r="I221">
            <v>909.08706838533703</v>
          </cell>
        </row>
        <row r="222">
          <cell r="E222">
            <v>46220</v>
          </cell>
          <cell r="F222">
            <v>7.5525806451612905</v>
          </cell>
          <cell r="G222">
            <v>2651.4792729741757</v>
          </cell>
          <cell r="H222">
            <v>3.1416949549609257</v>
          </cell>
          <cell r="I222">
            <v>912.22876334029797</v>
          </cell>
        </row>
        <row r="223">
          <cell r="E223">
            <v>46221</v>
          </cell>
          <cell r="F223">
            <v>7.5525806451612905</v>
          </cell>
          <cell r="G223">
            <v>2659.0318536193372</v>
          </cell>
          <cell r="H223">
            <v>3.1416949549609257</v>
          </cell>
          <cell r="I223">
            <v>915.37045829525891</v>
          </cell>
        </row>
        <row r="224">
          <cell r="E224">
            <v>46222</v>
          </cell>
          <cell r="F224">
            <v>7.5525806451612905</v>
          </cell>
          <cell r="G224">
            <v>2666.5844342644987</v>
          </cell>
          <cell r="H224">
            <v>3.1416949549609257</v>
          </cell>
          <cell r="I224">
            <v>918.51215325021985</v>
          </cell>
        </row>
        <row r="225">
          <cell r="E225">
            <v>46223</v>
          </cell>
          <cell r="F225">
            <v>7.5525806451612905</v>
          </cell>
          <cell r="G225">
            <v>2674.1370149096601</v>
          </cell>
          <cell r="H225">
            <v>3.1416949549609257</v>
          </cell>
          <cell r="I225">
            <v>921.65384820518079</v>
          </cell>
        </row>
        <row r="226">
          <cell r="E226">
            <v>46224</v>
          </cell>
          <cell r="F226">
            <v>7.5525806451612905</v>
          </cell>
          <cell r="G226">
            <v>2681.6895955548216</v>
          </cell>
          <cell r="H226">
            <v>3.1416949549609257</v>
          </cell>
          <cell r="I226">
            <v>924.79554316014173</v>
          </cell>
        </row>
        <row r="227">
          <cell r="E227">
            <v>46225</v>
          </cell>
          <cell r="F227">
            <v>7.5525806451612905</v>
          </cell>
          <cell r="G227">
            <v>2689.2421761999831</v>
          </cell>
          <cell r="H227">
            <v>3.1416949549609257</v>
          </cell>
          <cell r="I227">
            <v>927.93723811510267</v>
          </cell>
        </row>
        <row r="228">
          <cell r="E228">
            <v>46226</v>
          </cell>
          <cell r="F228">
            <v>7.5525806451612905</v>
          </cell>
          <cell r="G228">
            <v>2696.7947568451445</v>
          </cell>
          <cell r="H228">
            <v>3.1416949549609257</v>
          </cell>
          <cell r="I228">
            <v>931.07893307006361</v>
          </cell>
        </row>
        <row r="229">
          <cell r="E229">
            <v>46227</v>
          </cell>
          <cell r="F229">
            <v>7.5525806451612905</v>
          </cell>
          <cell r="G229">
            <v>2704.347337490306</v>
          </cell>
          <cell r="H229">
            <v>3.1416949549609257</v>
          </cell>
          <cell r="I229">
            <v>934.22062802502455</v>
          </cell>
        </row>
        <row r="230">
          <cell r="E230">
            <v>46228</v>
          </cell>
          <cell r="F230">
            <v>7.5525806451612905</v>
          </cell>
          <cell r="G230">
            <v>2711.8999181354675</v>
          </cell>
          <cell r="H230">
            <v>3.1416949549609257</v>
          </cell>
          <cell r="I230">
            <v>937.36232297998549</v>
          </cell>
        </row>
        <row r="231">
          <cell r="E231">
            <v>46229</v>
          </cell>
          <cell r="F231">
            <v>7.5525806451612905</v>
          </cell>
          <cell r="G231">
            <v>2719.452498780629</v>
          </cell>
          <cell r="H231">
            <v>3.1416949549609257</v>
          </cell>
          <cell r="I231">
            <v>940.50401793494643</v>
          </cell>
        </row>
        <row r="232">
          <cell r="E232">
            <v>46230</v>
          </cell>
          <cell r="F232">
            <v>7.5525806451612905</v>
          </cell>
          <cell r="G232">
            <v>2727.0050794257904</v>
          </cell>
          <cell r="H232">
            <v>3.1416949549609257</v>
          </cell>
          <cell r="I232">
            <v>943.64571288990737</v>
          </cell>
        </row>
        <row r="233">
          <cell r="E233">
            <v>46231</v>
          </cell>
          <cell r="F233">
            <v>7.5525806451612905</v>
          </cell>
          <cell r="G233">
            <v>2734.5576600709519</v>
          </cell>
          <cell r="H233">
            <v>3.1416949549609257</v>
          </cell>
          <cell r="I233">
            <v>946.78740784486831</v>
          </cell>
        </row>
        <row r="234">
          <cell r="E234">
            <v>46232</v>
          </cell>
          <cell r="F234">
            <v>7.5525806451612905</v>
          </cell>
          <cell r="G234">
            <v>2742.1102407161134</v>
          </cell>
          <cell r="H234">
            <v>3.1416949549609257</v>
          </cell>
          <cell r="I234">
            <v>949.92910279982925</v>
          </cell>
        </row>
        <row r="235">
          <cell r="E235">
            <v>46233</v>
          </cell>
          <cell r="F235">
            <v>7.5525806451612905</v>
          </cell>
          <cell r="G235">
            <v>2749.6628213612748</v>
          </cell>
          <cell r="H235">
            <v>3.1416949549609257</v>
          </cell>
          <cell r="I235">
            <v>953.07079775479019</v>
          </cell>
        </row>
        <row r="236">
          <cell r="E236">
            <v>46234</v>
          </cell>
          <cell r="F236">
            <v>7.5525806451612905</v>
          </cell>
          <cell r="G236">
            <v>2757.2154020064363</v>
          </cell>
          <cell r="H236">
            <v>3.1416949549609257</v>
          </cell>
          <cell r="I236">
            <v>956.21249270975113</v>
          </cell>
        </row>
        <row r="237">
          <cell r="E237">
            <v>46235</v>
          </cell>
          <cell r="F237">
            <v>4.9780645161290318</v>
          </cell>
          <cell r="G237">
            <v>2762.1934665225654</v>
          </cell>
          <cell r="H237">
            <v>2.5098337804484983</v>
          </cell>
          <cell r="I237">
            <v>958.72232649019963</v>
          </cell>
        </row>
        <row r="238">
          <cell r="E238">
            <v>46236</v>
          </cell>
          <cell r="F238">
            <v>4.9780645161290318</v>
          </cell>
          <cell r="G238">
            <v>2767.1715310386944</v>
          </cell>
          <cell r="H238">
            <v>2.5098337804484983</v>
          </cell>
          <cell r="I238">
            <v>961.23216027064814</v>
          </cell>
        </row>
        <row r="239">
          <cell r="E239">
            <v>46237</v>
          </cell>
          <cell r="F239">
            <v>4.9780645161290318</v>
          </cell>
          <cell r="G239">
            <v>2772.1495955548235</v>
          </cell>
          <cell r="H239">
            <v>2.5098337804484983</v>
          </cell>
          <cell r="I239">
            <v>963.74199405109664</v>
          </cell>
        </row>
        <row r="240">
          <cell r="E240">
            <v>46238</v>
          </cell>
          <cell r="F240">
            <v>4.9780645161290318</v>
          </cell>
          <cell r="G240">
            <v>2777.1276600709525</v>
          </cell>
          <cell r="H240">
            <v>2.5098337804484983</v>
          </cell>
          <cell r="I240">
            <v>966.25182783154514</v>
          </cell>
        </row>
        <row r="241">
          <cell r="E241">
            <v>46239</v>
          </cell>
          <cell r="F241">
            <v>4.9780645161290318</v>
          </cell>
          <cell r="G241">
            <v>2782.1057245870816</v>
          </cell>
          <cell r="H241">
            <v>2.5098337804484983</v>
          </cell>
          <cell r="I241">
            <v>968.76166161199365</v>
          </cell>
        </row>
        <row r="242">
          <cell r="E242">
            <v>46240</v>
          </cell>
          <cell r="F242">
            <v>4.9780645161290318</v>
          </cell>
          <cell r="G242">
            <v>2787.0837891032106</v>
          </cell>
          <cell r="H242">
            <v>2.5098337804484983</v>
          </cell>
          <cell r="I242">
            <v>971.27149539244215</v>
          </cell>
        </row>
        <row r="243">
          <cell r="E243">
            <v>46241</v>
          </cell>
          <cell r="F243">
            <v>4.9780645161290318</v>
          </cell>
          <cell r="G243">
            <v>2792.0618536193397</v>
          </cell>
          <cell r="H243">
            <v>2.5098337804484983</v>
          </cell>
          <cell r="I243">
            <v>973.78132917289065</v>
          </cell>
        </row>
        <row r="244">
          <cell r="E244">
            <v>46242</v>
          </cell>
          <cell r="F244">
            <v>4.9780645161290318</v>
          </cell>
          <cell r="G244">
            <v>2797.0399181354687</v>
          </cell>
          <cell r="H244">
            <v>2.5098337804484983</v>
          </cell>
          <cell r="I244">
            <v>976.29116295333915</v>
          </cell>
        </row>
        <row r="245">
          <cell r="E245">
            <v>46243</v>
          </cell>
          <cell r="F245">
            <v>4.9780645161290318</v>
          </cell>
          <cell r="G245">
            <v>2802.0179826515978</v>
          </cell>
          <cell r="H245">
            <v>2.5098337804484983</v>
          </cell>
          <cell r="I245">
            <v>978.80099673378766</v>
          </cell>
        </row>
        <row r="246">
          <cell r="E246">
            <v>46244</v>
          </cell>
          <cell r="F246">
            <v>4.9780645161290318</v>
          </cell>
          <cell r="G246">
            <v>2806.9960471677268</v>
          </cell>
          <cell r="H246">
            <v>2.5098337804484983</v>
          </cell>
          <cell r="I246">
            <v>981.31083051423616</v>
          </cell>
        </row>
        <row r="247">
          <cell r="E247">
            <v>46245</v>
          </cell>
          <cell r="F247">
            <v>4.9780645161290318</v>
          </cell>
          <cell r="G247">
            <v>2811.9741116838559</v>
          </cell>
          <cell r="H247">
            <v>2.5098337804484983</v>
          </cell>
          <cell r="I247">
            <v>983.82066429468466</v>
          </cell>
        </row>
        <row r="248">
          <cell r="E248">
            <v>46246</v>
          </cell>
          <cell r="F248">
            <v>4.9780645161290318</v>
          </cell>
          <cell r="G248">
            <v>2816.9521761999849</v>
          </cell>
          <cell r="H248">
            <v>2.5098337804484983</v>
          </cell>
          <cell r="I248">
            <v>986.33049807513316</v>
          </cell>
        </row>
        <row r="249">
          <cell r="E249">
            <v>46247</v>
          </cell>
          <cell r="F249">
            <v>4.9780645161290318</v>
          </cell>
          <cell r="G249">
            <v>2821.930240716114</v>
          </cell>
          <cell r="H249">
            <v>2.5098337804484983</v>
          </cell>
          <cell r="I249">
            <v>988.84033185558167</v>
          </cell>
        </row>
        <row r="250">
          <cell r="E250">
            <v>46248</v>
          </cell>
          <cell r="F250">
            <v>4.9780645161290318</v>
          </cell>
          <cell r="G250">
            <v>2826.908305232243</v>
          </cell>
          <cell r="H250">
            <v>2.5098337804484983</v>
          </cell>
          <cell r="I250">
            <v>991.35016563603017</v>
          </cell>
        </row>
        <row r="251">
          <cell r="E251">
            <v>46249</v>
          </cell>
          <cell r="F251">
            <v>4.9780645161290318</v>
          </cell>
          <cell r="G251">
            <v>2831.8863697483721</v>
          </cell>
          <cell r="H251">
            <v>2.5098337804484983</v>
          </cell>
          <cell r="I251">
            <v>993.85999941647867</v>
          </cell>
        </row>
        <row r="252">
          <cell r="E252">
            <v>46250</v>
          </cell>
          <cell r="F252">
            <v>4.9780645161290318</v>
          </cell>
          <cell r="G252">
            <v>2836.8644342645011</v>
          </cell>
          <cell r="H252">
            <v>2.5098337804484983</v>
          </cell>
          <cell r="I252">
            <v>996.36983319692717</v>
          </cell>
        </row>
        <row r="253">
          <cell r="E253">
            <v>46251</v>
          </cell>
          <cell r="F253">
            <v>4.9780645161290318</v>
          </cell>
          <cell r="G253">
            <v>2841.8424987806302</v>
          </cell>
          <cell r="H253">
            <v>2.5098337804484983</v>
          </cell>
          <cell r="I253">
            <v>998.87966697737568</v>
          </cell>
        </row>
        <row r="254">
          <cell r="E254">
            <v>46252</v>
          </cell>
          <cell r="F254">
            <v>4.9780645161290318</v>
          </cell>
          <cell r="G254">
            <v>2846.8205632967592</v>
          </cell>
          <cell r="H254">
            <v>2.5098337804484983</v>
          </cell>
          <cell r="I254">
            <v>1001.3895007578242</v>
          </cell>
        </row>
        <row r="255">
          <cell r="E255">
            <v>46253</v>
          </cell>
          <cell r="F255">
            <v>4.9780645161290318</v>
          </cell>
          <cell r="G255">
            <v>2851.7986278128883</v>
          </cell>
          <cell r="H255">
            <v>2.5098337804484983</v>
          </cell>
          <cell r="I255">
            <v>1003.8993345382727</v>
          </cell>
        </row>
        <row r="256">
          <cell r="E256">
            <v>46254</v>
          </cell>
          <cell r="F256">
            <v>4.9780645161290318</v>
          </cell>
          <cell r="G256">
            <v>2856.7766923290174</v>
          </cell>
          <cell r="H256">
            <v>2.5098337804484983</v>
          </cell>
          <cell r="I256">
            <v>1006.4091683187212</v>
          </cell>
        </row>
        <row r="257">
          <cell r="E257">
            <v>46255</v>
          </cell>
          <cell r="F257">
            <v>4.9780645161290318</v>
          </cell>
          <cell r="G257">
            <v>2861.7547568451464</v>
          </cell>
          <cell r="H257">
            <v>2.5098337804484983</v>
          </cell>
          <cell r="I257">
            <v>1008.9190020991697</v>
          </cell>
        </row>
        <row r="258">
          <cell r="E258">
            <v>46256</v>
          </cell>
          <cell r="F258">
            <v>4.9780645161290318</v>
          </cell>
          <cell r="G258">
            <v>2866.7328213612755</v>
          </cell>
          <cell r="H258">
            <v>2.5098337804484983</v>
          </cell>
          <cell r="I258">
            <v>1011.4288358796182</v>
          </cell>
        </row>
        <row r="259">
          <cell r="E259">
            <v>46257</v>
          </cell>
          <cell r="F259">
            <v>4.9780645161290318</v>
          </cell>
          <cell r="G259">
            <v>2871.7108858774045</v>
          </cell>
          <cell r="H259">
            <v>2.5098337804484983</v>
          </cell>
          <cell r="I259">
            <v>1013.9386696600667</v>
          </cell>
        </row>
        <row r="260">
          <cell r="E260">
            <v>46258</v>
          </cell>
          <cell r="F260">
            <v>4.9780645161290318</v>
          </cell>
          <cell r="G260">
            <v>2876.6889503935336</v>
          </cell>
          <cell r="H260">
            <v>2.5098337804484983</v>
          </cell>
          <cell r="I260">
            <v>1016.4485034405152</v>
          </cell>
        </row>
        <row r="261">
          <cell r="E261">
            <v>46259</v>
          </cell>
          <cell r="F261">
            <v>4.9780645161290318</v>
          </cell>
          <cell r="G261">
            <v>2881.6670149096626</v>
          </cell>
          <cell r="H261">
            <v>2.5098337804484983</v>
          </cell>
          <cell r="I261">
            <v>1018.9583372209637</v>
          </cell>
        </row>
        <row r="262">
          <cell r="E262">
            <v>46260</v>
          </cell>
          <cell r="F262">
            <v>4.9780645161290318</v>
          </cell>
          <cell r="G262">
            <v>2886.6450794257917</v>
          </cell>
          <cell r="H262">
            <v>2.5098337804484983</v>
          </cell>
          <cell r="I262">
            <v>1021.4681710014122</v>
          </cell>
        </row>
        <row r="263">
          <cell r="E263">
            <v>46261</v>
          </cell>
          <cell r="F263">
            <v>4.9780645161290318</v>
          </cell>
          <cell r="G263">
            <v>2891.6231439419207</v>
          </cell>
          <cell r="H263">
            <v>2.5098337804484983</v>
          </cell>
          <cell r="I263">
            <v>1023.9780047818607</v>
          </cell>
        </row>
        <row r="264">
          <cell r="E264">
            <v>46262</v>
          </cell>
          <cell r="F264">
            <v>4.9780645161290318</v>
          </cell>
          <cell r="G264">
            <v>2896.6012084580498</v>
          </cell>
          <cell r="H264">
            <v>2.5098337804484983</v>
          </cell>
          <cell r="I264">
            <v>1026.4878385623092</v>
          </cell>
        </row>
        <row r="265">
          <cell r="E265">
            <v>46263</v>
          </cell>
          <cell r="F265">
            <v>4.9780645161290318</v>
          </cell>
          <cell r="G265">
            <v>2901.5792729741788</v>
          </cell>
          <cell r="H265">
            <v>2.5098337804484983</v>
          </cell>
          <cell r="I265">
            <v>1028.9976723427576</v>
          </cell>
        </row>
        <row r="266">
          <cell r="E266">
            <v>46264</v>
          </cell>
          <cell r="F266">
            <v>4.9780645161290318</v>
          </cell>
          <cell r="G266">
            <v>2906.5573374903079</v>
          </cell>
          <cell r="H266">
            <v>2.5098337804484983</v>
          </cell>
          <cell r="I266">
            <v>1031.507506123206</v>
          </cell>
        </row>
        <row r="267">
          <cell r="E267">
            <v>46265</v>
          </cell>
          <cell r="F267">
            <v>4.9780645161290318</v>
          </cell>
          <cell r="G267">
            <v>2911.5354020064369</v>
          </cell>
          <cell r="H267">
            <v>2.5098337804484983</v>
          </cell>
          <cell r="I267">
            <v>1034.0173399036544</v>
          </cell>
        </row>
        <row r="268">
          <cell r="E268">
            <v>46266</v>
          </cell>
          <cell r="F268">
            <v>8.461333333333334</v>
          </cell>
          <cell r="G268">
            <v>2919.9967353397701</v>
          </cell>
          <cell r="H268">
            <v>3.4076650383231897</v>
          </cell>
          <cell r="I268">
            <v>1037.4250049419775</v>
          </cell>
        </row>
        <row r="269">
          <cell r="E269">
            <v>46267</v>
          </cell>
          <cell r="F269">
            <v>8.461333333333334</v>
          </cell>
          <cell r="G269">
            <v>2928.4580686731033</v>
          </cell>
          <cell r="H269">
            <v>3.4076650383231897</v>
          </cell>
          <cell r="I269">
            <v>1040.8326699803006</v>
          </cell>
        </row>
        <row r="270">
          <cell r="E270">
            <v>46268</v>
          </cell>
          <cell r="F270">
            <v>8.461333333333334</v>
          </cell>
          <cell r="G270">
            <v>2936.9194020064365</v>
          </cell>
          <cell r="H270">
            <v>3.4076650383231897</v>
          </cell>
          <cell r="I270">
            <v>1044.2403350186237</v>
          </cell>
        </row>
        <row r="271">
          <cell r="E271">
            <v>46269</v>
          </cell>
          <cell r="F271">
            <v>8.461333333333334</v>
          </cell>
          <cell r="G271">
            <v>2945.3807353397697</v>
          </cell>
          <cell r="H271">
            <v>3.4076650383231897</v>
          </cell>
          <cell r="I271">
            <v>1047.6480000569468</v>
          </cell>
        </row>
        <row r="272">
          <cell r="E272">
            <v>46270</v>
          </cell>
          <cell r="F272">
            <v>8.461333333333334</v>
          </cell>
          <cell r="G272">
            <v>2953.8420686731029</v>
          </cell>
          <cell r="H272">
            <v>3.4076650383231897</v>
          </cell>
          <cell r="I272">
            <v>1051.0556650952699</v>
          </cell>
        </row>
        <row r="273">
          <cell r="E273">
            <v>46271</v>
          </cell>
          <cell r="F273">
            <v>8.461333333333334</v>
          </cell>
          <cell r="G273">
            <v>2962.303402006436</v>
          </cell>
          <cell r="H273">
            <v>3.4076650383231897</v>
          </cell>
          <cell r="I273">
            <v>1054.463330133593</v>
          </cell>
        </row>
        <row r="274">
          <cell r="E274">
            <v>46272</v>
          </cell>
          <cell r="F274">
            <v>8.461333333333334</v>
          </cell>
          <cell r="G274">
            <v>2970.7647353397692</v>
          </cell>
          <cell r="H274">
            <v>3.4076650383231897</v>
          </cell>
          <cell r="I274">
            <v>1057.8709951719161</v>
          </cell>
        </row>
        <row r="275">
          <cell r="E275">
            <v>46273</v>
          </cell>
          <cell r="F275">
            <v>8.461333333333334</v>
          </cell>
          <cell r="G275">
            <v>2979.2260686731024</v>
          </cell>
          <cell r="H275">
            <v>3.4076650383231897</v>
          </cell>
          <cell r="I275">
            <v>1061.2786602102392</v>
          </cell>
        </row>
        <row r="276">
          <cell r="E276">
            <v>46274</v>
          </cell>
          <cell r="F276">
            <v>8.461333333333334</v>
          </cell>
          <cell r="G276">
            <v>2987.6874020064356</v>
          </cell>
          <cell r="H276">
            <v>3.4076650383231897</v>
          </cell>
          <cell r="I276">
            <v>1064.6863252485623</v>
          </cell>
        </row>
        <row r="277">
          <cell r="E277">
            <v>46275</v>
          </cell>
          <cell r="F277">
            <v>8.461333333333334</v>
          </cell>
          <cell r="G277">
            <v>2996.1487353397688</v>
          </cell>
          <cell r="H277">
            <v>3.4076650383231897</v>
          </cell>
          <cell r="I277">
            <v>1068.0939902868854</v>
          </cell>
        </row>
        <row r="278">
          <cell r="E278">
            <v>46276</v>
          </cell>
          <cell r="F278">
            <v>8.461333333333334</v>
          </cell>
          <cell r="G278">
            <v>3004.610068673102</v>
          </cell>
          <cell r="H278">
            <v>3.4076650383231897</v>
          </cell>
          <cell r="I278">
            <v>1071.5016553252085</v>
          </cell>
        </row>
        <row r="279">
          <cell r="E279">
            <v>46277</v>
          </cell>
          <cell r="F279">
            <v>8.461333333333334</v>
          </cell>
          <cell r="G279">
            <v>3013.0714020064352</v>
          </cell>
          <cell r="H279">
            <v>3.4076650383231897</v>
          </cell>
          <cell r="I279">
            <v>1074.9093203635316</v>
          </cell>
        </row>
        <row r="280">
          <cell r="E280">
            <v>46278</v>
          </cell>
          <cell r="F280">
            <v>8.461333333333334</v>
          </cell>
          <cell r="G280">
            <v>3021.5327353397684</v>
          </cell>
          <cell r="H280">
            <v>3.4076650383231897</v>
          </cell>
          <cell r="I280">
            <v>1078.3169854018547</v>
          </cell>
        </row>
        <row r="281">
          <cell r="E281">
            <v>46279</v>
          </cell>
          <cell r="F281">
            <v>8.461333333333334</v>
          </cell>
          <cell r="G281">
            <v>3029.9940686731015</v>
          </cell>
          <cell r="H281">
            <v>3.4076650383231897</v>
          </cell>
          <cell r="I281">
            <v>1081.7246504401778</v>
          </cell>
        </row>
        <row r="282">
          <cell r="E282">
            <v>46280</v>
          </cell>
          <cell r="F282">
            <v>8.461333333333334</v>
          </cell>
          <cell r="G282">
            <v>3038.4554020064347</v>
          </cell>
          <cell r="H282">
            <v>3.4076650383231897</v>
          </cell>
          <cell r="I282">
            <v>1085.1323154785009</v>
          </cell>
        </row>
        <row r="283">
          <cell r="E283">
            <v>46281</v>
          </cell>
          <cell r="F283">
            <v>8.461333333333334</v>
          </cell>
          <cell r="G283">
            <v>3046.9167353397679</v>
          </cell>
          <cell r="H283">
            <v>3.4076650383231897</v>
          </cell>
          <cell r="I283">
            <v>1088.539980516824</v>
          </cell>
        </row>
        <row r="284">
          <cell r="E284">
            <v>46282</v>
          </cell>
          <cell r="F284">
            <v>8.461333333333334</v>
          </cell>
          <cell r="G284">
            <v>3055.3780686731011</v>
          </cell>
          <cell r="H284">
            <v>3.4076650383231897</v>
          </cell>
          <cell r="I284">
            <v>1091.9476455551471</v>
          </cell>
        </row>
        <row r="285">
          <cell r="E285">
            <v>46283</v>
          </cell>
          <cell r="F285">
            <v>8.461333333333334</v>
          </cell>
          <cell r="G285">
            <v>3063.8394020064343</v>
          </cell>
          <cell r="H285">
            <v>3.4076650383231897</v>
          </cell>
          <cell r="I285">
            <v>1095.3553105934702</v>
          </cell>
        </row>
        <row r="286">
          <cell r="E286">
            <v>46284</v>
          </cell>
          <cell r="F286">
            <v>8.461333333333334</v>
          </cell>
          <cell r="G286">
            <v>3072.3007353397675</v>
          </cell>
          <cell r="H286">
            <v>3.4076650383231897</v>
          </cell>
          <cell r="I286">
            <v>1098.7629756317933</v>
          </cell>
        </row>
        <row r="287">
          <cell r="E287">
            <v>46285</v>
          </cell>
          <cell r="F287">
            <v>8.461333333333334</v>
          </cell>
          <cell r="G287">
            <v>3080.7620686731007</v>
          </cell>
          <cell r="H287">
            <v>3.4076650383231897</v>
          </cell>
          <cell r="I287">
            <v>1102.1706406701164</v>
          </cell>
        </row>
        <row r="288">
          <cell r="E288">
            <v>46286</v>
          </cell>
          <cell r="F288">
            <v>8.461333333333334</v>
          </cell>
          <cell r="G288">
            <v>3089.2234020064338</v>
          </cell>
          <cell r="H288">
            <v>3.4076650383231897</v>
          </cell>
          <cell r="I288">
            <v>1105.5783057084395</v>
          </cell>
        </row>
        <row r="289">
          <cell r="E289">
            <v>46287</v>
          </cell>
          <cell r="F289">
            <v>8.461333333333334</v>
          </cell>
          <cell r="G289">
            <v>3097.684735339767</v>
          </cell>
          <cell r="H289">
            <v>3.4076650383231897</v>
          </cell>
          <cell r="I289">
            <v>1108.9859707467626</v>
          </cell>
        </row>
        <row r="290">
          <cell r="E290">
            <v>46288</v>
          </cell>
          <cell r="F290">
            <v>8.461333333333334</v>
          </cell>
          <cell r="G290">
            <v>3106.1460686731002</v>
          </cell>
          <cell r="H290">
            <v>3.4076650383231897</v>
          </cell>
          <cell r="I290">
            <v>1112.3936357850857</v>
          </cell>
        </row>
        <row r="291">
          <cell r="E291">
            <v>46289</v>
          </cell>
          <cell r="F291">
            <v>8.461333333333334</v>
          </cell>
          <cell r="G291">
            <v>3114.6074020064334</v>
          </cell>
          <cell r="H291">
            <v>3.4076650383231897</v>
          </cell>
          <cell r="I291">
            <v>1115.8013008234088</v>
          </cell>
        </row>
        <row r="292">
          <cell r="E292">
            <v>46290</v>
          </cell>
          <cell r="F292">
            <v>8.461333333333334</v>
          </cell>
          <cell r="G292">
            <v>3123.0687353397666</v>
          </cell>
          <cell r="H292">
            <v>3.4076650383231897</v>
          </cell>
          <cell r="I292">
            <v>1119.2089658617319</v>
          </cell>
        </row>
        <row r="293">
          <cell r="E293">
            <v>46291</v>
          </cell>
          <cell r="F293">
            <v>8.461333333333334</v>
          </cell>
          <cell r="G293">
            <v>3131.5300686730998</v>
          </cell>
          <cell r="H293">
            <v>3.4076650383231897</v>
          </cell>
          <cell r="I293">
            <v>1122.616630900055</v>
          </cell>
        </row>
        <row r="294">
          <cell r="E294">
            <v>46292</v>
          </cell>
          <cell r="F294">
            <v>8.461333333333334</v>
          </cell>
          <cell r="G294">
            <v>3139.991402006433</v>
          </cell>
          <cell r="H294">
            <v>3.4076650383231897</v>
          </cell>
          <cell r="I294">
            <v>1126.0242959383781</v>
          </cell>
        </row>
        <row r="295">
          <cell r="E295">
            <v>46293</v>
          </cell>
          <cell r="F295">
            <v>8.461333333333334</v>
          </cell>
          <cell r="G295">
            <v>3148.4527353397661</v>
          </cell>
          <cell r="H295">
            <v>3.4076650383231897</v>
          </cell>
          <cell r="I295">
            <v>1129.4319609767012</v>
          </cell>
        </row>
        <row r="296">
          <cell r="E296">
            <v>46294</v>
          </cell>
          <cell r="F296">
            <v>8.461333333333334</v>
          </cell>
          <cell r="G296">
            <v>3156.9140686730993</v>
          </cell>
          <cell r="H296">
            <v>3.4076650383231897</v>
          </cell>
          <cell r="I296">
            <v>1132.8396260150244</v>
          </cell>
        </row>
        <row r="297">
          <cell r="E297">
            <v>46295</v>
          </cell>
          <cell r="F297">
            <v>8.461333333333334</v>
          </cell>
          <cell r="G297">
            <v>3165.3754020064325</v>
          </cell>
          <cell r="H297">
            <v>3.4076650383231897</v>
          </cell>
          <cell r="I297">
            <v>1136.2472910533475</v>
          </cell>
        </row>
        <row r="298">
          <cell r="E298">
            <v>46296</v>
          </cell>
          <cell r="F298">
            <v>9.0164516129032251</v>
          </cell>
          <cell r="G298">
            <v>3174.391853619336</v>
          </cell>
          <cell r="H298">
            <v>3.5009714879689948</v>
          </cell>
          <cell r="I298">
            <v>1139.7482625413165</v>
          </cell>
        </row>
        <row r="299">
          <cell r="E299">
            <v>46297</v>
          </cell>
          <cell r="F299">
            <v>9.0164516129032251</v>
          </cell>
          <cell r="G299">
            <v>3183.4083052322394</v>
          </cell>
          <cell r="H299">
            <v>3.5009714879689948</v>
          </cell>
          <cell r="I299">
            <v>1143.2492340292856</v>
          </cell>
        </row>
        <row r="300">
          <cell r="E300">
            <v>46298</v>
          </cell>
          <cell r="F300">
            <v>9.0164516129032251</v>
          </cell>
          <cell r="G300">
            <v>3192.4247568451428</v>
          </cell>
          <cell r="H300">
            <v>3.5009714879689948</v>
          </cell>
          <cell r="I300">
            <v>1146.7502055172547</v>
          </cell>
        </row>
        <row r="301">
          <cell r="E301">
            <v>46299</v>
          </cell>
          <cell r="F301">
            <v>9.0164516129032251</v>
          </cell>
          <cell r="G301">
            <v>3201.4412084580463</v>
          </cell>
          <cell r="H301">
            <v>3.5009714879689948</v>
          </cell>
          <cell r="I301">
            <v>1150.2511770052238</v>
          </cell>
        </row>
        <row r="302">
          <cell r="E302">
            <v>46300</v>
          </cell>
          <cell r="F302">
            <v>9.0164516129032251</v>
          </cell>
          <cell r="G302">
            <v>3210.4576600709497</v>
          </cell>
          <cell r="H302">
            <v>3.5009714879689948</v>
          </cell>
          <cell r="I302">
            <v>1153.7521484931929</v>
          </cell>
        </row>
        <row r="303">
          <cell r="E303">
            <v>46301</v>
          </cell>
          <cell r="F303">
            <v>9.0164516129032251</v>
          </cell>
          <cell r="G303">
            <v>3219.4741116838532</v>
          </cell>
          <cell r="H303">
            <v>3.5009714879689948</v>
          </cell>
          <cell r="I303">
            <v>1157.2531199811619</v>
          </cell>
        </row>
        <row r="304">
          <cell r="E304">
            <v>46302</v>
          </cell>
          <cell r="F304">
            <v>9.0164516129032251</v>
          </cell>
          <cell r="G304">
            <v>3228.4905632967566</v>
          </cell>
          <cell r="H304">
            <v>3.5009714879689948</v>
          </cell>
          <cell r="I304">
            <v>1160.754091469131</v>
          </cell>
        </row>
        <row r="305">
          <cell r="E305">
            <v>46303</v>
          </cell>
          <cell r="F305">
            <v>9.0164516129032251</v>
          </cell>
          <cell r="G305">
            <v>3237.50701490966</v>
          </cell>
          <cell r="H305">
            <v>3.5009714879689948</v>
          </cell>
          <cell r="I305">
            <v>1164.2550629571001</v>
          </cell>
        </row>
        <row r="306">
          <cell r="E306">
            <v>46304</v>
          </cell>
          <cell r="F306">
            <v>9.0164516129032251</v>
          </cell>
          <cell r="G306">
            <v>3246.5234665225635</v>
          </cell>
          <cell r="H306">
            <v>3.5009714879689948</v>
          </cell>
          <cell r="I306">
            <v>1167.7560344450692</v>
          </cell>
        </row>
        <row r="307">
          <cell r="E307">
            <v>46305</v>
          </cell>
          <cell r="F307">
            <v>9.0164516129032251</v>
          </cell>
          <cell r="G307">
            <v>3255.5399181354669</v>
          </cell>
          <cell r="H307">
            <v>3.5009714879689948</v>
          </cell>
          <cell r="I307">
            <v>1171.2570059330383</v>
          </cell>
        </row>
        <row r="308">
          <cell r="E308">
            <v>46306</v>
          </cell>
          <cell r="F308">
            <v>9.0164516129032251</v>
          </cell>
          <cell r="G308">
            <v>3264.5563697483703</v>
          </cell>
          <cell r="H308">
            <v>3.5009714879689948</v>
          </cell>
          <cell r="I308">
            <v>1174.7579774210074</v>
          </cell>
        </row>
        <row r="309">
          <cell r="E309">
            <v>46307</v>
          </cell>
          <cell r="F309">
            <v>9.0164516129032251</v>
          </cell>
          <cell r="G309">
            <v>3273.5728213612738</v>
          </cell>
          <cell r="H309">
            <v>3.5009714879689948</v>
          </cell>
          <cell r="I309">
            <v>1178.2589489089764</v>
          </cell>
        </row>
        <row r="310">
          <cell r="E310">
            <v>46308</v>
          </cell>
          <cell r="F310">
            <v>9.0164516129032251</v>
          </cell>
          <cell r="G310">
            <v>3282.5892729741772</v>
          </cell>
          <cell r="H310">
            <v>3.5009714879689948</v>
          </cell>
          <cell r="I310">
            <v>1181.7599203969455</v>
          </cell>
        </row>
        <row r="311">
          <cell r="E311">
            <v>46309</v>
          </cell>
          <cell r="F311">
            <v>9.0164516129032251</v>
          </cell>
          <cell r="G311">
            <v>3291.6057245870807</v>
          </cell>
          <cell r="H311">
            <v>3.5009714879689948</v>
          </cell>
          <cell r="I311">
            <v>1185.2608918849146</v>
          </cell>
        </row>
        <row r="312">
          <cell r="E312">
            <v>46310</v>
          </cell>
          <cell r="F312">
            <v>9.0164516129032251</v>
          </cell>
          <cell r="G312">
            <v>3300.6221761999841</v>
          </cell>
          <cell r="H312">
            <v>3.5009714879689948</v>
          </cell>
          <cell r="I312">
            <v>1188.7618633728837</v>
          </cell>
        </row>
        <row r="313">
          <cell r="E313">
            <v>46311</v>
          </cell>
          <cell r="F313">
            <v>9.0164516129032251</v>
          </cell>
          <cell r="G313">
            <v>3309.6386278128875</v>
          </cell>
          <cell r="H313">
            <v>3.5009714879689948</v>
          </cell>
          <cell r="I313">
            <v>1192.2628348608528</v>
          </cell>
        </row>
        <row r="314">
          <cell r="E314">
            <v>46312</v>
          </cell>
          <cell r="F314">
            <v>9.0164516129032251</v>
          </cell>
          <cell r="G314">
            <v>3318.655079425791</v>
          </cell>
          <cell r="H314">
            <v>3.5009714879689948</v>
          </cell>
          <cell r="I314">
            <v>1195.7638063488218</v>
          </cell>
        </row>
        <row r="315">
          <cell r="E315">
            <v>46313</v>
          </cell>
          <cell r="F315">
            <v>9.0164516129032251</v>
          </cell>
          <cell r="G315">
            <v>3327.6715310386944</v>
          </cell>
          <cell r="H315">
            <v>3.5009714879689948</v>
          </cell>
          <cell r="I315">
            <v>1199.2647778367909</v>
          </cell>
        </row>
        <row r="316">
          <cell r="E316">
            <v>46314</v>
          </cell>
          <cell r="F316">
            <v>9.0164516129032251</v>
          </cell>
          <cell r="G316">
            <v>3336.6879826515978</v>
          </cell>
          <cell r="H316">
            <v>3.5009714879689948</v>
          </cell>
          <cell r="I316">
            <v>1202.76574932476</v>
          </cell>
        </row>
        <row r="317">
          <cell r="E317">
            <v>46315</v>
          </cell>
          <cell r="F317">
            <v>9.0164516129032251</v>
          </cell>
          <cell r="G317">
            <v>3345.7044342645013</v>
          </cell>
          <cell r="H317">
            <v>3.5009714879689948</v>
          </cell>
          <cell r="I317">
            <v>1206.2667208127291</v>
          </cell>
        </row>
        <row r="318">
          <cell r="E318">
            <v>46316</v>
          </cell>
          <cell r="F318">
            <v>9.0164516129032251</v>
          </cell>
          <cell r="G318">
            <v>3354.7208858774047</v>
          </cell>
          <cell r="H318">
            <v>3.5009714879689948</v>
          </cell>
          <cell r="I318">
            <v>1209.7676923006982</v>
          </cell>
        </row>
        <row r="319">
          <cell r="E319">
            <v>46317</v>
          </cell>
          <cell r="F319">
            <v>9.0164516129032251</v>
          </cell>
          <cell r="G319">
            <v>3363.7373374903082</v>
          </cell>
          <cell r="H319">
            <v>3.5009714879689948</v>
          </cell>
          <cell r="I319">
            <v>1213.2686637886673</v>
          </cell>
        </row>
        <row r="320">
          <cell r="E320">
            <v>46318</v>
          </cell>
          <cell r="F320">
            <v>9.0164516129032251</v>
          </cell>
          <cell r="G320">
            <v>3372.7537891032116</v>
          </cell>
          <cell r="H320">
            <v>3.5009714879689948</v>
          </cell>
          <cell r="I320">
            <v>1216.7696352766363</v>
          </cell>
        </row>
        <row r="321">
          <cell r="E321">
            <v>46319</v>
          </cell>
          <cell r="F321">
            <v>9.0164516129032251</v>
          </cell>
          <cell r="G321">
            <v>3381.770240716115</v>
          </cell>
          <cell r="H321">
            <v>3.5009714879689948</v>
          </cell>
          <cell r="I321">
            <v>1220.2706067646054</v>
          </cell>
        </row>
        <row r="322">
          <cell r="E322">
            <v>46320</v>
          </cell>
          <cell r="F322">
            <v>9.0164516129032251</v>
          </cell>
          <cell r="G322">
            <v>3390.7866923290185</v>
          </cell>
          <cell r="H322">
            <v>3.5009714879689948</v>
          </cell>
          <cell r="I322">
            <v>1223.7715782525745</v>
          </cell>
        </row>
        <row r="323">
          <cell r="E323">
            <v>46321</v>
          </cell>
          <cell r="F323">
            <v>9.0164516129032251</v>
          </cell>
          <cell r="G323">
            <v>3399.8031439419219</v>
          </cell>
          <cell r="H323">
            <v>3.5009714879689948</v>
          </cell>
          <cell r="I323">
            <v>1227.2725497405436</v>
          </cell>
        </row>
        <row r="324">
          <cell r="E324">
            <v>46322</v>
          </cell>
          <cell r="F324">
            <v>9.0164516129032251</v>
          </cell>
          <cell r="G324">
            <v>3408.8195955548254</v>
          </cell>
          <cell r="H324">
            <v>3.5009714879689948</v>
          </cell>
          <cell r="I324">
            <v>1230.7735212285127</v>
          </cell>
        </row>
        <row r="325">
          <cell r="E325">
            <v>46323</v>
          </cell>
          <cell r="F325">
            <v>9.0164516129032251</v>
          </cell>
          <cell r="G325">
            <v>3417.8360471677288</v>
          </cell>
          <cell r="H325">
            <v>3.5009714879689948</v>
          </cell>
          <cell r="I325">
            <v>1234.2744927164817</v>
          </cell>
        </row>
        <row r="326">
          <cell r="E326">
            <v>46324</v>
          </cell>
          <cell r="F326">
            <v>9.0164516129032251</v>
          </cell>
          <cell r="G326">
            <v>3426.8524987806322</v>
          </cell>
          <cell r="H326">
            <v>3.5009714879689948</v>
          </cell>
          <cell r="I326">
            <v>1237.7754642044508</v>
          </cell>
        </row>
        <row r="327">
          <cell r="E327">
            <v>46325</v>
          </cell>
          <cell r="F327">
            <v>9.0164516129032251</v>
          </cell>
          <cell r="G327">
            <v>3435.8689503935357</v>
          </cell>
          <cell r="H327">
            <v>3.5009714879689948</v>
          </cell>
          <cell r="I327">
            <v>1241.2764356924199</v>
          </cell>
        </row>
        <row r="328">
          <cell r="E328">
            <v>46326</v>
          </cell>
          <cell r="F328">
            <v>9.0164516129032251</v>
          </cell>
          <cell r="G328">
            <v>3444.8854020064391</v>
          </cell>
          <cell r="H328">
            <v>3.5009714879689948</v>
          </cell>
          <cell r="I328">
            <v>1244.777407180389</v>
          </cell>
        </row>
        <row r="329">
          <cell r="E329">
            <v>46327</v>
          </cell>
          <cell r="F329">
            <v>14.369</v>
          </cell>
          <cell r="G329">
            <v>3459.2544020064392</v>
          </cell>
          <cell r="H329">
            <v>4.857578346899377</v>
          </cell>
          <cell r="I329">
            <v>1249.6349855272883</v>
          </cell>
        </row>
        <row r="330">
          <cell r="E330">
            <v>46328</v>
          </cell>
          <cell r="F330">
            <v>14.369</v>
          </cell>
          <cell r="G330">
            <v>3473.6234020064394</v>
          </cell>
          <cell r="H330">
            <v>4.857578346899377</v>
          </cell>
          <cell r="I330">
            <v>1254.4925638741877</v>
          </cell>
        </row>
        <row r="331">
          <cell r="E331">
            <v>46329</v>
          </cell>
          <cell r="F331">
            <v>14.369</v>
          </cell>
          <cell r="G331">
            <v>3487.9924020064395</v>
          </cell>
          <cell r="H331">
            <v>4.857578346899377</v>
          </cell>
          <cell r="I331">
            <v>1259.350142221087</v>
          </cell>
        </row>
        <row r="332">
          <cell r="E332">
            <v>46330</v>
          </cell>
          <cell r="F332">
            <v>14.369</v>
          </cell>
          <cell r="G332">
            <v>3502.3614020064397</v>
          </cell>
          <cell r="H332">
            <v>4.857578346899377</v>
          </cell>
          <cell r="I332">
            <v>1264.2077205679864</v>
          </cell>
        </row>
        <row r="333">
          <cell r="E333">
            <v>46331</v>
          </cell>
          <cell r="F333">
            <v>14.369</v>
          </cell>
          <cell r="G333">
            <v>3516.7304020064398</v>
          </cell>
          <cell r="H333">
            <v>4.857578346899377</v>
          </cell>
          <cell r="I333">
            <v>1269.0652989148857</v>
          </cell>
        </row>
        <row r="334">
          <cell r="E334">
            <v>46332</v>
          </cell>
          <cell r="F334">
            <v>14.369</v>
          </cell>
          <cell r="G334">
            <v>3531.09940200644</v>
          </cell>
          <cell r="H334">
            <v>4.857578346899377</v>
          </cell>
          <cell r="I334">
            <v>1273.9228772617851</v>
          </cell>
        </row>
        <row r="335">
          <cell r="E335">
            <v>46333</v>
          </cell>
          <cell r="F335">
            <v>14.369</v>
          </cell>
          <cell r="G335">
            <v>3545.4684020064401</v>
          </cell>
          <cell r="H335">
            <v>4.857578346899377</v>
          </cell>
          <cell r="I335">
            <v>1278.7804556086844</v>
          </cell>
        </row>
        <row r="336">
          <cell r="E336">
            <v>46334</v>
          </cell>
          <cell r="F336">
            <v>14.369</v>
          </cell>
          <cell r="G336">
            <v>3559.8374020064402</v>
          </cell>
          <cell r="H336">
            <v>4.857578346899377</v>
          </cell>
          <cell r="I336">
            <v>1283.6380339555838</v>
          </cell>
        </row>
        <row r="337">
          <cell r="E337">
            <v>46335</v>
          </cell>
          <cell r="F337">
            <v>14.369</v>
          </cell>
          <cell r="G337">
            <v>3574.2064020064404</v>
          </cell>
          <cell r="H337">
            <v>4.857578346899377</v>
          </cell>
          <cell r="I337">
            <v>1288.4956123024831</v>
          </cell>
        </row>
        <row r="338">
          <cell r="E338">
            <v>46336</v>
          </cell>
          <cell r="F338">
            <v>14.369</v>
          </cell>
          <cell r="G338">
            <v>3588.5754020064405</v>
          </cell>
          <cell r="H338">
            <v>4.857578346899377</v>
          </cell>
          <cell r="I338">
            <v>1293.3531906493824</v>
          </cell>
        </row>
        <row r="339">
          <cell r="E339">
            <v>46337</v>
          </cell>
          <cell r="F339">
            <v>14.369</v>
          </cell>
          <cell r="G339">
            <v>3602.9444020064407</v>
          </cell>
          <cell r="H339">
            <v>4.857578346899377</v>
          </cell>
          <cell r="I339">
            <v>1298.2107689962818</v>
          </cell>
        </row>
        <row r="340">
          <cell r="E340">
            <v>46338</v>
          </cell>
          <cell r="F340">
            <v>14.369</v>
          </cell>
          <cell r="G340">
            <v>3617.3134020064408</v>
          </cell>
          <cell r="H340">
            <v>4.857578346899377</v>
          </cell>
          <cell r="I340">
            <v>1303.0683473431811</v>
          </cell>
        </row>
        <row r="341">
          <cell r="E341">
            <v>46339</v>
          </cell>
          <cell r="F341">
            <v>14.369</v>
          </cell>
          <cell r="G341">
            <v>3631.682402006441</v>
          </cell>
          <cell r="H341">
            <v>4.857578346899377</v>
          </cell>
          <cell r="I341">
            <v>1307.9259256900805</v>
          </cell>
        </row>
        <row r="342">
          <cell r="E342">
            <v>46340</v>
          </cell>
          <cell r="F342">
            <v>14.369</v>
          </cell>
          <cell r="G342">
            <v>3646.0514020064411</v>
          </cell>
          <cell r="H342">
            <v>4.857578346899377</v>
          </cell>
          <cell r="I342">
            <v>1312.7835040369798</v>
          </cell>
        </row>
        <row r="343">
          <cell r="E343">
            <v>46341</v>
          </cell>
          <cell r="F343">
            <v>14.369</v>
          </cell>
          <cell r="G343">
            <v>3660.4204020064412</v>
          </cell>
          <cell r="H343">
            <v>4.857578346899377</v>
          </cell>
          <cell r="I343">
            <v>1317.6410823838792</v>
          </cell>
        </row>
        <row r="344">
          <cell r="E344">
            <v>46342</v>
          </cell>
          <cell r="F344">
            <v>14.369</v>
          </cell>
          <cell r="G344">
            <v>3674.7894020064414</v>
          </cell>
          <cell r="H344">
            <v>4.857578346899377</v>
          </cell>
          <cell r="I344">
            <v>1322.4986607307785</v>
          </cell>
        </row>
        <row r="345">
          <cell r="E345">
            <v>46343</v>
          </cell>
          <cell r="F345">
            <v>14.369</v>
          </cell>
          <cell r="G345">
            <v>3689.1584020064415</v>
          </cell>
          <cell r="H345">
            <v>4.857578346899377</v>
          </cell>
          <cell r="I345">
            <v>1327.3562390776779</v>
          </cell>
        </row>
        <row r="346">
          <cell r="E346">
            <v>46344</v>
          </cell>
          <cell r="F346">
            <v>14.369</v>
          </cell>
          <cell r="G346">
            <v>3703.5274020064417</v>
          </cell>
          <cell r="H346">
            <v>4.857578346899377</v>
          </cell>
          <cell r="I346">
            <v>1332.2138174245772</v>
          </cell>
        </row>
        <row r="347">
          <cell r="E347">
            <v>46345</v>
          </cell>
          <cell r="F347">
            <v>14.369</v>
          </cell>
          <cell r="G347">
            <v>3717.8964020064418</v>
          </cell>
          <cell r="H347">
            <v>4.857578346899377</v>
          </cell>
          <cell r="I347">
            <v>1337.0713957714765</v>
          </cell>
        </row>
        <row r="348">
          <cell r="E348">
            <v>46346</v>
          </cell>
          <cell r="F348">
            <v>14.369</v>
          </cell>
          <cell r="G348">
            <v>3732.2654020064419</v>
          </cell>
          <cell r="H348">
            <v>4.857578346899377</v>
          </cell>
          <cell r="I348">
            <v>1341.9289741183759</v>
          </cell>
        </row>
        <row r="349">
          <cell r="E349">
            <v>46347</v>
          </cell>
          <cell r="F349">
            <v>14.369</v>
          </cell>
          <cell r="G349">
            <v>3746.6344020064421</v>
          </cell>
          <cell r="H349">
            <v>4.857578346899377</v>
          </cell>
          <cell r="I349">
            <v>1346.7865524652752</v>
          </cell>
        </row>
        <row r="350">
          <cell r="E350">
            <v>46348</v>
          </cell>
          <cell r="F350">
            <v>14.369</v>
          </cell>
          <cell r="G350">
            <v>3761.0034020064422</v>
          </cell>
          <cell r="H350">
            <v>4.857578346899377</v>
          </cell>
          <cell r="I350">
            <v>1351.6441308121746</v>
          </cell>
        </row>
        <row r="351">
          <cell r="E351">
            <v>46349</v>
          </cell>
          <cell r="F351">
            <v>14.369</v>
          </cell>
          <cell r="G351">
            <v>3775.3724020064424</v>
          </cell>
          <cell r="H351">
            <v>4.857578346899377</v>
          </cell>
          <cell r="I351">
            <v>1356.5017091590739</v>
          </cell>
        </row>
        <row r="352">
          <cell r="E352">
            <v>46350</v>
          </cell>
          <cell r="F352">
            <v>14.369</v>
          </cell>
          <cell r="G352">
            <v>3789.7414020064425</v>
          </cell>
          <cell r="H352">
            <v>4.857578346899377</v>
          </cell>
          <cell r="I352">
            <v>1361.3592875059733</v>
          </cell>
        </row>
        <row r="353">
          <cell r="E353">
            <v>46351</v>
          </cell>
          <cell r="F353">
            <v>14.369</v>
          </cell>
          <cell r="G353">
            <v>3804.1104020064427</v>
          </cell>
          <cell r="H353">
            <v>4.857578346899377</v>
          </cell>
          <cell r="I353">
            <v>1366.2168658528726</v>
          </cell>
        </row>
        <row r="354">
          <cell r="E354">
            <v>46352</v>
          </cell>
          <cell r="F354">
            <v>14.369</v>
          </cell>
          <cell r="G354">
            <v>3818.4794020064428</v>
          </cell>
          <cell r="H354">
            <v>4.857578346899377</v>
          </cell>
          <cell r="I354">
            <v>1371.074444199772</v>
          </cell>
        </row>
        <row r="355">
          <cell r="E355">
            <v>46353</v>
          </cell>
          <cell r="F355">
            <v>14.369</v>
          </cell>
          <cell r="G355">
            <v>3832.8484020064429</v>
          </cell>
          <cell r="H355">
            <v>4.857578346899377</v>
          </cell>
          <cell r="I355">
            <v>1375.9320225466713</v>
          </cell>
        </row>
        <row r="356">
          <cell r="E356">
            <v>46354</v>
          </cell>
          <cell r="F356">
            <v>14.369</v>
          </cell>
          <cell r="G356">
            <v>3847.2174020064431</v>
          </cell>
          <cell r="H356">
            <v>4.857578346899377</v>
          </cell>
          <cell r="I356">
            <v>1380.7896008935707</v>
          </cell>
        </row>
        <row r="357">
          <cell r="E357">
            <v>46355</v>
          </cell>
          <cell r="F357">
            <v>14.369</v>
          </cell>
          <cell r="G357">
            <v>3861.5864020064432</v>
          </cell>
          <cell r="H357">
            <v>4.857578346899377</v>
          </cell>
          <cell r="I357">
            <v>1385.64717924047</v>
          </cell>
        </row>
        <row r="358">
          <cell r="E358">
            <v>46356</v>
          </cell>
          <cell r="F358">
            <v>14.369</v>
          </cell>
          <cell r="G358">
            <v>3875.9554020064434</v>
          </cell>
          <cell r="H358">
            <v>4.857578346899377</v>
          </cell>
          <cell r="I358">
            <v>1390.5047575873693</v>
          </cell>
        </row>
        <row r="359">
          <cell r="E359">
            <v>46357</v>
          </cell>
          <cell r="F359">
            <v>10.800322580645162</v>
          </cell>
          <cell r="G359">
            <v>3886.7557245870885</v>
          </cell>
          <cell r="H359">
            <v>3.9387853327320226</v>
          </cell>
          <cell r="I359">
            <v>1394.4435429201014</v>
          </cell>
        </row>
        <row r="360">
          <cell r="E360">
            <v>46358</v>
          </cell>
          <cell r="F360">
            <v>10.800322580645162</v>
          </cell>
          <cell r="G360">
            <v>3897.5560471677336</v>
          </cell>
          <cell r="H360">
            <v>3.9387853327320226</v>
          </cell>
          <cell r="I360">
            <v>1398.3823282528335</v>
          </cell>
        </row>
        <row r="361">
          <cell r="E361">
            <v>46359</v>
          </cell>
          <cell r="F361">
            <v>10.800322580645162</v>
          </cell>
          <cell r="G361">
            <v>3908.3563697483787</v>
          </cell>
          <cell r="H361">
            <v>3.9387853327320226</v>
          </cell>
          <cell r="I361">
            <v>1402.3211135855656</v>
          </cell>
        </row>
        <row r="362">
          <cell r="E362">
            <v>46360</v>
          </cell>
          <cell r="F362">
            <v>10.800322580645162</v>
          </cell>
          <cell r="G362">
            <v>3919.1566923290238</v>
          </cell>
          <cell r="H362">
            <v>3.9387853327320226</v>
          </cell>
          <cell r="I362">
            <v>1406.2598989182977</v>
          </cell>
        </row>
        <row r="363">
          <cell r="E363">
            <v>46361</v>
          </cell>
          <cell r="F363">
            <v>10.800322580645162</v>
          </cell>
          <cell r="G363">
            <v>3929.9570149096689</v>
          </cell>
          <cell r="H363">
            <v>3.9387853327320226</v>
          </cell>
          <cell r="I363">
            <v>1410.1986842510298</v>
          </cell>
        </row>
        <row r="364">
          <cell r="E364">
            <v>46362</v>
          </cell>
          <cell r="F364">
            <v>10.800322580645162</v>
          </cell>
          <cell r="G364">
            <v>3940.7573374903141</v>
          </cell>
          <cell r="H364">
            <v>3.9387853327320226</v>
          </cell>
          <cell r="I364">
            <v>1414.1374695837619</v>
          </cell>
        </row>
        <row r="365">
          <cell r="E365">
            <v>46363</v>
          </cell>
          <cell r="F365">
            <v>10.800322580645162</v>
          </cell>
          <cell r="G365">
            <v>3951.5576600709592</v>
          </cell>
          <cell r="H365">
            <v>3.9387853327320226</v>
          </cell>
          <cell r="I365">
            <v>1418.076254916494</v>
          </cell>
        </row>
        <row r="366">
          <cell r="E366">
            <v>46364</v>
          </cell>
          <cell r="F366">
            <v>10.800322580645162</v>
          </cell>
          <cell r="G366">
            <v>3962.3579826516043</v>
          </cell>
          <cell r="H366">
            <v>3.9387853327320226</v>
          </cell>
          <cell r="I366">
            <v>1422.0150402492261</v>
          </cell>
        </row>
        <row r="367">
          <cell r="E367">
            <v>46365</v>
          </cell>
          <cell r="F367">
            <v>10.800322580645162</v>
          </cell>
          <cell r="G367">
            <v>3973.1583052322494</v>
          </cell>
          <cell r="H367">
            <v>3.9387853327320226</v>
          </cell>
          <cell r="I367">
            <v>1425.9538255819582</v>
          </cell>
        </row>
        <row r="368">
          <cell r="E368">
            <v>46366</v>
          </cell>
          <cell r="F368">
            <v>10.800322580645162</v>
          </cell>
          <cell r="G368">
            <v>3983.9586278128945</v>
          </cell>
          <cell r="H368">
            <v>3.9387853327320226</v>
          </cell>
          <cell r="I368">
            <v>1429.8926109146903</v>
          </cell>
        </row>
        <row r="369">
          <cell r="E369">
            <v>46367</v>
          </cell>
          <cell r="F369">
            <v>10.800322580645162</v>
          </cell>
          <cell r="G369">
            <v>3994.7589503935396</v>
          </cell>
          <cell r="H369">
            <v>3.9387853327320226</v>
          </cell>
          <cell r="I369">
            <v>1433.8313962474224</v>
          </cell>
        </row>
        <row r="370">
          <cell r="E370">
            <v>46368</v>
          </cell>
          <cell r="F370">
            <v>10.800322580645162</v>
          </cell>
          <cell r="G370">
            <v>4005.5592729741848</v>
          </cell>
          <cell r="H370">
            <v>3.9387853327320226</v>
          </cell>
          <cell r="I370">
            <v>1437.7701815801545</v>
          </cell>
        </row>
        <row r="371">
          <cell r="E371">
            <v>46369</v>
          </cell>
          <cell r="F371">
            <v>10.800322580645162</v>
          </cell>
          <cell r="G371">
            <v>4016.3595955548299</v>
          </cell>
          <cell r="H371">
            <v>3.9387853327320226</v>
          </cell>
          <cell r="I371">
            <v>1441.7089669128866</v>
          </cell>
        </row>
        <row r="372">
          <cell r="E372">
            <v>46370</v>
          </cell>
          <cell r="F372">
            <v>10.800322580645162</v>
          </cell>
          <cell r="G372">
            <v>4027.159918135475</v>
          </cell>
          <cell r="H372">
            <v>3.9387853327320226</v>
          </cell>
          <cell r="I372">
            <v>1445.6477522456187</v>
          </cell>
        </row>
        <row r="373">
          <cell r="E373">
            <v>46371</v>
          </cell>
          <cell r="F373">
            <v>10.800322580645162</v>
          </cell>
          <cell r="G373">
            <v>4037.9602407161201</v>
          </cell>
          <cell r="H373">
            <v>3.9387853327320226</v>
          </cell>
          <cell r="I373">
            <v>1449.5865375783508</v>
          </cell>
        </row>
        <row r="374">
          <cell r="E374">
            <v>46372</v>
          </cell>
          <cell r="F374">
            <v>10.800322580645162</v>
          </cell>
          <cell r="G374">
            <v>4048.7605632967652</v>
          </cell>
          <cell r="H374">
            <v>3.9387853327320226</v>
          </cell>
          <cell r="I374">
            <v>1453.5253229110829</v>
          </cell>
        </row>
        <row r="375">
          <cell r="E375">
            <v>46373</v>
          </cell>
          <cell r="F375">
            <v>10.800322580645162</v>
          </cell>
          <cell r="G375">
            <v>4059.5608858774103</v>
          </cell>
          <cell r="H375">
            <v>3.9387853327320226</v>
          </cell>
          <cell r="I375">
            <v>1457.464108243815</v>
          </cell>
        </row>
        <row r="376">
          <cell r="E376">
            <v>46374</v>
          </cell>
          <cell r="F376">
            <v>10.800322580645162</v>
          </cell>
          <cell r="G376">
            <v>4070.3612084580554</v>
          </cell>
          <cell r="H376">
            <v>3.9387853327320226</v>
          </cell>
          <cell r="I376">
            <v>1461.4028935765471</v>
          </cell>
        </row>
        <row r="377">
          <cell r="E377">
            <v>46375</v>
          </cell>
          <cell r="F377">
            <v>10.800322580645162</v>
          </cell>
          <cell r="G377">
            <v>4081.1615310387006</v>
          </cell>
          <cell r="H377">
            <v>3.9387853327320226</v>
          </cell>
          <cell r="I377">
            <v>1465.3416789092792</v>
          </cell>
        </row>
        <row r="378">
          <cell r="E378">
            <v>46376</v>
          </cell>
          <cell r="F378">
            <v>10.800322580645162</v>
          </cell>
          <cell r="G378">
            <v>4091.9618536193457</v>
          </cell>
          <cell r="H378">
            <v>3.9387853327320226</v>
          </cell>
          <cell r="I378">
            <v>1469.2804642420112</v>
          </cell>
        </row>
        <row r="379">
          <cell r="E379">
            <v>46377</v>
          </cell>
          <cell r="F379">
            <v>10.800322580645162</v>
          </cell>
          <cell r="G379">
            <v>4102.7621761999908</v>
          </cell>
          <cell r="H379">
            <v>3.9387853327320226</v>
          </cell>
          <cell r="I379">
            <v>1473.2192495747433</v>
          </cell>
        </row>
        <row r="380">
          <cell r="E380">
            <v>46378</v>
          </cell>
          <cell r="F380">
            <v>10.800322580645162</v>
          </cell>
          <cell r="G380">
            <v>4113.5624987806359</v>
          </cell>
          <cell r="H380">
            <v>3.9387853327320226</v>
          </cell>
          <cell r="I380">
            <v>1477.1580349074754</v>
          </cell>
        </row>
        <row r="381">
          <cell r="E381">
            <v>46379</v>
          </cell>
          <cell r="F381">
            <v>10.800322580645162</v>
          </cell>
          <cell r="G381">
            <v>4124.362821361281</v>
          </cell>
          <cell r="H381">
            <v>3.9387853327320226</v>
          </cell>
          <cell r="I381">
            <v>1481.0968202402075</v>
          </cell>
        </row>
        <row r="382">
          <cell r="E382">
            <v>46380</v>
          </cell>
          <cell r="F382">
            <v>10.800322580645162</v>
          </cell>
          <cell r="G382">
            <v>4135.1631439419261</v>
          </cell>
          <cell r="H382">
            <v>3.9387853327320226</v>
          </cell>
          <cell r="I382">
            <v>1485.0356055729396</v>
          </cell>
        </row>
        <row r="383">
          <cell r="E383">
            <v>46381</v>
          </cell>
          <cell r="F383">
            <v>10.800322580645162</v>
          </cell>
          <cell r="G383">
            <v>4145.9634665225713</v>
          </cell>
          <cell r="H383">
            <v>3.9387853327320226</v>
          </cell>
          <cell r="I383">
            <v>1488.9743909056717</v>
          </cell>
        </row>
        <row r="384">
          <cell r="E384">
            <v>46382</v>
          </cell>
          <cell r="F384">
            <v>10.800322580645162</v>
          </cell>
          <cell r="G384">
            <v>4156.7637891032164</v>
          </cell>
          <cell r="H384">
            <v>3.9387853327320226</v>
          </cell>
          <cell r="I384">
            <v>1492.9131762384038</v>
          </cell>
        </row>
        <row r="385">
          <cell r="E385">
            <v>46383</v>
          </cell>
          <cell r="F385">
            <v>10.800322580645162</v>
          </cell>
          <cell r="G385">
            <v>4167.5641116838615</v>
          </cell>
          <cell r="H385">
            <v>3.9387853327320226</v>
          </cell>
          <cell r="I385">
            <v>1496.8519615711359</v>
          </cell>
        </row>
        <row r="386">
          <cell r="E386">
            <v>46384</v>
          </cell>
          <cell r="F386">
            <v>10.800322580645162</v>
          </cell>
          <cell r="G386">
            <v>4178.3644342645066</v>
          </cell>
          <cell r="H386">
            <v>3.9387853327320226</v>
          </cell>
          <cell r="I386">
            <v>1500.790746903868</v>
          </cell>
        </row>
        <row r="387">
          <cell r="E387">
            <v>46385</v>
          </cell>
          <cell r="F387">
            <v>10.800322580645162</v>
          </cell>
          <cell r="G387">
            <v>4189.1647568451517</v>
          </cell>
          <cell r="H387">
            <v>3.9387853327320226</v>
          </cell>
          <cell r="I387">
            <v>1504.7295322366001</v>
          </cell>
        </row>
        <row r="388">
          <cell r="E388">
            <v>46386</v>
          </cell>
          <cell r="F388">
            <v>10.800322580645162</v>
          </cell>
          <cell r="G388">
            <v>4199.9650794257968</v>
          </cell>
          <cell r="H388">
            <v>3.9387853327320226</v>
          </cell>
          <cell r="I388">
            <v>1508.6683175693322</v>
          </cell>
        </row>
        <row r="389">
          <cell r="E389">
            <v>46387</v>
          </cell>
          <cell r="F389">
            <v>10.800322580645162</v>
          </cell>
          <cell r="G389">
            <v>4210.7654020064419</v>
          </cell>
          <cell r="H389">
            <v>3.9387853327320226</v>
          </cell>
          <cell r="I389">
            <v>1512.6071029020643</v>
          </cell>
        </row>
      </sheetData>
      <sheetData sheetId="7">
        <row r="6">
          <cell r="AM6" t="str">
            <v>week1</v>
          </cell>
        </row>
        <row r="7">
          <cell r="AM7" t="str">
            <v>week1</v>
          </cell>
        </row>
        <row r="8">
          <cell r="AM8" t="str">
            <v>week1</v>
          </cell>
        </row>
        <row r="9">
          <cell r="AM9" t="str">
            <v>week1</v>
          </cell>
        </row>
        <row r="10">
          <cell r="AM10" t="str">
            <v>week1</v>
          </cell>
        </row>
        <row r="11">
          <cell r="AM11" t="str">
            <v>week1</v>
          </cell>
        </row>
        <row r="12">
          <cell r="AM12" t="str">
            <v>week1</v>
          </cell>
        </row>
        <row r="13">
          <cell r="AM13" t="str">
            <v>week2</v>
          </cell>
        </row>
        <row r="14">
          <cell r="AM14" t="str">
            <v>week2</v>
          </cell>
        </row>
        <row r="15">
          <cell r="AM15" t="str">
            <v>week2</v>
          </cell>
        </row>
        <row r="16">
          <cell r="AM16" t="str">
            <v>week2</v>
          </cell>
        </row>
        <row r="17">
          <cell r="AM17" t="str">
            <v>week2</v>
          </cell>
        </row>
        <row r="18">
          <cell r="AM18" t="str">
            <v>week2</v>
          </cell>
        </row>
        <row r="19">
          <cell r="AM19" t="str">
            <v>week2</v>
          </cell>
        </row>
        <row r="20">
          <cell r="AM20" t="str">
            <v>week3</v>
          </cell>
        </row>
        <row r="21">
          <cell r="AM21" t="str">
            <v>week3</v>
          </cell>
        </row>
        <row r="22">
          <cell r="AM22" t="str">
            <v>week3</v>
          </cell>
        </row>
        <row r="23">
          <cell r="AM23" t="str">
            <v>week3</v>
          </cell>
        </row>
        <row r="24">
          <cell r="AM24" t="str">
            <v>week3</v>
          </cell>
        </row>
        <row r="25">
          <cell r="AM25" t="str">
            <v>week3</v>
          </cell>
        </row>
        <row r="26">
          <cell r="AM26" t="str">
            <v>week3</v>
          </cell>
        </row>
        <row r="27">
          <cell r="AM27" t="str">
            <v>week4</v>
          </cell>
        </row>
        <row r="28">
          <cell r="AM28" t="str">
            <v>week4</v>
          </cell>
        </row>
        <row r="29">
          <cell r="AM29" t="str">
            <v>week4</v>
          </cell>
        </row>
        <row r="30">
          <cell r="AM30" t="str">
            <v>week4</v>
          </cell>
        </row>
        <row r="31">
          <cell r="AM31" t="str">
            <v>week4</v>
          </cell>
        </row>
        <row r="32">
          <cell r="AM32" t="str">
            <v>week4</v>
          </cell>
        </row>
        <row r="33">
          <cell r="AM33" t="str">
            <v>week4</v>
          </cell>
        </row>
        <row r="34">
          <cell r="AM34" t="str">
            <v>week4</v>
          </cell>
        </row>
        <row r="35">
          <cell r="AM35" t="str">
            <v>week4</v>
          </cell>
        </row>
        <row r="36">
          <cell r="AM36" t="str">
            <v>week4</v>
          </cell>
        </row>
        <row r="112">
          <cell r="BN112">
            <v>46266</v>
          </cell>
          <cell r="BO112">
            <v>8538.1949999999997</v>
          </cell>
          <cell r="BP112">
            <v>6277.9070000000002</v>
          </cell>
          <cell r="BQ112">
            <v>7801.3219565816753</v>
          </cell>
        </row>
        <row r="113">
          <cell r="BN113">
            <v>46267</v>
          </cell>
          <cell r="BO113">
            <v>8643.2990000000009</v>
          </cell>
          <cell r="BP113">
            <v>6360.1360000000004</v>
          </cell>
          <cell r="BQ113">
            <v>7918.8885889023213</v>
          </cell>
        </row>
        <row r="114">
          <cell r="BN114">
            <v>46268</v>
          </cell>
          <cell r="BO114">
            <v>8342.0429999999997</v>
          </cell>
          <cell r="BP114">
            <v>6240.8159999999998</v>
          </cell>
          <cell r="BQ114">
            <v>7612.7111499920475</v>
          </cell>
        </row>
        <row r="115">
          <cell r="BN115">
            <v>46269</v>
          </cell>
          <cell r="BO115">
            <v>8403.16</v>
          </cell>
          <cell r="BP115">
            <v>6313.4589999999998</v>
          </cell>
          <cell r="BQ115">
            <v>7715.7480959790355</v>
          </cell>
        </row>
        <row r="116">
          <cell r="BN116">
            <v>46270</v>
          </cell>
          <cell r="BO116">
            <v>8520.2440000000006</v>
          </cell>
          <cell r="BP116">
            <v>6399.3950000000004</v>
          </cell>
          <cell r="BQ116">
            <v>7753.463953807699</v>
          </cell>
        </row>
        <row r="117">
          <cell r="BN117">
            <v>46271</v>
          </cell>
          <cell r="BO117">
            <v>8693.8770000000004</v>
          </cell>
          <cell r="BP117">
            <v>6444.3580000000002</v>
          </cell>
          <cell r="BQ117">
            <v>7945.4941968908824</v>
          </cell>
        </row>
        <row r="118">
          <cell r="BN118">
            <v>46272</v>
          </cell>
          <cell r="BO118">
            <v>8726.8070000000007</v>
          </cell>
          <cell r="BP118">
            <v>6318.9350000000004</v>
          </cell>
          <cell r="BQ118">
            <v>7807.9820079022275</v>
          </cell>
        </row>
        <row r="119">
          <cell r="BN119">
            <v>46273</v>
          </cell>
          <cell r="BO119">
            <v>0</v>
          </cell>
          <cell r="BP119">
            <v>0</v>
          </cell>
          <cell r="BQ119">
            <v>0</v>
          </cell>
        </row>
        <row r="120">
          <cell r="BN120">
            <v>46274</v>
          </cell>
          <cell r="BO120">
            <v>0</v>
          </cell>
          <cell r="BP120">
            <v>0</v>
          </cell>
          <cell r="BQ120">
            <v>0</v>
          </cell>
        </row>
        <row r="121">
          <cell r="BN121">
            <v>46275</v>
          </cell>
          <cell r="BO121">
            <v>0</v>
          </cell>
          <cell r="BP121">
            <v>0</v>
          </cell>
          <cell r="BQ121">
            <v>0</v>
          </cell>
        </row>
        <row r="122">
          <cell r="BN122">
            <v>46276</v>
          </cell>
          <cell r="BO122">
            <v>0</v>
          </cell>
          <cell r="BP122">
            <v>0</v>
          </cell>
          <cell r="BQ122">
            <v>0</v>
          </cell>
        </row>
        <row r="123">
          <cell r="BN123">
            <v>46277</v>
          </cell>
          <cell r="BO123">
            <v>0</v>
          </cell>
          <cell r="BP123">
            <v>0</v>
          </cell>
          <cell r="BQ123">
            <v>0</v>
          </cell>
        </row>
        <row r="124">
          <cell r="BN124">
            <v>46278</v>
          </cell>
          <cell r="BO124">
            <v>0</v>
          </cell>
          <cell r="BP124">
            <v>0</v>
          </cell>
          <cell r="BQ124">
            <v>0</v>
          </cell>
        </row>
        <row r="125">
          <cell r="BN125">
            <v>46279</v>
          </cell>
          <cell r="BO125">
            <v>0</v>
          </cell>
          <cell r="BP125">
            <v>0</v>
          </cell>
          <cell r="BQ125">
            <v>0</v>
          </cell>
        </row>
        <row r="126">
          <cell r="BN126">
            <v>46280</v>
          </cell>
          <cell r="BO126">
            <v>0</v>
          </cell>
          <cell r="BP126">
            <v>0</v>
          </cell>
          <cell r="BQ126">
            <v>0</v>
          </cell>
        </row>
        <row r="127">
          <cell r="BN127">
            <v>46281</v>
          </cell>
          <cell r="BO127">
            <v>0</v>
          </cell>
          <cell r="BP127">
            <v>0</v>
          </cell>
          <cell r="BQ127">
            <v>0</v>
          </cell>
        </row>
        <row r="128">
          <cell r="BN128">
            <v>46282</v>
          </cell>
          <cell r="BO128">
            <v>0</v>
          </cell>
          <cell r="BP128">
            <v>0</v>
          </cell>
          <cell r="BQ128">
            <v>0</v>
          </cell>
        </row>
        <row r="129">
          <cell r="BN129">
            <v>46283</v>
          </cell>
          <cell r="BO129">
            <v>0</v>
          </cell>
          <cell r="BP129">
            <v>0</v>
          </cell>
          <cell r="BQ129">
            <v>0</v>
          </cell>
        </row>
        <row r="130">
          <cell r="BN130">
            <v>46284</v>
          </cell>
          <cell r="BO130">
            <v>0</v>
          </cell>
          <cell r="BP130">
            <v>0</v>
          </cell>
          <cell r="BQ130">
            <v>0</v>
          </cell>
        </row>
        <row r="131">
          <cell r="BN131">
            <v>46285</v>
          </cell>
          <cell r="BO131">
            <v>0</v>
          </cell>
          <cell r="BP131">
            <v>0</v>
          </cell>
          <cell r="BQ131">
            <v>0</v>
          </cell>
        </row>
        <row r="132">
          <cell r="BN132">
            <v>46286</v>
          </cell>
          <cell r="BO132">
            <v>0</v>
          </cell>
          <cell r="BP132">
            <v>0</v>
          </cell>
          <cell r="BQ132">
            <v>0</v>
          </cell>
        </row>
        <row r="133">
          <cell r="BN133">
            <v>46287</v>
          </cell>
          <cell r="BO133">
            <v>0</v>
          </cell>
          <cell r="BP133">
            <v>0</v>
          </cell>
          <cell r="BQ133">
            <v>0</v>
          </cell>
        </row>
        <row r="134">
          <cell r="BN134">
            <v>46288</v>
          </cell>
          <cell r="BO134">
            <v>0</v>
          </cell>
          <cell r="BP134">
            <v>0</v>
          </cell>
          <cell r="BQ134">
            <v>0</v>
          </cell>
        </row>
        <row r="135">
          <cell r="BN135">
            <v>46289</v>
          </cell>
          <cell r="BO135">
            <v>0</v>
          </cell>
          <cell r="BP135">
            <v>0</v>
          </cell>
          <cell r="BQ135">
            <v>0</v>
          </cell>
        </row>
        <row r="136">
          <cell r="BN136">
            <v>46290</v>
          </cell>
          <cell r="BO136">
            <v>0</v>
          </cell>
          <cell r="BP136">
            <v>0</v>
          </cell>
          <cell r="BQ136">
            <v>0</v>
          </cell>
        </row>
        <row r="137">
          <cell r="BN137">
            <v>46291</v>
          </cell>
          <cell r="BO137">
            <v>0</v>
          </cell>
          <cell r="BP137">
            <v>0</v>
          </cell>
          <cell r="BQ137">
            <v>0</v>
          </cell>
        </row>
        <row r="138">
          <cell r="BN138">
            <v>46292</v>
          </cell>
          <cell r="BO138">
            <v>0</v>
          </cell>
          <cell r="BP138">
            <v>0</v>
          </cell>
          <cell r="BQ138">
            <v>0</v>
          </cell>
        </row>
        <row r="139">
          <cell r="BN139">
            <v>46293</v>
          </cell>
          <cell r="BO139">
            <v>0</v>
          </cell>
          <cell r="BP139">
            <v>0</v>
          </cell>
          <cell r="BQ139">
            <v>0</v>
          </cell>
        </row>
        <row r="140">
          <cell r="BN140">
            <v>46294</v>
          </cell>
          <cell r="BO140">
            <v>0</v>
          </cell>
          <cell r="BP140">
            <v>0</v>
          </cell>
          <cell r="BQ140">
            <v>0</v>
          </cell>
        </row>
        <row r="141">
          <cell r="BN141">
            <v>46295</v>
          </cell>
          <cell r="BO141">
            <v>0</v>
          </cell>
          <cell r="BP141">
            <v>0</v>
          </cell>
          <cell r="BQ141">
            <v>0</v>
          </cell>
        </row>
        <row r="142">
          <cell r="BN142">
            <v>46296</v>
          </cell>
          <cell r="BO142">
            <v>0</v>
          </cell>
          <cell r="BP142">
            <v>0</v>
          </cell>
          <cell r="BQ142">
            <v>0</v>
          </cell>
        </row>
        <row r="184">
          <cell r="AO184">
            <v>70611.680000000008</v>
          </cell>
          <cell r="AP184">
            <v>44192.399999999994</v>
          </cell>
          <cell r="AQ184">
            <v>0</v>
          </cell>
          <cell r="AR184">
            <v>0</v>
          </cell>
          <cell r="AS184">
            <v>59291.14</v>
          </cell>
          <cell r="AT184">
            <v>0</v>
          </cell>
        </row>
        <row r="185"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</row>
        <row r="186"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240">
          <cell r="BG240">
            <v>7545.103578154426</v>
          </cell>
        </row>
        <row r="248">
          <cell r="BG248">
            <v>7963.2843137254895</v>
          </cell>
          <cell r="BH248">
            <v>6500</v>
          </cell>
          <cell r="BM248">
            <v>8826.6349206349223</v>
          </cell>
          <cell r="BN248">
            <v>6548.704545454545</v>
          </cell>
        </row>
        <row r="249">
          <cell r="BA249">
            <v>9828.620523537802</v>
          </cell>
          <cell r="BB249">
            <v>7145.0815619249897</v>
          </cell>
          <cell r="BG249">
            <v>7201.6061850027363</v>
          </cell>
          <cell r="BH249">
            <v>6770.3686845698676</v>
          </cell>
          <cell r="BM249">
            <v>9518.2958620070804</v>
          </cell>
          <cell r="BN249">
            <v>6979.243914614729</v>
          </cell>
        </row>
        <row r="270">
          <cell r="AS270">
            <v>8550.5662188674833</v>
          </cell>
          <cell r="AT270">
            <v>6335.085249388695</v>
          </cell>
        </row>
      </sheetData>
      <sheetData sheetId="8"/>
      <sheetData sheetId="9"/>
      <sheetData sheetId="10">
        <row r="5">
          <cell r="E5">
            <v>1</v>
          </cell>
          <cell r="F5">
            <v>2</v>
          </cell>
          <cell r="H5" t="str">
            <v>ROM 4.M3</v>
          </cell>
          <cell r="I5" t="str">
            <v>ROM 4-01</v>
          </cell>
          <cell r="P5">
            <v>1</v>
          </cell>
          <cell r="Q5">
            <v>2</v>
          </cell>
          <cell r="R5" t="str">
            <v>Biangan</v>
          </cell>
          <cell r="T5" t="str">
            <v>ROM 4.B1</v>
          </cell>
          <cell r="U5" t="str">
            <v>BEK.HCV.HS</v>
          </cell>
          <cell r="V5">
            <v>5120.0999999999995</v>
          </cell>
        </row>
        <row r="6">
          <cell r="E6">
            <v>2</v>
          </cell>
          <cell r="F6">
            <v>1</v>
          </cell>
          <cell r="H6" t="str">
            <v>ROM 4.M3</v>
          </cell>
          <cell r="I6" t="str">
            <v>ROM 4-01</v>
          </cell>
          <cell r="P6">
            <v>1</v>
          </cell>
          <cell r="Q6">
            <v>2</v>
          </cell>
          <cell r="R6" t="str">
            <v>Biangan</v>
          </cell>
          <cell r="T6" t="str">
            <v>ROM 4.B2</v>
          </cell>
          <cell r="U6" t="str">
            <v>BEK.HCV.HS</v>
          </cell>
          <cell r="V6">
            <v>4292.88</v>
          </cell>
        </row>
        <row r="7">
          <cell r="I7" t="str">
            <v/>
          </cell>
          <cell r="P7">
            <v>2</v>
          </cell>
          <cell r="Q7">
            <v>1</v>
          </cell>
          <cell r="R7" t="str">
            <v>Biangan</v>
          </cell>
          <cell r="T7" t="str">
            <v>ROM 4.B1</v>
          </cell>
          <cell r="U7" t="str">
            <v>BEK.HCV.HS</v>
          </cell>
          <cell r="V7">
            <v>4761.0199999999995</v>
          </cell>
        </row>
        <row r="8">
          <cell r="I8" t="str">
            <v/>
          </cell>
          <cell r="P8">
            <v>2</v>
          </cell>
          <cell r="Q8">
            <v>1</v>
          </cell>
          <cell r="R8" t="str">
            <v>Biangan</v>
          </cell>
          <cell r="T8" t="str">
            <v>ROM 4.B2</v>
          </cell>
          <cell r="U8" t="str">
            <v>BEK.HCV.HS</v>
          </cell>
          <cell r="V8">
            <v>5628.81</v>
          </cell>
        </row>
        <row r="9">
          <cell r="I9" t="str">
            <v/>
          </cell>
          <cell r="P9">
            <v>2</v>
          </cell>
          <cell r="Q9">
            <v>2</v>
          </cell>
          <cell r="R9" t="str">
            <v>Biangan</v>
          </cell>
          <cell r="T9" t="str">
            <v>ROM 4.B1</v>
          </cell>
          <cell r="U9" t="str">
            <v>BEK.HCV.HS</v>
          </cell>
          <cell r="V9">
            <v>4950.4699999999993</v>
          </cell>
        </row>
        <row r="10">
          <cell r="I10" t="str">
            <v/>
          </cell>
          <cell r="P10">
            <v>2</v>
          </cell>
          <cell r="Q10">
            <v>2</v>
          </cell>
          <cell r="R10" t="str">
            <v>Biangan</v>
          </cell>
          <cell r="T10" t="str">
            <v>ROM 4.B2</v>
          </cell>
          <cell r="U10" t="str">
            <v>BEK.HCV.HS</v>
          </cell>
          <cell r="V10">
            <v>7112.8099999999995</v>
          </cell>
        </row>
        <row r="11">
          <cell r="I11" t="str">
            <v/>
          </cell>
          <cell r="P11">
            <v>2</v>
          </cell>
          <cell r="Q11">
            <v>2</v>
          </cell>
          <cell r="R11" t="str">
            <v>Biangan</v>
          </cell>
          <cell r="T11" t="str">
            <v>ROM 4.B1</v>
          </cell>
          <cell r="U11" t="str">
            <v>BEK.HCV.HS</v>
          </cell>
          <cell r="V11">
            <v>167.45</v>
          </cell>
        </row>
        <row r="12">
          <cell r="I12" t="str">
            <v/>
          </cell>
          <cell r="P12">
            <v>2</v>
          </cell>
          <cell r="Q12">
            <v>2</v>
          </cell>
          <cell r="R12" t="str">
            <v>Biangan</v>
          </cell>
          <cell r="T12" t="str">
            <v>ROM 4.B2</v>
          </cell>
          <cell r="U12" t="str">
            <v>BEK.HCV.HS</v>
          </cell>
          <cell r="V12">
            <v>159.05000000000001</v>
          </cell>
        </row>
        <row r="13">
          <cell r="I13" t="str">
            <v/>
          </cell>
          <cell r="P13">
            <v>3</v>
          </cell>
          <cell r="Q13">
            <v>1</v>
          </cell>
          <cell r="R13" t="str">
            <v>Biangan</v>
          </cell>
          <cell r="T13" t="str">
            <v>ROM 4.B1</v>
          </cell>
          <cell r="U13" t="str">
            <v>BEK.HCV.HS</v>
          </cell>
          <cell r="V13">
            <v>6729.17</v>
          </cell>
        </row>
        <row r="14">
          <cell r="I14" t="str">
            <v/>
          </cell>
          <cell r="P14">
            <v>3</v>
          </cell>
          <cell r="Q14">
            <v>1</v>
          </cell>
          <cell r="R14" t="str">
            <v>Biangan</v>
          </cell>
          <cell r="T14" t="str">
            <v>ROM 4.B2</v>
          </cell>
          <cell r="U14" t="str">
            <v>BEK.HCV.HS</v>
          </cell>
          <cell r="V14">
            <v>4291.46</v>
          </cell>
        </row>
        <row r="15">
          <cell r="I15" t="str">
            <v/>
          </cell>
          <cell r="P15">
            <v>3</v>
          </cell>
          <cell r="Q15">
            <v>2</v>
          </cell>
          <cell r="R15" t="str">
            <v>Biangan</v>
          </cell>
          <cell r="T15" t="str">
            <v>ROM 1.B3</v>
          </cell>
          <cell r="U15" t="str">
            <v>BEK.MCV.LS</v>
          </cell>
          <cell r="V15">
            <v>12679.479999999998</v>
          </cell>
        </row>
        <row r="16">
          <cell r="I16" t="str">
            <v/>
          </cell>
          <cell r="P16">
            <v>3</v>
          </cell>
          <cell r="Q16">
            <v>2</v>
          </cell>
          <cell r="R16" t="str">
            <v>Biangan</v>
          </cell>
          <cell r="T16" t="str">
            <v>ROM 4.B1</v>
          </cell>
          <cell r="U16" t="str">
            <v>BEK.MCV.LS</v>
          </cell>
          <cell r="V16">
            <v>246.66</v>
          </cell>
        </row>
        <row r="17">
          <cell r="I17" t="str">
            <v/>
          </cell>
          <cell r="P17">
            <v>3</v>
          </cell>
          <cell r="Q17">
            <v>2</v>
          </cell>
          <cell r="R17" t="str">
            <v>Biangan</v>
          </cell>
          <cell r="T17" t="str">
            <v>ROM 1.B3</v>
          </cell>
          <cell r="U17" t="str">
            <v>BEK.MCV.LS</v>
          </cell>
          <cell r="V17">
            <v>84.35</v>
          </cell>
        </row>
        <row r="18">
          <cell r="I18" t="str">
            <v/>
          </cell>
          <cell r="P18">
            <v>4</v>
          </cell>
          <cell r="Q18">
            <v>1</v>
          </cell>
          <cell r="R18" t="str">
            <v>Biangan</v>
          </cell>
          <cell r="T18" t="str">
            <v>ROM 1.B3</v>
          </cell>
          <cell r="U18" t="str">
            <v>BEK.MCV.LS</v>
          </cell>
          <cell r="V18">
            <v>13788.859999999999</v>
          </cell>
        </row>
        <row r="19">
          <cell r="I19" t="str">
            <v/>
          </cell>
          <cell r="P19">
            <v>4</v>
          </cell>
          <cell r="Q19">
            <v>2</v>
          </cell>
          <cell r="R19" t="str">
            <v>Biangan</v>
          </cell>
          <cell r="T19" t="str">
            <v>ROM 1.B3</v>
          </cell>
          <cell r="U19" t="str">
            <v>BEK.MCV.LS</v>
          </cell>
          <cell r="V19">
            <v>9677.61</v>
          </cell>
        </row>
        <row r="20">
          <cell r="I20" t="str">
            <v/>
          </cell>
          <cell r="P20">
            <v>5</v>
          </cell>
          <cell r="Q20">
            <v>1</v>
          </cell>
          <cell r="R20" t="str">
            <v>Biangan</v>
          </cell>
          <cell r="T20" t="str">
            <v>ROM 1.B3</v>
          </cell>
          <cell r="U20" t="str">
            <v>BEK.MCV.LS</v>
          </cell>
          <cell r="V20">
            <v>12711.759999999997</v>
          </cell>
        </row>
        <row r="21">
          <cell r="I21" t="str">
            <v/>
          </cell>
          <cell r="P21">
            <v>5</v>
          </cell>
          <cell r="Q21">
            <v>2</v>
          </cell>
          <cell r="R21" t="str">
            <v>Biangan</v>
          </cell>
          <cell r="T21" t="str">
            <v>ROM 1.B3</v>
          </cell>
          <cell r="U21" t="str">
            <v>BEK.HCV.HS</v>
          </cell>
          <cell r="V21">
            <v>401.8</v>
          </cell>
        </row>
        <row r="22">
          <cell r="I22" t="str">
            <v/>
          </cell>
          <cell r="P22">
            <v>5</v>
          </cell>
          <cell r="Q22">
            <v>2</v>
          </cell>
          <cell r="R22" t="str">
            <v>Biangan</v>
          </cell>
          <cell r="T22" t="str">
            <v>ROM 4.B1</v>
          </cell>
          <cell r="U22" t="str">
            <v>BEK.HCV.HS</v>
          </cell>
          <cell r="V22">
            <v>4328.95</v>
          </cell>
        </row>
        <row r="23">
          <cell r="I23" t="str">
            <v/>
          </cell>
          <cell r="P23">
            <v>5</v>
          </cell>
          <cell r="Q23">
            <v>2</v>
          </cell>
          <cell r="R23" t="str">
            <v>Biangan</v>
          </cell>
          <cell r="T23" t="str">
            <v>ROM 4.B2</v>
          </cell>
          <cell r="U23" t="str">
            <v>BEK.HCV.HS</v>
          </cell>
          <cell r="V23">
            <v>3412.78</v>
          </cell>
        </row>
        <row r="24">
          <cell r="I24" t="str">
            <v/>
          </cell>
          <cell r="P24">
            <v>6</v>
          </cell>
          <cell r="Q24">
            <v>1</v>
          </cell>
          <cell r="R24" t="str">
            <v>Biangan</v>
          </cell>
          <cell r="T24" t="str">
            <v>ROM 4.B1</v>
          </cell>
          <cell r="U24" t="str">
            <v>BEK.HCV.HS</v>
          </cell>
          <cell r="V24">
            <v>5626.5500000000011</v>
          </cell>
        </row>
        <row r="25">
          <cell r="I25" t="str">
            <v/>
          </cell>
          <cell r="P25">
            <v>6</v>
          </cell>
          <cell r="Q25">
            <v>1</v>
          </cell>
          <cell r="R25" t="str">
            <v>Biangan</v>
          </cell>
          <cell r="T25" t="str">
            <v>ROM 4.B2</v>
          </cell>
          <cell r="U25" t="str">
            <v>BEK.HCV.HS</v>
          </cell>
          <cell r="V25">
            <v>3407.69</v>
          </cell>
        </row>
        <row r="26">
          <cell r="I26" t="str">
            <v/>
          </cell>
          <cell r="P26">
            <v>6</v>
          </cell>
          <cell r="Q26">
            <v>2</v>
          </cell>
          <cell r="R26" t="str">
            <v>Biangan</v>
          </cell>
          <cell r="T26" t="str">
            <v>ROM 1.B1</v>
          </cell>
          <cell r="U26" t="str">
            <v>BEK.HCV.LS</v>
          </cell>
          <cell r="V26">
            <v>4243.45</v>
          </cell>
        </row>
        <row r="27">
          <cell r="I27" t="str">
            <v/>
          </cell>
          <cell r="P27">
            <v>6</v>
          </cell>
          <cell r="Q27">
            <v>2</v>
          </cell>
          <cell r="R27" t="str">
            <v>Biangan</v>
          </cell>
          <cell r="T27" t="str">
            <v>ROM 1.B2</v>
          </cell>
          <cell r="U27" t="str">
            <v>BEK.HCV.LS</v>
          </cell>
          <cell r="V27">
            <v>4810.25</v>
          </cell>
        </row>
        <row r="28">
          <cell r="I28" t="str">
            <v/>
          </cell>
          <cell r="P28">
            <v>6</v>
          </cell>
          <cell r="Q28">
            <v>2</v>
          </cell>
          <cell r="R28" t="str">
            <v>Biangan</v>
          </cell>
          <cell r="T28" t="str">
            <v>ROM 4.B1</v>
          </cell>
          <cell r="U28" t="str">
            <v>BEK.HCV.LS</v>
          </cell>
          <cell r="V28">
            <v>159.05000000000001</v>
          </cell>
        </row>
        <row r="29">
          <cell r="I29" t="str">
            <v/>
          </cell>
          <cell r="P29">
            <v>6</v>
          </cell>
          <cell r="Q29">
            <v>2</v>
          </cell>
          <cell r="R29" t="str">
            <v>Biangan</v>
          </cell>
          <cell r="T29" t="str">
            <v>ROM 4.B2</v>
          </cell>
          <cell r="U29" t="str">
            <v>BEK.HCV.LS</v>
          </cell>
          <cell r="V29">
            <v>394.3</v>
          </cell>
        </row>
        <row r="30">
          <cell r="I30" t="str">
            <v/>
          </cell>
          <cell r="P30">
            <v>7</v>
          </cell>
          <cell r="Q30">
            <v>1</v>
          </cell>
          <cell r="R30" t="str">
            <v>Biangan</v>
          </cell>
          <cell r="T30" t="str">
            <v>ROM 1.B1</v>
          </cell>
          <cell r="U30" t="str">
            <v>BEK.HCV.LS</v>
          </cell>
          <cell r="V30">
            <v>5167.05</v>
          </cell>
        </row>
        <row r="31">
          <cell r="I31" t="str">
            <v/>
          </cell>
          <cell r="P31">
            <v>7</v>
          </cell>
          <cell r="Q31">
            <v>1</v>
          </cell>
          <cell r="R31" t="str">
            <v>Biangan</v>
          </cell>
          <cell r="T31" t="str">
            <v>ROM 1.B2</v>
          </cell>
          <cell r="U31" t="str">
            <v>BEK.HCV.LS</v>
          </cell>
          <cell r="V31">
            <v>6533.2500000000009</v>
          </cell>
        </row>
        <row r="32">
          <cell r="I32" t="str">
            <v/>
          </cell>
          <cell r="P32">
            <v>7</v>
          </cell>
          <cell r="Q32">
            <v>2</v>
          </cell>
          <cell r="R32" t="str">
            <v>Biangan</v>
          </cell>
          <cell r="T32" t="str">
            <v>ROM 1.B1</v>
          </cell>
          <cell r="U32" t="str">
            <v>BEK.HCV.HS</v>
          </cell>
          <cell r="V32">
            <v>164.1</v>
          </cell>
        </row>
        <row r="33">
          <cell r="I33" t="str">
            <v/>
          </cell>
          <cell r="P33">
            <v>7</v>
          </cell>
          <cell r="Q33">
            <v>2</v>
          </cell>
          <cell r="R33" t="str">
            <v>Biangan</v>
          </cell>
          <cell r="T33" t="str">
            <v>ROM 1.B2</v>
          </cell>
          <cell r="U33" t="str">
            <v>BEK.HCV.HS</v>
          </cell>
          <cell r="V33">
            <v>561.25</v>
          </cell>
        </row>
        <row r="34">
          <cell r="I34" t="str">
            <v/>
          </cell>
          <cell r="P34">
            <v>7</v>
          </cell>
          <cell r="Q34">
            <v>2</v>
          </cell>
          <cell r="R34" t="str">
            <v>Biangan</v>
          </cell>
          <cell r="T34" t="str">
            <v>ROM 4.B1</v>
          </cell>
          <cell r="U34" t="str">
            <v>BEK.HCV.HS</v>
          </cell>
          <cell r="V34">
            <v>6450.4800000000005</v>
          </cell>
        </row>
        <row r="35">
          <cell r="I35" t="str">
            <v/>
          </cell>
          <cell r="P35">
            <v>7</v>
          </cell>
          <cell r="Q35">
            <v>2</v>
          </cell>
          <cell r="R35" t="str">
            <v>Biangan</v>
          </cell>
          <cell r="T35" t="str">
            <v>ROM 4.B2</v>
          </cell>
          <cell r="U35" t="str">
            <v>BEK.HCV.HS</v>
          </cell>
          <cell r="V35">
            <v>6372.1</v>
          </cell>
        </row>
        <row r="36">
          <cell r="I36" t="str">
            <v/>
          </cell>
        </row>
        <row r="37">
          <cell r="I37" t="str">
            <v/>
          </cell>
        </row>
        <row r="38">
          <cell r="I38" t="str">
            <v/>
          </cell>
        </row>
        <row r="39">
          <cell r="I39" t="str">
            <v/>
          </cell>
        </row>
        <row r="40">
          <cell r="I40" t="str">
            <v/>
          </cell>
        </row>
        <row r="41">
          <cell r="I41" t="str">
            <v/>
          </cell>
        </row>
        <row r="42">
          <cell r="I42" t="str">
            <v/>
          </cell>
        </row>
        <row r="43">
          <cell r="I43" t="str">
            <v/>
          </cell>
        </row>
        <row r="44">
          <cell r="I44" t="str">
            <v/>
          </cell>
        </row>
        <row r="45">
          <cell r="I45" t="str">
            <v/>
          </cell>
        </row>
        <row r="46">
          <cell r="I46" t="str">
            <v/>
          </cell>
        </row>
        <row r="47">
          <cell r="I47" t="str">
            <v/>
          </cell>
        </row>
        <row r="48">
          <cell r="I48" t="str">
            <v/>
          </cell>
        </row>
        <row r="49">
          <cell r="I49" t="str">
            <v/>
          </cell>
        </row>
        <row r="50">
          <cell r="I50" t="str">
            <v/>
          </cell>
        </row>
        <row r="51">
          <cell r="I51" t="str">
            <v/>
          </cell>
        </row>
        <row r="52">
          <cell r="I52" t="str">
            <v/>
          </cell>
        </row>
        <row r="53">
          <cell r="I53" t="str">
            <v/>
          </cell>
        </row>
        <row r="54">
          <cell r="I54" t="str">
            <v/>
          </cell>
        </row>
        <row r="55">
          <cell r="I55" t="str">
            <v/>
          </cell>
        </row>
        <row r="56">
          <cell r="I56" t="str">
            <v/>
          </cell>
        </row>
        <row r="57">
          <cell r="I57" t="str">
            <v/>
          </cell>
        </row>
        <row r="58">
          <cell r="I58" t="str">
            <v/>
          </cell>
        </row>
        <row r="59">
          <cell r="I59" t="str">
            <v/>
          </cell>
        </row>
        <row r="60">
          <cell r="I60" t="str">
            <v/>
          </cell>
        </row>
        <row r="61">
          <cell r="I61" t="str">
            <v/>
          </cell>
        </row>
        <row r="62">
          <cell r="I62" t="str">
            <v/>
          </cell>
        </row>
        <row r="63">
          <cell r="I63" t="str">
            <v/>
          </cell>
        </row>
        <row r="64">
          <cell r="I64" t="str">
            <v/>
          </cell>
        </row>
        <row r="65">
          <cell r="I65" t="str">
            <v/>
          </cell>
        </row>
        <row r="66">
          <cell r="I66" t="str">
            <v/>
          </cell>
        </row>
        <row r="67">
          <cell r="I67" t="str">
            <v/>
          </cell>
        </row>
        <row r="68">
          <cell r="I68" t="str">
            <v/>
          </cell>
        </row>
        <row r="69">
          <cell r="I69" t="str">
            <v/>
          </cell>
        </row>
        <row r="70">
          <cell r="I70" t="str">
            <v/>
          </cell>
        </row>
        <row r="71">
          <cell r="I71" t="str">
            <v/>
          </cell>
        </row>
        <row r="72">
          <cell r="I72" t="str">
            <v/>
          </cell>
        </row>
        <row r="73">
          <cell r="I73" t="str">
            <v/>
          </cell>
        </row>
        <row r="74">
          <cell r="I74" t="str">
            <v/>
          </cell>
        </row>
        <row r="75">
          <cell r="I75" t="str">
            <v/>
          </cell>
        </row>
        <row r="76">
          <cell r="I76" t="str">
            <v/>
          </cell>
        </row>
        <row r="77">
          <cell r="I77" t="str">
            <v/>
          </cell>
        </row>
        <row r="78">
          <cell r="I78" t="str">
            <v/>
          </cell>
        </row>
        <row r="79">
          <cell r="I79" t="str">
            <v/>
          </cell>
        </row>
        <row r="80">
          <cell r="I80" t="str">
            <v/>
          </cell>
        </row>
        <row r="81">
          <cell r="I81" t="str">
            <v/>
          </cell>
        </row>
        <row r="82">
          <cell r="I82" t="str">
            <v/>
          </cell>
        </row>
        <row r="83">
          <cell r="I83" t="str">
            <v/>
          </cell>
        </row>
        <row r="84">
          <cell r="I84" t="str">
            <v/>
          </cell>
        </row>
        <row r="85">
          <cell r="I85" t="str">
            <v/>
          </cell>
        </row>
        <row r="86">
          <cell r="I86" t="str">
            <v/>
          </cell>
        </row>
        <row r="87">
          <cell r="I87" t="str">
            <v/>
          </cell>
        </row>
        <row r="88">
          <cell r="I88" t="str">
            <v/>
          </cell>
        </row>
        <row r="89">
          <cell r="I89" t="str">
            <v/>
          </cell>
        </row>
        <row r="90">
          <cell r="I90" t="str">
            <v/>
          </cell>
        </row>
        <row r="91">
          <cell r="I91" t="str">
            <v/>
          </cell>
        </row>
        <row r="92">
          <cell r="I92" t="str">
            <v/>
          </cell>
        </row>
        <row r="93">
          <cell r="I93" t="str">
            <v/>
          </cell>
        </row>
        <row r="94">
          <cell r="I94" t="str">
            <v/>
          </cell>
        </row>
        <row r="95">
          <cell r="I95" t="str">
            <v/>
          </cell>
        </row>
        <row r="96">
          <cell r="I96" t="str">
            <v/>
          </cell>
        </row>
        <row r="97">
          <cell r="I97" t="str">
            <v/>
          </cell>
        </row>
        <row r="98">
          <cell r="I98" t="str">
            <v/>
          </cell>
        </row>
        <row r="99">
          <cell r="I99" t="str">
            <v/>
          </cell>
        </row>
        <row r="100">
          <cell r="I100" t="str">
            <v/>
          </cell>
        </row>
        <row r="101">
          <cell r="I101" t="str">
            <v/>
          </cell>
        </row>
        <row r="102">
          <cell r="I102" t="str">
            <v/>
          </cell>
        </row>
        <row r="103">
          <cell r="I103" t="str">
            <v/>
          </cell>
        </row>
        <row r="104">
          <cell r="I104" t="str">
            <v/>
          </cell>
        </row>
        <row r="105">
          <cell r="I105" t="str">
            <v/>
          </cell>
        </row>
        <row r="106">
          <cell r="I106" t="str">
            <v/>
          </cell>
        </row>
        <row r="107">
          <cell r="I107" t="str">
            <v/>
          </cell>
        </row>
        <row r="108">
          <cell r="I108" t="str">
            <v/>
          </cell>
        </row>
        <row r="109">
          <cell r="I109" t="str">
            <v/>
          </cell>
        </row>
        <row r="110">
          <cell r="I110" t="str">
            <v/>
          </cell>
        </row>
        <row r="111">
          <cell r="I111" t="str">
            <v/>
          </cell>
        </row>
        <row r="112">
          <cell r="I112" t="str">
            <v/>
          </cell>
        </row>
        <row r="113">
          <cell r="I113" t="str">
            <v/>
          </cell>
        </row>
        <row r="114">
          <cell r="I114" t="str">
            <v/>
          </cell>
        </row>
        <row r="115">
          <cell r="I115" t="str">
            <v/>
          </cell>
        </row>
        <row r="116">
          <cell r="I116" t="str">
            <v/>
          </cell>
        </row>
        <row r="117">
          <cell r="I117" t="str">
            <v/>
          </cell>
        </row>
        <row r="118">
          <cell r="I118" t="str">
            <v/>
          </cell>
        </row>
        <row r="119">
          <cell r="I119" t="str">
            <v/>
          </cell>
        </row>
        <row r="120">
          <cell r="I120" t="str">
            <v/>
          </cell>
        </row>
        <row r="121">
          <cell r="I121" t="str">
            <v/>
          </cell>
        </row>
        <row r="122">
          <cell r="I122" t="str">
            <v/>
          </cell>
        </row>
        <row r="123">
          <cell r="I123" t="str">
            <v/>
          </cell>
        </row>
        <row r="124">
          <cell r="I124" t="str">
            <v/>
          </cell>
        </row>
        <row r="125">
          <cell r="I125" t="str">
            <v/>
          </cell>
        </row>
        <row r="126">
          <cell r="I126" t="str">
            <v/>
          </cell>
        </row>
        <row r="127">
          <cell r="I127" t="str">
            <v/>
          </cell>
        </row>
        <row r="128">
          <cell r="I128" t="str">
            <v/>
          </cell>
        </row>
        <row r="129">
          <cell r="I129" t="str">
            <v/>
          </cell>
        </row>
        <row r="130">
          <cell r="I130" t="str">
            <v/>
          </cell>
        </row>
        <row r="131">
          <cell r="I131" t="str">
            <v/>
          </cell>
        </row>
        <row r="132">
          <cell r="I132" t="str">
            <v/>
          </cell>
        </row>
        <row r="133">
          <cell r="I133" t="str">
            <v/>
          </cell>
        </row>
        <row r="134">
          <cell r="I134" t="str">
            <v/>
          </cell>
        </row>
        <row r="135">
          <cell r="I135" t="str">
            <v/>
          </cell>
        </row>
        <row r="136">
          <cell r="I136" t="str">
            <v/>
          </cell>
        </row>
        <row r="137">
          <cell r="I137" t="str">
            <v/>
          </cell>
        </row>
        <row r="138">
          <cell r="I138" t="str">
            <v/>
          </cell>
        </row>
        <row r="139">
          <cell r="I139" t="str">
            <v/>
          </cell>
        </row>
        <row r="140">
          <cell r="I140" t="str">
            <v/>
          </cell>
        </row>
        <row r="141">
          <cell r="I141" t="str">
            <v/>
          </cell>
        </row>
        <row r="142">
          <cell r="I142" t="str">
            <v/>
          </cell>
        </row>
        <row r="143">
          <cell r="I143" t="str">
            <v/>
          </cell>
        </row>
        <row r="144">
          <cell r="I144" t="str">
            <v/>
          </cell>
        </row>
        <row r="145">
          <cell r="I145" t="str">
            <v/>
          </cell>
        </row>
        <row r="146">
          <cell r="I146" t="str">
            <v/>
          </cell>
        </row>
        <row r="147">
          <cell r="I147" t="str">
            <v/>
          </cell>
        </row>
        <row r="148">
          <cell r="I148" t="str">
            <v/>
          </cell>
        </row>
        <row r="149">
          <cell r="I149" t="str">
            <v/>
          </cell>
        </row>
        <row r="150">
          <cell r="I150" t="str">
            <v/>
          </cell>
        </row>
        <row r="151">
          <cell r="I151" t="str">
            <v/>
          </cell>
        </row>
        <row r="152">
          <cell r="I152" t="str">
            <v/>
          </cell>
        </row>
        <row r="153">
          <cell r="I153" t="str">
            <v/>
          </cell>
        </row>
        <row r="154">
          <cell r="I154" t="str">
            <v/>
          </cell>
        </row>
        <row r="155">
          <cell r="I155" t="str">
            <v/>
          </cell>
        </row>
        <row r="156">
          <cell r="I156" t="str">
            <v/>
          </cell>
        </row>
        <row r="157">
          <cell r="I157" t="str">
            <v/>
          </cell>
        </row>
        <row r="158">
          <cell r="I158" t="str">
            <v/>
          </cell>
        </row>
        <row r="159">
          <cell r="I159" t="str">
            <v/>
          </cell>
        </row>
        <row r="160">
          <cell r="I160" t="str">
            <v/>
          </cell>
        </row>
        <row r="161">
          <cell r="I161" t="str">
            <v/>
          </cell>
        </row>
        <row r="162">
          <cell r="I162" t="str">
            <v/>
          </cell>
        </row>
        <row r="163">
          <cell r="I163" t="str">
            <v/>
          </cell>
        </row>
        <row r="164">
          <cell r="I164" t="str">
            <v/>
          </cell>
        </row>
        <row r="165">
          <cell r="I165" t="str">
            <v/>
          </cell>
        </row>
        <row r="166">
          <cell r="I166" t="str">
            <v/>
          </cell>
        </row>
        <row r="167">
          <cell r="I167" t="str">
            <v/>
          </cell>
        </row>
        <row r="168">
          <cell r="I168" t="str">
            <v/>
          </cell>
        </row>
        <row r="169">
          <cell r="I169" t="str">
            <v/>
          </cell>
        </row>
        <row r="170">
          <cell r="I170" t="str">
            <v/>
          </cell>
        </row>
        <row r="171">
          <cell r="I171" t="str">
            <v/>
          </cell>
        </row>
        <row r="172">
          <cell r="I172" t="str">
            <v/>
          </cell>
        </row>
        <row r="173">
          <cell r="I173" t="str">
            <v/>
          </cell>
        </row>
        <row r="174">
          <cell r="I174" t="str">
            <v/>
          </cell>
        </row>
        <row r="175">
          <cell r="I175" t="str">
            <v/>
          </cell>
        </row>
        <row r="176">
          <cell r="I176" t="str">
            <v/>
          </cell>
        </row>
        <row r="177">
          <cell r="I177" t="str">
            <v/>
          </cell>
        </row>
        <row r="178">
          <cell r="I178" t="str">
            <v/>
          </cell>
        </row>
        <row r="179">
          <cell r="I179" t="str">
            <v/>
          </cell>
        </row>
        <row r="180">
          <cell r="I180" t="str">
            <v/>
          </cell>
        </row>
        <row r="181">
          <cell r="I181" t="str">
            <v/>
          </cell>
        </row>
        <row r="182">
          <cell r="I182" t="str">
            <v/>
          </cell>
        </row>
        <row r="183">
          <cell r="I183" t="str">
            <v/>
          </cell>
        </row>
        <row r="184">
          <cell r="I184" t="str">
            <v/>
          </cell>
        </row>
        <row r="185">
          <cell r="I185" t="str">
            <v/>
          </cell>
        </row>
        <row r="186">
          <cell r="I186" t="str">
            <v/>
          </cell>
        </row>
        <row r="187">
          <cell r="I187" t="str">
            <v/>
          </cell>
        </row>
        <row r="188">
          <cell r="I188" t="str">
            <v/>
          </cell>
        </row>
        <row r="189">
          <cell r="I189" t="str">
            <v/>
          </cell>
        </row>
        <row r="190">
          <cell r="I190" t="str">
            <v/>
          </cell>
        </row>
        <row r="191">
          <cell r="I191" t="str">
            <v/>
          </cell>
        </row>
        <row r="192">
          <cell r="I192" t="str">
            <v/>
          </cell>
        </row>
        <row r="193">
          <cell r="I193" t="str">
            <v/>
          </cell>
        </row>
        <row r="194">
          <cell r="I194" t="str">
            <v/>
          </cell>
        </row>
        <row r="195">
          <cell r="I195" t="str">
            <v/>
          </cell>
        </row>
        <row r="196">
          <cell r="I196" t="str">
            <v/>
          </cell>
        </row>
        <row r="197">
          <cell r="I197" t="str">
            <v/>
          </cell>
        </row>
        <row r="198">
          <cell r="I198" t="str">
            <v/>
          </cell>
        </row>
        <row r="199">
          <cell r="I199" t="str">
            <v/>
          </cell>
        </row>
        <row r="200">
          <cell r="I200" t="str">
            <v/>
          </cell>
        </row>
        <row r="201">
          <cell r="I201" t="str">
            <v/>
          </cell>
        </row>
        <row r="202">
          <cell r="I202" t="str">
            <v/>
          </cell>
        </row>
        <row r="203">
          <cell r="I203" t="str">
            <v/>
          </cell>
        </row>
        <row r="204">
          <cell r="I204" t="str">
            <v/>
          </cell>
        </row>
        <row r="205">
          <cell r="I205" t="str">
            <v/>
          </cell>
        </row>
        <row r="206">
          <cell r="I206" t="str">
            <v/>
          </cell>
        </row>
        <row r="207">
          <cell r="I207" t="str">
            <v/>
          </cell>
        </row>
        <row r="208">
          <cell r="I208" t="str">
            <v/>
          </cell>
        </row>
        <row r="209">
          <cell r="I209" t="str">
            <v/>
          </cell>
        </row>
        <row r="210">
          <cell r="I210" t="str">
            <v/>
          </cell>
        </row>
        <row r="211">
          <cell r="I211" t="str">
            <v/>
          </cell>
        </row>
        <row r="212">
          <cell r="I212" t="str">
            <v/>
          </cell>
        </row>
        <row r="213">
          <cell r="I213" t="str">
            <v/>
          </cell>
        </row>
        <row r="214">
          <cell r="I214" t="str">
            <v/>
          </cell>
        </row>
        <row r="215">
          <cell r="I215" t="str">
            <v/>
          </cell>
        </row>
        <row r="216">
          <cell r="I216" t="str">
            <v/>
          </cell>
        </row>
        <row r="217">
          <cell r="I217" t="str">
            <v/>
          </cell>
        </row>
        <row r="218">
          <cell r="I218" t="str">
            <v/>
          </cell>
        </row>
        <row r="219">
          <cell r="I219" t="str">
            <v/>
          </cell>
        </row>
        <row r="220">
          <cell r="I220" t="str">
            <v/>
          </cell>
        </row>
        <row r="221">
          <cell r="I221" t="str">
            <v/>
          </cell>
        </row>
        <row r="222">
          <cell r="I222" t="str">
            <v/>
          </cell>
        </row>
        <row r="223">
          <cell r="I223" t="str">
            <v/>
          </cell>
        </row>
        <row r="224">
          <cell r="I224" t="str">
            <v/>
          </cell>
        </row>
        <row r="225">
          <cell r="I225" t="str">
            <v/>
          </cell>
        </row>
        <row r="226">
          <cell r="I226" t="str">
            <v/>
          </cell>
        </row>
        <row r="227">
          <cell r="I227" t="str">
            <v/>
          </cell>
        </row>
        <row r="228">
          <cell r="I228" t="str">
            <v/>
          </cell>
        </row>
        <row r="229">
          <cell r="I229" t="str">
            <v/>
          </cell>
        </row>
        <row r="230">
          <cell r="I230" t="str">
            <v/>
          </cell>
        </row>
        <row r="231">
          <cell r="I231" t="str">
            <v/>
          </cell>
        </row>
        <row r="232">
          <cell r="I232" t="str">
            <v/>
          </cell>
        </row>
        <row r="233">
          <cell r="I233" t="str">
            <v/>
          </cell>
        </row>
        <row r="234">
          <cell r="I234" t="str">
            <v/>
          </cell>
        </row>
        <row r="235">
          <cell r="I235" t="str">
            <v/>
          </cell>
        </row>
        <row r="236">
          <cell r="I236" t="str">
            <v/>
          </cell>
        </row>
        <row r="237">
          <cell r="I237" t="str">
            <v/>
          </cell>
        </row>
        <row r="238">
          <cell r="I238" t="str">
            <v/>
          </cell>
        </row>
        <row r="239">
          <cell r="I239" t="str">
            <v/>
          </cell>
        </row>
        <row r="240">
          <cell r="I240" t="str">
            <v/>
          </cell>
        </row>
        <row r="241">
          <cell r="I241" t="str">
            <v/>
          </cell>
        </row>
        <row r="242">
          <cell r="I242" t="str">
            <v/>
          </cell>
        </row>
        <row r="243">
          <cell r="I243" t="str">
            <v/>
          </cell>
        </row>
        <row r="244">
          <cell r="I244" t="str">
            <v/>
          </cell>
        </row>
        <row r="245">
          <cell r="I245" t="str">
            <v/>
          </cell>
        </row>
        <row r="246">
          <cell r="I246" t="str">
            <v/>
          </cell>
        </row>
        <row r="247">
          <cell r="I247" t="str">
            <v/>
          </cell>
        </row>
        <row r="248">
          <cell r="I248" t="str">
            <v/>
          </cell>
        </row>
        <row r="249">
          <cell r="I249" t="str">
            <v/>
          </cell>
        </row>
        <row r="250">
          <cell r="I250" t="str">
            <v/>
          </cell>
        </row>
        <row r="251">
          <cell r="I251" t="str">
            <v/>
          </cell>
        </row>
        <row r="252">
          <cell r="I252" t="str">
            <v/>
          </cell>
        </row>
        <row r="253">
          <cell r="I253" t="str">
            <v/>
          </cell>
        </row>
        <row r="254">
          <cell r="I254" t="str">
            <v/>
          </cell>
        </row>
        <row r="255">
          <cell r="I255" t="str">
            <v/>
          </cell>
        </row>
        <row r="256">
          <cell r="I256" t="str">
            <v/>
          </cell>
        </row>
        <row r="257">
          <cell r="I257" t="str">
            <v/>
          </cell>
        </row>
        <row r="258">
          <cell r="I258" t="str">
            <v/>
          </cell>
        </row>
        <row r="259">
          <cell r="I259" t="str">
            <v/>
          </cell>
        </row>
        <row r="260">
          <cell r="I260" t="str">
            <v/>
          </cell>
        </row>
        <row r="261">
          <cell r="I261" t="str">
            <v/>
          </cell>
        </row>
        <row r="262">
          <cell r="I262" t="str">
            <v/>
          </cell>
        </row>
        <row r="263">
          <cell r="I263" t="str">
            <v/>
          </cell>
        </row>
        <row r="264">
          <cell r="I264" t="str">
            <v/>
          </cell>
        </row>
        <row r="265">
          <cell r="I265" t="str">
            <v/>
          </cell>
        </row>
        <row r="266">
          <cell r="I266" t="str">
            <v/>
          </cell>
        </row>
        <row r="267">
          <cell r="I267" t="str">
            <v/>
          </cell>
        </row>
        <row r="268">
          <cell r="I268" t="str">
            <v/>
          </cell>
        </row>
        <row r="269">
          <cell r="I269" t="str">
            <v/>
          </cell>
        </row>
        <row r="270">
          <cell r="I270" t="str">
            <v/>
          </cell>
        </row>
        <row r="271">
          <cell r="I271" t="str">
            <v/>
          </cell>
        </row>
        <row r="272">
          <cell r="I272" t="str">
            <v/>
          </cell>
        </row>
        <row r="273">
          <cell r="I273" t="str">
            <v/>
          </cell>
        </row>
        <row r="274">
          <cell r="I274" t="str">
            <v/>
          </cell>
        </row>
        <row r="275">
          <cell r="I275" t="str">
            <v/>
          </cell>
        </row>
        <row r="276">
          <cell r="I276" t="str">
            <v/>
          </cell>
        </row>
        <row r="277">
          <cell r="I277" t="str">
            <v/>
          </cell>
        </row>
        <row r="278">
          <cell r="I278" t="str">
            <v/>
          </cell>
        </row>
        <row r="279">
          <cell r="I279" t="str">
            <v/>
          </cell>
        </row>
        <row r="280">
          <cell r="I280" t="str">
            <v/>
          </cell>
        </row>
        <row r="281">
          <cell r="I281" t="str">
            <v/>
          </cell>
        </row>
        <row r="282">
          <cell r="I282" t="str">
            <v/>
          </cell>
        </row>
        <row r="283">
          <cell r="I283" t="str">
            <v/>
          </cell>
        </row>
        <row r="284">
          <cell r="I284" t="str">
            <v/>
          </cell>
        </row>
        <row r="285">
          <cell r="I285" t="str">
            <v/>
          </cell>
        </row>
        <row r="286">
          <cell r="I286" t="str">
            <v/>
          </cell>
        </row>
        <row r="287">
          <cell r="I287" t="str">
            <v/>
          </cell>
        </row>
        <row r="288">
          <cell r="I288" t="str">
            <v/>
          </cell>
        </row>
        <row r="289">
          <cell r="I289" t="str">
            <v/>
          </cell>
        </row>
        <row r="290">
          <cell r="I290" t="str">
            <v/>
          </cell>
        </row>
        <row r="291">
          <cell r="I291" t="str">
            <v/>
          </cell>
        </row>
        <row r="292">
          <cell r="I292" t="str">
            <v/>
          </cell>
        </row>
        <row r="293">
          <cell r="I293" t="str">
            <v/>
          </cell>
        </row>
        <row r="294">
          <cell r="I294" t="str">
            <v/>
          </cell>
        </row>
        <row r="295">
          <cell r="I295" t="str">
            <v/>
          </cell>
        </row>
        <row r="296">
          <cell r="I296" t="str">
            <v/>
          </cell>
        </row>
        <row r="297">
          <cell r="I297" t="str">
            <v/>
          </cell>
        </row>
        <row r="298">
          <cell r="I298" t="str">
            <v/>
          </cell>
        </row>
        <row r="299">
          <cell r="I299" t="str">
            <v/>
          </cell>
        </row>
        <row r="300">
          <cell r="I300" t="str">
            <v/>
          </cell>
        </row>
        <row r="301">
          <cell r="I301" t="str">
            <v/>
          </cell>
        </row>
        <row r="302">
          <cell r="I302" t="str">
            <v/>
          </cell>
        </row>
        <row r="303">
          <cell r="I303" t="str">
            <v/>
          </cell>
        </row>
        <row r="304">
          <cell r="I304" t="str">
            <v/>
          </cell>
        </row>
        <row r="305">
          <cell r="I305" t="str">
            <v/>
          </cell>
        </row>
        <row r="306">
          <cell r="I306" t="str">
            <v/>
          </cell>
        </row>
        <row r="307">
          <cell r="I307" t="str">
            <v/>
          </cell>
        </row>
        <row r="308">
          <cell r="I308" t="str">
            <v/>
          </cell>
        </row>
        <row r="309">
          <cell r="I309" t="str">
            <v/>
          </cell>
        </row>
        <row r="310">
          <cell r="I310" t="str">
            <v/>
          </cell>
        </row>
        <row r="311">
          <cell r="I311" t="str">
            <v/>
          </cell>
        </row>
        <row r="312">
          <cell r="I312" t="str">
            <v/>
          </cell>
        </row>
        <row r="313">
          <cell r="I313" t="str">
            <v/>
          </cell>
        </row>
        <row r="314">
          <cell r="I314" t="str">
            <v/>
          </cell>
        </row>
        <row r="315">
          <cell r="I315" t="str">
            <v/>
          </cell>
        </row>
        <row r="316">
          <cell r="I316" t="str">
            <v/>
          </cell>
        </row>
        <row r="317">
          <cell r="I317" t="str">
            <v/>
          </cell>
        </row>
        <row r="318">
          <cell r="I318" t="str">
            <v/>
          </cell>
        </row>
        <row r="319">
          <cell r="I319" t="str">
            <v/>
          </cell>
        </row>
        <row r="320">
          <cell r="I320" t="str">
            <v/>
          </cell>
        </row>
      </sheetData>
      <sheetData sheetId="11"/>
      <sheetData sheetId="12"/>
      <sheetData sheetId="13">
        <row r="5">
          <cell r="D5">
            <v>1</v>
          </cell>
          <cell r="E5">
            <v>2</v>
          </cell>
          <cell r="F5">
            <v>3</v>
          </cell>
          <cell r="G5">
            <v>4</v>
          </cell>
          <cell r="H5">
            <v>5</v>
          </cell>
          <cell r="I5">
            <v>6</v>
          </cell>
          <cell r="J5">
            <v>7</v>
          </cell>
          <cell r="K5">
            <v>8</v>
          </cell>
          <cell r="L5">
            <v>9</v>
          </cell>
          <cell r="M5">
            <v>10</v>
          </cell>
          <cell r="N5">
            <v>11</v>
          </cell>
          <cell r="O5">
            <v>12</v>
          </cell>
          <cell r="P5">
            <v>13</v>
          </cell>
          <cell r="Q5">
            <v>14</v>
          </cell>
          <cell r="R5">
            <v>15</v>
          </cell>
          <cell r="S5">
            <v>16</v>
          </cell>
          <cell r="T5">
            <v>17</v>
          </cell>
          <cell r="U5">
            <v>18</v>
          </cell>
          <cell r="V5">
            <v>19</v>
          </cell>
          <cell r="W5">
            <v>20</v>
          </cell>
          <cell r="X5">
            <v>21</v>
          </cell>
          <cell r="Y5">
            <v>22</v>
          </cell>
          <cell r="Z5">
            <v>23</v>
          </cell>
          <cell r="AA5">
            <v>24</v>
          </cell>
          <cell r="AB5">
            <v>25</v>
          </cell>
          <cell r="AC5">
            <v>26</v>
          </cell>
          <cell r="AD5">
            <v>27</v>
          </cell>
          <cell r="AE5">
            <v>28</v>
          </cell>
          <cell r="AF5">
            <v>29</v>
          </cell>
          <cell r="AG5">
            <v>30</v>
          </cell>
          <cell r="AH5">
            <v>31</v>
          </cell>
        </row>
        <row r="6">
          <cell r="D6">
            <v>27.236254545519998</v>
          </cell>
          <cell r="E6">
            <v>27.755865999999997</v>
          </cell>
          <cell r="F6">
            <v>28.3839197</v>
          </cell>
          <cell r="G6">
            <v>28.129156662999996</v>
          </cell>
          <cell r="H6">
            <v>27.532821970499999</v>
          </cell>
          <cell r="I6">
            <v>28.713571979999998</v>
          </cell>
          <cell r="J6">
            <v>26.136478911264</v>
          </cell>
          <cell r="K6">
            <v>27.982306999999999</v>
          </cell>
          <cell r="L6">
            <v>29.116964603456005</v>
          </cell>
          <cell r="M6">
            <v>27.320683878000001</v>
          </cell>
          <cell r="N6">
            <v>26.6852956</v>
          </cell>
          <cell r="O6">
            <v>29.432279189999999</v>
          </cell>
          <cell r="P6">
            <v>30.179221789000003</v>
          </cell>
          <cell r="Q6">
            <v>29.481015553879999</v>
          </cell>
          <cell r="R6">
            <v>30.372784000000003</v>
          </cell>
          <cell r="S6">
            <v>31.683577400000001</v>
          </cell>
          <cell r="T6">
            <v>30.0436934192</v>
          </cell>
          <cell r="U6">
            <v>33.177843254000003</v>
          </cell>
          <cell r="V6">
            <v>29.534542040300003</v>
          </cell>
          <cell r="W6">
            <v>28.845782</v>
          </cell>
          <cell r="X6">
            <v>22.646230281999998</v>
          </cell>
          <cell r="Y6">
            <v>22.547597884000002</v>
          </cell>
          <cell r="Z6">
            <v>20.526482403999999</v>
          </cell>
          <cell r="AA6">
            <v>19.036447800000001</v>
          </cell>
          <cell r="AB6">
            <v>22.004861373503999</v>
          </cell>
          <cell r="AC6">
            <v>19.807809442</v>
          </cell>
          <cell r="AD6">
            <v>20.750687798999998</v>
          </cell>
          <cell r="AE6">
            <v>19.414049282000001</v>
          </cell>
          <cell r="AF6">
            <v>21.2055875</v>
          </cell>
          <cell r="AG6">
            <v>21.3163847</v>
          </cell>
          <cell r="AH6">
            <v>0</v>
          </cell>
        </row>
        <row r="7">
          <cell r="D7">
            <v>6549.5937663944505</v>
          </cell>
          <cell r="E7">
            <v>6556.4901508035327</v>
          </cell>
          <cell r="F7">
            <v>6572.7474032458467</v>
          </cell>
          <cell r="G7">
            <v>6573.9101987825552</v>
          </cell>
          <cell r="H7">
            <v>6574.2656757367295</v>
          </cell>
          <cell r="I7">
            <v>6576.8170872564988</v>
          </cell>
          <cell r="J7">
            <v>6581.9083551496724</v>
          </cell>
          <cell r="K7">
            <v>6539.7712674663489</v>
          </cell>
          <cell r="L7">
            <v>6558.6289168813</v>
          </cell>
          <cell r="M7">
            <v>6547.8846659918345</v>
          </cell>
          <cell r="N7">
            <v>6528.8160322032873</v>
          </cell>
          <cell r="O7">
            <v>6539.310538908373</v>
          </cell>
          <cell r="P7">
            <v>6538.3917769797126</v>
          </cell>
          <cell r="Q7">
            <v>6543.768062398337</v>
          </cell>
          <cell r="R7">
            <v>6552.7101559286511</v>
          </cell>
          <cell r="S7">
            <v>6527.7003499209704</v>
          </cell>
          <cell r="T7">
            <v>6563.4948909550903</v>
          </cell>
          <cell r="U7">
            <v>6546.9052866254424</v>
          </cell>
          <cell r="V7">
            <v>6539.4929058771213</v>
          </cell>
          <cell r="W7">
            <v>6545.3280158497873</v>
          </cell>
          <cell r="X7">
            <v>6549.5637596109827</v>
          </cell>
          <cell r="Y7">
            <v>6553.1960527999054</v>
          </cell>
          <cell r="Z7">
            <v>6530.3725672130822</v>
          </cell>
          <cell r="AA7">
            <v>6550.6336366260257</v>
          </cell>
          <cell r="AB7">
            <v>6551.9698223957521</v>
          </cell>
          <cell r="AC7">
            <v>6511.4835264418753</v>
          </cell>
          <cell r="AD7">
            <v>6540.3695121567789</v>
          </cell>
          <cell r="AE7">
            <v>6543.1988270527427</v>
          </cell>
          <cell r="AF7">
            <v>6537.7304090760063</v>
          </cell>
          <cell r="AG7">
            <v>6531.2604061728434</v>
          </cell>
          <cell r="AH7">
            <v>0</v>
          </cell>
        </row>
        <row r="8">
          <cell r="D8">
            <v>0.98832232759273031</v>
          </cell>
          <cell r="E8">
            <v>1.0026063875007285</v>
          </cell>
          <cell r="F8">
            <v>0.9659828440764493</v>
          </cell>
          <cell r="G8">
            <v>0.89461919403678614</v>
          </cell>
          <cell r="H8">
            <v>0.87823005022108469</v>
          </cell>
          <cell r="I8">
            <v>0.95426498592847819</v>
          </cell>
          <cell r="J8">
            <v>0.80728898823988116</v>
          </cell>
          <cell r="K8">
            <v>0.97692840554180438</v>
          </cell>
          <cell r="L8">
            <v>0.88296624886659314</v>
          </cell>
          <cell r="M8">
            <v>0.91763563186996233</v>
          </cell>
          <cell r="N8">
            <v>0.99324703917475266</v>
          </cell>
          <cell r="O8">
            <v>1.0094176549461551</v>
          </cell>
          <cell r="P8">
            <v>1.0182019279032044</v>
          </cell>
          <cell r="Q8">
            <v>0.98476670481670858</v>
          </cell>
          <cell r="R8">
            <v>0.8780922162640703</v>
          </cell>
          <cell r="S8">
            <v>1.0464910273315846</v>
          </cell>
          <cell r="T8">
            <v>0.85650311008247315</v>
          </cell>
          <cell r="U8">
            <v>1.0238280408967384</v>
          </cell>
          <cell r="V8">
            <v>0.8316453351460471</v>
          </cell>
          <cell r="W8">
            <v>0.89078078643278491</v>
          </cell>
          <cell r="X8">
            <v>1.0121055097626248</v>
          </cell>
          <cell r="Y8">
            <v>0.84769360978477215</v>
          </cell>
          <cell r="Z8">
            <v>0.8580435163582335</v>
          </cell>
          <cell r="AA8">
            <v>0.81569507566255406</v>
          </cell>
          <cell r="AB8">
            <v>0.9257971851162875</v>
          </cell>
          <cell r="AC8">
            <v>1.0789646379657218</v>
          </cell>
          <cell r="AD8">
            <v>0.89368503452094128</v>
          </cell>
          <cell r="AE8">
            <v>0.82317898940331269</v>
          </cell>
          <cell r="AF8">
            <v>0.85085117883606032</v>
          </cell>
          <cell r="AG8">
            <v>1.0135042868594693</v>
          </cell>
          <cell r="AH8">
            <v>0</v>
          </cell>
        </row>
        <row r="9">
          <cell r="D9">
            <v>4.489349768142004</v>
          </cell>
          <cell r="E9">
            <v>4.4364173292157139</v>
          </cell>
          <cell r="F9">
            <v>4.3425666187118379</v>
          </cell>
          <cell r="G9">
            <v>4.3732087094084084</v>
          </cell>
          <cell r="H9">
            <v>4.4820311908844594</v>
          </cell>
          <cell r="I9">
            <v>4.4255126599067918</v>
          </cell>
          <cell r="J9">
            <v>4.4492862989144939</v>
          </cell>
          <cell r="K9">
            <v>4.5638538288592603</v>
          </cell>
          <cell r="L9">
            <v>4.4760516725096622</v>
          </cell>
          <cell r="M9">
            <v>4.5236885233769124</v>
          </cell>
          <cell r="N9">
            <v>4.6266285896345174</v>
          </cell>
          <cell r="O9">
            <v>4.5073155048608875</v>
          </cell>
          <cell r="P9">
            <v>4.5194423694144215</v>
          </cell>
          <cell r="Q9">
            <v>4.4855863504475852</v>
          </cell>
          <cell r="R9">
            <v>4.3317198148728915</v>
          </cell>
          <cell r="S9">
            <v>4.4693978341679355</v>
          </cell>
          <cell r="T9">
            <v>4.3911083530976986</v>
          </cell>
          <cell r="U9">
            <v>4.4536480522704309</v>
          </cell>
          <cell r="V9">
            <v>4.4957657743185733</v>
          </cell>
          <cell r="W9">
            <v>4.4185797337637007</v>
          </cell>
          <cell r="X9">
            <v>4.3554371086012793</v>
          </cell>
          <cell r="Y9">
            <v>3.869243527917932</v>
          </cell>
          <cell r="Z9">
            <v>3.932511726505739</v>
          </cell>
          <cell r="AA9">
            <v>3.8062879792046642</v>
          </cell>
          <cell r="AB9">
            <v>3.8778246744624507</v>
          </cell>
          <cell r="AC9">
            <v>3.9775509999601848</v>
          </cell>
          <cell r="AD9">
            <v>3.9164041828303264</v>
          </cell>
          <cell r="AE9">
            <v>3.873102210797764</v>
          </cell>
          <cell r="AF9">
            <v>3.9103014823247646</v>
          </cell>
          <cell r="AG9">
            <v>3.9513821603425048</v>
          </cell>
          <cell r="AH9">
            <v>0</v>
          </cell>
        </row>
        <row r="10">
          <cell r="D10">
            <v>10.049216714293665</v>
          </cell>
          <cell r="E10">
            <v>10.008841625815069</v>
          </cell>
          <cell r="F10">
            <v>9.9436340009905511</v>
          </cell>
          <cell r="G10">
            <v>9.9521759013722289</v>
          </cell>
          <cell r="H10">
            <v>9.8754259946012315</v>
          </cell>
          <cell r="I10">
            <v>9.8633602644848626</v>
          </cell>
          <cell r="J10">
            <v>9.8719647417403156</v>
          </cell>
          <cell r="K10">
            <v>10.084734077576119</v>
          </cell>
          <cell r="L10">
            <v>10.041106904593368</v>
          </cell>
          <cell r="M10">
            <v>10.063729261883966</v>
          </cell>
          <cell r="N10">
            <v>10.115135349445247</v>
          </cell>
          <cell r="O10">
            <v>10.099553815220437</v>
          </cell>
          <cell r="P10">
            <v>10.09445870948119</v>
          </cell>
          <cell r="Q10">
            <v>10.089265547674177</v>
          </cell>
          <cell r="R10">
            <v>10.102290849255011</v>
          </cell>
          <cell r="S10">
            <v>10.173038449593385</v>
          </cell>
          <cell r="T10">
            <v>10.023924928702824</v>
          </cell>
          <cell r="U10">
            <v>10.049235301558616</v>
          </cell>
          <cell r="V10">
            <v>10.149275810872952</v>
          </cell>
          <cell r="W10">
            <v>10.114676858820069</v>
          </cell>
          <cell r="X10">
            <v>10.135992155629385</v>
          </cell>
          <cell r="Y10">
            <v>10.425356039995263</v>
          </cell>
          <cell r="Z10">
            <v>10.582181385342869</v>
          </cell>
          <cell r="AA10">
            <v>10.477714176334096</v>
          </cell>
          <cell r="AB10">
            <v>10.409140406259244</v>
          </cell>
          <cell r="AC10">
            <v>10.626218530445339</v>
          </cell>
          <cell r="AD10">
            <v>10.508007003038651</v>
          </cell>
          <cell r="AE10">
            <v>10.523925461663747</v>
          </cell>
          <cell r="AF10">
            <v>10.534737382350706</v>
          </cell>
          <cell r="AG10">
            <v>10.531050903954668</v>
          </cell>
          <cell r="AH10">
            <v>0</v>
          </cell>
        </row>
        <row r="11">
          <cell r="D11">
            <v>13.903566449212713</v>
          </cell>
          <cell r="E11">
            <v>13.852903028616113</v>
          </cell>
          <cell r="F11">
            <v>13.79120298347544</v>
          </cell>
          <cell r="G11">
            <v>13.815806947987925</v>
          </cell>
          <cell r="H11">
            <v>13.709763680032244</v>
          </cell>
          <cell r="I11">
            <v>13.692078293265494</v>
          </cell>
          <cell r="J11">
            <v>13.728795555610331</v>
          </cell>
          <cell r="K11">
            <v>13.965543323742997</v>
          </cell>
          <cell r="L11">
            <v>13.945358121181069</v>
          </cell>
          <cell r="M11">
            <v>13.949265723353934</v>
          </cell>
          <cell r="N11">
            <v>13.985729932583531</v>
          </cell>
          <cell r="O11">
            <v>13.972797289620901</v>
          </cell>
          <cell r="P11">
            <v>13.964195583016817</v>
          </cell>
          <cell r="Q11">
            <v>13.967360110278886</v>
          </cell>
          <cell r="R11">
            <v>14.046275553313201</v>
          </cell>
          <cell r="S11">
            <v>14.102903765266555</v>
          </cell>
          <cell r="T11">
            <v>13.972436377105614</v>
          </cell>
          <cell r="U11">
            <v>13.973533239820373</v>
          </cell>
          <cell r="V11">
            <v>14.097413517279529</v>
          </cell>
          <cell r="W11">
            <v>14.054701001279668</v>
          </cell>
          <cell r="X11">
            <v>14.108261429144612</v>
          </cell>
          <cell r="Y11">
            <v>14.381040696401541</v>
          </cell>
          <cell r="Z11">
            <v>14.542231519295283</v>
          </cell>
          <cell r="AA11">
            <v>14.42803721254398</v>
          </cell>
          <cell r="AB11">
            <v>14.354252144777114</v>
          </cell>
          <cell r="AC11">
            <v>14.558712044277375</v>
          </cell>
          <cell r="AD11">
            <v>14.46121873020493</v>
          </cell>
          <cell r="AE11">
            <v>14.481324790706582</v>
          </cell>
          <cell r="AF11">
            <v>14.493587611997494</v>
          </cell>
          <cell r="AG11">
            <v>14.46887058643499</v>
          </cell>
          <cell r="AH11">
            <v>0</v>
          </cell>
        </row>
        <row r="12">
          <cell r="D12">
            <v>27.236254545519998</v>
          </cell>
          <cell r="E12">
            <v>27.755865999999997</v>
          </cell>
          <cell r="F12">
            <v>28.3839197</v>
          </cell>
          <cell r="G12">
            <v>28.129156662999996</v>
          </cell>
          <cell r="H12">
            <v>27.532821970499999</v>
          </cell>
          <cell r="I12">
            <v>28.713571979999998</v>
          </cell>
          <cell r="J12">
            <v>26.136478911264</v>
          </cell>
          <cell r="K12">
            <v>27.982306999999999</v>
          </cell>
          <cell r="L12">
            <v>29.116964603456005</v>
          </cell>
          <cell r="M12">
            <v>27.320683878000001</v>
          </cell>
          <cell r="N12">
            <v>26.6852956</v>
          </cell>
          <cell r="O12">
            <v>29.432279189999999</v>
          </cell>
          <cell r="P12">
            <v>30.179221789000003</v>
          </cell>
          <cell r="Q12">
            <v>29.481015553879999</v>
          </cell>
          <cell r="R12">
            <v>30.372784000000003</v>
          </cell>
          <cell r="S12">
            <v>31.683577400000001</v>
          </cell>
          <cell r="T12">
            <v>30.0436934192</v>
          </cell>
          <cell r="U12">
            <v>33.177843254000003</v>
          </cell>
          <cell r="V12">
            <v>29.534542040300003</v>
          </cell>
          <cell r="W12">
            <v>28.845782</v>
          </cell>
          <cell r="X12">
            <v>22.646230281999998</v>
          </cell>
          <cell r="Y12">
            <v>22.547597884000002</v>
          </cell>
          <cell r="Z12">
            <v>20.526482403999999</v>
          </cell>
          <cell r="AA12">
            <v>19.036447800000001</v>
          </cell>
          <cell r="AB12">
            <v>22.004861373503999</v>
          </cell>
          <cell r="AC12">
            <v>19.807809442</v>
          </cell>
          <cell r="AD12">
            <v>20.750687798999998</v>
          </cell>
          <cell r="AE12">
            <v>19.414049282000001</v>
          </cell>
          <cell r="AF12">
            <v>21.2055875</v>
          </cell>
          <cell r="AG12">
            <v>21.3163847</v>
          </cell>
          <cell r="AH12">
            <v>0</v>
          </cell>
        </row>
        <row r="13">
          <cell r="D13">
            <v>6549.5937663944505</v>
          </cell>
          <cell r="E13">
            <v>6556.4901508035327</v>
          </cell>
          <cell r="F13">
            <v>6572.7474032458467</v>
          </cell>
          <cell r="G13">
            <v>6573.9101987825552</v>
          </cell>
          <cell r="H13">
            <v>6574.2656757367295</v>
          </cell>
          <cell r="I13">
            <v>6576.8170872564988</v>
          </cell>
          <cell r="J13">
            <v>6581.9083551496724</v>
          </cell>
          <cell r="K13">
            <v>6539.7712674663489</v>
          </cell>
          <cell r="L13">
            <v>6558.6289168813</v>
          </cell>
          <cell r="M13">
            <v>6547.8846659918345</v>
          </cell>
          <cell r="N13">
            <v>6528.8160322032873</v>
          </cell>
          <cell r="O13">
            <v>6539.310538908373</v>
          </cell>
          <cell r="P13">
            <v>6538.3917769797126</v>
          </cell>
          <cell r="Q13">
            <v>6543.768062398337</v>
          </cell>
          <cell r="R13">
            <v>6552.7101559286511</v>
          </cell>
          <cell r="S13">
            <v>6527.7003499209704</v>
          </cell>
          <cell r="T13">
            <v>6563.4948909550903</v>
          </cell>
          <cell r="U13">
            <v>6546.9052866254424</v>
          </cell>
          <cell r="V13">
            <v>6539.4929058771213</v>
          </cell>
          <cell r="W13">
            <v>6545.3280158497873</v>
          </cell>
          <cell r="X13">
            <v>6549.5637596109827</v>
          </cell>
          <cell r="Y13">
            <v>6553.1960527999054</v>
          </cell>
          <cell r="Z13">
            <v>6530.3725672130822</v>
          </cell>
          <cell r="AA13">
            <v>6550.6336366260257</v>
          </cell>
          <cell r="AB13">
            <v>6551.9698223957521</v>
          </cell>
          <cell r="AC13">
            <v>6511.4835264418753</v>
          </cell>
          <cell r="AD13">
            <v>6540.3695121567789</v>
          </cell>
          <cell r="AE13">
            <v>6543.1988270527427</v>
          </cell>
          <cell r="AF13">
            <v>6537.7304090760063</v>
          </cell>
          <cell r="AG13">
            <v>6531.2604061728434</v>
          </cell>
          <cell r="AH13">
            <v>0</v>
          </cell>
        </row>
        <row r="14">
          <cell r="D14">
            <v>0.98832232759273031</v>
          </cell>
          <cell r="E14">
            <v>1.0026063875007285</v>
          </cell>
          <cell r="F14">
            <v>0.9659828440764493</v>
          </cell>
          <cell r="G14">
            <v>0.89461919403678614</v>
          </cell>
          <cell r="H14">
            <v>0.87823005022108469</v>
          </cell>
          <cell r="I14">
            <v>0.95426498592847819</v>
          </cell>
          <cell r="J14">
            <v>0.80728898823988116</v>
          </cell>
          <cell r="K14">
            <v>0.97692840554180438</v>
          </cell>
          <cell r="L14">
            <v>0.88296624886659314</v>
          </cell>
          <cell r="M14">
            <v>0.91763563186996233</v>
          </cell>
          <cell r="N14">
            <v>0.99324703917475266</v>
          </cell>
          <cell r="O14">
            <v>1.0094176549461551</v>
          </cell>
          <cell r="P14">
            <v>1.0182019279032044</v>
          </cell>
          <cell r="Q14">
            <v>0.98476670481670858</v>
          </cell>
          <cell r="R14">
            <v>0.8780922162640703</v>
          </cell>
          <cell r="S14">
            <v>1.0464910273315846</v>
          </cell>
          <cell r="T14">
            <v>0.85650311008247315</v>
          </cell>
          <cell r="U14">
            <v>1.0238280408967384</v>
          </cell>
          <cell r="V14">
            <v>0.8316453351460471</v>
          </cell>
          <cell r="W14">
            <v>0.89078078643278491</v>
          </cell>
          <cell r="X14">
            <v>1.0121055097626248</v>
          </cell>
          <cell r="Y14">
            <v>0.84769360978477215</v>
          </cell>
          <cell r="Z14">
            <v>0.8580435163582335</v>
          </cell>
          <cell r="AA14">
            <v>0.81569507566255406</v>
          </cell>
          <cell r="AB14">
            <v>0.9257971851162875</v>
          </cell>
          <cell r="AC14">
            <v>1.0789646379657218</v>
          </cell>
          <cell r="AD14">
            <v>0.89368503452094128</v>
          </cell>
          <cell r="AE14">
            <v>0.82317898940331269</v>
          </cell>
          <cell r="AF14">
            <v>0.85085117883606032</v>
          </cell>
          <cell r="AG14">
            <v>1.0135042868594693</v>
          </cell>
          <cell r="AH14">
            <v>0</v>
          </cell>
        </row>
        <row r="15">
          <cell r="D15">
            <v>4.489349768142004</v>
          </cell>
          <cell r="E15">
            <v>4.4364173292157139</v>
          </cell>
          <cell r="F15">
            <v>4.3425666187118379</v>
          </cell>
          <cell r="G15">
            <v>4.3732087094084084</v>
          </cell>
          <cell r="H15">
            <v>4.4820311908844594</v>
          </cell>
          <cell r="I15">
            <v>4.4255126599067918</v>
          </cell>
          <cell r="J15">
            <v>4.4492862989144939</v>
          </cell>
          <cell r="K15">
            <v>4.5638538288592603</v>
          </cell>
          <cell r="L15">
            <v>4.4760516725096622</v>
          </cell>
          <cell r="M15">
            <v>4.5236885233769124</v>
          </cell>
          <cell r="N15">
            <v>4.6266285896345174</v>
          </cell>
          <cell r="O15">
            <v>4.5073155048608875</v>
          </cell>
          <cell r="P15">
            <v>4.5194423694144215</v>
          </cell>
          <cell r="Q15">
            <v>4.4855863504475852</v>
          </cell>
          <cell r="R15">
            <v>4.3317198148728915</v>
          </cell>
          <cell r="S15">
            <v>4.4693978341679355</v>
          </cell>
          <cell r="T15">
            <v>4.3911083530976986</v>
          </cell>
          <cell r="U15">
            <v>4.4536480522704309</v>
          </cell>
          <cell r="V15">
            <v>4.4957657743185733</v>
          </cell>
          <cell r="W15">
            <v>4.4185797337637007</v>
          </cell>
          <cell r="X15">
            <v>4.3554371086012793</v>
          </cell>
          <cell r="Y15">
            <v>3.869243527917932</v>
          </cell>
          <cell r="Z15">
            <v>3.932511726505739</v>
          </cell>
          <cell r="AA15">
            <v>3.8062879792046642</v>
          </cell>
          <cell r="AB15">
            <v>3.8778246744624507</v>
          </cell>
          <cell r="AC15">
            <v>3.9775509999601848</v>
          </cell>
          <cell r="AD15">
            <v>3.9164041828303264</v>
          </cell>
          <cell r="AE15">
            <v>3.873102210797764</v>
          </cell>
          <cell r="AF15">
            <v>3.9103014823247646</v>
          </cell>
          <cell r="AG15">
            <v>3.9513821603425048</v>
          </cell>
          <cell r="AH15">
            <v>0</v>
          </cell>
        </row>
        <row r="16">
          <cell r="D16">
            <v>10.049216714293665</v>
          </cell>
          <cell r="E16">
            <v>10.008841625815069</v>
          </cell>
          <cell r="F16">
            <v>9.9436340009905511</v>
          </cell>
          <cell r="G16">
            <v>9.9521759013722289</v>
          </cell>
          <cell r="H16">
            <v>9.8754259946012315</v>
          </cell>
          <cell r="I16">
            <v>9.8633602644848626</v>
          </cell>
          <cell r="J16">
            <v>9.8719647417403156</v>
          </cell>
          <cell r="K16">
            <v>10.084734077576119</v>
          </cell>
          <cell r="L16">
            <v>10.041106904593368</v>
          </cell>
          <cell r="M16">
            <v>10.063729261883966</v>
          </cell>
          <cell r="N16">
            <v>10.115135349445247</v>
          </cell>
          <cell r="O16">
            <v>10.099553815220437</v>
          </cell>
          <cell r="P16">
            <v>10.09445870948119</v>
          </cell>
          <cell r="Q16">
            <v>10.089265547674177</v>
          </cell>
          <cell r="R16">
            <v>10.102290849255011</v>
          </cell>
          <cell r="S16">
            <v>10.173038449593385</v>
          </cell>
          <cell r="T16">
            <v>10.023924928702824</v>
          </cell>
          <cell r="U16">
            <v>10.049235301558616</v>
          </cell>
          <cell r="V16">
            <v>10.149275810872952</v>
          </cell>
          <cell r="W16">
            <v>10.114676858820069</v>
          </cell>
          <cell r="X16">
            <v>10.135992155629385</v>
          </cell>
          <cell r="Y16">
            <v>10.425356039995263</v>
          </cell>
          <cell r="Z16">
            <v>10.582181385342869</v>
          </cell>
          <cell r="AA16">
            <v>10.477714176334096</v>
          </cell>
          <cell r="AB16">
            <v>10.409140406259244</v>
          </cell>
          <cell r="AC16">
            <v>10.626218530445339</v>
          </cell>
          <cell r="AD16">
            <v>10.508007003038651</v>
          </cell>
          <cell r="AE16">
            <v>10.523925461663747</v>
          </cell>
          <cell r="AF16">
            <v>10.534737382350706</v>
          </cell>
          <cell r="AG16">
            <v>10.531050903954668</v>
          </cell>
          <cell r="AH16">
            <v>0</v>
          </cell>
        </row>
        <row r="17">
          <cell r="D17">
            <v>13.903566449212713</v>
          </cell>
          <cell r="E17">
            <v>13.852903028616113</v>
          </cell>
          <cell r="F17">
            <v>13.79120298347544</v>
          </cell>
          <cell r="G17">
            <v>13.815806947987925</v>
          </cell>
          <cell r="H17">
            <v>13.709763680032244</v>
          </cell>
          <cell r="I17">
            <v>13.692078293265494</v>
          </cell>
          <cell r="J17">
            <v>13.728795555610331</v>
          </cell>
          <cell r="K17">
            <v>13.965543323742997</v>
          </cell>
          <cell r="L17">
            <v>13.945358121181069</v>
          </cell>
          <cell r="M17">
            <v>13.949265723353934</v>
          </cell>
          <cell r="N17">
            <v>13.985729932583531</v>
          </cell>
          <cell r="O17">
            <v>13.972797289620901</v>
          </cell>
          <cell r="P17">
            <v>13.964195583016817</v>
          </cell>
          <cell r="Q17">
            <v>13.967360110278886</v>
          </cell>
          <cell r="R17">
            <v>14.046275553313201</v>
          </cell>
          <cell r="S17">
            <v>14.102903765266555</v>
          </cell>
          <cell r="T17">
            <v>13.972436377105614</v>
          </cell>
          <cell r="U17">
            <v>13.973533239820373</v>
          </cell>
          <cell r="V17">
            <v>14.097413517279529</v>
          </cell>
          <cell r="W17">
            <v>14.054701001279668</v>
          </cell>
          <cell r="X17">
            <v>14.108261429144612</v>
          </cell>
          <cell r="Y17">
            <v>14.381040696401541</v>
          </cell>
          <cell r="Z17">
            <v>14.542231519295283</v>
          </cell>
          <cell r="AA17">
            <v>14.42803721254398</v>
          </cell>
          <cell r="AB17">
            <v>14.354252144777114</v>
          </cell>
          <cell r="AC17">
            <v>14.558712044277375</v>
          </cell>
          <cell r="AD17">
            <v>14.46121873020493</v>
          </cell>
          <cell r="AE17">
            <v>14.481324790706582</v>
          </cell>
          <cell r="AF17">
            <v>14.493587611997494</v>
          </cell>
          <cell r="AG17">
            <v>14.46887058643499</v>
          </cell>
          <cell r="AH17">
            <v>0</v>
          </cell>
        </row>
        <row r="18">
          <cell r="D18">
            <v>20.1836384</v>
          </cell>
          <cell r="E18">
            <v>19.594270399999999</v>
          </cell>
          <cell r="F18">
            <v>19.9353792</v>
          </cell>
          <cell r="G18">
            <v>21.698760127999996</v>
          </cell>
          <cell r="H18">
            <v>22.305443499999999</v>
          </cell>
          <cell r="I18">
            <v>21.3109568</v>
          </cell>
          <cell r="J18">
            <v>22.517717711263998</v>
          </cell>
          <cell r="K18">
            <v>20.965232</v>
          </cell>
          <cell r="L18">
            <v>23.686363403456003</v>
          </cell>
          <cell r="M18">
            <v>21.309142928</v>
          </cell>
          <cell r="N18">
            <v>19.766657200000001</v>
          </cell>
          <cell r="O18">
            <v>20.542575599999999</v>
          </cell>
          <cell r="P18">
            <v>20.935718000000001</v>
          </cell>
          <cell r="Q18">
            <v>21.027342000000001</v>
          </cell>
          <cell r="R18">
            <v>22.343216000000002</v>
          </cell>
          <cell r="S18">
            <v>21.0985248</v>
          </cell>
          <cell r="T18">
            <v>24.039875419200001</v>
          </cell>
          <cell r="U18">
            <v>22.989743600000001</v>
          </cell>
          <cell r="V18">
            <v>24.837887904000002</v>
          </cell>
          <cell r="W18">
            <v>22.0280828</v>
          </cell>
          <cell r="X18">
            <v>15.494225882</v>
          </cell>
          <cell r="Y18">
            <v>16.501049384000002</v>
          </cell>
          <cell r="Z18">
            <v>15.8918544</v>
          </cell>
          <cell r="AA18">
            <v>14.271936800000001</v>
          </cell>
          <cell r="AB18">
            <v>15.386431</v>
          </cell>
          <cell r="AC18">
            <v>12.8055316</v>
          </cell>
          <cell r="AD18">
            <v>15.868428</v>
          </cell>
          <cell r="AE18">
            <v>15.450657120000001</v>
          </cell>
          <cell r="AF18">
            <v>16.236456699999998</v>
          </cell>
          <cell r="AG18">
            <v>14.4279799</v>
          </cell>
          <cell r="AH18">
            <v>0</v>
          </cell>
        </row>
        <row r="19">
          <cell r="D19">
            <v>6551.7462067981323</v>
          </cell>
          <cell r="E19">
            <v>6547.5060455068078</v>
          </cell>
          <cell r="F19">
            <v>6550.7012285731389</v>
          </cell>
          <cell r="G19">
            <v>6560.3387789929848</v>
          </cell>
          <cell r="H19">
            <v>6575.5762162632591</v>
          </cell>
          <cell r="I19">
            <v>6572.4461991595363</v>
          </cell>
          <cell r="J19">
            <v>6580.6423360302178</v>
          </cell>
          <cell r="K19">
            <v>6543.4430907199476</v>
          </cell>
          <cell r="L19">
            <v>6557.9068206428246</v>
          </cell>
          <cell r="M19">
            <v>6545.7886483773746</v>
          </cell>
          <cell r="N19">
            <v>6535.4117174589846</v>
          </cell>
          <cell r="O19">
            <v>6527.4999083061648</v>
          </cell>
          <cell r="P19">
            <v>6527.8770693089955</v>
          </cell>
          <cell r="Q19">
            <v>6530.990120681703</v>
          </cell>
          <cell r="R19">
            <v>6528.4152052004156</v>
          </cell>
          <cell r="S19">
            <v>6521.1475653429407</v>
          </cell>
          <cell r="T19">
            <v>6560.4550751831175</v>
          </cell>
          <cell r="U19">
            <v>6550.0139928129147</v>
          </cell>
          <cell r="V19">
            <v>6547.2447321713144</v>
          </cell>
          <cell r="W19">
            <v>6537.9671361609044</v>
          </cell>
          <cell r="X19">
            <v>6538.0561241300602</v>
          </cell>
          <cell r="Y19">
            <v>6526.6024006016114</v>
          </cell>
          <cell r="Z19">
            <v>6522.0550994775558</v>
          </cell>
          <cell r="AA19">
            <v>6525.5502130675377</v>
          </cell>
          <cell r="AB19">
            <v>6534.6528848886182</v>
          </cell>
          <cell r="AC19">
            <v>6510.0561180961458</v>
          </cell>
          <cell r="AD19">
            <v>6538.5967901493841</v>
          </cell>
          <cell r="AE19">
            <v>6535.7276042291805</v>
          </cell>
          <cell r="AF19">
            <v>6524.5705879740963</v>
          </cell>
          <cell r="AG19">
            <v>6511.7007236400932</v>
          </cell>
          <cell r="AH19">
            <v>0</v>
          </cell>
        </row>
        <row r="20">
          <cell r="D20">
            <v>0.59411581074057851</v>
          </cell>
          <cell r="E20">
            <v>0.58664484306379405</v>
          </cell>
          <cell r="F20">
            <v>0.59312912892903458</v>
          </cell>
          <cell r="G20">
            <v>0.60775144439673445</v>
          </cell>
          <cell r="H20">
            <v>0.6077262876539985</v>
          </cell>
          <cell r="I20">
            <v>0.60369689759117728</v>
          </cell>
          <cell r="J20">
            <v>0.62168471629228461</v>
          </cell>
          <cell r="K20">
            <v>0.60107330952153681</v>
          </cell>
          <cell r="L20">
            <v>0.62535426070410127</v>
          </cell>
          <cell r="M20">
            <v>0.60527323322640381</v>
          </cell>
          <cell r="N20">
            <v>0.58725841950071644</v>
          </cell>
          <cell r="O20">
            <v>0.58380807199667684</v>
          </cell>
          <cell r="P20">
            <v>0.58235038678315543</v>
          </cell>
          <cell r="Q20">
            <v>0.58963237503068944</v>
          </cell>
          <cell r="R20">
            <v>0.5604948549176898</v>
          </cell>
          <cell r="S20">
            <v>0.55141432056404283</v>
          </cell>
          <cell r="T20">
            <v>0.59235160181160473</v>
          </cell>
          <cell r="U20">
            <v>0.57515611369997743</v>
          </cell>
          <cell r="V20">
            <v>0.57715246545388621</v>
          </cell>
          <cell r="W20">
            <v>0.56711155938590119</v>
          </cell>
          <cell r="X20">
            <v>0.59386335562072179</v>
          </cell>
          <cell r="Y20">
            <v>0.54346845705553293</v>
          </cell>
          <cell r="Z20">
            <v>0.53790753623630372</v>
          </cell>
          <cell r="AA20">
            <v>0.52785019943523259</v>
          </cell>
          <cell r="AB20">
            <v>0.54232949786425744</v>
          </cell>
          <cell r="AC20">
            <v>0.49774046722392862</v>
          </cell>
          <cell r="AD20">
            <v>0.55059992780051192</v>
          </cell>
          <cell r="AE20">
            <v>0.54696173346841148</v>
          </cell>
          <cell r="AF20">
            <v>0.5404586809433447</v>
          </cell>
          <cell r="AG20">
            <v>0.53664430949984876</v>
          </cell>
          <cell r="AH20">
            <v>0</v>
          </cell>
        </row>
        <row r="21">
          <cell r="D21">
            <v>4.5907233533163989</v>
          </cell>
          <cell r="E21">
            <v>4.614521735902219</v>
          </cell>
          <cell r="F21">
            <v>4.5928586186309568</v>
          </cell>
          <cell r="G21">
            <v>4.5490615449683975</v>
          </cell>
          <cell r="H21">
            <v>4.5808334730606655</v>
          </cell>
          <cell r="I21">
            <v>4.5919169347743853</v>
          </cell>
          <cell r="J21">
            <v>4.5304350634030621</v>
          </cell>
          <cell r="K21">
            <v>4.6265258996152916</v>
          </cell>
          <cell r="L21">
            <v>4.5463771755101998</v>
          </cell>
          <cell r="M21">
            <v>4.6121981935876954</v>
          </cell>
          <cell r="N21">
            <v>4.6727152715285767</v>
          </cell>
          <cell r="O21">
            <v>4.6667059667926045</v>
          </cell>
          <cell r="P21">
            <v>4.675217697151103</v>
          </cell>
          <cell r="Q21">
            <v>4.6475423190324046</v>
          </cell>
          <cell r="R21">
            <v>4.4790396175091027</v>
          </cell>
          <cell r="S21">
            <v>4.4918712351244778</v>
          </cell>
          <cell r="T21">
            <v>4.4378420446184448</v>
          </cell>
          <cell r="U21">
            <v>4.464079334696712</v>
          </cell>
          <cell r="V21">
            <v>4.4587095104453791</v>
          </cell>
          <cell r="W21">
            <v>4.4721737327774012</v>
          </cell>
          <cell r="X21">
            <v>4.4219266302040516</v>
          </cell>
          <cell r="Y21">
            <v>3.8219766287760919</v>
          </cell>
          <cell r="Z21">
            <v>3.8228698526437408</v>
          </cell>
          <cell r="AA21">
            <v>3.7422088077637956</v>
          </cell>
          <cell r="AB21">
            <v>3.7591013828423741</v>
          </cell>
          <cell r="AC21">
            <v>3.6829652758531286</v>
          </cell>
          <cell r="AD21">
            <v>3.7775643018775664</v>
          </cell>
          <cell r="AE21">
            <v>3.7774055207106092</v>
          </cell>
          <cell r="AF21">
            <v>3.8194457309235657</v>
          </cell>
          <cell r="AG21">
            <v>3.8885149132500052</v>
          </cell>
          <cell r="AH21">
            <v>0</v>
          </cell>
        </row>
        <row r="22">
          <cell r="D22">
            <v>10.068081517005087</v>
          </cell>
          <cell r="E22">
            <v>10.07851941023968</v>
          </cell>
          <cell r="F22">
            <v>10.074743862105363</v>
          </cell>
          <cell r="G22">
            <v>10.039730509935051</v>
          </cell>
          <cell r="H22">
            <v>9.8736010034766952</v>
          </cell>
          <cell r="I22">
            <v>9.8884163160622496</v>
          </cell>
          <cell r="J22">
            <v>9.8852150287226213</v>
          </cell>
          <cell r="K22">
            <v>10.117435867540204</v>
          </cell>
          <cell r="L22">
            <v>10.081467575262474</v>
          </cell>
          <cell r="M22">
            <v>10.113029665928936</v>
          </cell>
          <cell r="N22">
            <v>10.135601250121436</v>
          </cell>
          <cell r="O22">
            <v>10.208747630895949</v>
          </cell>
          <cell r="P22">
            <v>10.196438170981171</v>
          </cell>
          <cell r="Q22">
            <v>10.199878481318702</v>
          </cell>
          <cell r="R22">
            <v>10.305961734488379</v>
          </cell>
          <cell r="S22">
            <v>10.344697372167222</v>
          </cell>
          <cell r="T22">
            <v>10.104498537448446</v>
          </cell>
          <cell r="U22">
            <v>10.144567379570351</v>
          </cell>
          <cell r="V22">
            <v>10.179813304922963</v>
          </cell>
          <cell r="W22">
            <v>10.235084871659339</v>
          </cell>
          <cell r="X22">
            <v>10.334633032052212</v>
          </cell>
          <cell r="Y22">
            <v>10.775022379893407</v>
          </cell>
          <cell r="Z22">
            <v>10.808184784744375</v>
          </cell>
          <cell r="AA22">
            <v>10.813754785581272</v>
          </cell>
          <cell r="AB22">
            <v>10.740116290362309</v>
          </cell>
          <cell r="AC22">
            <v>10.950939508271281</v>
          </cell>
          <cell r="AD22">
            <v>10.703883153028077</v>
          </cell>
          <cell r="AE22">
            <v>10.725087998145034</v>
          </cell>
          <cell r="AF22">
            <v>10.79097781727469</v>
          </cell>
          <cell r="AG22">
            <v>10.858992680737758</v>
          </cell>
          <cell r="AH22">
            <v>0</v>
          </cell>
        </row>
        <row r="23">
          <cell r="D23">
            <v>13.940354932022817</v>
          </cell>
          <cell r="E23">
            <v>13.942199558103418</v>
          </cell>
          <cell r="F23">
            <v>13.94724405127735</v>
          </cell>
          <cell r="G23">
            <v>13.925291176549344</v>
          </cell>
          <cell r="H23">
            <v>13.716311001408673</v>
          </cell>
          <cell r="I23">
            <v>13.728858849672976</v>
          </cell>
          <cell r="J23">
            <v>13.751999039744994</v>
          </cell>
          <cell r="K23">
            <v>14.018061204672899</v>
          </cell>
          <cell r="L23">
            <v>14.0063796771865</v>
          </cell>
          <cell r="M23">
            <v>14.018296085348434</v>
          </cell>
          <cell r="N23">
            <v>14.021850922655965</v>
          </cell>
          <cell r="O23">
            <v>14.108042492171283</v>
          </cell>
          <cell r="P23">
            <v>14.09076678271393</v>
          </cell>
          <cell r="Q23">
            <v>14.104940511073275</v>
          </cell>
          <cell r="R23">
            <v>14.279271301566123</v>
          </cell>
          <cell r="S23">
            <v>14.314231290284333</v>
          </cell>
          <cell r="T23">
            <v>14.07614389117526</v>
          </cell>
          <cell r="U23">
            <v>14.10149440349028</v>
          </cell>
          <cell r="V23">
            <v>14.147521678201995</v>
          </cell>
          <cell r="W23">
            <v>14.201446894225064</v>
          </cell>
          <cell r="X23">
            <v>14.36070498288389</v>
          </cell>
          <cell r="Y23">
            <v>14.762386228336121</v>
          </cell>
          <cell r="Z23">
            <v>14.796054434757336</v>
          </cell>
          <cell r="AA23">
            <v>14.791149054554902</v>
          </cell>
          <cell r="AB23">
            <v>14.718854110919613</v>
          </cell>
          <cell r="AC23">
            <v>14.922201383146183</v>
          </cell>
          <cell r="AD23">
            <v>14.684608592494371</v>
          </cell>
          <cell r="AE23">
            <v>14.706041472612512</v>
          </cell>
          <cell r="AF23">
            <v>14.778198125794628</v>
          </cell>
          <cell r="AG23">
            <v>14.856036883013871</v>
          </cell>
          <cell r="AH23">
            <v>0</v>
          </cell>
        </row>
        <row r="30">
          <cell r="D30">
            <v>11.058296</v>
          </cell>
          <cell r="E30">
            <v>11.310262399999999</v>
          </cell>
          <cell r="F30">
            <v>10.9301552</v>
          </cell>
          <cell r="G30">
            <v>10.859387199999999</v>
          </cell>
          <cell r="H30">
            <v>13.606027199999998</v>
          </cell>
          <cell r="I30">
            <v>13.207704</v>
          </cell>
          <cell r="J30">
            <v>12.039783999999999</v>
          </cell>
          <cell r="K30">
            <v>11.8791072</v>
          </cell>
          <cell r="L30">
            <v>11.092176</v>
          </cell>
          <cell r="M30">
            <v>11.6839216</v>
          </cell>
          <cell r="N30">
            <v>12.3381936</v>
          </cell>
          <cell r="O30">
            <v>12.109886399999999</v>
          </cell>
          <cell r="P30">
            <v>12.6818688</v>
          </cell>
          <cell r="Q30">
            <v>11.903395199999999</v>
          </cell>
          <cell r="R30">
            <v>13.448216</v>
          </cell>
          <cell r="S30">
            <v>13.252766399999999</v>
          </cell>
          <cell r="T30">
            <v>13.611100800000001</v>
          </cell>
          <cell r="U30">
            <v>14.816886</v>
          </cell>
          <cell r="V30">
            <v>14.930275200000001</v>
          </cell>
          <cell r="W30">
            <v>13.644974399999999</v>
          </cell>
          <cell r="X30">
            <v>5.5536599999999998</v>
          </cell>
          <cell r="Y30">
            <v>5.6255874000000006</v>
          </cell>
          <cell r="Z30">
            <v>5.5010000000000003</v>
          </cell>
          <cell r="AA30">
            <v>5.5868899999999995</v>
          </cell>
          <cell r="AB30">
            <v>5.6848299999999998</v>
          </cell>
          <cell r="AC30">
            <v>5.732969999999999</v>
          </cell>
          <cell r="AD30">
            <v>5.6026600000000002</v>
          </cell>
          <cell r="AE30">
            <v>5.51302</v>
          </cell>
          <cell r="AF30">
            <v>5.6026600000000002</v>
          </cell>
          <cell r="AG30">
            <v>4.5999999999999996</v>
          </cell>
        </row>
        <row r="31">
          <cell r="D31">
            <v>6606.4043633348711</v>
          </cell>
          <cell r="E31">
            <v>6606.4043633348711</v>
          </cell>
          <cell r="F31">
            <v>6606.4043633348711</v>
          </cell>
          <cell r="G31">
            <v>6606.4043633348711</v>
          </cell>
          <cell r="H31">
            <v>6606.4043633348711</v>
          </cell>
          <cell r="I31">
            <v>6606.4043633348711</v>
          </cell>
          <cell r="J31">
            <v>6606.4043633348711</v>
          </cell>
          <cell r="K31">
            <v>6579.3422351776726</v>
          </cell>
          <cell r="L31">
            <v>6579.3422351776726</v>
          </cell>
          <cell r="M31">
            <v>6579.3422351776726</v>
          </cell>
          <cell r="N31">
            <v>6579.3422351776726</v>
          </cell>
          <cell r="O31">
            <v>6579.3422351776726</v>
          </cell>
          <cell r="P31">
            <v>6579.3422351776726</v>
          </cell>
          <cell r="Q31">
            <v>6579.3422351776726</v>
          </cell>
          <cell r="R31">
            <v>6562.8531649846182</v>
          </cell>
          <cell r="S31">
            <v>6562.8531649846182</v>
          </cell>
          <cell r="T31">
            <v>6562.8531649846182</v>
          </cell>
          <cell r="U31">
            <v>6562.8531649846182</v>
          </cell>
          <cell r="V31">
            <v>6562.8531649846182</v>
          </cell>
          <cell r="W31">
            <v>6562.8531649846182</v>
          </cell>
          <cell r="X31">
            <v>6562.8531649846182</v>
          </cell>
          <cell r="Y31">
            <v>6604.3499583579569</v>
          </cell>
          <cell r="Z31">
            <v>6604.3499583579569</v>
          </cell>
          <cell r="AA31">
            <v>6604.3499583579569</v>
          </cell>
          <cell r="AB31">
            <v>6604.3499583579569</v>
          </cell>
          <cell r="AC31">
            <v>6604.3499583579569</v>
          </cell>
          <cell r="AD31">
            <v>6604.3499583579569</v>
          </cell>
          <cell r="AE31">
            <v>6604.3499583579569</v>
          </cell>
          <cell r="AF31">
            <v>6604.3499583579569</v>
          </cell>
          <cell r="AG31">
            <v>6604.3499583579569</v>
          </cell>
        </row>
        <row r="32">
          <cell r="D32">
            <v>0.58662011781409462</v>
          </cell>
          <cell r="E32">
            <v>0.58662011781409462</v>
          </cell>
          <cell r="F32">
            <v>0.58662011781409462</v>
          </cell>
          <cell r="G32">
            <v>0.58662011781409462</v>
          </cell>
          <cell r="H32">
            <v>0.58662011781409462</v>
          </cell>
          <cell r="I32">
            <v>0.58662011781409462</v>
          </cell>
          <cell r="J32">
            <v>0.58662011781409462</v>
          </cell>
          <cell r="K32">
            <v>0.58605905242077516</v>
          </cell>
          <cell r="L32">
            <v>0.58605905242077516</v>
          </cell>
          <cell r="M32">
            <v>0.58605905242077516</v>
          </cell>
          <cell r="N32">
            <v>0.58605905242077516</v>
          </cell>
          <cell r="O32">
            <v>0.58605905242077516</v>
          </cell>
          <cell r="P32">
            <v>0.58605905242077516</v>
          </cell>
          <cell r="Q32">
            <v>0.58605905242077516</v>
          </cell>
          <cell r="R32">
            <v>0.55012879878277132</v>
          </cell>
          <cell r="S32">
            <v>0.55012879878277132</v>
          </cell>
          <cell r="T32">
            <v>0.55012879878277132</v>
          </cell>
          <cell r="U32">
            <v>0.55012879878277132</v>
          </cell>
          <cell r="V32">
            <v>0.55012879878277132</v>
          </cell>
          <cell r="W32">
            <v>0.55012879878277132</v>
          </cell>
          <cell r="X32">
            <v>0.55012879878277132</v>
          </cell>
          <cell r="Y32">
            <v>0.42108061144165865</v>
          </cell>
          <cell r="Z32">
            <v>0.42108061144165865</v>
          </cell>
          <cell r="AA32">
            <v>0.42108061144165865</v>
          </cell>
          <cell r="AB32">
            <v>0.42108061144165865</v>
          </cell>
          <cell r="AC32">
            <v>0.42108061144165865</v>
          </cell>
          <cell r="AD32">
            <v>0.42108061144165865</v>
          </cell>
          <cell r="AE32">
            <v>0.42108061144165865</v>
          </cell>
          <cell r="AF32">
            <v>0.42108061144165865</v>
          </cell>
          <cell r="AG32">
            <v>0.42108061144165865</v>
          </cell>
        </row>
        <row r="33">
          <cell r="D33">
            <v>4.7370154512674576</v>
          </cell>
          <cell r="E33">
            <v>4.7370154512674576</v>
          </cell>
          <cell r="F33">
            <v>4.7370154512674576</v>
          </cell>
          <cell r="G33">
            <v>4.7370154512674576</v>
          </cell>
          <cell r="H33">
            <v>4.7370154512674576</v>
          </cell>
          <cell r="I33">
            <v>4.7370154512674576</v>
          </cell>
          <cell r="J33">
            <v>4.7370154512674576</v>
          </cell>
          <cell r="K33">
            <v>4.8093057430882498</v>
          </cell>
          <cell r="L33">
            <v>4.8093057430882498</v>
          </cell>
          <cell r="M33">
            <v>4.8093057430882498</v>
          </cell>
          <cell r="N33">
            <v>4.8093057430882498</v>
          </cell>
          <cell r="O33">
            <v>4.8093057430882498</v>
          </cell>
          <cell r="P33">
            <v>4.8093057430882498</v>
          </cell>
          <cell r="Q33">
            <v>4.8093057430882498</v>
          </cell>
          <cell r="R33">
            <v>4.5186294811285084</v>
          </cell>
          <cell r="S33">
            <v>4.5186294811285084</v>
          </cell>
          <cell r="T33">
            <v>4.5186294811285084</v>
          </cell>
          <cell r="U33">
            <v>4.5186294811285084</v>
          </cell>
          <cell r="V33">
            <v>4.5186294811285084</v>
          </cell>
          <cell r="W33">
            <v>4.5186294811285084</v>
          </cell>
          <cell r="X33">
            <v>4.5186294811285084</v>
          </cell>
          <cell r="Y33">
            <v>2.593176509813071</v>
          </cell>
          <cell r="Z33">
            <v>2.593176509813071</v>
          </cell>
          <cell r="AA33">
            <v>2.593176509813071</v>
          </cell>
          <cell r="AB33">
            <v>2.593176509813071</v>
          </cell>
          <cell r="AC33">
            <v>2.593176509813071</v>
          </cell>
          <cell r="AD33">
            <v>2.593176509813071</v>
          </cell>
          <cell r="AE33">
            <v>2.593176509813071</v>
          </cell>
          <cell r="AF33">
            <v>2.593176509813071</v>
          </cell>
          <cell r="AG33">
            <v>2.593176509813071</v>
          </cell>
        </row>
        <row r="34">
          <cell r="D34">
            <v>9.4367146380988309</v>
          </cell>
          <cell r="E34">
            <v>9.4367146380988309</v>
          </cell>
          <cell r="F34">
            <v>9.4367146380988309</v>
          </cell>
          <cell r="G34">
            <v>9.4367146380988309</v>
          </cell>
          <cell r="H34">
            <v>9.4367146380988309</v>
          </cell>
          <cell r="I34">
            <v>9.4367146380988309</v>
          </cell>
          <cell r="J34">
            <v>9.4367146380988309</v>
          </cell>
          <cell r="K34">
            <v>9.6187350945786143</v>
          </cell>
          <cell r="L34">
            <v>9.6187350945786143</v>
          </cell>
          <cell r="M34">
            <v>9.6187350945786143</v>
          </cell>
          <cell r="N34">
            <v>9.6187350945786143</v>
          </cell>
          <cell r="O34">
            <v>9.6187350945786143</v>
          </cell>
          <cell r="P34">
            <v>9.6187350945786143</v>
          </cell>
          <cell r="Q34">
            <v>9.6187350945786143</v>
          </cell>
          <cell r="R34">
            <v>9.9219414542339397</v>
          </cell>
          <cell r="S34">
            <v>9.9219414542339397</v>
          </cell>
          <cell r="T34">
            <v>9.9219414542339397</v>
          </cell>
          <cell r="U34">
            <v>9.9219414542339397</v>
          </cell>
          <cell r="V34">
            <v>9.9219414542339397</v>
          </cell>
          <cell r="W34">
            <v>9.9219414542339397</v>
          </cell>
          <cell r="X34">
            <v>9.9219414542339397</v>
          </cell>
          <cell r="Y34">
            <v>10.679315699349505</v>
          </cell>
          <cell r="Z34">
            <v>10.679315699349505</v>
          </cell>
          <cell r="AA34">
            <v>10.679315699349505</v>
          </cell>
          <cell r="AB34">
            <v>10.679315699349505</v>
          </cell>
          <cell r="AC34">
            <v>10.679315699349505</v>
          </cell>
          <cell r="AD34">
            <v>10.679315699349505</v>
          </cell>
          <cell r="AE34">
            <v>10.679315699349505</v>
          </cell>
          <cell r="AF34">
            <v>10.679315699349505</v>
          </cell>
          <cell r="AG34">
            <v>10.679315699349505</v>
          </cell>
        </row>
        <row r="35">
          <cell r="D35">
            <v>13.134960099415176</v>
          </cell>
          <cell r="E35">
            <v>13.134960099415176</v>
          </cell>
          <cell r="F35">
            <v>13.134960099415176</v>
          </cell>
          <cell r="G35">
            <v>13.134960099415176</v>
          </cell>
          <cell r="H35">
            <v>13.134960099415176</v>
          </cell>
          <cell r="I35">
            <v>13.134960099415176</v>
          </cell>
          <cell r="J35">
            <v>13.134960099415176</v>
          </cell>
          <cell r="K35">
            <v>13.378030891279746</v>
          </cell>
          <cell r="L35">
            <v>13.378030891279746</v>
          </cell>
          <cell r="M35">
            <v>13.378030891279746</v>
          </cell>
          <cell r="N35">
            <v>13.378030891279746</v>
          </cell>
          <cell r="O35">
            <v>13.378030891279746</v>
          </cell>
          <cell r="P35">
            <v>13.378030891279746</v>
          </cell>
          <cell r="Q35">
            <v>13.378030891279746</v>
          </cell>
          <cell r="R35">
            <v>13.793561018577233</v>
          </cell>
          <cell r="S35">
            <v>13.793561018577233</v>
          </cell>
          <cell r="T35">
            <v>13.793561018577233</v>
          </cell>
          <cell r="U35">
            <v>13.793561018577233</v>
          </cell>
          <cell r="V35">
            <v>13.793561018577233</v>
          </cell>
          <cell r="W35">
            <v>13.793561018577233</v>
          </cell>
          <cell r="X35">
            <v>13.793561018577233</v>
          </cell>
          <cell r="Y35">
            <v>14.504977908550506</v>
          </cell>
          <cell r="Z35">
            <v>14.504977908550506</v>
          </cell>
          <cell r="AA35">
            <v>14.504977908550506</v>
          </cell>
          <cell r="AB35">
            <v>14.504977908550506</v>
          </cell>
          <cell r="AC35">
            <v>14.504977908550506</v>
          </cell>
          <cell r="AD35">
            <v>14.504977908550506</v>
          </cell>
          <cell r="AE35">
            <v>14.504977908550506</v>
          </cell>
          <cell r="AF35">
            <v>14.504977908550506</v>
          </cell>
          <cell r="AG35">
            <v>14.504977908550506</v>
          </cell>
        </row>
        <row r="36">
          <cell r="D36">
            <v>6.1253423999999992</v>
          </cell>
          <cell r="E36">
            <v>5.2840080000000009</v>
          </cell>
          <cell r="F36">
            <v>6.0052239999999992</v>
          </cell>
          <cell r="G36">
            <v>7.8393729279999995</v>
          </cell>
          <cell r="H36">
            <v>6.4994163</v>
          </cell>
          <cell r="I36">
            <v>5.9032528000000006</v>
          </cell>
          <cell r="J36">
            <v>8.2779337112639997</v>
          </cell>
          <cell r="K36">
            <v>6.4861247999999998</v>
          </cell>
          <cell r="L36">
            <v>9.9941874034560012</v>
          </cell>
          <cell r="M36">
            <v>7.0252213279999998</v>
          </cell>
          <cell r="N36">
            <v>4.8284636000000001</v>
          </cell>
          <cell r="O36">
            <v>5.3326891999999999</v>
          </cell>
          <cell r="P36">
            <v>5.1538491999999998</v>
          </cell>
          <cell r="Q36">
            <v>6.0239468</v>
          </cell>
          <cell r="R36">
            <v>5.7949999999999999</v>
          </cell>
          <cell r="S36">
            <v>4.7457584000000006</v>
          </cell>
          <cell r="T36">
            <v>8.328774619199999</v>
          </cell>
          <cell r="U36">
            <v>6.0728575999999999</v>
          </cell>
          <cell r="V36">
            <v>7.3076127039999994</v>
          </cell>
          <cell r="W36">
            <v>5.7831083999999988</v>
          </cell>
          <cell r="X36">
            <v>7.3405658819999999</v>
          </cell>
          <cell r="Y36">
            <v>7.4754619840000007</v>
          </cell>
          <cell r="Z36">
            <v>6.990854399999999</v>
          </cell>
          <cell r="AA36">
            <v>5.7850467999999999</v>
          </cell>
          <cell r="AB36">
            <v>6.8016009999999998</v>
          </cell>
          <cell r="AC36">
            <v>4.1725615999999999</v>
          </cell>
          <cell r="AD36">
            <v>7.3657680000000001</v>
          </cell>
          <cell r="AE36">
            <v>7.0376371200000003</v>
          </cell>
          <cell r="AF36">
            <v>7.2337967000000001</v>
          </cell>
          <cell r="AG36">
            <v>6.4279799000000004</v>
          </cell>
        </row>
        <row r="37">
          <cell r="D37">
            <v>6666.8667650625111</v>
          </cell>
          <cell r="E37">
            <v>6666.8667650625111</v>
          </cell>
          <cell r="F37">
            <v>6666.8667650625111</v>
          </cell>
          <cell r="G37">
            <v>6666.8667650625111</v>
          </cell>
          <cell r="H37">
            <v>6666.8667650625111</v>
          </cell>
          <cell r="I37">
            <v>6666.8667650625111</v>
          </cell>
          <cell r="J37">
            <v>6666.8667650625111</v>
          </cell>
          <cell r="K37">
            <v>6649.1548073764516</v>
          </cell>
          <cell r="L37">
            <v>6649.1548073764516</v>
          </cell>
          <cell r="M37">
            <v>6649.1548073764516</v>
          </cell>
          <cell r="N37">
            <v>6649.1548073764516</v>
          </cell>
          <cell r="O37">
            <v>6649.1548073764516</v>
          </cell>
          <cell r="P37">
            <v>6649.1548073764516</v>
          </cell>
          <cell r="Q37">
            <v>6649.1548073764516</v>
          </cell>
          <cell r="R37">
            <v>6668.1405023157586</v>
          </cell>
          <cell r="S37">
            <v>6668.1405023157586</v>
          </cell>
          <cell r="T37">
            <v>6668.1405023157586</v>
          </cell>
          <cell r="U37">
            <v>6668.1405023157586</v>
          </cell>
          <cell r="V37">
            <v>6668.1405023157586</v>
          </cell>
          <cell r="W37">
            <v>6668.1405023157586</v>
          </cell>
          <cell r="X37">
            <v>6668.1405023157586</v>
          </cell>
          <cell r="Y37">
            <v>6655.7350913917398</v>
          </cell>
          <cell r="Z37">
            <v>6655.7350913917398</v>
          </cell>
          <cell r="AA37">
            <v>6655.7350913917398</v>
          </cell>
          <cell r="AB37">
            <v>6655.7350913917398</v>
          </cell>
          <cell r="AC37">
            <v>6655.7350913917398</v>
          </cell>
          <cell r="AD37">
            <v>6655.7350913917398</v>
          </cell>
          <cell r="AE37">
            <v>6655.7350913917398</v>
          </cell>
          <cell r="AF37">
            <v>6655.7350913917398</v>
          </cell>
          <cell r="AG37">
            <v>6655.7350913917398</v>
          </cell>
        </row>
        <row r="38">
          <cell r="D38">
            <v>0.76586618496322212</v>
          </cell>
          <cell r="E38">
            <v>0.76586618496322212</v>
          </cell>
          <cell r="F38">
            <v>0.76586618496322212</v>
          </cell>
          <cell r="G38">
            <v>0.76586618496322212</v>
          </cell>
          <cell r="H38">
            <v>0.76586618496322212</v>
          </cell>
          <cell r="I38">
            <v>0.76586618496322212</v>
          </cell>
          <cell r="J38">
            <v>0.76586618496322212</v>
          </cell>
          <cell r="K38">
            <v>0.76164976148662766</v>
          </cell>
          <cell r="L38">
            <v>0.76164976148662766</v>
          </cell>
          <cell r="M38">
            <v>0.76164976148662766</v>
          </cell>
          <cell r="N38">
            <v>0.76164976148662766</v>
          </cell>
          <cell r="O38">
            <v>0.76164976148662766</v>
          </cell>
          <cell r="P38">
            <v>0.76164976148662766</v>
          </cell>
          <cell r="Q38">
            <v>0.76164976148662766</v>
          </cell>
          <cell r="R38">
            <v>0.74502044061960981</v>
          </cell>
          <cell r="S38">
            <v>0.74502044061960981</v>
          </cell>
          <cell r="T38">
            <v>0.74502044061960981</v>
          </cell>
          <cell r="U38">
            <v>0.74502044061960981</v>
          </cell>
          <cell r="V38">
            <v>0.74502044061960981</v>
          </cell>
          <cell r="W38">
            <v>0.74502044061960981</v>
          </cell>
          <cell r="X38">
            <v>0.74502044061960981</v>
          </cell>
          <cell r="Y38">
            <v>0.75729368572911615</v>
          </cell>
          <cell r="Z38">
            <v>0.75729368572911615</v>
          </cell>
          <cell r="AA38">
            <v>0.75729368572911615</v>
          </cell>
          <cell r="AB38">
            <v>0.75729368572911615</v>
          </cell>
          <cell r="AC38">
            <v>0.75729368572911615</v>
          </cell>
          <cell r="AD38">
            <v>0.75729368572911615</v>
          </cell>
          <cell r="AE38">
            <v>0.75729368572911615</v>
          </cell>
          <cell r="AF38">
            <v>0.75729368572911615</v>
          </cell>
          <cell r="AG38">
            <v>0.75729368572911615</v>
          </cell>
        </row>
        <row r="39">
          <cell r="D39">
            <v>4.0802827363631176</v>
          </cell>
          <cell r="E39">
            <v>4.0802827363631176</v>
          </cell>
          <cell r="F39">
            <v>4.0802827363631176</v>
          </cell>
          <cell r="G39">
            <v>4.0802827363631176</v>
          </cell>
          <cell r="H39">
            <v>4.0802827363631176</v>
          </cell>
          <cell r="I39">
            <v>4.0802827363631176</v>
          </cell>
          <cell r="J39">
            <v>4.0802827363631176</v>
          </cell>
          <cell r="K39">
            <v>4.1263647445127569</v>
          </cell>
          <cell r="L39">
            <v>4.1263647445127569</v>
          </cell>
          <cell r="M39">
            <v>4.1263647445127569</v>
          </cell>
          <cell r="N39">
            <v>4.1263647445127569</v>
          </cell>
          <cell r="O39">
            <v>4.1263647445127569</v>
          </cell>
          <cell r="P39">
            <v>4.1263647445127569</v>
          </cell>
          <cell r="Q39">
            <v>4.1263647445127569</v>
          </cell>
          <cell r="R39">
            <v>4.2136421861734092</v>
          </cell>
          <cell r="S39">
            <v>4.2136421861734092</v>
          </cell>
          <cell r="T39">
            <v>4.2136421861734092</v>
          </cell>
          <cell r="U39">
            <v>4.2136421861734092</v>
          </cell>
          <cell r="V39">
            <v>4.2136421861734092</v>
          </cell>
          <cell r="W39">
            <v>4.2136421861734092</v>
          </cell>
          <cell r="X39">
            <v>4.2136421861734092</v>
          </cell>
          <cell r="Y39">
            <v>4.1085962213617675</v>
          </cell>
          <cell r="Z39">
            <v>4.1085962213617675</v>
          </cell>
          <cell r="AA39">
            <v>4.1085962213617675</v>
          </cell>
          <cell r="AB39">
            <v>4.1085962213617675</v>
          </cell>
          <cell r="AC39">
            <v>4.1085962213617675</v>
          </cell>
          <cell r="AD39">
            <v>4.1085962213617675</v>
          </cell>
          <cell r="AE39">
            <v>4.1085962213617675</v>
          </cell>
          <cell r="AF39">
            <v>4.1085962213617675</v>
          </cell>
          <cell r="AG39">
            <v>4.1085962213617675</v>
          </cell>
        </row>
        <row r="40">
          <cell r="D40">
            <v>9.6359036077193458</v>
          </cell>
          <cell r="E40">
            <v>9.6359036077193458</v>
          </cell>
          <cell r="F40">
            <v>9.6359036077193458</v>
          </cell>
          <cell r="G40">
            <v>9.6359036077193458</v>
          </cell>
          <cell r="H40">
            <v>9.6359036077193458</v>
          </cell>
          <cell r="I40">
            <v>9.6359036077193458</v>
          </cell>
          <cell r="J40">
            <v>9.6359036077193458</v>
          </cell>
          <cell r="K40">
            <v>9.7627098035373443</v>
          </cell>
          <cell r="L40">
            <v>9.7627098035373443</v>
          </cell>
          <cell r="M40">
            <v>9.7627098035373443</v>
          </cell>
          <cell r="N40">
            <v>9.7627098035373443</v>
          </cell>
          <cell r="O40">
            <v>9.7627098035373443</v>
          </cell>
          <cell r="P40">
            <v>9.7627098035373443</v>
          </cell>
          <cell r="Q40">
            <v>9.7627098035373443</v>
          </cell>
          <cell r="R40">
            <v>9.5985858526674193</v>
          </cell>
          <cell r="S40">
            <v>9.5985858526674193</v>
          </cell>
          <cell r="T40">
            <v>9.5985858526674193</v>
          </cell>
          <cell r="U40">
            <v>9.5985858526674193</v>
          </cell>
          <cell r="V40">
            <v>9.5985858526674193</v>
          </cell>
          <cell r="W40">
            <v>9.5985858526674193</v>
          </cell>
          <cell r="X40">
            <v>9.5985858526674193</v>
          </cell>
          <cell r="Y40">
            <v>9.7121247283498047</v>
          </cell>
          <cell r="Z40">
            <v>9.7121247283498047</v>
          </cell>
          <cell r="AA40">
            <v>9.7121247283498047</v>
          </cell>
          <cell r="AB40">
            <v>9.7121247283498047</v>
          </cell>
          <cell r="AC40">
            <v>9.7121247283498047</v>
          </cell>
          <cell r="AD40">
            <v>9.7121247283498047</v>
          </cell>
          <cell r="AE40">
            <v>9.7121247283498047</v>
          </cell>
          <cell r="AF40">
            <v>9.7121247283498047</v>
          </cell>
          <cell r="AG40">
            <v>9.7121247283498047</v>
          </cell>
        </row>
        <row r="41">
          <cell r="D41">
            <v>13.656191418964323</v>
          </cell>
          <cell r="E41">
            <v>13.656191418964323</v>
          </cell>
          <cell r="F41">
            <v>13.656191418964323</v>
          </cell>
          <cell r="G41">
            <v>13.656191418964323</v>
          </cell>
          <cell r="H41">
            <v>13.656191418964323</v>
          </cell>
          <cell r="I41">
            <v>13.656191418964323</v>
          </cell>
          <cell r="J41">
            <v>13.656191418964323</v>
          </cell>
          <cell r="K41">
            <v>13.795615708136896</v>
          </cell>
          <cell r="L41">
            <v>13.795615708136896</v>
          </cell>
          <cell r="M41">
            <v>13.795615708136896</v>
          </cell>
          <cell r="N41">
            <v>13.795615708136896</v>
          </cell>
          <cell r="O41">
            <v>13.795615708136896</v>
          </cell>
          <cell r="P41">
            <v>13.795615708136896</v>
          </cell>
          <cell r="Q41">
            <v>13.795615708136896</v>
          </cell>
          <cell r="R41">
            <v>13.666760028230396</v>
          </cell>
          <cell r="S41">
            <v>13.666760028230396</v>
          </cell>
          <cell r="T41">
            <v>13.666760028230396</v>
          </cell>
          <cell r="U41">
            <v>13.666760028230396</v>
          </cell>
          <cell r="V41">
            <v>13.666760028230396</v>
          </cell>
          <cell r="W41">
            <v>13.666760028230396</v>
          </cell>
          <cell r="X41">
            <v>13.666760028230396</v>
          </cell>
          <cell r="Y41">
            <v>13.724473455896646</v>
          </cell>
          <cell r="Z41">
            <v>13.724473455896646</v>
          </cell>
          <cell r="AA41">
            <v>13.724473455896646</v>
          </cell>
          <cell r="AB41">
            <v>13.724473455896646</v>
          </cell>
          <cell r="AC41">
            <v>13.724473455896646</v>
          </cell>
          <cell r="AD41">
            <v>13.724473455896646</v>
          </cell>
          <cell r="AE41">
            <v>13.724473455896646</v>
          </cell>
          <cell r="AF41">
            <v>13.724473455896646</v>
          </cell>
          <cell r="AG41">
            <v>13.724473455896646</v>
          </cell>
        </row>
        <row r="42">
          <cell r="D42">
            <v>3</v>
          </cell>
          <cell r="E42">
            <v>3</v>
          </cell>
          <cell r="F42">
            <v>3</v>
          </cell>
          <cell r="G42">
            <v>3</v>
          </cell>
          <cell r="H42">
            <v>2.2000000000000002</v>
          </cell>
          <cell r="I42">
            <v>2.2000000000000002</v>
          </cell>
          <cell r="J42">
            <v>2.2000000000000002</v>
          </cell>
          <cell r="K42">
            <v>2.6</v>
          </cell>
          <cell r="L42">
            <v>2.6</v>
          </cell>
          <cell r="M42">
            <v>2.6</v>
          </cell>
          <cell r="N42">
            <v>2.6</v>
          </cell>
          <cell r="O42">
            <v>3.1</v>
          </cell>
          <cell r="P42">
            <v>3.1</v>
          </cell>
          <cell r="Q42">
            <v>3.1</v>
          </cell>
          <cell r="R42">
            <v>3.1</v>
          </cell>
          <cell r="S42">
            <v>3.1</v>
          </cell>
          <cell r="T42">
            <v>2.1</v>
          </cell>
          <cell r="U42">
            <v>2.1</v>
          </cell>
          <cell r="V42">
            <v>2.6</v>
          </cell>
          <cell r="W42">
            <v>2.6</v>
          </cell>
          <cell r="X42">
            <v>2.6</v>
          </cell>
          <cell r="Y42">
            <v>3.4</v>
          </cell>
          <cell r="Z42">
            <v>3.4</v>
          </cell>
          <cell r="AA42">
            <v>2.9</v>
          </cell>
          <cell r="AB42">
            <v>2.9</v>
          </cell>
          <cell r="AC42">
            <v>2.9</v>
          </cell>
          <cell r="AD42">
            <v>2.9</v>
          </cell>
          <cell r="AE42">
            <v>2.9</v>
          </cell>
          <cell r="AF42">
            <v>3.4</v>
          </cell>
          <cell r="AG42">
            <v>3.4</v>
          </cell>
        </row>
        <row r="43">
          <cell r="D43">
            <v>6115.2199033161123</v>
          </cell>
          <cell r="E43">
            <v>6115.2199033161123</v>
          </cell>
          <cell r="F43">
            <v>6115.2199033161123</v>
          </cell>
          <cell r="G43">
            <v>6115.2199033161123</v>
          </cell>
          <cell r="H43">
            <v>6115.2199033161123</v>
          </cell>
          <cell r="I43">
            <v>6115.2199033161123</v>
          </cell>
          <cell r="J43">
            <v>6115.2199033161123</v>
          </cell>
          <cell r="K43">
            <v>6115.7087936207436</v>
          </cell>
          <cell r="L43">
            <v>6115.7087936207436</v>
          </cell>
          <cell r="M43">
            <v>6115.7087936207436</v>
          </cell>
          <cell r="N43">
            <v>6115.7087936207436</v>
          </cell>
          <cell r="O43">
            <v>6115.7087936207436</v>
          </cell>
          <cell r="P43">
            <v>6115.7087936207436</v>
          </cell>
          <cell r="Q43">
            <v>6115.7087936207436</v>
          </cell>
          <cell r="R43">
            <v>6117.8225540518106</v>
          </cell>
          <cell r="S43">
            <v>6117.8225540518106</v>
          </cell>
          <cell r="T43">
            <v>6117.8225540518106</v>
          </cell>
          <cell r="U43">
            <v>6117.8225540518106</v>
          </cell>
          <cell r="V43">
            <v>6117.8225540518106</v>
          </cell>
          <cell r="W43">
            <v>6117.8225540518106</v>
          </cell>
          <cell r="X43">
            <v>6117.8225540518106</v>
          </cell>
          <cell r="Y43">
            <v>6114.0429293698144</v>
          </cell>
          <cell r="Z43">
            <v>6114.0429293698144</v>
          </cell>
          <cell r="AA43">
            <v>6114.0429293698144</v>
          </cell>
          <cell r="AB43">
            <v>6114.0429293698144</v>
          </cell>
          <cell r="AC43">
            <v>6114.0429293698144</v>
          </cell>
          <cell r="AD43">
            <v>6114.0429293698144</v>
          </cell>
          <cell r="AE43">
            <v>6114.0429293698144</v>
          </cell>
          <cell r="AF43">
            <v>6114.0429293698144</v>
          </cell>
          <cell r="AG43">
            <v>6114.0429293698144</v>
          </cell>
        </row>
        <row r="44">
          <cell r="D44">
            <v>0.27106905796202529</v>
          </cell>
          <cell r="E44">
            <v>0.27106905796202529</v>
          </cell>
          <cell r="F44">
            <v>0.27106905796202529</v>
          </cell>
          <cell r="G44">
            <v>0.27106905796202529</v>
          </cell>
          <cell r="H44">
            <v>0.27106905796202529</v>
          </cell>
          <cell r="I44">
            <v>0.27106905796202529</v>
          </cell>
          <cell r="J44">
            <v>0.27106905796202529</v>
          </cell>
          <cell r="K44">
            <v>0.26908756422981617</v>
          </cell>
          <cell r="L44">
            <v>0.26908756422981617</v>
          </cell>
          <cell r="M44">
            <v>0.26908756422981617</v>
          </cell>
          <cell r="N44">
            <v>0.26908756422981617</v>
          </cell>
          <cell r="O44">
            <v>0.26908756422981617</v>
          </cell>
          <cell r="P44">
            <v>0.26908756422981617</v>
          </cell>
          <cell r="Q44">
            <v>0.26908756422981617</v>
          </cell>
          <cell r="R44">
            <v>0.26052040099119977</v>
          </cell>
          <cell r="S44">
            <v>0.26052040099119977</v>
          </cell>
          <cell r="T44">
            <v>0.26052040099119977</v>
          </cell>
          <cell r="U44">
            <v>0.26052040099119977</v>
          </cell>
          <cell r="V44">
            <v>0.26052040099119977</v>
          </cell>
          <cell r="W44">
            <v>0.26052040099119977</v>
          </cell>
          <cell r="X44">
            <v>0.26052040099119977</v>
          </cell>
          <cell r="Y44">
            <v>0.27583938471114422</v>
          </cell>
          <cell r="Z44">
            <v>0.27583938471114422</v>
          </cell>
          <cell r="AA44">
            <v>0.27583938471114422</v>
          </cell>
          <cell r="AB44">
            <v>0.27583938471114422</v>
          </cell>
          <cell r="AC44">
            <v>0.27583938471114422</v>
          </cell>
          <cell r="AD44">
            <v>0.27583938471114422</v>
          </cell>
          <cell r="AE44">
            <v>0.27583938471114422</v>
          </cell>
          <cell r="AF44">
            <v>0.27583938471114422</v>
          </cell>
          <cell r="AG44">
            <v>0.27583938471114422</v>
          </cell>
        </row>
        <row r="45">
          <cell r="D45">
            <v>5.0936840973504998</v>
          </cell>
          <cell r="E45">
            <v>5.0936840973504998</v>
          </cell>
          <cell r="F45">
            <v>5.0936840973504998</v>
          </cell>
          <cell r="G45">
            <v>5.0936840973504998</v>
          </cell>
          <cell r="H45">
            <v>5.0936840973504998</v>
          </cell>
          <cell r="I45">
            <v>5.0936840973504998</v>
          </cell>
          <cell r="J45">
            <v>5.0936840973504998</v>
          </cell>
          <cell r="K45">
            <v>5.0391590986509476</v>
          </cell>
          <cell r="L45">
            <v>5.0391590986509476</v>
          </cell>
          <cell r="M45">
            <v>5.0391590986509476</v>
          </cell>
          <cell r="N45">
            <v>5.0391590986509476</v>
          </cell>
          <cell r="O45">
            <v>5.0391590986509476</v>
          </cell>
          <cell r="P45">
            <v>5.0391590986509476</v>
          </cell>
          <cell r="Q45">
            <v>5.0391590986509476</v>
          </cell>
          <cell r="R45">
            <v>4.803415448872344</v>
          </cell>
          <cell r="S45">
            <v>4.803415448872344</v>
          </cell>
          <cell r="T45">
            <v>4.803415448872344</v>
          </cell>
          <cell r="U45">
            <v>4.803415448872344</v>
          </cell>
          <cell r="V45">
            <v>4.803415448872344</v>
          </cell>
          <cell r="W45">
            <v>4.803415448872344</v>
          </cell>
          <cell r="X45">
            <v>4.803415448872344</v>
          </cell>
          <cell r="Y45">
            <v>5.2249497458681757</v>
          </cell>
          <cell r="Z45">
            <v>5.2249497458681757</v>
          </cell>
          <cell r="AA45">
            <v>5.2249497458681757</v>
          </cell>
          <cell r="AB45">
            <v>5.2249497458681757</v>
          </cell>
          <cell r="AC45">
            <v>5.2249497458681757</v>
          </cell>
          <cell r="AD45">
            <v>5.2249497458681757</v>
          </cell>
          <cell r="AE45">
            <v>5.2249497458681757</v>
          </cell>
          <cell r="AF45">
            <v>5.2249497458681757</v>
          </cell>
          <cell r="AG45">
            <v>5.2249497458681757</v>
          </cell>
        </row>
        <row r="46">
          <cell r="D46">
            <v>13.277774684882703</v>
          </cell>
          <cell r="E46">
            <v>13.277774684882703</v>
          </cell>
          <cell r="F46">
            <v>13.277774684882703</v>
          </cell>
          <cell r="G46">
            <v>13.277774684882703</v>
          </cell>
          <cell r="H46">
            <v>13.277774684882703</v>
          </cell>
          <cell r="I46">
            <v>13.277774684882703</v>
          </cell>
          <cell r="J46">
            <v>13.277774684882703</v>
          </cell>
          <cell r="K46">
            <v>13.280865661259011</v>
          </cell>
          <cell r="L46">
            <v>13.280865661259011</v>
          </cell>
          <cell r="M46">
            <v>13.280865661259011</v>
          </cell>
          <cell r="N46">
            <v>13.280865661259011</v>
          </cell>
          <cell r="O46">
            <v>13.280865661259011</v>
          </cell>
          <cell r="P46">
            <v>13.280865661259011</v>
          </cell>
          <cell r="Q46">
            <v>13.280865661259011</v>
          </cell>
          <cell r="R46">
            <v>13.294229770744739</v>
          </cell>
          <cell r="S46">
            <v>13.294229770744739</v>
          </cell>
          <cell r="T46">
            <v>13.294229770744739</v>
          </cell>
          <cell r="U46">
            <v>13.294229770744739</v>
          </cell>
          <cell r="V46">
            <v>13.294229770744739</v>
          </cell>
          <cell r="W46">
            <v>13.294229770744739</v>
          </cell>
          <cell r="X46">
            <v>13.294229770744739</v>
          </cell>
          <cell r="Y46">
            <v>13.270333345528906</v>
          </cell>
          <cell r="Z46">
            <v>13.270333345528906</v>
          </cell>
          <cell r="AA46">
            <v>13.270333345528906</v>
          </cell>
          <cell r="AB46">
            <v>13.270333345528906</v>
          </cell>
          <cell r="AC46">
            <v>13.270333345528906</v>
          </cell>
          <cell r="AD46">
            <v>13.270333345528906</v>
          </cell>
          <cell r="AE46">
            <v>13.270333345528906</v>
          </cell>
          <cell r="AF46">
            <v>13.270333345528906</v>
          </cell>
          <cell r="AG46">
            <v>13.270333345528906</v>
          </cell>
        </row>
        <row r="47">
          <cell r="D47">
            <v>17.489319355661443</v>
          </cell>
          <cell r="E47">
            <v>17.489319355661443</v>
          </cell>
          <cell r="F47">
            <v>17.489319355661443</v>
          </cell>
          <cell r="G47">
            <v>17.489319355661443</v>
          </cell>
          <cell r="H47">
            <v>17.489319355661443</v>
          </cell>
          <cell r="I47">
            <v>17.489319355661443</v>
          </cell>
          <cell r="J47">
            <v>17.489319355661443</v>
          </cell>
          <cell r="K47">
            <v>17.497214264587264</v>
          </cell>
          <cell r="L47">
            <v>17.497214264587264</v>
          </cell>
          <cell r="M47">
            <v>17.497214264587264</v>
          </cell>
          <cell r="N47">
            <v>17.497214264587264</v>
          </cell>
          <cell r="O47">
            <v>17.497214264587264</v>
          </cell>
          <cell r="P47">
            <v>17.497214264587264</v>
          </cell>
          <cell r="Q47">
            <v>17.497214264587264</v>
          </cell>
          <cell r="R47">
            <v>17.531348600932667</v>
          </cell>
          <cell r="S47">
            <v>17.531348600932667</v>
          </cell>
          <cell r="T47">
            <v>17.531348600932667</v>
          </cell>
          <cell r="U47">
            <v>17.531348600932667</v>
          </cell>
          <cell r="V47">
            <v>17.531348600932667</v>
          </cell>
          <cell r="W47">
            <v>17.531348600932667</v>
          </cell>
          <cell r="X47">
            <v>17.531348600932667</v>
          </cell>
          <cell r="Y47">
            <v>17.470312838195085</v>
          </cell>
          <cell r="Z47">
            <v>17.470312838195085</v>
          </cell>
          <cell r="AA47">
            <v>17.470312838195085</v>
          </cell>
          <cell r="AB47">
            <v>17.470312838195085</v>
          </cell>
          <cell r="AC47">
            <v>17.470312838195085</v>
          </cell>
          <cell r="AD47">
            <v>17.470312838195085</v>
          </cell>
          <cell r="AE47">
            <v>17.470312838195085</v>
          </cell>
          <cell r="AF47">
            <v>17.470312838195085</v>
          </cell>
          <cell r="AG47">
            <v>17.470312838195085</v>
          </cell>
        </row>
        <row r="60">
          <cell r="D60">
            <v>7.05261614552</v>
          </cell>
          <cell r="E60">
            <v>8.1615956000000001</v>
          </cell>
          <cell r="F60">
            <v>8.4485405</v>
          </cell>
          <cell r="G60">
            <v>6.4303965349999999</v>
          </cell>
          <cell r="H60">
            <v>5.2273784704999997</v>
          </cell>
          <cell r="I60">
            <v>7.4026151799999997</v>
          </cell>
          <cell r="J60">
            <v>3.6187611999999998</v>
          </cell>
          <cell r="K60">
            <v>7.0170750000000002</v>
          </cell>
          <cell r="L60">
            <v>5.4306011999999999</v>
          </cell>
          <cell r="M60">
            <v>6.0115409499999997</v>
          </cell>
          <cell r="N60">
            <v>6.918638399999999</v>
          </cell>
          <cell r="O60">
            <v>8.8897035899999999</v>
          </cell>
          <cell r="P60">
            <v>9.243503789</v>
          </cell>
          <cell r="Q60">
            <v>8.4536735538799999</v>
          </cell>
          <cell r="R60">
            <v>8.0295679999999994</v>
          </cell>
          <cell r="S60">
            <v>10.585052600000001</v>
          </cell>
          <cell r="T60">
            <v>6.0038179999999999</v>
          </cell>
          <cell r="U60">
            <v>10.188099654</v>
          </cell>
          <cell r="V60">
            <v>4.6966541362999994</v>
          </cell>
          <cell r="W60">
            <v>6.8176991999999998</v>
          </cell>
          <cell r="X60">
            <v>7.1520043999999992</v>
          </cell>
          <cell r="Y60">
            <v>6.0465485000000001</v>
          </cell>
          <cell r="Z60">
            <v>4.6346280039999996</v>
          </cell>
          <cell r="AA60">
            <v>4.7645110000000006</v>
          </cell>
          <cell r="AB60">
            <v>6.6184303735040002</v>
          </cell>
          <cell r="AC60">
            <v>7.0022778419999998</v>
          </cell>
          <cell r="AD60">
            <v>4.8822597989999998</v>
          </cell>
          <cell r="AE60">
            <v>3.9633921619999999</v>
          </cell>
          <cell r="AF60">
            <v>4.9691308000000003</v>
          </cell>
          <cell r="AG60">
            <v>6.8884048</v>
          </cell>
          <cell r="AH60">
            <v>0</v>
          </cell>
        </row>
        <row r="61">
          <cell r="D61">
            <v>6543.4337715940701</v>
          </cell>
          <cell r="E61">
            <v>6578.0590935830687</v>
          </cell>
          <cell r="F61">
            <v>6624.7680868195221</v>
          </cell>
          <cell r="G61">
            <v>6619.7056611630524</v>
          </cell>
          <cell r="H61">
            <v>6568.6735442631925</v>
          </cell>
          <cell r="I61">
            <v>6589.4001818990009</v>
          </cell>
          <cell r="J61">
            <v>6589.7861507745756</v>
          </cell>
          <cell r="K61">
            <v>6528.8007952432772</v>
          </cell>
          <cell r="L61">
            <v>6561.7784455038036</v>
          </cell>
          <cell r="M61">
            <v>6555.3144313877001</v>
          </cell>
          <cell r="N61">
            <v>6509.9720571447751</v>
          </cell>
          <cell r="O61">
            <v>6566.6028743133966</v>
          </cell>
          <cell r="P61">
            <v>6562.2066592658584</v>
          </cell>
          <cell r="Q61">
            <v>6575.5514224747831</v>
          </cell>
          <cell r="R61">
            <v>6620.3137096728051</v>
          </cell>
          <cell r="S61">
            <v>6540.7616065016537</v>
          </cell>
          <cell r="T61">
            <v>6575.6666110931028</v>
          </cell>
          <cell r="U61">
            <v>6539.8904005716295</v>
          </cell>
          <cell r="V61">
            <v>6498.4979790720363</v>
          </cell>
          <cell r="W61">
            <v>6569.1111225124523</v>
          </cell>
          <cell r="X61">
            <v>6574.4940999095888</v>
          </cell>
          <cell r="Y61">
            <v>6625.7702111358467</v>
          </cell>
          <cell r="Z61">
            <v>6558.8926525609459</v>
          </cell>
          <cell r="AA61">
            <v>6625.7702111358476</v>
          </cell>
          <cell r="AB61">
            <v>6592.2279877081037</v>
          </cell>
          <cell r="AC61">
            <v>6514.0939230999047</v>
          </cell>
          <cell r="AD61">
            <v>6546.1312521494174</v>
          </cell>
          <cell r="AE61">
            <v>6572.3242068778191</v>
          </cell>
          <cell r="AF61">
            <v>6580.7296526259906</v>
          </cell>
          <cell r="AG61">
            <v>6572.2287747032287</v>
          </cell>
          <cell r="AH61">
            <v>0</v>
          </cell>
        </row>
        <row r="62">
          <cell r="D62">
            <v>2.1164883339223839</v>
          </cell>
          <cell r="E62">
            <v>2.0012423622724884</v>
          </cell>
          <cell r="F62">
            <v>1.8457774307973744</v>
          </cell>
          <cell r="G62">
            <v>1.8626270694482581</v>
          </cell>
          <cell r="H62">
            <v>2.0324809671057058</v>
          </cell>
          <cell r="I62">
            <v>1.9634949951013716</v>
          </cell>
          <cell r="J62">
            <v>1.9622103468862198</v>
          </cell>
          <cell r="K62">
            <v>2.099887656575488</v>
          </cell>
          <cell r="L62">
            <v>2.0065787079629431</v>
          </cell>
          <cell r="M62">
            <v>2.0248683785800217</v>
          </cell>
          <cell r="N62">
            <v>2.153162821476347</v>
          </cell>
          <cell r="O62">
            <v>1.9929281787007638</v>
          </cell>
          <cell r="P62">
            <v>2.005367094169872</v>
          </cell>
          <cell r="Q62">
            <v>1.9676086179087966</v>
          </cell>
          <cell r="R62">
            <v>1.7618441747246292</v>
          </cell>
          <cell r="S62">
            <v>2.0332965322600449</v>
          </cell>
          <cell r="T62">
            <v>1.9141916260610481</v>
          </cell>
          <cell r="U62">
            <v>2.0362693122894497</v>
          </cell>
          <cell r="V62">
            <v>2.1775109633868515</v>
          </cell>
          <cell r="W62">
            <v>1.9365606491173626</v>
          </cell>
          <cell r="X62">
            <v>1.9181925375682709</v>
          </cell>
          <cell r="Y62">
            <v>1.6779249837727788</v>
          </cell>
          <cell r="Z62">
            <v>1.9557701041033759</v>
          </cell>
          <cell r="AA62">
            <v>1.6779249837727785</v>
          </cell>
          <cell r="AB62">
            <v>1.8172773061814866</v>
          </cell>
          <cell r="AC62">
            <v>2.1418879684961172</v>
          </cell>
          <cell r="AD62">
            <v>2.0087877816096054</v>
          </cell>
          <cell r="AE62">
            <v>1.899968249117614</v>
          </cell>
          <cell r="AF62">
            <v>1.8650475352772957</v>
          </cell>
          <cell r="AG62">
            <v>2.0123024655697366</v>
          </cell>
          <cell r="AH62">
            <v>0</v>
          </cell>
        </row>
        <row r="63">
          <cell r="D63">
            <v>4.199232208323961</v>
          </cell>
          <cell r="E63">
            <v>4.00882619690735</v>
          </cell>
          <cell r="F63">
            <v>3.7519716006594304</v>
          </cell>
          <cell r="G63">
            <v>3.7798100790322127</v>
          </cell>
          <cell r="H63">
            <v>4.0604377028312362</v>
          </cell>
          <cell r="I63">
            <v>3.9464611049077356</v>
          </cell>
          <cell r="J63">
            <v>3.9443386468363713</v>
          </cell>
          <cell r="K63">
            <v>4.37660565161723</v>
          </cell>
          <cell r="L63">
            <v>4.1693166795955108</v>
          </cell>
          <cell r="M63">
            <v>4.209947798874035</v>
          </cell>
          <cell r="N63">
            <v>4.494958224771203</v>
          </cell>
          <cell r="O63">
            <v>4.138991569084844</v>
          </cell>
          <cell r="P63">
            <v>4.1666250387466146</v>
          </cell>
          <cell r="Q63">
            <v>4.0827433120135739</v>
          </cell>
          <cell r="R63">
            <v>3.9217851619278985</v>
          </cell>
          <cell r="S63">
            <v>4.4246030064670361</v>
          </cell>
          <cell r="T63">
            <v>4.2039820741135481</v>
          </cell>
          <cell r="U63">
            <v>4.4301095596620259</v>
          </cell>
          <cell r="V63">
            <v>4.6917349262963137</v>
          </cell>
          <cell r="W63">
            <v>4.2454167629102919</v>
          </cell>
          <cell r="X63">
            <v>4.2113930604041769</v>
          </cell>
          <cell r="Y63">
            <v>3.9982350405086358</v>
          </cell>
          <cell r="Z63">
            <v>4.3084669690956998</v>
          </cell>
          <cell r="AA63">
            <v>3.9982350405086353</v>
          </cell>
          <cell r="AB63">
            <v>4.1538308619594506</v>
          </cell>
          <cell r="AC63">
            <v>4.5162795228895671</v>
          </cell>
          <cell r="AD63">
            <v>4.3676646124532441</v>
          </cell>
          <cell r="AE63">
            <v>4.2461606126969613</v>
          </cell>
          <cell r="AF63">
            <v>4.2071693920146309</v>
          </cell>
          <cell r="AG63">
            <v>4.0830595811321366</v>
          </cell>
          <cell r="AH63">
            <v>0</v>
          </cell>
        </row>
        <row r="64">
          <cell r="D64">
            <v>9.995228187404031</v>
          </cell>
          <cell r="E64">
            <v>9.8415599549505224</v>
          </cell>
          <cell r="F64">
            <v>9.6342640218582822</v>
          </cell>
          <cell r="G64">
            <v>9.6567312209446658</v>
          </cell>
          <cell r="H64">
            <v>9.8832133083850096</v>
          </cell>
          <cell r="I64">
            <v>9.7912278599547786</v>
          </cell>
          <cell r="J64">
            <v>9.7895149183419772</v>
          </cell>
          <cell r="K64">
            <v>9.9870294622752489</v>
          </cell>
          <cell r="L64">
            <v>9.8650679215290946</v>
          </cell>
          <cell r="M64">
            <v>9.8889738431086105</v>
          </cell>
          <cell r="N64">
            <v>10.056663953837193</v>
          </cell>
          <cell r="O64">
            <v>9.847225693044356</v>
          </cell>
          <cell r="P64">
            <v>9.8634842547191113</v>
          </cell>
          <cell r="Q64">
            <v>9.8141311968452101</v>
          </cell>
          <cell r="R64">
            <v>9.5355526907786992</v>
          </cell>
          <cell r="S64">
            <v>9.8308814313972341</v>
          </cell>
          <cell r="T64">
            <v>9.7013003061176377</v>
          </cell>
          <cell r="U64">
            <v>9.8341156909564127</v>
          </cell>
          <cell r="V64">
            <v>9.9877806630354868</v>
          </cell>
          <cell r="W64">
            <v>9.7256368617772324</v>
          </cell>
          <cell r="X64">
            <v>9.7056531294546033</v>
          </cell>
          <cell r="Y64">
            <v>9.4711155269849403</v>
          </cell>
          <cell r="Z64">
            <v>9.8072296278136903</v>
          </cell>
          <cell r="AA64">
            <v>9.4711155269849403</v>
          </cell>
          <cell r="AB64">
            <v>9.639692468300554</v>
          </cell>
          <cell r="AC64">
            <v>10.032379663071099</v>
          </cell>
          <cell r="AD64">
            <v>9.8713660394297413</v>
          </cell>
          <cell r="AE64">
            <v>9.7397251480128606</v>
          </cell>
          <cell r="AF64">
            <v>9.6974809498107444</v>
          </cell>
          <cell r="AG64">
            <v>9.8441665669893528</v>
          </cell>
          <cell r="AH64">
            <v>0</v>
          </cell>
        </row>
        <row r="65">
          <cell r="D65">
            <v>13.798282761712517</v>
          </cell>
          <cell r="E65">
            <v>13.638520886899137</v>
          </cell>
          <cell r="F65">
            <v>13.423004729894956</v>
          </cell>
          <cell r="G65">
            <v>13.44636285532229</v>
          </cell>
          <cell r="H65">
            <v>13.681825984710887</v>
          </cell>
          <cell r="I65">
            <v>13.586192896061876</v>
          </cell>
          <cell r="J65">
            <v>13.584412028545293</v>
          </cell>
          <cell r="K65">
            <v>13.808633278197838</v>
          </cell>
          <cell r="L65">
            <v>13.6792036572906</v>
          </cell>
          <cell r="M65">
            <v>13.704573411957071</v>
          </cell>
          <cell r="N65">
            <v>13.882531703798167</v>
          </cell>
          <cell r="O65">
            <v>13.660268894292427</v>
          </cell>
          <cell r="P65">
            <v>13.677523017692202</v>
          </cell>
          <cell r="Q65">
            <v>13.625147920328292</v>
          </cell>
          <cell r="R65">
            <v>13.397937519399468</v>
          </cell>
          <cell r="S65">
            <v>13.681677797290712</v>
          </cell>
          <cell r="T65">
            <v>13.557181331354862</v>
          </cell>
          <cell r="U65">
            <v>13.684785147100863</v>
          </cell>
          <cell r="V65">
            <v>13.832420429019411</v>
          </cell>
          <cell r="W65">
            <v>13.58056294010485</v>
          </cell>
          <cell r="X65">
            <v>13.561363353398013</v>
          </cell>
          <cell r="Y65">
            <v>13.340347571254153</v>
          </cell>
          <cell r="Z65">
            <v>13.671888352071278</v>
          </cell>
          <cell r="AA65">
            <v>13.340347571254151</v>
          </cell>
          <cell r="AB65">
            <v>13.506630778693928</v>
          </cell>
          <cell r="AC65">
            <v>13.893974894427551</v>
          </cell>
          <cell r="AD65">
            <v>13.735152094751411</v>
          </cell>
          <cell r="AE65">
            <v>13.605302368660769</v>
          </cell>
          <cell r="AF65">
            <v>13.563632964067539</v>
          </cell>
          <cell r="AG65">
            <v>13.657938635252684</v>
          </cell>
          <cell r="AH65">
            <v>0</v>
          </cell>
        </row>
        <row r="66">
          <cell r="AH66">
            <v>0</v>
          </cell>
        </row>
        <row r="67">
          <cell r="AH67">
            <v>0</v>
          </cell>
        </row>
        <row r="68">
          <cell r="AH68">
            <v>0</v>
          </cell>
        </row>
        <row r="69">
          <cell r="AH69">
            <v>0</v>
          </cell>
        </row>
        <row r="70">
          <cell r="AH70">
            <v>0</v>
          </cell>
        </row>
        <row r="71">
          <cell r="AH71">
            <v>0</v>
          </cell>
        </row>
        <row r="72">
          <cell r="D72">
            <v>3.0721700000000003</v>
          </cell>
          <cell r="E72">
            <v>4.9392960000000006</v>
          </cell>
          <cell r="F72">
            <v>7.0456496</v>
          </cell>
          <cell r="G72">
            <v>5.2031879999999999</v>
          </cell>
          <cell r="H72">
            <v>2.92326</v>
          </cell>
          <cell r="I72">
            <v>4.8911407999999996</v>
          </cell>
          <cell r="J72">
            <v>2.3978699999999997</v>
          </cell>
          <cell r="K72">
            <v>3.1986999999999997</v>
          </cell>
          <cell r="L72">
            <v>3.20783</v>
          </cell>
          <cell r="M72">
            <v>3.3920899999999996</v>
          </cell>
          <cell r="N72">
            <v>2.62114</v>
          </cell>
          <cell r="O72">
            <v>5.4264787999999999</v>
          </cell>
          <cell r="P72">
            <v>5.4762788000000002</v>
          </cell>
          <cell r="Q72">
            <v>5.4696512000000004</v>
          </cell>
          <cell r="R72">
            <v>6.9796179999999994</v>
          </cell>
          <cell r="S72">
            <v>5.5346188000000005</v>
          </cell>
          <cell r="T72">
            <v>4.0516579999999998</v>
          </cell>
          <cell r="U72">
            <v>5.2884179040000001</v>
          </cell>
          <cell r="V72">
            <v>1.5914899999999998</v>
          </cell>
          <cell r="W72">
            <v>4.4063091999999999</v>
          </cell>
          <cell r="X72">
            <v>4.7899963999999997</v>
          </cell>
          <cell r="Y72">
            <v>6.0465485000000001</v>
          </cell>
          <cell r="Z72">
            <v>2.8620168999999995</v>
          </cell>
          <cell r="AA72">
            <v>4.7645110000000006</v>
          </cell>
          <cell r="AB72">
            <v>5.3488358935039999</v>
          </cell>
          <cell r="AC72">
            <v>2.530106</v>
          </cell>
          <cell r="AD72">
            <v>2.6586189999999998</v>
          </cell>
          <cell r="AE72">
            <v>2.7519562</v>
          </cell>
          <cell r="AF72">
            <v>3.6891531999999998</v>
          </cell>
          <cell r="AG72">
            <v>4.0222895999999997</v>
          </cell>
        </row>
        <row r="73">
          <cell r="D73">
            <v>6658.6728238614787</v>
          </cell>
          <cell r="E73">
            <v>6658.6728238614787</v>
          </cell>
          <cell r="F73">
            <v>6658.6728238614787</v>
          </cell>
          <cell r="G73">
            <v>6658.6728238614787</v>
          </cell>
          <cell r="H73">
            <v>6658.6728238614787</v>
          </cell>
          <cell r="I73">
            <v>6658.6728238614787</v>
          </cell>
          <cell r="J73">
            <v>6658.6728238614787</v>
          </cell>
          <cell r="K73">
            <v>6661.874201372375</v>
          </cell>
          <cell r="L73">
            <v>6661.874201372375</v>
          </cell>
          <cell r="M73">
            <v>6661.874201372375</v>
          </cell>
          <cell r="N73">
            <v>6661.874201372375</v>
          </cell>
          <cell r="O73">
            <v>6661.874201372375</v>
          </cell>
          <cell r="P73">
            <v>6661.874201372375</v>
          </cell>
          <cell r="Q73">
            <v>6661.874201372375</v>
          </cell>
          <cell r="R73">
            <v>6650.346098098541</v>
          </cell>
          <cell r="S73">
            <v>6650.346098098541</v>
          </cell>
          <cell r="T73">
            <v>6650.346098098541</v>
          </cell>
          <cell r="U73">
            <v>6650.346098098541</v>
          </cell>
          <cell r="V73">
            <v>6650.346098098541</v>
          </cell>
          <cell r="W73">
            <v>6650.346098098541</v>
          </cell>
          <cell r="X73">
            <v>6650.346098098541</v>
          </cell>
          <cell r="Y73">
            <v>6625.7702111358476</v>
          </cell>
          <cell r="Z73">
            <v>6625.7702111358476</v>
          </cell>
          <cell r="AA73">
            <v>6625.7702111358476</v>
          </cell>
          <cell r="AB73">
            <v>6625.7702111358476</v>
          </cell>
          <cell r="AC73">
            <v>6625.7702111358476</v>
          </cell>
          <cell r="AD73">
            <v>6625.7702111358476</v>
          </cell>
          <cell r="AE73">
            <v>6625.7702111358476</v>
          </cell>
          <cell r="AF73">
            <v>6625.7702111358476</v>
          </cell>
          <cell r="AG73">
            <v>6658.6728238614787</v>
          </cell>
        </row>
        <row r="74">
          <cell r="D74">
            <v>1.7329298343136226</v>
          </cell>
          <cell r="E74">
            <v>1.7329298343136226</v>
          </cell>
          <cell r="F74">
            <v>1.7329298343136226</v>
          </cell>
          <cell r="G74">
            <v>1.7329298343136226</v>
          </cell>
          <cell r="H74">
            <v>1.7329298343136226</v>
          </cell>
          <cell r="I74">
            <v>1.7329298343136226</v>
          </cell>
          <cell r="J74">
            <v>1.7329298343136226</v>
          </cell>
          <cell r="K74">
            <v>1.7233617514214972</v>
          </cell>
          <cell r="L74">
            <v>1.7233617514214972</v>
          </cell>
          <cell r="M74">
            <v>1.7233617514214972</v>
          </cell>
          <cell r="N74">
            <v>1.7233617514214972</v>
          </cell>
          <cell r="O74">
            <v>1.7233617514214972</v>
          </cell>
          <cell r="P74">
            <v>1.7233617514214972</v>
          </cell>
          <cell r="Q74">
            <v>1.7233617514214972</v>
          </cell>
          <cell r="R74">
            <v>1.6593658955137602</v>
          </cell>
          <cell r="S74">
            <v>1.6593658955137602</v>
          </cell>
          <cell r="T74">
            <v>1.6593658955137602</v>
          </cell>
          <cell r="U74">
            <v>1.6593658955137602</v>
          </cell>
          <cell r="V74">
            <v>1.6593658955137602</v>
          </cell>
          <cell r="W74">
            <v>1.6593658955137602</v>
          </cell>
          <cell r="X74">
            <v>1.6593658955137602</v>
          </cell>
          <cell r="Y74">
            <v>1.6779249837727785</v>
          </cell>
          <cell r="Z74">
            <v>1.6779249837727785</v>
          </cell>
          <cell r="AA74">
            <v>1.6779249837727785</v>
          </cell>
          <cell r="AB74">
            <v>1.6779249837727785</v>
          </cell>
          <cell r="AC74">
            <v>1.6779249837727785</v>
          </cell>
          <cell r="AD74">
            <v>1.6779249837727785</v>
          </cell>
          <cell r="AE74">
            <v>1.6779249837727785</v>
          </cell>
          <cell r="AF74">
            <v>1.6779249837727785</v>
          </cell>
          <cell r="AG74">
            <v>1.7329298343136226</v>
          </cell>
        </row>
        <row r="75">
          <cell r="D75">
            <v>3.5655281142901449</v>
          </cell>
          <cell r="E75">
            <v>3.5655281142901449</v>
          </cell>
          <cell r="F75">
            <v>3.5655281142901449</v>
          </cell>
          <cell r="G75">
            <v>3.5655281142901449</v>
          </cell>
          <cell r="H75">
            <v>3.5655281142901449</v>
          </cell>
          <cell r="I75">
            <v>3.5655281142901449</v>
          </cell>
          <cell r="J75">
            <v>3.5655281142901449</v>
          </cell>
          <cell r="K75">
            <v>3.5401406717897252</v>
          </cell>
          <cell r="L75">
            <v>3.5401406717897252</v>
          </cell>
          <cell r="M75">
            <v>3.5401406717897252</v>
          </cell>
          <cell r="N75">
            <v>3.5401406717897252</v>
          </cell>
          <cell r="O75">
            <v>3.5401406717897252</v>
          </cell>
          <cell r="P75">
            <v>3.5401406717897252</v>
          </cell>
          <cell r="Q75">
            <v>3.5401406717897252</v>
          </cell>
          <cell r="R75">
            <v>3.7319621376126042</v>
          </cell>
          <cell r="S75">
            <v>3.7319621376126042</v>
          </cell>
          <cell r="T75">
            <v>3.7319621376126042</v>
          </cell>
          <cell r="U75">
            <v>3.7319621376126042</v>
          </cell>
          <cell r="V75">
            <v>3.7319621376126042</v>
          </cell>
          <cell r="W75">
            <v>3.7319621376126042</v>
          </cell>
          <cell r="X75">
            <v>3.7319621376126042</v>
          </cell>
          <cell r="Y75">
            <v>3.9982350405086358</v>
          </cell>
          <cell r="Z75">
            <v>3.9982350405086358</v>
          </cell>
          <cell r="AA75">
            <v>3.9982350405086358</v>
          </cell>
          <cell r="AB75">
            <v>3.9982350405086358</v>
          </cell>
          <cell r="AC75">
            <v>3.9982350405086358</v>
          </cell>
          <cell r="AD75">
            <v>3.9982350405086358</v>
          </cell>
          <cell r="AE75">
            <v>3.9982350405086358</v>
          </cell>
          <cell r="AF75">
            <v>3.9982350405086358</v>
          </cell>
          <cell r="AG75">
            <v>3.5655281142901449</v>
          </cell>
        </row>
        <row r="76">
          <cell r="D76">
            <v>9.4837937673233554</v>
          </cell>
          <cell r="E76">
            <v>9.4837937673233554</v>
          </cell>
          <cell r="F76">
            <v>9.4837937673233554</v>
          </cell>
          <cell r="G76">
            <v>9.4837937673233554</v>
          </cell>
          <cell r="H76">
            <v>9.4837937673233554</v>
          </cell>
          <cell r="I76">
            <v>9.4837937673233554</v>
          </cell>
          <cell r="J76">
            <v>9.4837937673233554</v>
          </cell>
          <cell r="K76">
            <v>9.4948828867725563</v>
          </cell>
          <cell r="L76">
            <v>9.4948828867725563</v>
          </cell>
          <cell r="M76">
            <v>9.4948828867725563</v>
          </cell>
          <cell r="N76">
            <v>9.4948828867725563</v>
          </cell>
          <cell r="O76">
            <v>9.4948828867725563</v>
          </cell>
          <cell r="P76">
            <v>9.4948828867725563</v>
          </cell>
          <cell r="Q76">
            <v>9.4948828867725563</v>
          </cell>
          <cell r="R76">
            <v>9.4240606359117507</v>
          </cell>
          <cell r="S76">
            <v>9.4240606359117507</v>
          </cell>
          <cell r="T76">
            <v>9.4240606359117507</v>
          </cell>
          <cell r="U76">
            <v>9.4240606359117507</v>
          </cell>
          <cell r="V76">
            <v>9.4240606359117507</v>
          </cell>
          <cell r="W76">
            <v>9.4240606359117507</v>
          </cell>
          <cell r="X76">
            <v>9.4240606359117507</v>
          </cell>
          <cell r="Y76">
            <v>9.4711155269849403</v>
          </cell>
          <cell r="Z76">
            <v>9.4711155269849403</v>
          </cell>
          <cell r="AA76">
            <v>9.4711155269849403</v>
          </cell>
          <cell r="AB76">
            <v>9.4711155269849403</v>
          </cell>
          <cell r="AC76">
            <v>9.4711155269849403</v>
          </cell>
          <cell r="AD76">
            <v>9.4711155269849403</v>
          </cell>
          <cell r="AE76">
            <v>9.4711155269849403</v>
          </cell>
          <cell r="AF76">
            <v>9.4711155269849403</v>
          </cell>
          <cell r="AG76">
            <v>9.4837937673233554</v>
          </cell>
        </row>
        <row r="77">
          <cell r="D77">
            <v>13.266567647328657</v>
          </cell>
          <cell r="E77">
            <v>13.266567647328657</v>
          </cell>
          <cell r="F77">
            <v>13.266567647328657</v>
          </cell>
          <cell r="G77">
            <v>13.266567647328657</v>
          </cell>
          <cell r="H77">
            <v>13.266567647328657</v>
          </cell>
          <cell r="I77">
            <v>13.266567647328657</v>
          </cell>
          <cell r="J77">
            <v>13.266567647328657</v>
          </cell>
          <cell r="K77">
            <v>13.286351054568922</v>
          </cell>
          <cell r="L77">
            <v>13.286351054568922</v>
          </cell>
          <cell r="M77">
            <v>13.286351054568922</v>
          </cell>
          <cell r="N77">
            <v>13.286351054568922</v>
          </cell>
          <cell r="O77">
            <v>13.286351054568922</v>
          </cell>
          <cell r="P77">
            <v>13.286351054568922</v>
          </cell>
          <cell r="Q77">
            <v>13.286351054568922</v>
          </cell>
          <cell r="R77">
            <v>13.290820323273017</v>
          </cell>
          <cell r="S77">
            <v>13.290820323273017</v>
          </cell>
          <cell r="T77">
            <v>13.290820323273017</v>
          </cell>
          <cell r="U77">
            <v>13.290820323273017</v>
          </cell>
          <cell r="V77">
            <v>13.290820323273017</v>
          </cell>
          <cell r="W77">
            <v>13.290820323273017</v>
          </cell>
          <cell r="X77">
            <v>13.290820323273017</v>
          </cell>
          <cell r="Y77">
            <v>13.340347571254151</v>
          </cell>
          <cell r="Z77">
            <v>13.340347571254151</v>
          </cell>
          <cell r="AA77">
            <v>13.340347571254151</v>
          </cell>
          <cell r="AB77">
            <v>13.340347571254151</v>
          </cell>
          <cell r="AC77">
            <v>13.340347571254151</v>
          </cell>
          <cell r="AD77">
            <v>13.340347571254151</v>
          </cell>
          <cell r="AE77">
            <v>13.340347571254151</v>
          </cell>
          <cell r="AF77">
            <v>13.340347571254151</v>
          </cell>
          <cell r="AG77">
            <v>13.266567647328657</v>
          </cell>
        </row>
        <row r="78">
          <cell r="D78">
            <v>3.9804461455200002</v>
          </cell>
          <cell r="E78">
            <v>3.2222995999999999</v>
          </cell>
          <cell r="F78">
            <v>1.4028908999999998</v>
          </cell>
          <cell r="G78">
            <v>1.2272085349999999</v>
          </cell>
          <cell r="H78">
            <v>2.3041184705000002</v>
          </cell>
          <cell r="I78">
            <v>2.5114743799999997</v>
          </cell>
          <cell r="J78">
            <v>1.2208912000000001</v>
          </cell>
          <cell r="K78">
            <v>3.8183750000000001</v>
          </cell>
          <cell r="L78">
            <v>2.2227711999999999</v>
          </cell>
          <cell r="M78">
            <v>2.6194509500000001</v>
          </cell>
          <cell r="N78">
            <v>4.2974983999999994</v>
          </cell>
          <cell r="O78">
            <v>3.4632247900000004</v>
          </cell>
          <cell r="P78">
            <v>3.7672249890000002</v>
          </cell>
          <cell r="Q78">
            <v>2.9840223538799999</v>
          </cell>
          <cell r="R78">
            <v>1.0499499999999999</v>
          </cell>
          <cell r="S78">
            <v>5.0504337999999995</v>
          </cell>
          <cell r="T78">
            <v>1.9521599999999999</v>
          </cell>
          <cell r="U78">
            <v>4.8996817500000001</v>
          </cell>
          <cell r="V78">
            <v>3.1051641363</v>
          </cell>
          <cell r="W78">
            <v>2.4113899999999999</v>
          </cell>
          <cell r="X78">
            <v>2.3620079999999999</v>
          </cell>
          <cell r="Y78">
            <v>0</v>
          </cell>
          <cell r="Z78">
            <v>1.7726111040000001</v>
          </cell>
          <cell r="AA78">
            <v>0</v>
          </cell>
          <cell r="AB78">
            <v>1.2695944800000001</v>
          </cell>
          <cell r="AC78">
            <v>4.4721718419999998</v>
          </cell>
          <cell r="AD78">
            <v>2.223640799</v>
          </cell>
          <cell r="AE78">
            <v>1.2114359619999999</v>
          </cell>
          <cell r="AF78">
            <v>1.2799776</v>
          </cell>
          <cell r="AG78">
            <v>2.8661152000000003</v>
          </cell>
        </row>
        <row r="79">
          <cell r="D79">
            <v>6454.490485776013</v>
          </cell>
          <cell r="E79">
            <v>6454.490485776013</v>
          </cell>
          <cell r="F79">
            <v>6454.490485776013</v>
          </cell>
          <cell r="G79">
            <v>6454.490485776013</v>
          </cell>
          <cell r="H79">
            <v>6454.490485776013</v>
          </cell>
          <cell r="I79">
            <v>6454.490485776013</v>
          </cell>
          <cell r="J79">
            <v>6454.490485776013</v>
          </cell>
          <cell r="K79">
            <v>6417.323555793213</v>
          </cell>
          <cell r="L79">
            <v>6417.323555793213</v>
          </cell>
          <cell r="M79">
            <v>6417.323555793213</v>
          </cell>
          <cell r="N79">
            <v>6417.323555793213</v>
          </cell>
          <cell r="O79">
            <v>6417.323555793213</v>
          </cell>
          <cell r="P79">
            <v>6417.323555793213</v>
          </cell>
          <cell r="Q79">
            <v>6417.323555793213</v>
          </cell>
          <cell r="R79">
            <v>6420.6712516136122</v>
          </cell>
          <cell r="S79">
            <v>6420.6712516136122</v>
          </cell>
          <cell r="T79">
            <v>6420.6712516136122</v>
          </cell>
          <cell r="U79">
            <v>6420.6712516136122</v>
          </cell>
          <cell r="V79">
            <v>6420.6712516136122</v>
          </cell>
          <cell r="W79">
            <v>6420.6712516136122</v>
          </cell>
          <cell r="X79">
            <v>6420.6712516136122</v>
          </cell>
          <cell r="Y79">
            <v>0</v>
          </cell>
          <cell r="Z79">
            <v>6450.9136929119895</v>
          </cell>
          <cell r="AA79">
            <v>0</v>
          </cell>
          <cell r="AB79">
            <v>6450.9136929119895</v>
          </cell>
          <cell r="AC79">
            <v>6450.9136929119895</v>
          </cell>
          <cell r="AD79">
            <v>6450.9136929119895</v>
          </cell>
          <cell r="AE79">
            <v>6450.9136929119895</v>
          </cell>
          <cell r="AF79">
            <v>6450.9136929119895</v>
          </cell>
          <cell r="AG79">
            <v>6450.9136929119895</v>
          </cell>
        </row>
        <row r="80">
          <cell r="D80">
            <v>2.4125247259909695</v>
          </cell>
          <cell r="E80">
            <v>2.4125247259909695</v>
          </cell>
          <cell r="F80">
            <v>2.4125247259909695</v>
          </cell>
          <cell r="G80">
            <v>2.4125247259909695</v>
          </cell>
          <cell r="H80">
            <v>2.4125247259909695</v>
          </cell>
          <cell r="I80">
            <v>2.4125247259909695</v>
          </cell>
          <cell r="J80">
            <v>2.4125247259909695</v>
          </cell>
          <cell r="K80">
            <v>2.4153080678279379</v>
          </cell>
          <cell r="L80">
            <v>2.4153080678279379</v>
          </cell>
          <cell r="M80">
            <v>2.4153080678279379</v>
          </cell>
          <cell r="N80">
            <v>2.4153080678279379</v>
          </cell>
          <cell r="O80">
            <v>2.4153080678279379</v>
          </cell>
          <cell r="P80">
            <v>2.4153080678279379</v>
          </cell>
          <cell r="Q80">
            <v>2.4153080678279379</v>
          </cell>
          <cell r="R80">
            <v>2.4430758926056773</v>
          </cell>
          <cell r="S80">
            <v>2.4430758926056773</v>
          </cell>
          <cell r="T80">
            <v>2.4430758926056773</v>
          </cell>
          <cell r="U80">
            <v>2.4430758926056773</v>
          </cell>
          <cell r="V80">
            <v>2.4430758926056773</v>
          </cell>
          <cell r="W80">
            <v>2.4430758926056773</v>
          </cell>
          <cell r="X80">
            <v>2.4430758926056773</v>
          </cell>
          <cell r="Y80">
            <v>0</v>
          </cell>
          <cell r="Z80">
            <v>2.4043724107087527</v>
          </cell>
          <cell r="AA80">
            <v>0</v>
          </cell>
          <cell r="AB80">
            <v>2.4043724107087527</v>
          </cell>
          <cell r="AC80">
            <v>2.4043724107087527</v>
          </cell>
          <cell r="AD80">
            <v>2.4043724107087527</v>
          </cell>
          <cell r="AE80">
            <v>2.4043724107087527</v>
          </cell>
          <cell r="AF80">
            <v>2.4043724107087527</v>
          </cell>
          <cell r="AG80">
            <v>2.4043724107087527</v>
          </cell>
        </row>
        <row r="81">
          <cell r="D81">
            <v>4.6883348454137872</v>
          </cell>
          <cell r="E81">
            <v>4.6883348454137872</v>
          </cell>
          <cell r="F81">
            <v>4.6883348454137872</v>
          </cell>
          <cell r="G81">
            <v>4.6883348454137872</v>
          </cell>
          <cell r="H81">
            <v>4.6883348454137872</v>
          </cell>
          <cell r="I81">
            <v>4.6883348454137872</v>
          </cell>
          <cell r="J81">
            <v>4.6883348454137872</v>
          </cell>
          <cell r="K81">
            <v>5.077322718687447</v>
          </cell>
          <cell r="L81">
            <v>5.077322718687447</v>
          </cell>
          <cell r="M81">
            <v>5.077322718687447</v>
          </cell>
          <cell r="N81">
            <v>5.077322718687447</v>
          </cell>
          <cell r="O81">
            <v>5.077322718687447</v>
          </cell>
          <cell r="P81">
            <v>5.077322718687447</v>
          </cell>
          <cell r="Q81">
            <v>5.077322718687447</v>
          </cell>
          <cell r="R81">
            <v>5.1836473432941181</v>
          </cell>
          <cell r="S81">
            <v>5.1836473432941181</v>
          </cell>
          <cell r="T81">
            <v>5.1836473432941181</v>
          </cell>
          <cell r="U81">
            <v>5.1836473432941181</v>
          </cell>
          <cell r="V81">
            <v>5.1836473432941181</v>
          </cell>
          <cell r="W81">
            <v>5.1836473432941181</v>
          </cell>
          <cell r="X81">
            <v>5.1836473432941181</v>
          </cell>
          <cell r="Y81">
            <v>0</v>
          </cell>
          <cell r="Z81">
            <v>4.8093602674239113</v>
          </cell>
          <cell r="AA81">
            <v>0</v>
          </cell>
          <cell r="AB81">
            <v>4.8093602674239113</v>
          </cell>
          <cell r="AC81">
            <v>4.8093602674239113</v>
          </cell>
          <cell r="AD81">
            <v>4.8093602674239113</v>
          </cell>
          <cell r="AE81">
            <v>4.8093602674239113</v>
          </cell>
          <cell r="AF81">
            <v>4.8093602674239113</v>
          </cell>
          <cell r="AG81">
            <v>4.8093602674239113</v>
          </cell>
        </row>
        <row r="82">
          <cell r="D82">
            <v>10.389961195940687</v>
          </cell>
          <cell r="E82">
            <v>10.389961195940687</v>
          </cell>
          <cell r="F82">
            <v>10.389961195940687</v>
          </cell>
          <cell r="G82">
            <v>10.389961195940687</v>
          </cell>
          <cell r="H82">
            <v>10.389961195940687</v>
          </cell>
          <cell r="I82">
            <v>10.389961195940687</v>
          </cell>
          <cell r="J82">
            <v>10.389961195940687</v>
          </cell>
          <cell r="K82">
            <v>10.399306740190713</v>
          </cell>
          <cell r="L82">
            <v>10.399306740190713</v>
          </cell>
          <cell r="M82">
            <v>10.399306740190713</v>
          </cell>
          <cell r="N82">
            <v>10.399306740190713</v>
          </cell>
          <cell r="O82">
            <v>10.399306740190713</v>
          </cell>
          <cell r="P82">
            <v>10.399306740190713</v>
          </cell>
          <cell r="Q82">
            <v>10.399306740190713</v>
          </cell>
          <cell r="R82">
            <v>10.276704129424663</v>
          </cell>
          <cell r="S82">
            <v>10.276704129424663</v>
          </cell>
          <cell r="T82">
            <v>10.276704129424663</v>
          </cell>
          <cell r="U82">
            <v>10.276704129424663</v>
          </cell>
          <cell r="V82">
            <v>10.276704129424663</v>
          </cell>
          <cell r="W82">
            <v>10.276704129424663</v>
          </cell>
          <cell r="X82">
            <v>10.276704129424663</v>
          </cell>
          <cell r="Y82">
            <v>0</v>
          </cell>
          <cell r="Z82">
            <v>10.349911682963551</v>
          </cell>
          <cell r="AA82">
            <v>0</v>
          </cell>
          <cell r="AB82">
            <v>10.349911682963551</v>
          </cell>
          <cell r="AC82">
            <v>10.349911682963551</v>
          </cell>
          <cell r="AD82">
            <v>10.349911682963551</v>
          </cell>
          <cell r="AE82">
            <v>10.349911682963551</v>
          </cell>
          <cell r="AF82">
            <v>10.349911682963551</v>
          </cell>
          <cell r="AG82">
            <v>10.349911682963551</v>
          </cell>
        </row>
        <row r="83">
          <cell r="D83">
            <v>14.208668724299947</v>
          </cell>
          <cell r="E83">
            <v>14.208668724299947</v>
          </cell>
          <cell r="F83">
            <v>14.208668724299947</v>
          </cell>
          <cell r="G83">
            <v>14.208668724299947</v>
          </cell>
          <cell r="H83">
            <v>14.208668724299947</v>
          </cell>
          <cell r="I83">
            <v>14.208668724299947</v>
          </cell>
          <cell r="J83">
            <v>14.208668724299947</v>
          </cell>
          <cell r="K83">
            <v>14.246155561557075</v>
          </cell>
          <cell r="L83">
            <v>14.246155561557075</v>
          </cell>
          <cell r="M83">
            <v>14.246155561557075</v>
          </cell>
          <cell r="N83">
            <v>14.246155561557075</v>
          </cell>
          <cell r="O83">
            <v>14.246155561557075</v>
          </cell>
          <cell r="P83">
            <v>14.246155561557075</v>
          </cell>
          <cell r="Q83">
            <v>14.246155561557075</v>
          </cell>
          <cell r="R83">
            <v>14.110006770500668</v>
          </cell>
          <cell r="S83">
            <v>14.110006770500668</v>
          </cell>
          <cell r="T83">
            <v>14.110006770500668</v>
          </cell>
          <cell r="U83">
            <v>14.110006770500668</v>
          </cell>
          <cell r="V83">
            <v>14.110006770500668</v>
          </cell>
          <cell r="W83">
            <v>14.110006770500668</v>
          </cell>
          <cell r="X83">
            <v>14.110006770500668</v>
          </cell>
          <cell r="Y83">
            <v>0</v>
          </cell>
          <cell r="Z83">
            <v>14.207186430480366</v>
          </cell>
          <cell r="AA83">
            <v>0</v>
          </cell>
          <cell r="AB83">
            <v>14.207186430480366</v>
          </cell>
          <cell r="AC83">
            <v>14.207186430480366</v>
          </cell>
          <cell r="AD83">
            <v>14.207186430480366</v>
          </cell>
          <cell r="AE83">
            <v>14.207186430480366</v>
          </cell>
          <cell r="AF83">
            <v>14.207186430480366</v>
          </cell>
          <cell r="AG83">
            <v>14.207186430480366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5">
          <cell r="D185">
            <v>498.88376452551995</v>
          </cell>
          <cell r="E185">
            <v>503.63963052552003</v>
          </cell>
          <cell r="F185">
            <v>509.02355022552007</v>
          </cell>
          <cell r="G185">
            <v>514.15270688852002</v>
          </cell>
          <cell r="H185">
            <v>518.68552885902</v>
          </cell>
          <cell r="I185">
            <v>524.39910083902009</v>
          </cell>
          <cell r="J185">
            <v>527.535579750284</v>
          </cell>
          <cell r="K185">
            <v>533.51788675028399</v>
          </cell>
          <cell r="L185">
            <v>538.63485135374003</v>
          </cell>
          <cell r="M185">
            <v>541.70553523173999</v>
          </cell>
          <cell r="N185">
            <v>544.14083083174</v>
          </cell>
          <cell r="O185">
            <v>549.32311002173992</v>
          </cell>
          <cell r="P185">
            <v>555.50233181073997</v>
          </cell>
          <cell r="Q185">
            <v>572.98334736461993</v>
          </cell>
          <cell r="R185">
            <v>579.35613136461996</v>
          </cell>
          <cell r="S185">
            <v>587.03970876461995</v>
          </cell>
          <cell r="T185">
            <v>605.08340218382</v>
          </cell>
          <cell r="U185">
            <v>615.26124543781998</v>
          </cell>
          <cell r="V185">
            <v>621.79578747811991</v>
          </cell>
          <cell r="W185">
            <v>627.64156947811989</v>
          </cell>
          <cell r="X185">
            <v>627.28779976011992</v>
          </cell>
          <cell r="Y185">
            <v>626.58539764411989</v>
          </cell>
          <cell r="Z185">
            <v>624.11188004811993</v>
          </cell>
          <cell r="AA185">
            <v>620.14832784812006</v>
          </cell>
          <cell r="AB185">
            <v>619.15318922162396</v>
          </cell>
          <cell r="AC185">
            <v>615.21099866362397</v>
          </cell>
          <cell r="AD185">
            <v>611.9616864626239</v>
          </cell>
          <cell r="AE185">
            <v>607.37573574462397</v>
          </cell>
          <cell r="AF185">
            <v>604.58132324462395</v>
          </cell>
          <cell r="AG185">
            <v>601.89770794462402</v>
          </cell>
          <cell r="AH185">
            <v>601.89770794462402</v>
          </cell>
        </row>
        <row r="186">
          <cell r="D186">
            <v>293.75839531999998</v>
          </cell>
          <cell r="E186">
            <v>290.35266572</v>
          </cell>
          <cell r="F186">
            <v>287.28804492000006</v>
          </cell>
          <cell r="G186">
            <v>285.98680504800006</v>
          </cell>
          <cell r="H186">
            <v>285.29224854800003</v>
          </cell>
          <cell r="I186">
            <v>283.60320534800002</v>
          </cell>
          <cell r="J186">
            <v>283.12092305926399</v>
          </cell>
          <cell r="K186">
            <v>282.086155059264</v>
          </cell>
          <cell r="L186">
            <v>292.57251846271998</v>
          </cell>
          <cell r="M186">
            <v>300.65666139071999</v>
          </cell>
          <cell r="N186">
            <v>308.42331859071999</v>
          </cell>
          <cell r="O186">
            <v>316.96589419071995</v>
          </cell>
          <cell r="P186">
            <v>313.90161219071996</v>
          </cell>
          <cell r="Q186">
            <v>322.92895419071999</v>
          </cell>
          <cell r="R186">
            <v>321.27217019071998</v>
          </cell>
          <cell r="S186">
            <v>318.37069499071998</v>
          </cell>
          <cell r="T186">
            <v>341.21057040991997</v>
          </cell>
          <cell r="U186">
            <v>351.40031400992001</v>
          </cell>
          <cell r="V186">
            <v>363.43820191391995</v>
          </cell>
          <cell r="W186">
            <v>362.46628471392</v>
          </cell>
          <cell r="X186">
            <v>365.16051059591996</v>
          </cell>
          <cell r="Y186">
            <v>358.41155997992001</v>
          </cell>
          <cell r="Z186">
            <v>351.30341437992001</v>
          </cell>
          <cell r="AA186">
            <v>342.57535117992006</v>
          </cell>
          <cell r="AB186">
            <v>334.96178217992002</v>
          </cell>
          <cell r="AC186">
            <v>334.94231377992003</v>
          </cell>
          <cell r="AD186">
            <v>326.81074177992008</v>
          </cell>
          <cell r="AE186">
            <v>318.2613988999201</v>
          </cell>
          <cell r="AF186">
            <v>310.49785559992006</v>
          </cell>
          <cell r="AG186">
            <v>312.32583549992006</v>
          </cell>
          <cell r="AH186">
            <v>312.32583549992006</v>
          </cell>
        </row>
        <row r="187">
          <cell r="D187">
            <v>6477.9698870088296</v>
          </cell>
          <cell r="E187">
            <v>6491.1334436034458</v>
          </cell>
          <cell r="F187">
            <v>6504.7649811606452</v>
          </cell>
          <cell r="G187">
            <v>6519.5181483339047</v>
          </cell>
          <cell r="H187">
            <v>6514.3160043679627</v>
          </cell>
          <cell r="I187">
            <v>6508.5397099303991</v>
          </cell>
          <cell r="J187">
            <v>6503.5898273676057</v>
          </cell>
          <cell r="K187">
            <v>6517.4046059168322</v>
          </cell>
          <cell r="L187">
            <v>6515.3049056160398</v>
          </cell>
          <cell r="M187">
            <v>6512.1756278058519</v>
          </cell>
          <cell r="N187">
            <v>6508.8658805391005</v>
          </cell>
          <cell r="O187">
            <v>6505.3072942336703</v>
          </cell>
          <cell r="P187">
            <v>6496.968144790837</v>
          </cell>
          <cell r="Q187">
            <v>6494.1162400170015</v>
          </cell>
          <cell r="R187">
            <v>6486.1591627550861</v>
          </cell>
          <cell r="S187">
            <v>6477.4917838859192</v>
          </cell>
          <cell r="T187">
            <v>6482.6744677067672</v>
          </cell>
          <cell r="U187">
            <v>6481.9290309873695</v>
          </cell>
          <cell r="V187">
            <v>6481.4055103240207</v>
          </cell>
          <cell r="W187">
            <v>6491.818435178021</v>
          </cell>
          <cell r="X187">
            <v>6504.8769006984357</v>
          </cell>
          <cell r="Y187">
            <v>6514.3219098325526</v>
          </cell>
          <cell r="Z187">
            <v>6507.6833490926419</v>
          </cell>
          <cell r="AA187">
            <v>6500.8030740545619</v>
          </cell>
          <cell r="AB187">
            <v>6494.0769878057063</v>
          </cell>
          <cell r="AC187">
            <v>6489.4226820672111</v>
          </cell>
          <cell r="AD187">
            <v>6481.4827528332553</v>
          </cell>
          <cell r="AE187">
            <v>6472.6069890335484</v>
          </cell>
          <cell r="AF187">
            <v>6464.3933133869778</v>
          </cell>
          <cell r="AG187">
            <v>6460.1404305151964</v>
          </cell>
          <cell r="AH187">
            <v>6460.1404305151964</v>
          </cell>
        </row>
        <row r="188">
          <cell r="D188">
            <v>0.52039647787226462</v>
          </cell>
          <cell r="E188">
            <v>0.53038267827721441</v>
          </cell>
          <cell r="F188">
            <v>0.54080651409195357</v>
          </cell>
          <cell r="G188">
            <v>0.55254851614822986</v>
          </cell>
          <cell r="H188">
            <v>0.55109782391207263</v>
          </cell>
          <cell r="I188">
            <v>0.5487111110401155</v>
          </cell>
          <cell r="J188">
            <v>0.54755285635740625</v>
          </cell>
          <cell r="K188">
            <v>0.55834318496113244</v>
          </cell>
          <cell r="L188">
            <v>0.56002076255831634</v>
          </cell>
          <cell r="M188">
            <v>0.55950764344700321</v>
          </cell>
          <cell r="N188">
            <v>0.55782653752630695</v>
          </cell>
          <cell r="O188">
            <v>0.55599212269374498</v>
          </cell>
          <cell r="P188">
            <v>0.55034095982729869</v>
          </cell>
          <cell r="Q188">
            <v>0.54900537396443772</v>
          </cell>
          <cell r="R188">
            <v>0.54185693564177206</v>
          </cell>
          <cell r="S188">
            <v>0.53391590671412481</v>
          </cell>
          <cell r="T188">
            <v>0.53738189643900269</v>
          </cell>
          <cell r="U188">
            <v>0.53594492401331162</v>
          </cell>
          <cell r="V188">
            <v>0.53491814244028135</v>
          </cell>
          <cell r="W188">
            <v>0.54120058503893487</v>
          </cell>
          <cell r="X188">
            <v>0.55080166624263316</v>
          </cell>
          <cell r="Y188">
            <v>0.55582592930616548</v>
          </cell>
          <cell r="Z188">
            <v>0.5495109059317016</v>
          </cell>
          <cell r="AA188">
            <v>0.54262668319191354</v>
          </cell>
          <cell r="AB188">
            <v>0.5361057122572136</v>
          </cell>
          <cell r="AC188">
            <v>0.52994400470409442</v>
          </cell>
          <cell r="AD188">
            <v>0.52178153506528213</v>
          </cell>
          <cell r="AE188">
            <v>0.51224035171125104</v>
          </cell>
          <cell r="AF188">
            <v>0.50603443260420411</v>
          </cell>
          <cell r="AG188">
            <v>0.5021654203187087</v>
          </cell>
          <cell r="AH188">
            <v>0.5021654203187087</v>
          </cell>
        </row>
        <row r="189">
          <cell r="D189">
            <v>4.3952943742227966</v>
          </cell>
          <cell r="E189">
            <v>4.3746360912355611</v>
          </cell>
          <cell r="F189">
            <v>4.3518762926180106</v>
          </cell>
          <cell r="G189">
            <v>4.326703319350516</v>
          </cell>
          <cell r="H189">
            <v>4.3741816951954586</v>
          </cell>
          <cell r="I189">
            <v>4.4201363344301656</v>
          </cell>
          <cell r="J189">
            <v>4.4602127805324772</v>
          </cell>
          <cell r="K189">
            <v>4.4384853977703509</v>
          </cell>
          <cell r="L189">
            <v>4.4626817649440822</v>
          </cell>
          <cell r="M189">
            <v>4.4885096587390318</v>
          </cell>
          <cell r="N189">
            <v>4.5144982419427038</v>
          </cell>
          <cell r="O189">
            <v>4.5385857487176748</v>
          </cell>
          <cell r="P189">
            <v>4.577221478162727</v>
          </cell>
          <cell r="Q189">
            <v>4.5970545645841812</v>
          </cell>
          <cell r="R189">
            <v>4.6206277987536977</v>
          </cell>
          <cell r="S189">
            <v>4.6456399535588755</v>
          </cell>
          <cell r="T189">
            <v>4.633684695147994</v>
          </cell>
          <cell r="U189">
            <v>4.6365571225457449</v>
          </cell>
          <cell r="V189">
            <v>4.6377962908784793</v>
          </cell>
          <cell r="W189">
            <v>4.6148900125931496</v>
          </cell>
          <cell r="X189">
            <v>4.584155867215169</v>
          </cell>
          <cell r="Y189">
            <v>4.5343531007922904</v>
          </cell>
          <cell r="Z189">
            <v>4.5218653565598981</v>
          </cell>
          <cell r="AA189">
            <v>4.5105027143900784</v>
          </cell>
          <cell r="AB189">
            <v>4.498602081769107</v>
          </cell>
          <cell r="AC189">
            <v>4.4820911235236025</v>
          </cell>
          <cell r="AD189">
            <v>4.4756978595838355</v>
          </cell>
          <cell r="AE189">
            <v>4.4719135754677763</v>
          </cell>
          <cell r="AF189">
            <v>4.4670205669124927</v>
          </cell>
          <cell r="AG189">
            <v>4.456735571620472</v>
          </cell>
          <cell r="AH189">
            <v>4.456735571620472</v>
          </cell>
        </row>
        <row r="190">
          <cell r="D190">
            <v>10.788918915263418</v>
          </cell>
          <cell r="E190">
            <v>10.699306841171763</v>
          </cell>
          <cell r="F190">
            <v>10.607131073875772</v>
          </cell>
          <cell r="G190">
            <v>10.507953922568362</v>
          </cell>
          <cell r="H190">
            <v>10.518054247557492</v>
          </cell>
          <cell r="I190">
            <v>10.532839437303561</v>
          </cell>
          <cell r="J190">
            <v>10.545973164991661</v>
          </cell>
          <cell r="K190">
            <v>10.449860782095506</v>
          </cell>
          <cell r="L190">
            <v>10.452357775318811</v>
          </cell>
          <cell r="M190">
            <v>10.459947578162568</v>
          </cell>
          <cell r="N190">
            <v>10.467337816695283</v>
          </cell>
          <cell r="O190">
            <v>10.478287537285269</v>
          </cell>
          <cell r="P190">
            <v>10.516313526905968</v>
          </cell>
          <cell r="Q190">
            <v>10.524775130317689</v>
          </cell>
          <cell r="R190">
            <v>10.568178635919688</v>
          </cell>
          <cell r="S190">
            <v>10.615395554111018</v>
          </cell>
          <cell r="T190">
            <v>10.582290572151724</v>
          </cell>
          <cell r="U190">
            <v>10.584294779229422</v>
          </cell>
          <cell r="V190">
            <v>10.586245509035846</v>
          </cell>
          <cell r="W190">
            <v>10.51640911395471</v>
          </cell>
          <cell r="X190">
            <v>10.434464133901301</v>
          </cell>
          <cell r="Y190">
            <v>10.391079703267593</v>
          </cell>
          <cell r="Z190">
            <v>10.450666135023837</v>
          </cell>
          <cell r="AA190">
            <v>10.510677951804972</v>
          </cell>
          <cell r="AB190">
            <v>10.570344927833913</v>
          </cell>
          <cell r="AC190">
            <v>10.614665569606649</v>
          </cell>
          <cell r="AD190">
            <v>10.678478502861232</v>
          </cell>
          <cell r="AE190">
            <v>10.746662583244065</v>
          </cell>
          <cell r="AF190">
            <v>10.816964049060404</v>
          </cell>
          <cell r="AG190">
            <v>10.857940847327797</v>
          </cell>
          <cell r="AH190">
            <v>10.857940847327797</v>
          </cell>
        </row>
        <row r="191">
          <cell r="D191">
            <v>14.601437685960022</v>
          </cell>
          <cell r="E191">
            <v>14.510972523106249</v>
          </cell>
          <cell r="F191">
            <v>14.417820333277019</v>
          </cell>
          <cell r="G191">
            <v>14.318242947440639</v>
          </cell>
          <cell r="H191">
            <v>14.336966147744297</v>
          </cell>
          <cell r="I191">
            <v>14.359415497359025</v>
          </cell>
          <cell r="J191">
            <v>14.381577217455527</v>
          </cell>
          <cell r="K191">
            <v>14.283353388254946</v>
          </cell>
          <cell r="L191">
            <v>14.295772190453475</v>
          </cell>
          <cell r="M191">
            <v>14.310225066768199</v>
          </cell>
          <cell r="N191">
            <v>14.322033515314393</v>
          </cell>
          <cell r="O191">
            <v>14.337837515623711</v>
          </cell>
          <cell r="P191">
            <v>14.382039006986718</v>
          </cell>
          <cell r="Q191">
            <v>14.394920425227868</v>
          </cell>
          <cell r="R191">
            <v>14.448708985591679</v>
          </cell>
          <cell r="S191">
            <v>14.505104150738459</v>
          </cell>
          <cell r="T191">
            <v>14.477669726258485</v>
          </cell>
          <cell r="U191">
            <v>14.485491818359762</v>
          </cell>
          <cell r="V191">
            <v>14.493588270619993</v>
          </cell>
          <cell r="W191">
            <v>14.422103199902754</v>
          </cell>
          <cell r="X191">
            <v>14.338401351863768</v>
          </cell>
          <cell r="Y191">
            <v>14.292910893040643</v>
          </cell>
          <cell r="Z191">
            <v>14.358484601699363</v>
          </cell>
          <cell r="AA191">
            <v>14.42380625267017</v>
          </cell>
          <cell r="AB191">
            <v>14.489158826935221</v>
          </cell>
          <cell r="AC191">
            <v>14.536307372080584</v>
          </cell>
          <cell r="AD191">
            <v>14.604825983912699</v>
          </cell>
          <cell r="AE191">
            <v>14.67701799178035</v>
          </cell>
          <cell r="AF191">
            <v>14.755411953960895</v>
          </cell>
          <cell r="AG191">
            <v>14.801076415248556</v>
          </cell>
          <cell r="AH191">
            <v>14.801076415248556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D198">
            <v>54.262772410000004</v>
          </cell>
          <cell r="E198">
            <v>60.773034809999999</v>
          </cell>
          <cell r="F198">
            <v>66.903190010000003</v>
          </cell>
          <cell r="G198">
            <v>72.962577210000006</v>
          </cell>
          <cell r="H198">
            <v>77.368604410000003</v>
          </cell>
          <cell r="I198">
            <v>81.376308409999993</v>
          </cell>
          <cell r="J198">
            <v>84.216092409999987</v>
          </cell>
          <cell r="K198">
            <v>91.695199609999975</v>
          </cell>
          <cell r="L198">
            <v>97.387375609999978</v>
          </cell>
          <cell r="M198">
            <v>103.65879720999999</v>
          </cell>
          <cell r="N198">
            <v>111.19699080999999</v>
          </cell>
          <cell r="O198">
            <v>118.50687720999998</v>
          </cell>
          <cell r="P198">
            <v>121.58874600999999</v>
          </cell>
          <cell r="Q198">
            <v>128.69214120999999</v>
          </cell>
          <cell r="R198">
            <v>132.54035721</v>
          </cell>
          <cell r="S198">
            <v>136.19312361000001</v>
          </cell>
          <cell r="T198">
            <v>149.80422441000002</v>
          </cell>
          <cell r="U198">
            <v>158.52111041000003</v>
          </cell>
          <cell r="V198">
            <v>167.35138561000005</v>
          </cell>
          <cell r="W198">
            <v>174.99636001000005</v>
          </cell>
          <cell r="X198">
            <v>179.95002001000006</v>
          </cell>
          <cell r="Y198">
            <v>179.45060741000006</v>
          </cell>
          <cell r="Z198">
            <v>173.45160741000007</v>
          </cell>
          <cell r="AA198">
            <v>167.53849741000008</v>
          </cell>
          <cell r="AB198">
            <v>161.72332741000008</v>
          </cell>
          <cell r="AC198">
            <v>162.55629741000007</v>
          </cell>
          <cell r="AD198">
            <v>158.55895741000009</v>
          </cell>
          <cell r="AE198">
            <v>155.6719774100001</v>
          </cell>
          <cell r="AF198">
            <v>146.87463741000008</v>
          </cell>
          <cell r="AG198">
            <v>145.47463741000007</v>
          </cell>
          <cell r="AH198">
            <v>145.47463741000007</v>
          </cell>
        </row>
        <row r="199">
          <cell r="D199">
            <v>6568.2978184498115</v>
          </cell>
          <cell r="E199">
            <v>6574.8705662730017</v>
          </cell>
          <cell r="F199">
            <v>6579.6774555604024</v>
          </cell>
          <cell r="G199">
            <v>6583.4098143709625</v>
          </cell>
          <cell r="H199">
            <v>6587.0238781621829</v>
          </cell>
          <cell r="I199">
            <v>6589.8499119896887</v>
          </cell>
          <cell r="J199">
            <v>6591.9835060342757</v>
          </cell>
          <cell r="K199">
            <v>6590.4208159908694</v>
          </cell>
          <cell r="L199">
            <v>6589.2252842684093</v>
          </cell>
          <cell r="M199">
            <v>6588.1665935431784</v>
          </cell>
          <cell r="N199">
            <v>6587.2279774536655</v>
          </cell>
          <cell r="O199">
            <v>6586.4535239495081</v>
          </cell>
          <cell r="P199">
            <v>6585.7660836473005</v>
          </cell>
          <cell r="Q199">
            <v>6585.1932738448222</v>
          </cell>
          <cell r="R199">
            <v>6583.0796263536195</v>
          </cell>
          <cell r="S199">
            <v>6581.241017227313</v>
          </cell>
          <cell r="T199">
            <v>6579.5703106010042</v>
          </cell>
          <cell r="U199">
            <v>6578.0656673615886</v>
          </cell>
          <cell r="V199">
            <v>6576.7562119993845</v>
          </cell>
          <cell r="W199">
            <v>6575.7080874924168</v>
          </cell>
          <cell r="X199">
            <v>6575.3126742494233</v>
          </cell>
          <cell r="Y199">
            <v>6576.1929180588932</v>
          </cell>
          <cell r="Z199">
            <v>6577.0303905245528</v>
          </cell>
          <cell r="AA199">
            <v>6577.882896675691</v>
          </cell>
          <cell r="AB199">
            <v>6578.7514906954048</v>
          </cell>
          <cell r="AC199">
            <v>6579.6278700817002</v>
          </cell>
          <cell r="AD199">
            <v>6580.451551776895</v>
          </cell>
          <cell r="AE199">
            <v>6581.2545675967158</v>
          </cell>
          <cell r="AF199">
            <v>6582.0568984782512</v>
          </cell>
          <cell r="AG199">
            <v>6582.7338968008753</v>
          </cell>
          <cell r="AH199">
            <v>6582.7338968008753</v>
          </cell>
        </row>
        <row r="200">
          <cell r="D200">
            <v>0.47468694279064627</v>
          </cell>
          <cell r="E200">
            <v>0.49399356150134943</v>
          </cell>
          <cell r="F200">
            <v>0.50811319322203918</v>
          </cell>
          <cell r="G200">
            <v>0.51907652703393226</v>
          </cell>
          <cell r="H200">
            <v>0.52969238412905251</v>
          </cell>
          <cell r="I200">
            <v>0.53799350247999489</v>
          </cell>
          <cell r="J200">
            <v>0.54426066620061075</v>
          </cell>
          <cell r="K200">
            <v>0.54942770381239037</v>
          </cell>
          <cell r="L200">
            <v>0.55338073173503366</v>
          </cell>
          <cell r="M200">
            <v>0.55688129463910119</v>
          </cell>
          <cell r="N200">
            <v>0.55998483053094061</v>
          </cell>
          <cell r="O200">
            <v>0.56254556252090526</v>
          </cell>
          <cell r="P200">
            <v>0.56481858519251105</v>
          </cell>
          <cell r="Q200">
            <v>0.56671258189792706</v>
          </cell>
          <cell r="R200">
            <v>0.56514355321524068</v>
          </cell>
          <cell r="S200">
            <v>0.56377869437883099</v>
          </cell>
          <cell r="T200">
            <v>0.56253847498182008</v>
          </cell>
          <cell r="U200">
            <v>0.56142152979125326</v>
          </cell>
          <cell r="V200">
            <v>0.56044947885534824</v>
          </cell>
          <cell r="W200">
            <v>0.55967142223933053</v>
          </cell>
          <cell r="X200">
            <v>0.55937789423981643</v>
          </cell>
          <cell r="Y200">
            <v>0.55518551431218577</v>
          </cell>
          <cell r="Z200">
            <v>0.55119684354029341</v>
          </cell>
          <cell r="AA200">
            <v>0.5471365711046684</v>
          </cell>
          <cell r="AB200">
            <v>0.54299967619631151</v>
          </cell>
          <cell r="AC200">
            <v>0.53882570154455411</v>
          </cell>
          <cell r="AD200">
            <v>0.53490271274469214</v>
          </cell>
          <cell r="AE200">
            <v>0.53107815031281758</v>
          </cell>
          <cell r="AF200">
            <v>0.5272568500697723</v>
          </cell>
          <cell r="AG200">
            <v>0.52403247729000901</v>
          </cell>
          <cell r="AH200">
            <v>0.52403247729000901</v>
          </cell>
        </row>
        <row r="201">
          <cell r="D201">
            <v>4.2390470899394339</v>
          </cell>
          <cell r="E201">
            <v>4.324938384277683</v>
          </cell>
          <cell r="F201">
            <v>4.3877538084719321</v>
          </cell>
          <cell r="G201">
            <v>4.4365274930552268</v>
          </cell>
          <cell r="H201">
            <v>4.4837553230586389</v>
          </cell>
          <cell r="I201">
            <v>4.5206853422557431</v>
          </cell>
          <cell r="J201">
            <v>4.5485667031433961</v>
          </cell>
          <cell r="K201">
            <v>4.5807987711270259</v>
          </cell>
          <cell r="L201">
            <v>4.6054578261440353</v>
          </cell>
          <cell r="M201">
            <v>4.6272943967251461</v>
          </cell>
          <cell r="N201">
            <v>4.6466543060912695</v>
          </cell>
          <cell r="O201">
            <v>4.6626281955400763</v>
          </cell>
          <cell r="P201">
            <v>4.676807349396535</v>
          </cell>
          <cell r="Q201">
            <v>4.688622132867545</v>
          </cell>
          <cell r="R201">
            <v>4.6725387492045796</v>
          </cell>
          <cell r="S201">
            <v>4.6585482157274072</v>
          </cell>
          <cell r="T201">
            <v>4.6458353032048487</v>
          </cell>
          <cell r="U201">
            <v>4.6343860172685112</v>
          </cell>
          <cell r="V201">
            <v>4.6244219749825941</v>
          </cell>
          <cell r="W201">
            <v>4.6164464782915475</v>
          </cell>
          <cell r="X201">
            <v>4.6134376592150694</v>
          </cell>
          <cell r="Y201">
            <v>4.552194935424998</v>
          </cell>
          <cell r="Z201">
            <v>4.493928016255154</v>
          </cell>
          <cell r="AA201">
            <v>4.4346151325041916</v>
          </cell>
          <cell r="AB201">
            <v>4.3741829396699323</v>
          </cell>
          <cell r="AC201">
            <v>4.313209082071868</v>
          </cell>
          <cell r="AD201">
            <v>4.2559016520085651</v>
          </cell>
          <cell r="AE201">
            <v>4.2000320446074184</v>
          </cell>
          <cell r="AF201">
            <v>4.1442100916013551</v>
          </cell>
          <cell r="AG201">
            <v>4.0971081173156252</v>
          </cell>
          <cell r="AH201">
            <v>4.0971081173156252</v>
          </cell>
        </row>
        <row r="202">
          <cell r="D202">
            <v>9.7476275260232956</v>
          </cell>
          <cell r="E202">
            <v>9.6940002025944398</v>
          </cell>
          <cell r="F202">
            <v>9.6547805925566657</v>
          </cell>
          <cell r="G202">
            <v>9.6243281214637868</v>
          </cell>
          <cell r="H202">
            <v>9.5948408243640149</v>
          </cell>
          <cell r="I202">
            <v>9.5717830965817594</v>
          </cell>
          <cell r="J202">
            <v>9.5543750138478973</v>
          </cell>
          <cell r="K202">
            <v>9.5623310855507899</v>
          </cell>
          <cell r="L202">
            <v>9.5684178563388311</v>
          </cell>
          <cell r="M202">
            <v>9.5738079331212695</v>
          </cell>
          <cell r="N202">
            <v>9.5785866779153235</v>
          </cell>
          <cell r="O202">
            <v>9.5825296272133116</v>
          </cell>
          <cell r="P202">
            <v>9.5860295690980699</v>
          </cell>
          <cell r="Q202">
            <v>9.588945896542441</v>
          </cell>
          <cell r="R202">
            <v>9.620451348440664</v>
          </cell>
          <cell r="S202">
            <v>9.6478571536326676</v>
          </cell>
          <cell r="T202">
            <v>9.6727602500431598</v>
          </cell>
          <cell r="U202">
            <v>9.6951880509894792</v>
          </cell>
          <cell r="V202">
            <v>9.7147064347779413</v>
          </cell>
          <cell r="W202">
            <v>9.730329492253265</v>
          </cell>
          <cell r="X202">
            <v>9.7362234139970258</v>
          </cell>
          <cell r="Y202">
            <v>9.7648125596911299</v>
          </cell>
          <cell r="Z202">
            <v>9.7920125491462553</v>
          </cell>
          <cell r="AA202">
            <v>9.819700812668076</v>
          </cell>
          <cell r="AB202">
            <v>9.8479115887183859</v>
          </cell>
          <cell r="AC202">
            <v>9.8763752230984956</v>
          </cell>
          <cell r="AD202">
            <v>9.9031273067100987</v>
          </cell>
          <cell r="AE202">
            <v>9.9292081902341351</v>
          </cell>
          <cell r="AF202">
            <v>9.9552668278755654</v>
          </cell>
          <cell r="AG202">
            <v>9.977254831053715</v>
          </cell>
          <cell r="AH202">
            <v>9.977254831053715</v>
          </cell>
        </row>
        <row r="203">
          <cell r="D203">
            <v>13.291183126442949</v>
          </cell>
          <cell r="E203">
            <v>13.264237241846848</v>
          </cell>
          <cell r="F203">
            <v>13.244530737430606</v>
          </cell>
          <cell r="G203">
            <v>13.229229418638829</v>
          </cell>
          <cell r="H203">
            <v>13.214413066564955</v>
          </cell>
          <cell r="I203">
            <v>13.202827351818382</v>
          </cell>
          <cell r="J203">
            <v>13.194080389292678</v>
          </cell>
          <cell r="K203">
            <v>13.216820003149216</v>
          </cell>
          <cell r="L203">
            <v>13.234216882227491</v>
          </cell>
          <cell r="M203">
            <v>13.249622508177948</v>
          </cell>
          <cell r="N203">
            <v>13.263280858101593</v>
          </cell>
          <cell r="O203">
            <v>13.27455038254034</v>
          </cell>
          <cell r="P203">
            <v>13.284553727149566</v>
          </cell>
          <cell r="Q203">
            <v>13.292889016528635</v>
          </cell>
          <cell r="R203">
            <v>13.340258710547023</v>
          </cell>
          <cell r="S203">
            <v>13.381464423465111</v>
          </cell>
          <cell r="T203">
            <v>13.418907214664751</v>
          </cell>
          <cell r="U203">
            <v>13.45262830115367</v>
          </cell>
          <cell r="V203">
            <v>13.481974963781449</v>
          </cell>
          <cell r="W203">
            <v>13.505464849107598</v>
          </cell>
          <cell r="X203">
            <v>13.514326593750154</v>
          </cell>
          <cell r="Y203">
            <v>13.544357456276293</v>
          </cell>
          <cell r="Z203">
            <v>13.572929109055963</v>
          </cell>
          <cell r="AA203">
            <v>13.60201365898649</v>
          </cell>
          <cell r="AB203">
            <v>13.631647071134841</v>
          </cell>
          <cell r="AC203">
            <v>13.661546092959746</v>
          </cell>
          <cell r="AD203">
            <v>13.689647252533517</v>
          </cell>
          <cell r="AE203">
            <v>13.7170433641925</v>
          </cell>
          <cell r="AF203">
            <v>13.744416108135308</v>
          </cell>
          <cell r="AG203">
            <v>13.767512940329338</v>
          </cell>
          <cell r="AH203">
            <v>13.767512940329338</v>
          </cell>
        </row>
        <row r="204">
          <cell r="D204">
            <v>151.82704255000002</v>
          </cell>
          <cell r="E204">
            <v>149.91105055000003</v>
          </cell>
          <cell r="F204">
            <v>148.71627455000004</v>
          </cell>
          <cell r="G204">
            <v>149.35564747800004</v>
          </cell>
          <cell r="H204">
            <v>142.05506377800003</v>
          </cell>
          <cell r="I204">
            <v>134.15831657800001</v>
          </cell>
          <cell r="J204">
            <v>128.63625028926401</v>
          </cell>
          <cell r="K204">
            <v>128.52237508926402</v>
          </cell>
          <cell r="L204">
            <v>130.71656249272004</v>
          </cell>
          <cell r="M204">
            <v>129.92928382072003</v>
          </cell>
          <cell r="N204">
            <v>127.55774742072002</v>
          </cell>
          <cell r="O204">
            <v>125.69043662072001</v>
          </cell>
          <cell r="P204">
            <v>116.44428582072001</v>
          </cell>
          <cell r="Q204">
            <v>115.26823262072001</v>
          </cell>
          <cell r="R204">
            <v>106.66323262072001</v>
          </cell>
          <cell r="S204">
            <v>97.008991020720003</v>
          </cell>
          <cell r="T204">
            <v>104.13776563992</v>
          </cell>
          <cell r="U204">
            <v>103.51062323992001</v>
          </cell>
          <cell r="V204">
            <v>104.11823594392</v>
          </cell>
          <cell r="W204">
            <v>103.90134434392</v>
          </cell>
          <cell r="X204">
            <v>110.04191022592001</v>
          </cell>
          <cell r="Y204">
            <v>111.39237220992001</v>
          </cell>
          <cell r="Z204">
            <v>106.88322660992002</v>
          </cell>
          <cell r="AA204">
            <v>101.16827340992002</v>
          </cell>
          <cell r="AB204">
            <v>96.469874409920024</v>
          </cell>
          <cell r="AC204">
            <v>92.717436009920021</v>
          </cell>
          <cell r="AD204">
            <v>85.683204009920019</v>
          </cell>
          <cell r="AE204">
            <v>77.120841129920024</v>
          </cell>
          <cell r="AF204">
            <v>74.754637829920028</v>
          </cell>
          <cell r="AG204">
            <v>74.582617729920031</v>
          </cell>
          <cell r="AH204">
            <v>74.582617729920031</v>
          </cell>
        </row>
        <row r="205">
          <cell r="D205">
            <v>6673.7264421379114</v>
          </cell>
          <cell r="E205">
            <v>6673.495735332649</v>
          </cell>
          <cell r="F205">
            <v>6673.2404159217895</v>
          </cell>
          <cell r="G205">
            <v>6672.9212615073466</v>
          </cell>
          <cell r="H205">
            <v>6672.6687788999288</v>
          </cell>
          <cell r="I205">
            <v>6672.4372896857803</v>
          </cell>
          <cell r="J205">
            <v>6672.1135488299606</v>
          </cell>
          <cell r="K205">
            <v>6671.0114866273088</v>
          </cell>
          <cell r="L205">
            <v>6669.4344929124827</v>
          </cell>
          <cell r="M205">
            <v>6668.4001714785591</v>
          </cell>
          <cell r="N205">
            <v>6667.7105967282068</v>
          </cell>
          <cell r="O205">
            <v>6666.9659813895132</v>
          </cell>
          <cell r="P205">
            <v>6666.2644138402502</v>
          </cell>
          <cell r="Q205">
            <v>6665.4228293991155</v>
          </cell>
          <cell r="R205">
            <v>6665.5529177356902</v>
          </cell>
          <cell r="S205">
            <v>6665.6631426927979</v>
          </cell>
          <cell r="T205">
            <v>6665.8590208740452</v>
          </cell>
          <cell r="U205">
            <v>6665.9847357235321</v>
          </cell>
          <cell r="V205">
            <v>6666.1268919959366</v>
          </cell>
          <cell r="W205">
            <v>6666.2328499969453</v>
          </cell>
          <cell r="X205">
            <v>6666.3587310385219</v>
          </cell>
          <cell r="Y205">
            <v>6665.6829448733124</v>
          </cell>
          <cell r="Z205">
            <v>6665.0954968262049</v>
          </cell>
          <cell r="AA205">
            <v>6664.6148789746439</v>
          </cell>
          <cell r="AB205">
            <v>6664.0554935679847</v>
          </cell>
          <cell r="AC205">
            <v>6663.7105357947676</v>
          </cell>
          <cell r="AD205">
            <v>6663.1235714409513</v>
          </cell>
          <cell r="AE205">
            <v>6662.5627758223927</v>
          </cell>
          <cell r="AF205">
            <v>6661.9772705985697</v>
          </cell>
          <cell r="AG205">
            <v>6661.4830194448668</v>
          </cell>
          <cell r="AH205">
            <v>6661.4830194448668</v>
          </cell>
        </row>
        <row r="206">
          <cell r="D206">
            <v>0.67257889953461403</v>
          </cell>
          <cell r="E206">
            <v>0.67571636670052904</v>
          </cell>
          <cell r="F206">
            <v>0.67918854979231491</v>
          </cell>
          <cell r="G206">
            <v>0.68352884870562858</v>
          </cell>
          <cell r="H206">
            <v>0.68696245305828174</v>
          </cell>
          <cell r="I206">
            <v>0.69011056049199082</v>
          </cell>
          <cell r="J206">
            <v>0.69451323211775118</v>
          </cell>
          <cell r="K206">
            <v>0.69773591013712244</v>
          </cell>
          <cell r="L206">
            <v>0.70234739483302044</v>
          </cell>
          <cell r="M206">
            <v>0.70537198359221687</v>
          </cell>
          <cell r="N206">
            <v>0.7073884554259563</v>
          </cell>
          <cell r="O206">
            <v>0.70956587833286933</v>
          </cell>
          <cell r="P206">
            <v>0.71161741981090298</v>
          </cell>
          <cell r="Q206">
            <v>0.71407840220678187</v>
          </cell>
          <cell r="R206">
            <v>0.71555952169054859</v>
          </cell>
          <cell r="S206">
            <v>0.71681448686165683</v>
          </cell>
          <cell r="T206">
            <v>0.71904465597852041</v>
          </cell>
          <cell r="U206">
            <v>0.72047598116783718</v>
          </cell>
          <cell r="V206">
            <v>0.7220945000169674</v>
          </cell>
          <cell r="W206">
            <v>0.72330088380115609</v>
          </cell>
          <cell r="X206">
            <v>0.72473410116887216</v>
          </cell>
          <cell r="Y206">
            <v>0.72680526675075874</v>
          </cell>
          <cell r="Z206">
            <v>0.72860569155811927</v>
          </cell>
          <cell r="AA206">
            <v>0.73007870063027869</v>
          </cell>
          <cell r="AB206">
            <v>0.7317931183868509</v>
          </cell>
          <cell r="AC206">
            <v>0.73285035321034098</v>
          </cell>
          <cell r="AD206">
            <v>0.73464929558295233</v>
          </cell>
          <cell r="AE206">
            <v>0.73636803539064144</v>
          </cell>
          <cell r="AF206">
            <v>0.73816250578679221</v>
          </cell>
          <cell r="AG206">
            <v>0.73967729852902253</v>
          </cell>
          <cell r="AH206">
            <v>0.73967729852902253</v>
          </cell>
        </row>
        <row r="207">
          <cell r="D207">
            <v>3.5730106391789591</v>
          </cell>
          <cell r="E207">
            <v>3.5900713730376816</v>
          </cell>
          <cell r="F207">
            <v>3.6089522054114087</v>
          </cell>
          <cell r="G207">
            <v>3.6325536267846106</v>
          </cell>
          <cell r="H207">
            <v>3.6512246779666495</v>
          </cell>
          <cell r="I207">
            <v>3.6683432708458561</v>
          </cell>
          <cell r="J207">
            <v>3.6922838588750988</v>
          </cell>
          <cell r="K207">
            <v>3.7131205470674162</v>
          </cell>
          <cell r="L207">
            <v>3.7429367645531522</v>
          </cell>
          <cell r="M207">
            <v>3.7624926781463013</v>
          </cell>
          <cell r="N207">
            <v>3.7755304667791285</v>
          </cell>
          <cell r="O207">
            <v>3.7896089077221715</v>
          </cell>
          <cell r="P207">
            <v>3.8028734441835992</v>
          </cell>
          <cell r="Q207">
            <v>3.8187852797816575</v>
          </cell>
          <cell r="R207">
            <v>3.8376861113802065</v>
          </cell>
          <cell r="S207">
            <v>3.8537009471994179</v>
          </cell>
          <cell r="T207">
            <v>3.8821605356229818</v>
          </cell>
          <cell r="U207">
            <v>3.9004259332918023</v>
          </cell>
          <cell r="V207">
            <v>3.9210801428554274</v>
          </cell>
          <cell r="W207">
            <v>3.9364750228756278</v>
          </cell>
          <cell r="X207">
            <v>3.9547645669726541</v>
          </cell>
          <cell r="Y207">
            <v>3.9645500366670192</v>
          </cell>
          <cell r="Z207">
            <v>3.9730563591665287</v>
          </cell>
          <cell r="AA207">
            <v>3.9800157668359102</v>
          </cell>
          <cell r="AB207">
            <v>3.9881157387295811</v>
          </cell>
          <cell r="AC207">
            <v>3.9931107711961142</v>
          </cell>
          <cell r="AD207">
            <v>4.0016100897552143</v>
          </cell>
          <cell r="AE207">
            <v>4.0097304816967032</v>
          </cell>
          <cell r="AF207">
            <v>4.0182086718677539</v>
          </cell>
          <cell r="AG207">
            <v>4.0253654914875732</v>
          </cell>
          <cell r="AH207">
            <v>4.0253654914875732</v>
          </cell>
        </row>
        <row r="208">
          <cell r="D208">
            <v>9.9275243667582185</v>
          </cell>
          <cell r="E208">
            <v>9.9177164861646325</v>
          </cell>
          <cell r="F208">
            <v>9.9068622667059323</v>
          </cell>
          <cell r="G208">
            <v>9.8932942734071592</v>
          </cell>
          <cell r="H208">
            <v>9.8825606530326429</v>
          </cell>
          <cell r="I208">
            <v>9.8727195104253074</v>
          </cell>
          <cell r="J208">
            <v>9.8589565368817595</v>
          </cell>
          <cell r="K208">
            <v>9.8543365150411741</v>
          </cell>
          <cell r="L208">
            <v>9.847725503986231</v>
          </cell>
          <cell r="M208">
            <v>9.8433894623332083</v>
          </cell>
          <cell r="N208">
            <v>9.8404986541740325</v>
          </cell>
          <cell r="O208">
            <v>9.8373771070242206</v>
          </cell>
          <cell r="P208">
            <v>9.8344360231249244</v>
          </cell>
          <cell r="Q208">
            <v>9.8309079659160084</v>
          </cell>
          <cell r="R208">
            <v>9.8197872761976566</v>
          </cell>
          <cell r="S208">
            <v>9.8103646209505992</v>
          </cell>
          <cell r="T208">
            <v>9.7936198417211653</v>
          </cell>
          <cell r="U208">
            <v>9.7828730225138631</v>
          </cell>
          <cell r="V208">
            <v>9.7707206971128748</v>
          </cell>
          <cell r="W208">
            <v>9.761662805503013</v>
          </cell>
          <cell r="X208">
            <v>9.7509017792522545</v>
          </cell>
          <cell r="Y208">
            <v>9.7484351110106005</v>
          </cell>
          <cell r="Z208">
            <v>9.7462908832710884</v>
          </cell>
          <cell r="AA208">
            <v>9.7445365934500625</v>
          </cell>
          <cell r="AB208">
            <v>9.7424947963721031</v>
          </cell>
          <cell r="AC208">
            <v>9.7412356756210254</v>
          </cell>
          <cell r="AD208">
            <v>9.7390932133969077</v>
          </cell>
          <cell r="AE208">
            <v>9.7370462689438071</v>
          </cell>
          <cell r="AF208">
            <v>9.7349091326494008</v>
          </cell>
          <cell r="AG208">
            <v>9.7331050802922991</v>
          </cell>
          <cell r="AH208">
            <v>9.7331050802922991</v>
          </cell>
        </row>
        <row r="209">
          <cell r="D209">
            <v>13.701050255811831</v>
          </cell>
          <cell r="E209">
            <v>13.699541549378115</v>
          </cell>
          <cell r="F209">
            <v>13.697871888886832</v>
          </cell>
          <cell r="G209">
            <v>13.695784779588635</v>
          </cell>
          <cell r="H209">
            <v>13.694133670364618</v>
          </cell>
          <cell r="I209">
            <v>13.69261984737043</v>
          </cell>
          <cell r="J209">
            <v>13.690502745053156</v>
          </cell>
          <cell r="K209">
            <v>13.695548362377517</v>
          </cell>
          <cell r="L209">
            <v>13.702768378442657</v>
          </cell>
          <cell r="M209">
            <v>13.707503855381631</v>
          </cell>
          <cell r="N209">
            <v>13.710660964207658</v>
          </cell>
          <cell r="O209">
            <v>13.714070067653781</v>
          </cell>
          <cell r="P209">
            <v>13.717282083611002</v>
          </cell>
          <cell r="Q209">
            <v>13.721135144741202</v>
          </cell>
          <cell r="R209">
            <v>13.71853234128586</v>
          </cell>
          <cell r="S209">
            <v>13.716326963718759</v>
          </cell>
          <cell r="T209">
            <v>13.712407839065419</v>
          </cell>
          <cell r="U209">
            <v>13.709892540205802</v>
          </cell>
          <cell r="V209">
            <v>13.707048281859853</v>
          </cell>
          <cell r="W209">
            <v>13.704928277419718</v>
          </cell>
          <cell r="X209">
            <v>13.702409653393882</v>
          </cell>
          <cell r="Y209">
            <v>13.703813166029761</v>
          </cell>
          <cell r="Z209">
            <v>13.705033212842617</v>
          </cell>
          <cell r="AA209">
            <v>13.706031388393436</v>
          </cell>
          <cell r="AB209">
            <v>13.707193153056567</v>
          </cell>
          <cell r="AC209">
            <v>13.707909581741379</v>
          </cell>
          <cell r="AD209">
            <v>13.709128623991433</v>
          </cell>
          <cell r="AE209">
            <v>13.710293317465956</v>
          </cell>
          <cell r="AF209">
            <v>13.71150932930863</v>
          </cell>
          <cell r="AG209">
            <v>13.712535819306847</v>
          </cell>
          <cell r="AH209">
            <v>13.712535819306847</v>
          </cell>
        </row>
        <row r="210">
          <cell r="D210">
            <v>87.668580359999993</v>
          </cell>
          <cell r="E210">
            <v>79.668580359999993</v>
          </cell>
          <cell r="F210">
            <v>71.668580359999993</v>
          </cell>
          <cell r="G210">
            <v>63.668580359999993</v>
          </cell>
          <cell r="H210">
            <v>65.868580359999996</v>
          </cell>
          <cell r="I210">
            <v>68.068580359999999</v>
          </cell>
          <cell r="J210">
            <v>70.268580360000001</v>
          </cell>
          <cell r="K210">
            <v>61.868580359999996</v>
          </cell>
          <cell r="L210">
            <v>64.46858035999999</v>
          </cell>
          <cell r="M210">
            <v>67.068580359999984</v>
          </cell>
          <cell r="N210">
            <v>69.668580359999979</v>
          </cell>
          <cell r="O210">
            <v>72.768580359999973</v>
          </cell>
          <cell r="P210">
            <v>75.868580359999967</v>
          </cell>
          <cell r="Q210">
            <v>78.968580359999962</v>
          </cell>
          <cell r="R210">
            <v>82.068580359999956</v>
          </cell>
          <cell r="S210">
            <v>85.16858035999995</v>
          </cell>
          <cell r="T210">
            <v>87.268580359999945</v>
          </cell>
          <cell r="U210">
            <v>89.368580359999939</v>
          </cell>
          <cell r="V210">
            <v>91.968580359999933</v>
          </cell>
          <cell r="W210">
            <v>83.568580359999928</v>
          </cell>
          <cell r="X210">
            <v>75.168580359999922</v>
          </cell>
          <cell r="Y210">
            <v>67.568580359999928</v>
          </cell>
          <cell r="Z210">
            <v>70.968580359999933</v>
          </cell>
          <cell r="AA210">
            <v>73.868580359999939</v>
          </cell>
          <cell r="AB210">
            <v>76.768580359999945</v>
          </cell>
          <cell r="AC210">
            <v>79.66858035999995</v>
          </cell>
          <cell r="AD210">
            <v>82.568580359999956</v>
          </cell>
          <cell r="AE210">
            <v>85.468580359999962</v>
          </cell>
          <cell r="AF210">
            <v>88.868580359999967</v>
          </cell>
          <cell r="AG210">
            <v>92.268580359999973</v>
          </cell>
          <cell r="AH210">
            <v>92.268580359999973</v>
          </cell>
        </row>
        <row r="211">
          <cell r="D211">
            <v>6083.0441032343033</v>
          </cell>
          <cell r="E211">
            <v>6084.108721207389</v>
          </cell>
          <cell r="F211">
            <v>6085.2377299059754</v>
          </cell>
          <cell r="G211">
            <v>6086.4423399279785</v>
          </cell>
          <cell r="H211">
            <v>6087.4035059210501</v>
          </cell>
          <cell r="I211">
            <v>6088.3025414811491</v>
          </cell>
          <cell r="J211">
            <v>6089.1452822300516</v>
          </cell>
          <cell r="K211">
            <v>6090.0930861981624</v>
          </cell>
          <cell r="L211">
            <v>6091.1261605876834</v>
          </cell>
          <cell r="M211">
            <v>6092.0791380555665</v>
          </cell>
          <cell r="N211">
            <v>6092.9609861447916</v>
          </cell>
          <cell r="O211">
            <v>6093.9300610233531</v>
          </cell>
          <cell r="P211">
            <v>6094.8199428523212</v>
          </cell>
          <cell r="Q211">
            <v>6095.6399580670677</v>
          </cell>
          <cell r="R211">
            <v>6096.4778676208962</v>
          </cell>
          <cell r="S211">
            <v>6097.254780041605</v>
          </cell>
          <cell r="T211">
            <v>6097.7497156214358</v>
          </cell>
          <cell r="U211">
            <v>6098.2213910193677</v>
          </cell>
          <cell r="V211">
            <v>6098.7755261781886</v>
          </cell>
          <cell r="W211">
            <v>6099.2991913562309</v>
          </cell>
          <cell r="X211">
            <v>6099.8581043939921</v>
          </cell>
          <cell r="Y211">
            <v>6100.4719427081982</v>
          </cell>
          <cell r="Z211">
            <v>6101.1221086607284</v>
          </cell>
          <cell r="AA211">
            <v>6101.629366007136</v>
          </cell>
          <cell r="AB211">
            <v>6102.098299177228</v>
          </cell>
          <cell r="AC211">
            <v>6102.5330932629504</v>
          </cell>
          <cell r="AD211">
            <v>6102.9373453957141</v>
          </cell>
          <cell r="AE211">
            <v>6103.3141644956595</v>
          </cell>
          <cell r="AF211">
            <v>6103.7246335323462</v>
          </cell>
          <cell r="AG211">
            <v>6104.1048518657208</v>
          </cell>
          <cell r="AH211">
            <v>6104.1048518657208</v>
          </cell>
        </row>
        <row r="212">
          <cell r="D212">
            <v>0.28513453082924745</v>
          </cell>
          <cell r="E212">
            <v>0.28466913897647855</v>
          </cell>
          <cell r="F212">
            <v>0.28417559907455103</v>
          </cell>
          <cell r="G212">
            <v>0.28364901047265179</v>
          </cell>
          <cell r="H212">
            <v>0.28322884208019333</v>
          </cell>
          <cell r="I212">
            <v>0.28283583366252857</v>
          </cell>
          <cell r="J212">
            <v>0.28246743420990716</v>
          </cell>
          <cell r="K212">
            <v>0.28199003144212481</v>
          </cell>
          <cell r="L212">
            <v>0.28146967851105864</v>
          </cell>
          <cell r="M212">
            <v>0.28098966988468804</v>
          </cell>
          <cell r="N212">
            <v>0.28054548866924256</v>
          </cell>
          <cell r="O212">
            <v>0.28005737188056123</v>
          </cell>
          <cell r="P212">
            <v>0.2796091441220353</v>
          </cell>
          <cell r="Q212">
            <v>0.2791961077281026</v>
          </cell>
          <cell r="R212">
            <v>0.27849066490661795</v>
          </cell>
          <cell r="S212">
            <v>0.27783657606420303</v>
          </cell>
          <cell r="T212">
            <v>0.27741988580175925</v>
          </cell>
          <cell r="U212">
            <v>0.2770227784743382</v>
          </cell>
          <cell r="V212">
            <v>0.27655624760816405</v>
          </cell>
          <cell r="W212">
            <v>0.2761153696649255</v>
          </cell>
          <cell r="X212">
            <v>0.27564481626387977</v>
          </cell>
          <cell r="Y212">
            <v>0.27565323607645198</v>
          </cell>
          <cell r="Z212">
            <v>0.27566215418295403</v>
          </cell>
          <cell r="AA212">
            <v>0.27566911206043382</v>
          </cell>
          <cell r="AB212">
            <v>0.27567554425814733</v>
          </cell>
          <cell r="AC212">
            <v>0.27568150818158543</v>
          </cell>
          <cell r="AD212">
            <v>0.27568705317138326</v>
          </cell>
          <cell r="AE212">
            <v>0.27569222187154707</v>
          </cell>
          <cell r="AF212">
            <v>0.2756978521365136</v>
          </cell>
          <cell r="AG212">
            <v>0.27570306746281281</v>
          </cell>
          <cell r="AH212">
            <v>0.27570306746281281</v>
          </cell>
        </row>
        <row r="213">
          <cell r="D213">
            <v>5.9160594865121334</v>
          </cell>
          <cell r="E213">
            <v>5.8888491104624681</v>
          </cell>
          <cell r="F213">
            <v>5.8599929836371656</v>
          </cell>
          <cell r="G213">
            <v>5.8292045764145266</v>
          </cell>
          <cell r="H213">
            <v>5.8046383106001276</v>
          </cell>
          <cell r="I213">
            <v>5.7816600251580486</v>
          </cell>
          <cell r="J213">
            <v>5.7601205684987216</v>
          </cell>
          <cell r="K213">
            <v>5.7343961779267714</v>
          </cell>
          <cell r="L213">
            <v>5.706357458972156</v>
          </cell>
          <cell r="M213">
            <v>5.6804926542077823</v>
          </cell>
          <cell r="N213">
            <v>5.6565583751420778</v>
          </cell>
          <cell r="O213">
            <v>5.6302566698229155</v>
          </cell>
          <cell r="P213">
            <v>5.6061043466617564</v>
          </cell>
          <cell r="Q213">
            <v>5.5838482764522972</v>
          </cell>
          <cell r="R213">
            <v>5.5543687636486734</v>
          </cell>
          <cell r="S213">
            <v>5.5270352650043781</v>
          </cell>
          <cell r="T213">
            <v>5.5096223357736225</v>
          </cell>
          <cell r="U213">
            <v>5.4930277512281522</v>
          </cell>
          <cell r="V213">
            <v>5.4735320497711264</v>
          </cell>
          <cell r="W213">
            <v>5.4551083496827433</v>
          </cell>
          <cell r="X213">
            <v>5.4354445518688754</v>
          </cell>
          <cell r="Y213">
            <v>5.4263355373350359</v>
          </cell>
          <cell r="Z213">
            <v>5.4166874411280377</v>
          </cell>
          <cell r="AA213">
            <v>5.4091600280717183</v>
          </cell>
          <cell r="AB213">
            <v>5.4022013241868061</v>
          </cell>
          <cell r="AC213">
            <v>5.3957492250681653</v>
          </cell>
          <cell r="AD213">
            <v>5.389750351313519</v>
          </cell>
          <cell r="AE213">
            <v>5.384158568300645</v>
          </cell>
          <cell r="AF213">
            <v>5.3780674391965499</v>
          </cell>
          <cell r="AG213">
            <v>5.3724252134758848</v>
          </cell>
          <cell r="AH213">
            <v>5.3724252134758848</v>
          </cell>
        </row>
        <row r="214">
          <cell r="D214">
            <v>12.925218415791409</v>
          </cell>
          <cell r="E214">
            <v>12.936883634360779</v>
          </cell>
          <cell r="F214">
            <v>12.94925439417197</v>
          </cell>
          <cell r="G214">
            <v>12.962453531846483</v>
          </cell>
          <cell r="H214">
            <v>12.972985207690844</v>
          </cell>
          <cell r="I214">
            <v>12.982836108742044</v>
          </cell>
          <cell r="J214">
            <v>12.992070177001075</v>
          </cell>
          <cell r="K214">
            <v>13.002374594287113</v>
          </cell>
          <cell r="L214">
            <v>13.013606061927376</v>
          </cell>
          <cell r="M214">
            <v>13.023966724916402</v>
          </cell>
          <cell r="N214">
            <v>13.033554077364801</v>
          </cell>
          <cell r="O214">
            <v>13.044089749577717</v>
          </cell>
          <cell r="P214">
            <v>13.053764443933789</v>
          </cell>
          <cell r="Q214">
            <v>13.062679556381026</v>
          </cell>
          <cell r="R214">
            <v>13.071425968971312</v>
          </cell>
          <cell r="S214">
            <v>13.079535670724917</v>
          </cell>
          <cell r="T214">
            <v>13.084701992993274</v>
          </cell>
          <cell r="U214">
            <v>13.089625516803386</v>
          </cell>
          <cell r="V214">
            <v>13.095409786367679</v>
          </cell>
          <cell r="W214">
            <v>13.100875998902673</v>
          </cell>
          <cell r="X214">
            <v>13.106710141750208</v>
          </cell>
          <cell r="Y214">
            <v>13.113790820697169</v>
          </cell>
          <cell r="Z214">
            <v>13.121290542147534</v>
          </cell>
          <cell r="AA214">
            <v>13.127141800256183</v>
          </cell>
          <cell r="AB214">
            <v>13.132550985620085</v>
          </cell>
          <cell r="AC214">
            <v>13.137566373642942</v>
          </cell>
          <cell r="AD214">
            <v>13.142229457551984</v>
          </cell>
          <cell r="AE214">
            <v>13.146576099014474</v>
          </cell>
          <cell r="AF214">
            <v>13.151310895457092</v>
          </cell>
          <cell r="AG214">
            <v>13.155696747376188</v>
          </cell>
          <cell r="AH214">
            <v>13.155696747376188</v>
          </cell>
        </row>
        <row r="215">
          <cell r="D215">
            <v>16.971741901877792</v>
          </cell>
          <cell r="E215">
            <v>16.988867264987984</v>
          </cell>
          <cell r="F215">
            <v>17.007028412372907</v>
          </cell>
          <cell r="G215">
            <v>17.026405676851351</v>
          </cell>
          <cell r="H215">
            <v>17.041866919340809</v>
          </cell>
          <cell r="I215">
            <v>17.056328736447895</v>
          </cell>
          <cell r="J215">
            <v>17.069884999537166</v>
          </cell>
          <cell r="K215">
            <v>17.085132395378299</v>
          </cell>
          <cell r="L215">
            <v>17.101751543092746</v>
          </cell>
          <cell r="M215">
            <v>17.117082165425394</v>
          </cell>
          <cell r="N215">
            <v>17.131268523934693</v>
          </cell>
          <cell r="O215">
            <v>17.146858106559652</v>
          </cell>
          <cell r="P215">
            <v>17.161173704462392</v>
          </cell>
          <cell r="Q215">
            <v>17.174365352731083</v>
          </cell>
          <cell r="R215">
            <v>17.187849783247252</v>
          </cell>
          <cell r="S215">
            <v>17.200352590389556</v>
          </cell>
          <cell r="T215">
            <v>17.208317560362406</v>
          </cell>
          <cell r="U215">
            <v>17.21590820555857</v>
          </cell>
          <cell r="V215">
            <v>17.224825870969546</v>
          </cell>
          <cell r="W215">
            <v>17.233253184722916</v>
          </cell>
          <cell r="X215">
            <v>17.242247740266336</v>
          </cell>
          <cell r="Y215">
            <v>17.252117096813251</v>
          </cell>
          <cell r="Z215">
            <v>17.262570532924485</v>
          </cell>
          <cell r="AA215">
            <v>17.270726269536027</v>
          </cell>
          <cell r="AB215">
            <v>17.278265826036836</v>
          </cell>
          <cell r="AC215">
            <v>17.285256490772447</v>
          </cell>
          <cell r="AD215">
            <v>17.291756098797507</v>
          </cell>
          <cell r="AE215">
            <v>17.297814635654813</v>
          </cell>
          <cell r="AF215">
            <v>17.304414199710646</v>
          </cell>
          <cell r="AG215">
            <v>17.310527389798175</v>
          </cell>
          <cell r="AH215">
            <v>17.310527389798175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D228">
            <v>205.12536920552</v>
          </cell>
          <cell r="E228">
            <v>213.28696480552</v>
          </cell>
          <cell r="F228">
            <v>221.73550530552001</v>
          </cell>
          <cell r="G228">
            <v>228.16590184052001</v>
          </cell>
          <cell r="H228">
            <v>233.39328031102002</v>
          </cell>
          <cell r="I228">
            <v>240.79589549102002</v>
          </cell>
          <cell r="J228">
            <v>244.41465669102001</v>
          </cell>
          <cell r="K228">
            <v>251.43173169102002</v>
          </cell>
          <cell r="L228">
            <v>246.06233289101999</v>
          </cell>
          <cell r="M228">
            <v>241.04887384102</v>
          </cell>
          <cell r="N228">
            <v>235.71751224101999</v>
          </cell>
          <cell r="O228">
            <v>232.35721583102</v>
          </cell>
          <cell r="P228">
            <v>241.60071962001999</v>
          </cell>
          <cell r="Q228">
            <v>250.05439317389997</v>
          </cell>
          <cell r="R228">
            <v>258.08396117389998</v>
          </cell>
          <cell r="S228">
            <v>268.66901377389996</v>
          </cell>
          <cell r="T228">
            <v>263.87283177389997</v>
          </cell>
          <cell r="U228">
            <v>263.86093142789997</v>
          </cell>
          <cell r="V228">
            <v>258.35758556419995</v>
          </cell>
          <cell r="W228">
            <v>265.17528476419994</v>
          </cell>
          <cell r="X228">
            <v>262.12728916419996</v>
          </cell>
          <cell r="Y228">
            <v>268.17383766419994</v>
          </cell>
          <cell r="Z228">
            <v>272.80846566819991</v>
          </cell>
          <cell r="AA228">
            <v>277.57297666819994</v>
          </cell>
          <cell r="AB228">
            <v>284.19140704170394</v>
          </cell>
          <cell r="AC228">
            <v>280.26868488370394</v>
          </cell>
          <cell r="AD228">
            <v>285.15094468270388</v>
          </cell>
          <cell r="AE228">
            <v>289.11433684470387</v>
          </cell>
          <cell r="AF228">
            <v>294.08346764470389</v>
          </cell>
          <cell r="AG228">
            <v>289.5718724447039</v>
          </cell>
          <cell r="AH228">
            <v>289.5718724447039</v>
          </cell>
        </row>
        <row r="229">
          <cell r="D229">
            <v>6552.1469156208559</v>
          </cell>
          <cell r="E229">
            <v>6553.1384657506806</v>
          </cell>
          <cell r="F229">
            <v>6555.8676892630183</v>
          </cell>
          <cell r="G229">
            <v>6557.6668339642902</v>
          </cell>
          <cell r="H229">
            <v>6557.9133545169416</v>
          </cell>
          <cell r="I229">
            <v>6558.8813314248264</v>
          </cell>
          <cell r="J229">
            <v>6559.3389028432921</v>
          </cell>
          <cell r="K229">
            <v>6558.4866309763083</v>
          </cell>
          <cell r="L229">
            <v>6557.7809351267424</v>
          </cell>
          <cell r="M229">
            <v>6556.856563323302</v>
          </cell>
          <cell r="N229">
            <v>6554.9157411954311</v>
          </cell>
          <cell r="O229">
            <v>6554.6574754302346</v>
          </cell>
          <cell r="P229">
            <v>6554.9463028372829</v>
          </cell>
          <cell r="Q229">
            <v>6555.6429070950326</v>
          </cell>
          <cell r="R229">
            <v>6557.6549600895341</v>
          </cell>
          <cell r="S229">
            <v>6556.9893938085315</v>
          </cell>
          <cell r="T229">
            <v>6557.4186538187341</v>
          </cell>
          <cell r="U229">
            <v>6556.9273131700138</v>
          </cell>
          <cell r="V229">
            <v>6556.0550488942336</v>
          </cell>
          <cell r="W229">
            <v>6556.3907226458095</v>
          </cell>
          <cell r="X229">
            <v>6557.4013327185112</v>
          </cell>
          <cell r="Y229">
            <v>6558.9428542287442</v>
          </cell>
          <cell r="Z229">
            <v>6558.9420013737772</v>
          </cell>
          <cell r="AA229">
            <v>6560.0891005775366</v>
          </cell>
          <cell r="AB229">
            <v>6560.8375714372642</v>
          </cell>
          <cell r="AC229">
            <v>6560.0488741561121</v>
          </cell>
          <cell r="AD229">
            <v>6559.8105812530457</v>
          </cell>
          <cell r="AE229">
            <v>6559.9821272450599</v>
          </cell>
          <cell r="AF229">
            <v>6560.3326983540719</v>
          </cell>
          <cell r="AG229">
            <v>6560.982338333004</v>
          </cell>
          <cell r="AH229">
            <v>6560.982338333004</v>
          </cell>
        </row>
        <row r="230">
          <cell r="D230">
            <v>1.6674362024621499</v>
          </cell>
          <cell r="E230">
            <v>1.6802095610574355</v>
          </cell>
          <cell r="F230">
            <v>1.6865180088230256</v>
          </cell>
          <cell r="G230">
            <v>1.6914812881039856</v>
          </cell>
          <cell r="H230">
            <v>1.6991187589775498</v>
          </cell>
          <cell r="I230">
            <v>1.7072462876248744</v>
          </cell>
          <cell r="J230">
            <v>1.7110212414575972</v>
          </cell>
          <cell r="K230">
            <v>1.7218739082292545</v>
          </cell>
          <cell r="L230">
            <v>1.7328332978930361</v>
          </cell>
          <cell r="M230">
            <v>1.7451624832583097</v>
          </cell>
          <cell r="N230">
            <v>1.7603665747952879</v>
          </cell>
          <cell r="O230">
            <v>1.7727804881819524</v>
          </cell>
          <cell r="P230">
            <v>1.7816791171972191</v>
          </cell>
          <cell r="Q230">
            <v>1.7879648987949792</v>
          </cell>
          <cell r="R230">
            <v>1.7871522247753382</v>
          </cell>
          <cell r="S230">
            <v>1.7968498464151337</v>
          </cell>
          <cell r="T230">
            <v>1.7993081632226302</v>
          </cell>
          <cell r="U230">
            <v>1.8073192059986865</v>
          </cell>
          <cell r="V230">
            <v>1.8130531698432044</v>
          </cell>
          <cell r="W230">
            <v>1.8162285669900018</v>
          </cell>
          <cell r="X230">
            <v>1.8163303761416298</v>
          </cell>
          <cell r="Y230">
            <v>1.8132097327376764</v>
          </cell>
          <cell r="Z230">
            <v>1.8156316307816898</v>
          </cell>
          <cell r="AA230">
            <v>1.8132679106446559</v>
          </cell>
          <cell r="AB230">
            <v>1.8133612839998765</v>
          </cell>
          <cell r="AC230">
            <v>1.8196899908634474</v>
          </cell>
          <cell r="AD230">
            <v>1.8229276604523281</v>
          </cell>
          <cell r="AE230">
            <v>1.8239837895554512</v>
          </cell>
          <cell r="AF230">
            <v>1.8246776440086239</v>
          </cell>
          <cell r="AG230">
            <v>1.8272341848216198</v>
          </cell>
          <cell r="AH230">
            <v>1.8272341848216198</v>
          </cell>
        </row>
        <row r="231">
          <cell r="D231">
            <v>4.568901418770996</v>
          </cell>
          <cell r="E231">
            <v>4.5474696942837571</v>
          </cell>
          <cell r="F231">
            <v>4.5171597182048346</v>
          </cell>
          <cell r="G231">
            <v>4.4963790032663988</v>
          </cell>
          <cell r="H231">
            <v>4.4866150967594942</v>
          </cell>
          <cell r="I231">
            <v>4.4700095307407466</v>
          </cell>
          <cell r="J231">
            <v>4.4622265384096131</v>
          </cell>
          <cell r="K231">
            <v>4.4598369904390855</v>
          </cell>
          <cell r="L231">
            <v>4.4546610997109877</v>
          </cell>
          <cell r="M231">
            <v>4.4501180441234682</v>
          </cell>
          <cell r="N231">
            <v>4.452472098306707</v>
          </cell>
          <cell r="O231">
            <v>4.4424929964523221</v>
          </cell>
          <cell r="P231">
            <v>4.4319384479545914</v>
          </cell>
          <cell r="Q231">
            <v>4.4201330897348097</v>
          </cell>
          <cell r="R231">
            <v>4.4046283735339902</v>
          </cell>
          <cell r="S231">
            <v>4.4054153364118154</v>
          </cell>
          <cell r="T231">
            <v>4.4009461992110515</v>
          </cell>
          <cell r="U231">
            <v>4.4014955467048118</v>
          </cell>
          <cell r="V231">
            <v>4.4060597851744996</v>
          </cell>
          <cell r="W231">
            <v>4.4019296272476405</v>
          </cell>
          <cell r="X231">
            <v>4.3949761429316352</v>
          </cell>
          <cell r="Y231">
            <v>4.3860307725008782</v>
          </cell>
          <cell r="Z231">
            <v>4.3847130737466324</v>
          </cell>
          <cell r="AA231">
            <v>4.3780792188853868</v>
          </cell>
          <cell r="AB231">
            <v>4.3728567804164111</v>
          </cell>
          <cell r="AC231">
            <v>4.375039410478192</v>
          </cell>
          <cell r="AD231">
            <v>4.3749131416349911</v>
          </cell>
          <cell r="AE231">
            <v>4.3731481071866822</v>
          </cell>
          <cell r="AF231">
            <v>4.3703435634552328</v>
          </cell>
          <cell r="AG231">
            <v>4.3622999708074017</v>
          </cell>
          <cell r="AH231">
            <v>4.3622999708074017</v>
          </cell>
        </row>
        <row r="232">
          <cell r="D232">
            <v>9.9566510612020149</v>
          </cell>
          <cell r="E232">
            <v>9.9522470083465677</v>
          </cell>
          <cell r="F232">
            <v>9.9401312574840457</v>
          </cell>
          <cell r="G232">
            <v>9.9321441980755996</v>
          </cell>
          <cell r="H232">
            <v>9.931048278437423</v>
          </cell>
          <cell r="I232">
            <v>9.9267498797864722</v>
          </cell>
          <cell r="J232">
            <v>9.9247180026458679</v>
          </cell>
          <cell r="K232">
            <v>9.9264570201622249</v>
          </cell>
          <cell r="L232">
            <v>9.9305617625140119</v>
          </cell>
          <cell r="M232">
            <v>9.9354627958915831</v>
          </cell>
          <cell r="N232">
            <v>9.9430280029783109</v>
          </cell>
          <cell r="O232">
            <v>9.9439297555801236</v>
          </cell>
          <cell r="P232">
            <v>9.9408519572474621</v>
          </cell>
          <cell r="Q232">
            <v>9.9365678655850722</v>
          </cell>
          <cell r="R232">
            <v>9.9240913885483231</v>
          </cell>
          <cell r="S232">
            <v>9.9204190919725885</v>
          </cell>
          <cell r="T232">
            <v>9.9155073926504542</v>
          </cell>
          <cell r="U232">
            <v>9.9115708659595292</v>
          </cell>
          <cell r="V232">
            <v>9.9120648274365077</v>
          </cell>
          <cell r="W232">
            <v>9.9072717344698553</v>
          </cell>
          <cell r="X232">
            <v>9.899039745477749</v>
          </cell>
          <cell r="Y232">
            <v>9.8893912854938151</v>
          </cell>
          <cell r="Z232">
            <v>9.8879954757318007</v>
          </cell>
          <cell r="AA232">
            <v>9.8808397751829755</v>
          </cell>
          <cell r="AB232">
            <v>9.8752237832113199</v>
          </cell>
          <cell r="AC232">
            <v>9.8771659682604813</v>
          </cell>
          <cell r="AD232">
            <v>9.8770666638047384</v>
          </cell>
          <cell r="AE232">
            <v>9.8751838852018246</v>
          </cell>
          <cell r="AF232">
            <v>9.8721812372237707</v>
          </cell>
          <cell r="AG232">
            <v>9.8694938383229598</v>
          </cell>
          <cell r="AH232">
            <v>9.8694938383229598</v>
          </cell>
        </row>
        <row r="233">
          <cell r="D233">
            <v>13.501257786767908</v>
          </cell>
          <cell r="E233">
            <v>13.506510268630056</v>
          </cell>
          <cell r="F233">
            <v>13.503328550280502</v>
          </cell>
          <cell r="G233">
            <v>13.501723086867617</v>
          </cell>
          <cell r="H233">
            <v>13.505756904848175</v>
          </cell>
          <cell r="I233">
            <v>13.508229690725038</v>
          </cell>
          <cell r="J233">
            <v>13.509357633263191</v>
          </cell>
          <cell r="K233">
            <v>13.517709958691869</v>
          </cell>
          <cell r="L233">
            <v>13.525339981982496</v>
          </cell>
          <cell r="M233">
            <v>13.534256530455085</v>
          </cell>
          <cell r="N233">
            <v>13.547328624382388</v>
          </cell>
          <cell r="O233">
            <v>13.5549829254931</v>
          </cell>
          <cell r="P233">
            <v>13.559671238542533</v>
          </cell>
          <cell r="Q233">
            <v>13.561884830898112</v>
          </cell>
          <cell r="R233">
            <v>13.556784064154963</v>
          </cell>
          <cell r="S233">
            <v>13.561704641768594</v>
          </cell>
          <cell r="T233">
            <v>13.561504869448656</v>
          </cell>
          <cell r="U233">
            <v>13.565329625721253</v>
          </cell>
          <cell r="V233">
            <v>13.569297503196491</v>
          </cell>
          <cell r="W233">
            <v>13.5695871393904</v>
          </cell>
          <cell r="X233">
            <v>13.566903903169937</v>
          </cell>
          <cell r="Y233">
            <v>13.561795709690507</v>
          </cell>
          <cell r="Z233">
            <v>13.56366602717557</v>
          </cell>
          <cell r="AA233">
            <v>13.55983278932759</v>
          </cell>
          <cell r="AB233">
            <v>13.558593787041156</v>
          </cell>
          <cell r="AC233">
            <v>13.565117092199456</v>
          </cell>
          <cell r="AD233">
            <v>13.568028375058109</v>
          </cell>
          <cell r="AE233">
            <v>13.568539354401793</v>
          </cell>
          <cell r="AF233">
            <v>13.568456451083488</v>
          </cell>
          <cell r="AG233">
            <v>13.568767036857052</v>
          </cell>
          <cell r="AH233">
            <v>13.568767036857052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D240">
            <v>112.51344284999999</v>
          </cell>
          <cell r="E240">
            <v>117.45273884999999</v>
          </cell>
          <cell r="F240">
            <v>124.49838844999999</v>
          </cell>
          <cell r="G240">
            <v>129.70157645</v>
          </cell>
          <cell r="H240">
            <v>132.62483645</v>
          </cell>
          <cell r="I240">
            <v>137.51597724999999</v>
          </cell>
          <cell r="J240">
            <v>139.91384725</v>
          </cell>
          <cell r="K240">
            <v>143.11254725000001</v>
          </cell>
          <cell r="L240">
            <v>138.52037725</v>
          </cell>
          <cell r="M240">
            <v>133.94996724999999</v>
          </cell>
          <cell r="N240">
            <v>128.60860724999998</v>
          </cell>
          <cell r="O240">
            <v>126.07258604999998</v>
          </cell>
          <cell r="P240">
            <v>131.54886484999997</v>
          </cell>
          <cell r="Q240">
            <v>137.01851604999996</v>
          </cell>
          <cell r="R240">
            <v>143.99813404999995</v>
          </cell>
          <cell r="S240">
            <v>149.53275284999995</v>
          </cell>
          <cell r="T240">
            <v>147.58441084999995</v>
          </cell>
          <cell r="U240">
            <v>147.47282875399995</v>
          </cell>
          <cell r="V240">
            <v>143.66431875399994</v>
          </cell>
          <cell r="W240">
            <v>148.07062795399995</v>
          </cell>
          <cell r="X240">
            <v>148.06062435399994</v>
          </cell>
          <cell r="Y240">
            <v>154.10717285399994</v>
          </cell>
          <cell r="Z240">
            <v>156.96918975399993</v>
          </cell>
          <cell r="AA240">
            <v>161.73370075399993</v>
          </cell>
          <cell r="AB240">
            <v>167.08253664750393</v>
          </cell>
          <cell r="AC240">
            <v>163.86264264750392</v>
          </cell>
          <cell r="AD240">
            <v>166.52126164750391</v>
          </cell>
          <cell r="AE240">
            <v>169.2732178475039</v>
          </cell>
          <cell r="AF240">
            <v>172.96237104750389</v>
          </cell>
          <cell r="AG240">
            <v>170.98466064750389</v>
          </cell>
          <cell r="AH240">
            <v>170.98466064750389</v>
          </cell>
        </row>
        <row r="241">
          <cell r="D241">
            <v>6593.0843166208761</v>
          </cell>
          <cell r="E241">
            <v>6595.8425413726482</v>
          </cell>
          <cell r="F241">
            <v>6599.3982512914399</v>
          </cell>
          <cell r="G241">
            <v>6601.7761464037658</v>
          </cell>
          <cell r="H241">
            <v>6603.0302386673056</v>
          </cell>
          <cell r="I241">
            <v>6605.0093230188359</v>
          </cell>
          <cell r="J241">
            <v>6605.9290182548302</v>
          </cell>
          <cell r="K241">
            <v>6607.1794457028545</v>
          </cell>
          <cell r="L241">
            <v>6608.3785369120005</v>
          </cell>
          <cell r="M241">
            <v>6609.6572273045767</v>
          </cell>
          <cell r="N241">
            <v>6610.6594012062469</v>
          </cell>
          <cell r="O241">
            <v>6612.7328585041669</v>
          </cell>
          <cell r="P241">
            <v>6614.7785750860603</v>
          </cell>
          <cell r="Q241">
            <v>6616.6585885051054</v>
          </cell>
          <cell r="R241">
            <v>6618.2914287490767</v>
          </cell>
          <cell r="S241">
            <v>6619.477860298206</v>
          </cell>
          <cell r="T241">
            <v>6620.2921847595071</v>
          </cell>
          <cell r="U241">
            <v>6621.331857111245</v>
          </cell>
          <cell r="V241">
            <v>6621.6416285895903</v>
          </cell>
          <cell r="W241">
            <v>6622.4958207398231</v>
          </cell>
          <cell r="X241">
            <v>6623.3685289918731</v>
          </cell>
          <cell r="Y241">
            <v>6623.4627613841503</v>
          </cell>
          <cell r="Z241">
            <v>6623.5048330811233</v>
          </cell>
          <cell r="AA241">
            <v>6623.5715688239561</v>
          </cell>
          <cell r="AB241">
            <v>6623.6419542583099</v>
          </cell>
          <cell r="AC241">
            <v>6623.6737013934962</v>
          </cell>
          <cell r="AD241">
            <v>6623.7071735193949</v>
          </cell>
          <cell r="AE241">
            <v>6623.7407133151864</v>
          </cell>
          <cell r="AF241">
            <v>6623.7840009293323</v>
          </cell>
          <cell r="AG241">
            <v>6624.5769111686877</v>
          </cell>
          <cell r="AH241">
            <v>6624.5769111686886</v>
          </cell>
        </row>
        <row r="242">
          <cell r="D242">
            <v>1.3140686666830907</v>
          </cell>
          <cell r="E242">
            <v>1.3316832349774497</v>
          </cell>
          <cell r="F242">
            <v>1.3543907011327214</v>
          </cell>
          <cell r="G242">
            <v>1.36957640919585</v>
          </cell>
          <cell r="H242">
            <v>1.3775852902014092</v>
          </cell>
          <cell r="I242">
            <v>1.3902241139404496</v>
          </cell>
          <cell r="J242">
            <v>1.3960974694507362</v>
          </cell>
          <cell r="K242">
            <v>1.4034121338799228</v>
          </cell>
          <cell r="L242">
            <v>1.4104264951119527</v>
          </cell>
          <cell r="M242">
            <v>1.4179064901690821</v>
          </cell>
          <cell r="N242">
            <v>1.4237689380879786</v>
          </cell>
          <cell r="O242">
            <v>1.4358981058909539</v>
          </cell>
          <cell r="P242">
            <v>1.447864997962464</v>
          </cell>
          <cell r="Q242">
            <v>1.4588625710758922</v>
          </cell>
          <cell r="R242">
            <v>1.468581006814931</v>
          </cell>
          <cell r="S242">
            <v>1.4756424807169575</v>
          </cell>
          <cell r="T242">
            <v>1.4804892255084963</v>
          </cell>
          <cell r="U242">
            <v>1.4866772092854301</v>
          </cell>
          <cell r="V242">
            <v>1.4885209256056253</v>
          </cell>
          <cell r="W242">
            <v>1.4936049572807917</v>
          </cell>
          <cell r="X242">
            <v>1.4987991941926975</v>
          </cell>
          <cell r="Y242">
            <v>1.5058273730518534</v>
          </cell>
          <cell r="Z242">
            <v>1.5089652262261282</v>
          </cell>
          <cell r="AA242">
            <v>1.5139426095397814</v>
          </cell>
          <cell r="AB242">
            <v>1.519192199513687</v>
          </cell>
          <cell r="AC242">
            <v>1.5215600110375325</v>
          </cell>
          <cell r="AD242">
            <v>1.5240564783554922</v>
          </cell>
          <cell r="AE242">
            <v>1.5265579927288371</v>
          </cell>
          <cell r="AF242">
            <v>1.5297865332258378</v>
          </cell>
          <cell r="AG242">
            <v>1.5344033242193946</v>
          </cell>
          <cell r="AH242">
            <v>1.5344033242193946</v>
          </cell>
        </row>
        <row r="243">
          <cell r="D243">
            <v>4.6412518172880031</v>
          </cell>
          <cell r="E243">
            <v>4.5960138957601941</v>
          </cell>
          <cell r="F243">
            <v>4.537696339810978</v>
          </cell>
          <cell r="G243">
            <v>4.4986962429466084</v>
          </cell>
          <cell r="H243">
            <v>4.4781277496176486</v>
          </cell>
          <cell r="I243">
            <v>4.4456685881465372</v>
          </cell>
          <cell r="J243">
            <v>4.4305845740941248</v>
          </cell>
          <cell r="K243">
            <v>4.4106823155917629</v>
          </cell>
          <cell r="L243">
            <v>4.3915971433572345</v>
          </cell>
          <cell r="M243">
            <v>4.3712450415397717</v>
          </cell>
          <cell r="N243">
            <v>4.3552940768621635</v>
          </cell>
          <cell r="O243">
            <v>4.3222921756306949</v>
          </cell>
          <cell r="P243">
            <v>4.289731805735018</v>
          </cell>
          <cell r="Q243">
            <v>4.2598088277062898</v>
          </cell>
          <cell r="R243">
            <v>4.2342239943768591</v>
          </cell>
          <cell r="S243">
            <v>4.2156339004878047</v>
          </cell>
          <cell r="T243">
            <v>4.20287432055009</v>
          </cell>
          <cell r="U243">
            <v>4.1865837839010576</v>
          </cell>
          <cell r="V243">
            <v>4.1817300012527392</v>
          </cell>
          <cell r="W243">
            <v>4.1683457379264732</v>
          </cell>
          <cell r="X243">
            <v>4.1546713473935544</v>
          </cell>
          <cell r="Y243">
            <v>4.1485334129987894</v>
          </cell>
          <cell r="Z243">
            <v>4.1457930250106534</v>
          </cell>
          <cell r="AA243">
            <v>4.1414461162524905</v>
          </cell>
          <cell r="AB243">
            <v>4.1368614806726383</v>
          </cell>
          <cell r="AC243">
            <v>4.1347935947972534</v>
          </cell>
          <cell r="AD243">
            <v>4.132613349683492</v>
          </cell>
          <cell r="AE243">
            <v>4.1304286968141151</v>
          </cell>
          <cell r="AF243">
            <v>4.1276091086734947</v>
          </cell>
          <cell r="AG243">
            <v>4.114834823434343</v>
          </cell>
          <cell r="AH243">
            <v>4.114834823434343</v>
          </cell>
        </row>
        <row r="244">
          <cell r="D244">
            <v>9.6056375259375457</v>
          </cell>
          <cell r="E244">
            <v>9.6005135722908221</v>
          </cell>
          <cell r="F244">
            <v>9.5939081305865592</v>
          </cell>
          <cell r="G244">
            <v>9.5894907152455851</v>
          </cell>
          <cell r="H244">
            <v>9.5871609882634168</v>
          </cell>
          <cell r="I244">
            <v>9.5834844436041493</v>
          </cell>
          <cell r="J244">
            <v>9.5817759259225053</v>
          </cell>
          <cell r="K244">
            <v>9.5798337847918376</v>
          </cell>
          <cell r="L244">
            <v>9.5779713781720979</v>
          </cell>
          <cell r="M244">
            <v>9.5759853395508738</v>
          </cell>
          <cell r="N244">
            <v>9.5744287813054587</v>
          </cell>
          <cell r="O244">
            <v>9.5712083252067544</v>
          </cell>
          <cell r="P244">
            <v>9.5680309554827794</v>
          </cell>
          <cell r="Q244">
            <v>9.5651109528923826</v>
          </cell>
          <cell r="R244">
            <v>9.5582742161679892</v>
          </cell>
          <cell r="S244">
            <v>9.5533066021145885</v>
          </cell>
          <cell r="T244">
            <v>9.5498970083281129</v>
          </cell>
          <cell r="U244">
            <v>9.5455438781460842</v>
          </cell>
          <cell r="V244">
            <v>9.5442468583978339</v>
          </cell>
          <cell r="W244">
            <v>9.5406703377524398</v>
          </cell>
          <cell r="X244">
            <v>9.5370162897961226</v>
          </cell>
          <cell r="Y244">
            <v>9.5344306076948602</v>
          </cell>
          <cell r="Z244">
            <v>9.5332761847708412</v>
          </cell>
          <cell r="AA244">
            <v>9.5314449947565922</v>
          </cell>
          <cell r="AB244">
            <v>9.5295136593272431</v>
          </cell>
          <cell r="AC244">
            <v>9.528642536380735</v>
          </cell>
          <cell r="AD244">
            <v>9.5277240806911756</v>
          </cell>
          <cell r="AE244">
            <v>9.5268037681790982</v>
          </cell>
          <cell r="AF244">
            <v>9.5256159811942211</v>
          </cell>
          <cell r="AG244">
            <v>9.5246654973766613</v>
          </cell>
          <cell r="AH244">
            <v>9.5246654973766613</v>
          </cell>
        </row>
        <row r="245">
          <cell r="D245">
            <v>13.244170280563013</v>
          </cell>
          <cell r="E245">
            <v>13.245112167701272</v>
          </cell>
          <cell r="F245">
            <v>13.246326382546432</v>
          </cell>
          <cell r="G245">
            <v>13.247138393540455</v>
          </cell>
          <cell r="H245">
            <v>13.247566644854079</v>
          </cell>
          <cell r="I245">
            <v>13.248242468713261</v>
          </cell>
          <cell r="J245">
            <v>13.248556529093346</v>
          </cell>
          <cell r="K245">
            <v>13.249401272275978</v>
          </cell>
          <cell r="L245">
            <v>13.250211334567783</v>
          </cell>
          <cell r="M245">
            <v>13.251075171165049</v>
          </cell>
          <cell r="N245">
            <v>13.251752203305207</v>
          </cell>
          <cell r="O245">
            <v>13.25315295543974</v>
          </cell>
          <cell r="P245">
            <v>13.254534966958188</v>
          </cell>
          <cell r="Q245">
            <v>13.255805035462769</v>
          </cell>
          <cell r="R245">
            <v>13.257502233379174</v>
          </cell>
          <cell r="S245">
            <v>13.258735427600453</v>
          </cell>
          <cell r="T245">
            <v>13.259581848298433</v>
          </cell>
          <cell r="U245">
            <v>13.260662498873788</v>
          </cell>
          <cell r="V245">
            <v>13.260984479857262</v>
          </cell>
          <cell r="W245">
            <v>13.261872339611415</v>
          </cell>
          <cell r="X245">
            <v>13.262779445271308</v>
          </cell>
          <cell r="Y245">
            <v>13.265822907993536</v>
          </cell>
          <cell r="Z245">
            <v>13.267181715069327</v>
          </cell>
          <cell r="AA245">
            <v>13.269337107080961</v>
          </cell>
          <cell r="AB245">
            <v>13.271610374695907</v>
          </cell>
          <cell r="AC245">
            <v>13.27263572511036</v>
          </cell>
          <cell r="AD245">
            <v>13.273716788266512</v>
          </cell>
          <cell r="AE245">
            <v>13.274800036985271</v>
          </cell>
          <cell r="AF245">
            <v>13.276198115043151</v>
          </cell>
          <cell r="AG245">
            <v>13.275979245622553</v>
          </cell>
          <cell r="AH245">
            <v>13.275979245622553</v>
          </cell>
        </row>
        <row r="246">
          <cell r="D246">
            <v>92.611926355520012</v>
          </cell>
          <cell r="E246">
            <v>95.834225955520012</v>
          </cell>
          <cell r="F246">
            <v>97.237116855520014</v>
          </cell>
          <cell r="G246">
            <v>98.464325390520017</v>
          </cell>
          <cell r="H246">
            <v>100.76844386102002</v>
          </cell>
          <cell r="I246">
            <v>103.27991824102001</v>
          </cell>
          <cell r="J246">
            <v>104.50080944102001</v>
          </cell>
          <cell r="K246">
            <v>108.31918444102001</v>
          </cell>
          <cell r="L246">
            <v>107.54195564102001</v>
          </cell>
          <cell r="M246">
            <v>107.09890659102001</v>
          </cell>
          <cell r="N246">
            <v>107.10890499102001</v>
          </cell>
          <cell r="O246">
            <v>106.28462978102002</v>
          </cell>
          <cell r="P246">
            <v>110.05185477002001</v>
          </cell>
          <cell r="Q246">
            <v>113.03587712390001</v>
          </cell>
          <cell r="R246">
            <v>114.0858271239</v>
          </cell>
          <cell r="S246">
            <v>119.1362609239</v>
          </cell>
          <cell r="T246">
            <v>116.28842092390001</v>
          </cell>
          <cell r="U246">
            <v>116.38810267390001</v>
          </cell>
          <cell r="V246">
            <v>114.69326681020002</v>
          </cell>
          <cell r="W246">
            <v>117.10465681020001</v>
          </cell>
          <cell r="X246">
            <v>114.06666481020001</v>
          </cell>
          <cell r="Y246">
            <v>114.06666481020001</v>
          </cell>
          <cell r="Z246">
            <v>115.83927591420002</v>
          </cell>
          <cell r="AA246">
            <v>115.83927591420002</v>
          </cell>
          <cell r="AB246">
            <v>117.10887039420001</v>
          </cell>
          <cell r="AC246">
            <v>116.40604223620001</v>
          </cell>
          <cell r="AD246">
            <v>118.6296830352</v>
          </cell>
          <cell r="AE246">
            <v>119.8411189972</v>
          </cell>
          <cell r="AF246">
            <v>121.12109659719999</v>
          </cell>
          <cell r="AG246">
            <v>118.58721179719998</v>
          </cell>
          <cell r="AH246">
            <v>118.58721179719998</v>
          </cell>
        </row>
        <row r="247">
          <cell r="D247">
            <v>6502.4124147946704</v>
          </cell>
          <cell r="E247">
            <v>6500.8011030616399</v>
          </cell>
          <cell r="F247">
            <v>6500.13295548935</v>
          </cell>
          <cell r="G247">
            <v>6499.5640913025645</v>
          </cell>
          <cell r="H247">
            <v>6498.5334618411334</v>
          </cell>
          <cell r="I247">
            <v>6497.4624617097406</v>
          </cell>
          <cell r="J247">
            <v>6496.9604167251637</v>
          </cell>
          <cell r="K247">
            <v>6494.1531263967672</v>
          </cell>
          <cell r="L247">
            <v>6492.6082418698425</v>
          </cell>
          <cell r="M247">
            <v>6490.8181000355426</v>
          </cell>
          <cell r="N247">
            <v>6487.9827959131553</v>
          </cell>
          <cell r="O247">
            <v>6485.7696809762301</v>
          </cell>
          <cell r="P247">
            <v>6483.4266768194302</v>
          </cell>
          <cell r="Q247">
            <v>6481.6816274083722</v>
          </cell>
          <cell r="R247">
            <v>6481.1201392228495</v>
          </cell>
          <cell r="S247">
            <v>6478.5575851961703</v>
          </cell>
          <cell r="T247">
            <v>6477.6243548831117</v>
          </cell>
          <cell r="U247">
            <v>6475.3217189432917</v>
          </cell>
          <cell r="V247">
            <v>6473.9015663630307</v>
          </cell>
          <cell r="W247">
            <v>6472.8054609460478</v>
          </cell>
          <cell r="X247">
            <v>6471.7747012800564</v>
          </cell>
          <cell r="Y247">
            <v>6471.7747012800564</v>
          </cell>
          <cell r="Z247">
            <v>6471.4554791959908</v>
          </cell>
          <cell r="AA247">
            <v>6471.4554791959908</v>
          </cell>
          <cell r="AB247">
            <v>6471.2327826710589</v>
          </cell>
          <cell r="AC247">
            <v>6470.4853761724453</v>
          </cell>
          <cell r="AD247">
            <v>6470.1185169489399</v>
          </cell>
          <cell r="AE247">
            <v>6469.9243814579086</v>
          </cell>
          <cell r="AF247">
            <v>6469.7234812333982</v>
          </cell>
          <cell r="AG247">
            <v>6469.2886700989648</v>
          </cell>
          <cell r="AH247">
            <v>6469.2886700989648</v>
          </cell>
        </row>
        <row r="248">
          <cell r="D248">
            <v>2.0967394208111192</v>
          </cell>
          <cell r="E248">
            <v>2.1073572856962515</v>
          </cell>
          <cell r="F248">
            <v>2.1117600964624517</v>
          </cell>
          <cell r="G248">
            <v>2.1155086715826248</v>
          </cell>
          <cell r="H248">
            <v>2.1223000851519478</v>
          </cell>
          <cell r="I248">
            <v>2.1293575244133822</v>
          </cell>
          <cell r="J248">
            <v>2.1326657891663916</v>
          </cell>
          <cell r="K248">
            <v>2.1426292523917994</v>
          </cell>
          <cell r="L248">
            <v>2.1481122621168116</v>
          </cell>
          <cell r="M248">
            <v>2.1544657240847083</v>
          </cell>
          <cell r="N248">
            <v>2.1645286121552805</v>
          </cell>
          <cell r="O248">
            <v>2.1723832644028973</v>
          </cell>
          <cell r="P248">
            <v>2.1806989115296371</v>
          </cell>
          <cell r="Q248">
            <v>2.1868923342254396</v>
          </cell>
          <cell r="R248">
            <v>2.1892500322314263</v>
          </cell>
          <cell r="S248">
            <v>2.2000102381889315</v>
          </cell>
          <cell r="T248">
            <v>2.2039288874231504</v>
          </cell>
          <cell r="U248">
            <v>2.2135976931145223</v>
          </cell>
          <cell r="V248">
            <v>2.2195609368532216</v>
          </cell>
          <cell r="W248">
            <v>2.2241635012928707</v>
          </cell>
          <cell r="X248">
            <v>2.2284916778633095</v>
          </cell>
          <cell r="Y248">
            <v>2.2284916778633095</v>
          </cell>
          <cell r="Z248">
            <v>2.2311830632985257</v>
          </cell>
          <cell r="AA248">
            <v>2.2311830632985257</v>
          </cell>
          <cell r="AB248">
            <v>2.2330606344741906</v>
          </cell>
          <cell r="AC248">
            <v>2.2393620749602068</v>
          </cell>
          <cell r="AD248">
            <v>2.242455092706181</v>
          </cell>
          <cell r="AE248">
            <v>2.2440918636537508</v>
          </cell>
          <cell r="AF248">
            <v>2.2457856685788209</v>
          </cell>
          <cell r="AG248">
            <v>2.249451594004102</v>
          </cell>
          <cell r="AH248">
            <v>2.249451594004102</v>
          </cell>
        </row>
        <row r="249">
          <cell r="D249">
            <v>4.4810035340269883</v>
          </cell>
          <cell r="E249">
            <v>4.4879747762433055</v>
          </cell>
          <cell r="F249">
            <v>4.4908654760794624</v>
          </cell>
          <cell r="G249">
            <v>4.4933266323864496</v>
          </cell>
          <cell r="H249">
            <v>4.4977855880705837</v>
          </cell>
          <cell r="I249">
            <v>4.5024192050030516</v>
          </cell>
          <cell r="J249">
            <v>4.5045912720954879</v>
          </cell>
          <cell r="K249">
            <v>4.5247807099006749</v>
          </cell>
          <cell r="L249">
            <v>4.5358911924029917</v>
          </cell>
          <cell r="M249">
            <v>4.5487655135447964</v>
          </cell>
          <cell r="N249">
            <v>4.5691564206265118</v>
          </cell>
          <cell r="O249">
            <v>4.5850726747890436</v>
          </cell>
          <cell r="P249">
            <v>4.6019230647264573</v>
          </cell>
          <cell r="Q249">
            <v>4.6144730907053022</v>
          </cell>
          <cell r="R249">
            <v>4.6197112918173184</v>
          </cell>
          <cell r="S249">
            <v>4.643617713534181</v>
          </cell>
          <cell r="T249">
            <v>4.652323948482068</v>
          </cell>
          <cell r="U249">
            <v>4.6738055583387208</v>
          </cell>
          <cell r="V249">
            <v>4.6870543586108333</v>
          </cell>
          <cell r="W249">
            <v>4.6972800779797588</v>
          </cell>
          <cell r="X249">
            <v>4.7068961777799485</v>
          </cell>
          <cell r="Y249">
            <v>4.7068961777799485</v>
          </cell>
          <cell r="Z249">
            <v>4.7084641173378463</v>
          </cell>
          <cell r="AA249">
            <v>4.7084641173378463</v>
          </cell>
          <cell r="AB249">
            <v>4.7095579473335709</v>
          </cell>
          <cell r="AC249">
            <v>4.7132290223421824</v>
          </cell>
          <cell r="AD249">
            <v>4.7150309436923301</v>
          </cell>
          <cell r="AE249">
            <v>4.7159844889862645</v>
          </cell>
          <cell r="AF249">
            <v>4.716971260970177</v>
          </cell>
          <cell r="AG249">
            <v>4.7191069452223804</v>
          </cell>
          <cell r="AH249">
            <v>4.7191069452223804</v>
          </cell>
        </row>
        <row r="250">
          <cell r="D250">
            <v>10.383094424316463</v>
          </cell>
          <cell r="E250">
            <v>10.383325310466347</v>
          </cell>
          <cell r="F250">
            <v>10.383421049867579</v>
          </cell>
          <cell r="G250">
            <v>10.383502562872915</v>
          </cell>
          <cell r="H250">
            <v>10.383650242594616</v>
          </cell>
          <cell r="I250">
            <v>10.383803707061977</v>
          </cell>
          <cell r="J250">
            <v>10.383875645490267</v>
          </cell>
          <cell r="K250">
            <v>10.384419609207598</v>
          </cell>
          <cell r="L250">
            <v>10.384718958769563</v>
          </cell>
          <cell r="M250">
            <v>10.385065831409305</v>
          </cell>
          <cell r="N250">
            <v>10.385615223310307</v>
          </cell>
          <cell r="O250">
            <v>10.386044054705403</v>
          </cell>
          <cell r="P250">
            <v>10.38649805450655</v>
          </cell>
          <cell r="Q250">
            <v>10.386836189666624</v>
          </cell>
          <cell r="R250">
            <v>10.385822626811658</v>
          </cell>
          <cell r="S250">
            <v>10.381196866836191</v>
          </cell>
          <cell r="T250">
            <v>10.379512258673753</v>
          </cell>
          <cell r="U250">
            <v>10.375355686340997</v>
          </cell>
          <cell r="V250">
            <v>10.372792116989318</v>
          </cell>
          <cell r="W250">
            <v>10.370813497021121</v>
          </cell>
          <cell r="X250">
            <v>10.36895283505746</v>
          </cell>
          <cell r="Y250">
            <v>10.36895283505746</v>
          </cell>
          <cell r="Z250">
            <v>10.368661461019006</v>
          </cell>
          <cell r="AA250">
            <v>10.368661461019006</v>
          </cell>
          <cell r="AB250">
            <v>10.36845819191872</v>
          </cell>
          <cell r="AC250">
            <v>10.367775987081592</v>
          </cell>
          <cell r="AD250">
            <v>10.367441131635077</v>
          </cell>
          <cell r="AE250">
            <v>10.367263931983636</v>
          </cell>
          <cell r="AF250">
            <v>10.367080557735225</v>
          </cell>
          <cell r="AG250">
            <v>10.366683678313253</v>
          </cell>
          <cell r="AH250">
            <v>10.366683678313253</v>
          </cell>
        </row>
        <row r="251">
          <cell r="D251">
            <v>13.813591214816825</v>
          </cell>
          <cell r="E251">
            <v>13.826875175615625</v>
          </cell>
          <cell r="F251">
            <v>13.832383511449191</v>
          </cell>
          <cell r="G251">
            <v>13.837073336144309</v>
          </cell>
          <cell r="H251">
            <v>13.845570041706052</v>
          </cell>
          <cell r="I251">
            <v>13.854399570759496</v>
          </cell>
          <cell r="J251">
            <v>13.858538525225999</v>
          </cell>
          <cell r="K251">
            <v>13.872202468586895</v>
          </cell>
          <cell r="L251">
            <v>13.879721895580792</v>
          </cell>
          <cell r="M251">
            <v>13.8884350651395</v>
          </cell>
          <cell r="N251">
            <v>13.902235360230943</v>
          </cell>
          <cell r="O251">
            <v>13.913007269656703</v>
          </cell>
          <cell r="P251">
            <v>13.924411389768196</v>
          </cell>
          <cell r="Q251">
            <v>13.932905080667735</v>
          </cell>
          <cell r="R251">
            <v>13.934534975668088</v>
          </cell>
          <cell r="S251">
            <v>13.941973589879215</v>
          </cell>
          <cell r="T251">
            <v>13.944682582625004</v>
          </cell>
          <cell r="U251">
            <v>13.951366703329061</v>
          </cell>
          <cell r="V251">
            <v>13.955489140185223</v>
          </cell>
          <cell r="W251">
            <v>13.958670928840906</v>
          </cell>
          <cell r="X251">
            <v>13.96166303102485</v>
          </cell>
          <cell r="Y251">
            <v>13.961663031024852</v>
          </cell>
          <cell r="Z251">
            <v>13.965420111693147</v>
          </cell>
          <cell r="AA251">
            <v>13.965420111693147</v>
          </cell>
          <cell r="AB251">
            <v>13.968041135896941</v>
          </cell>
          <cell r="AC251">
            <v>13.976837728136257</v>
          </cell>
          <cell r="AD251">
            <v>13.981155473572509</v>
          </cell>
          <cell r="AE251">
            <v>13.983440349014383</v>
          </cell>
          <cell r="AF251">
            <v>13.985804841909594</v>
          </cell>
          <cell r="AG251">
            <v>13.990922346584517</v>
          </cell>
          <cell r="AH251">
            <v>13.990922346584517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</row>
        <row r="348">
          <cell r="D348">
            <v>1</v>
          </cell>
          <cell r="E348">
            <v>1</v>
          </cell>
          <cell r="F348">
            <v>1</v>
          </cell>
          <cell r="G348">
            <v>1</v>
          </cell>
          <cell r="H348">
            <v>1</v>
          </cell>
          <cell r="I348">
            <v>1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0</v>
          </cell>
          <cell r="U348">
            <v>1</v>
          </cell>
          <cell r="V348">
            <v>1</v>
          </cell>
          <cell r="W348">
            <v>1</v>
          </cell>
          <cell r="X348">
            <v>0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E348">
            <v>1</v>
          </cell>
          <cell r="AF348">
            <v>1</v>
          </cell>
          <cell r="AG348">
            <v>1</v>
          </cell>
          <cell r="AH348">
            <v>0</v>
          </cell>
        </row>
        <row r="350">
          <cell r="D350">
            <v>0.4</v>
          </cell>
          <cell r="E350">
            <v>0.4</v>
          </cell>
          <cell r="F350">
            <v>0.4</v>
          </cell>
          <cell r="G350">
            <v>0.4</v>
          </cell>
          <cell r="H350">
            <v>0.4</v>
          </cell>
          <cell r="I350">
            <v>0.4</v>
          </cell>
          <cell r="J350">
            <v>0.4</v>
          </cell>
          <cell r="K350">
            <v>0.4</v>
          </cell>
          <cell r="L350">
            <v>0.4</v>
          </cell>
          <cell r="M350">
            <v>0.4</v>
          </cell>
          <cell r="N350">
            <v>0.4</v>
          </cell>
          <cell r="O350">
            <v>0.4</v>
          </cell>
          <cell r="P350">
            <v>0.4</v>
          </cell>
          <cell r="Q350">
            <v>0.4</v>
          </cell>
          <cell r="R350">
            <v>0.4</v>
          </cell>
          <cell r="S350">
            <v>0.4</v>
          </cell>
          <cell r="U350">
            <v>0.5</v>
          </cell>
          <cell r="V350">
            <v>0.5</v>
          </cell>
          <cell r="W350">
            <v>0.5</v>
          </cell>
          <cell r="Y350">
            <v>0.5</v>
          </cell>
          <cell r="Z350">
            <v>0.5</v>
          </cell>
          <cell r="AA350">
            <v>0.5</v>
          </cell>
          <cell r="AB350">
            <v>0.5</v>
          </cell>
          <cell r="AC350">
            <v>0.4</v>
          </cell>
          <cell r="AD350">
            <v>0.4</v>
          </cell>
          <cell r="AE350">
            <v>0.35</v>
          </cell>
          <cell r="AF350">
            <v>0.6</v>
          </cell>
          <cell r="AG350">
            <v>0.5</v>
          </cell>
        </row>
        <row r="351">
          <cell r="D351">
            <v>0.6</v>
          </cell>
          <cell r="E351">
            <v>0.6</v>
          </cell>
          <cell r="F351">
            <v>0.6</v>
          </cell>
          <cell r="G351">
            <v>0.6</v>
          </cell>
          <cell r="H351">
            <v>0.6</v>
          </cell>
          <cell r="I351">
            <v>0.6</v>
          </cell>
          <cell r="J351">
            <v>0.6</v>
          </cell>
          <cell r="K351">
            <v>0.6</v>
          </cell>
          <cell r="L351">
            <v>0.6</v>
          </cell>
          <cell r="M351">
            <v>0.6</v>
          </cell>
          <cell r="N351">
            <v>0.6</v>
          </cell>
          <cell r="O351">
            <v>0.6</v>
          </cell>
          <cell r="P351">
            <v>0.6</v>
          </cell>
          <cell r="Q351">
            <v>0.6</v>
          </cell>
          <cell r="R351">
            <v>0.6</v>
          </cell>
          <cell r="S351">
            <v>0.6</v>
          </cell>
          <cell r="U351">
            <v>0.5</v>
          </cell>
          <cell r="V351">
            <v>0.5</v>
          </cell>
          <cell r="W351">
            <v>0.5</v>
          </cell>
          <cell r="Y351">
            <v>0.5</v>
          </cell>
          <cell r="Z351">
            <v>0.5</v>
          </cell>
          <cell r="AA351">
            <v>0.5</v>
          </cell>
          <cell r="AB351">
            <v>0.5</v>
          </cell>
          <cell r="AC351">
            <v>0.6</v>
          </cell>
          <cell r="AD351">
            <v>0.6</v>
          </cell>
          <cell r="AE351">
            <v>0.65</v>
          </cell>
          <cell r="AF351">
            <v>0.4</v>
          </cell>
          <cell r="AG351">
            <v>0.5</v>
          </cell>
        </row>
        <row r="370"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1</v>
          </cell>
          <cell r="M370">
            <v>1</v>
          </cell>
          <cell r="N370">
            <v>1</v>
          </cell>
          <cell r="O370">
            <v>1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1</v>
          </cell>
          <cell r="U370">
            <v>1</v>
          </cell>
          <cell r="V370">
            <v>1</v>
          </cell>
          <cell r="W370">
            <v>0</v>
          </cell>
          <cell r="X370">
            <v>1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1</v>
          </cell>
          <cell r="AD370">
            <v>0</v>
          </cell>
          <cell r="AE370">
            <v>0</v>
          </cell>
          <cell r="AF370">
            <v>0</v>
          </cell>
          <cell r="AG370">
            <v>1</v>
          </cell>
          <cell r="AH370">
            <v>0</v>
          </cell>
        </row>
        <row r="372">
          <cell r="L372">
            <v>0.05</v>
          </cell>
          <cell r="M372">
            <v>0.05</v>
          </cell>
          <cell r="N372">
            <v>0</v>
          </cell>
          <cell r="O372">
            <v>0</v>
          </cell>
          <cell r="T372">
            <v>0</v>
          </cell>
          <cell r="U372">
            <v>0.05</v>
          </cell>
          <cell r="V372">
            <v>0.05</v>
          </cell>
          <cell r="X372">
            <v>0.05</v>
          </cell>
          <cell r="AC372">
            <v>0</v>
          </cell>
          <cell r="AG372">
            <v>0</v>
          </cell>
        </row>
        <row r="373">
          <cell r="L373">
            <v>0.05</v>
          </cell>
          <cell r="M373">
            <v>0.05</v>
          </cell>
          <cell r="N373">
            <v>0</v>
          </cell>
          <cell r="O373">
            <v>0</v>
          </cell>
          <cell r="T373">
            <v>0.1</v>
          </cell>
          <cell r="U373">
            <v>0.1</v>
          </cell>
          <cell r="V373">
            <v>0.1</v>
          </cell>
          <cell r="X373">
            <v>0.1</v>
          </cell>
          <cell r="AC373">
            <v>0.05</v>
          </cell>
          <cell r="AG373">
            <v>0.05</v>
          </cell>
        </row>
        <row r="378">
          <cell r="L378">
            <v>0.65</v>
          </cell>
          <cell r="M378">
            <v>0.65</v>
          </cell>
          <cell r="N378">
            <v>0.65</v>
          </cell>
          <cell r="O378">
            <v>0.65</v>
          </cell>
          <cell r="T378">
            <v>0.5</v>
          </cell>
          <cell r="U378">
            <v>0.45</v>
          </cell>
          <cell r="V378">
            <v>0.45</v>
          </cell>
          <cell r="X378">
            <v>0.4</v>
          </cell>
          <cell r="AC378">
            <v>0.5</v>
          </cell>
          <cell r="AG378">
            <v>0.5</v>
          </cell>
        </row>
        <row r="379">
          <cell r="L379">
            <v>0.25</v>
          </cell>
          <cell r="M379">
            <v>0.25</v>
          </cell>
          <cell r="N379">
            <v>0.35</v>
          </cell>
          <cell r="O379">
            <v>0.35</v>
          </cell>
          <cell r="T379">
            <v>0.4</v>
          </cell>
          <cell r="U379">
            <v>0.4</v>
          </cell>
          <cell r="V379">
            <v>0.4</v>
          </cell>
          <cell r="X379">
            <v>0.45</v>
          </cell>
          <cell r="AC379">
            <v>0.45</v>
          </cell>
          <cell r="AG379">
            <v>0.45</v>
          </cell>
        </row>
        <row r="392">
          <cell r="D392">
            <v>0</v>
          </cell>
          <cell r="E392">
            <v>1</v>
          </cell>
          <cell r="F392">
            <v>1</v>
          </cell>
          <cell r="G392">
            <v>1</v>
          </cell>
          <cell r="H392">
            <v>0</v>
          </cell>
          <cell r="I392">
            <v>0</v>
          </cell>
          <cell r="J392">
            <v>0</v>
          </cell>
          <cell r="K392">
            <v>1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1</v>
          </cell>
          <cell r="X392">
            <v>1</v>
          </cell>
          <cell r="Y392">
            <v>1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1</v>
          </cell>
        </row>
        <row r="396">
          <cell r="E396">
            <v>1</v>
          </cell>
          <cell r="F396">
            <v>1</v>
          </cell>
          <cell r="G396">
            <v>1</v>
          </cell>
          <cell r="K396">
            <v>1</v>
          </cell>
          <cell r="W396">
            <v>1</v>
          </cell>
          <cell r="X396">
            <v>1</v>
          </cell>
          <cell r="Y396">
            <v>1</v>
          </cell>
          <cell r="AH396">
            <v>1</v>
          </cell>
        </row>
        <row r="415">
          <cell r="D415">
            <v>10</v>
          </cell>
          <cell r="E415">
            <v>23</v>
          </cell>
          <cell r="F415">
            <v>23</v>
          </cell>
          <cell r="G415">
            <v>23</v>
          </cell>
          <cell r="H415">
            <v>23</v>
          </cell>
          <cell r="I415">
            <v>23</v>
          </cell>
          <cell r="J415">
            <v>23</v>
          </cell>
          <cell r="K415">
            <v>22</v>
          </cell>
          <cell r="L415">
            <v>24</v>
          </cell>
          <cell r="M415">
            <v>24.25</v>
          </cell>
          <cell r="N415">
            <v>24.25</v>
          </cell>
          <cell r="O415">
            <v>24.25</v>
          </cell>
          <cell r="P415">
            <v>24</v>
          </cell>
          <cell r="Q415">
            <v>12</v>
          </cell>
          <cell r="R415">
            <v>24</v>
          </cell>
          <cell r="S415">
            <v>24</v>
          </cell>
          <cell r="T415">
            <v>12</v>
          </cell>
          <cell r="U415">
            <v>23</v>
          </cell>
          <cell r="V415">
            <v>23</v>
          </cell>
          <cell r="W415">
            <v>23</v>
          </cell>
          <cell r="X415">
            <v>23</v>
          </cell>
          <cell r="Y415">
            <v>23.25</v>
          </cell>
          <cell r="Z415">
            <v>23</v>
          </cell>
          <cell r="AA415">
            <v>23</v>
          </cell>
          <cell r="AB415">
            <v>23</v>
          </cell>
          <cell r="AC415">
            <v>23.75</v>
          </cell>
          <cell r="AD415">
            <v>24</v>
          </cell>
          <cell r="AE415">
            <v>24</v>
          </cell>
          <cell r="AF415">
            <v>24</v>
          </cell>
          <cell r="AG415">
            <v>24</v>
          </cell>
          <cell r="AH415">
            <v>0</v>
          </cell>
        </row>
        <row r="416">
          <cell r="D416">
            <v>10</v>
          </cell>
          <cell r="E416">
            <v>12</v>
          </cell>
          <cell r="F416">
            <v>12</v>
          </cell>
          <cell r="G416">
            <v>12</v>
          </cell>
          <cell r="H416">
            <v>23</v>
          </cell>
          <cell r="I416">
            <v>23</v>
          </cell>
          <cell r="J416">
            <v>23</v>
          </cell>
          <cell r="K416">
            <v>11</v>
          </cell>
          <cell r="L416">
            <v>12</v>
          </cell>
          <cell r="M416">
            <v>12</v>
          </cell>
          <cell r="N416">
            <v>12</v>
          </cell>
          <cell r="O416">
            <v>12</v>
          </cell>
          <cell r="P416">
            <v>24</v>
          </cell>
          <cell r="Q416">
            <v>12</v>
          </cell>
          <cell r="R416">
            <v>24</v>
          </cell>
          <cell r="S416">
            <v>24</v>
          </cell>
          <cell r="T416">
            <v>0</v>
          </cell>
          <cell r="U416">
            <v>11</v>
          </cell>
          <cell r="V416">
            <v>11</v>
          </cell>
          <cell r="W416">
            <v>12</v>
          </cell>
          <cell r="X416">
            <v>0</v>
          </cell>
          <cell r="Y416">
            <v>12.25</v>
          </cell>
          <cell r="Z416">
            <v>23</v>
          </cell>
          <cell r="AA416">
            <v>23</v>
          </cell>
          <cell r="AB416">
            <v>23</v>
          </cell>
          <cell r="AC416">
            <v>12.25</v>
          </cell>
          <cell r="AD416">
            <v>24</v>
          </cell>
          <cell r="AE416">
            <v>24</v>
          </cell>
          <cell r="AF416">
            <v>24</v>
          </cell>
          <cell r="AG416">
            <v>12</v>
          </cell>
          <cell r="AH416">
            <v>0</v>
          </cell>
        </row>
        <row r="417"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D418">
            <v>4</v>
          </cell>
          <cell r="E418">
            <v>4.8000000000000007</v>
          </cell>
          <cell r="F418">
            <v>4.8000000000000007</v>
          </cell>
          <cell r="G418">
            <v>4.8000000000000007</v>
          </cell>
          <cell r="H418">
            <v>9.2000000000000011</v>
          </cell>
          <cell r="I418">
            <v>9.2000000000000011</v>
          </cell>
          <cell r="J418">
            <v>9.2000000000000011</v>
          </cell>
          <cell r="K418">
            <v>4.4000000000000004</v>
          </cell>
          <cell r="L418">
            <v>4.8000000000000007</v>
          </cell>
          <cell r="M418">
            <v>4.8000000000000007</v>
          </cell>
          <cell r="N418">
            <v>4.8000000000000007</v>
          </cell>
          <cell r="O418">
            <v>4.8000000000000007</v>
          </cell>
          <cell r="P418">
            <v>9.6000000000000014</v>
          </cell>
          <cell r="Q418">
            <v>4.8000000000000007</v>
          </cell>
          <cell r="R418">
            <v>9.6000000000000014</v>
          </cell>
          <cell r="S418">
            <v>9.6000000000000014</v>
          </cell>
          <cell r="T418">
            <v>0</v>
          </cell>
          <cell r="U418">
            <v>5.5</v>
          </cell>
          <cell r="V418">
            <v>5.5</v>
          </cell>
          <cell r="W418">
            <v>6</v>
          </cell>
          <cell r="X418">
            <v>0</v>
          </cell>
          <cell r="Y418">
            <v>6.125</v>
          </cell>
          <cell r="Z418">
            <v>11.5</v>
          </cell>
          <cell r="AA418">
            <v>11.5</v>
          </cell>
          <cell r="AB418">
            <v>11.5</v>
          </cell>
          <cell r="AC418">
            <v>4.9000000000000004</v>
          </cell>
          <cell r="AD418">
            <v>9.6000000000000014</v>
          </cell>
          <cell r="AE418">
            <v>8.3999999999999986</v>
          </cell>
          <cell r="AF418">
            <v>14.399999999999999</v>
          </cell>
          <cell r="AG418">
            <v>6</v>
          </cell>
          <cell r="AH418">
            <v>0</v>
          </cell>
        </row>
        <row r="419">
          <cell r="D419">
            <v>6</v>
          </cell>
          <cell r="E419">
            <v>7.1999999999999993</v>
          </cell>
          <cell r="F419">
            <v>7.1999999999999993</v>
          </cell>
          <cell r="G419">
            <v>7.1999999999999993</v>
          </cell>
          <cell r="H419">
            <v>13.799999999999999</v>
          </cell>
          <cell r="I419">
            <v>13.799999999999999</v>
          </cell>
          <cell r="J419">
            <v>13.799999999999999</v>
          </cell>
          <cell r="K419">
            <v>6.6</v>
          </cell>
          <cell r="L419">
            <v>7.1999999999999993</v>
          </cell>
          <cell r="M419">
            <v>7.1999999999999993</v>
          </cell>
          <cell r="N419">
            <v>7.1999999999999993</v>
          </cell>
          <cell r="O419">
            <v>7.1999999999999993</v>
          </cell>
          <cell r="P419">
            <v>14.399999999999999</v>
          </cell>
          <cell r="Q419">
            <v>7.1999999999999993</v>
          </cell>
          <cell r="R419">
            <v>14.399999999999999</v>
          </cell>
          <cell r="S419">
            <v>14.399999999999999</v>
          </cell>
          <cell r="T419">
            <v>0</v>
          </cell>
          <cell r="U419">
            <v>5.5</v>
          </cell>
          <cell r="V419">
            <v>5.5</v>
          </cell>
          <cell r="W419">
            <v>6</v>
          </cell>
          <cell r="X419">
            <v>0</v>
          </cell>
          <cell r="Y419">
            <v>6.125</v>
          </cell>
          <cell r="Z419">
            <v>11.5</v>
          </cell>
          <cell r="AA419">
            <v>11.5</v>
          </cell>
          <cell r="AB419">
            <v>11.5</v>
          </cell>
          <cell r="AC419">
            <v>7.35</v>
          </cell>
          <cell r="AD419">
            <v>14.399999999999999</v>
          </cell>
          <cell r="AE419">
            <v>15.600000000000001</v>
          </cell>
          <cell r="AF419">
            <v>9.6000000000000014</v>
          </cell>
          <cell r="AG419">
            <v>6</v>
          </cell>
          <cell r="AH419">
            <v>0</v>
          </cell>
        </row>
        <row r="420"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12</v>
          </cell>
          <cell r="M435">
            <v>12.25</v>
          </cell>
          <cell r="N435">
            <v>12.25</v>
          </cell>
          <cell r="O435">
            <v>12.25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12</v>
          </cell>
          <cell r="U435">
            <v>12.000000000000002</v>
          </cell>
          <cell r="V435">
            <v>12.000000000000002</v>
          </cell>
          <cell r="W435">
            <v>0</v>
          </cell>
          <cell r="X435">
            <v>12.000000000000002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11.5</v>
          </cell>
          <cell r="AD435">
            <v>0</v>
          </cell>
          <cell r="AE435">
            <v>0</v>
          </cell>
          <cell r="AF435">
            <v>0</v>
          </cell>
          <cell r="AG435">
            <v>12</v>
          </cell>
          <cell r="AH435">
            <v>0</v>
          </cell>
        </row>
        <row r="436"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0.60000000000000009</v>
          </cell>
          <cell r="M437">
            <v>0.61250000000000004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0.60000000000000009</v>
          </cell>
          <cell r="V437">
            <v>0.60000000000000009</v>
          </cell>
          <cell r="W437">
            <v>0</v>
          </cell>
          <cell r="X437">
            <v>0.60000000000000009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0.60000000000000009</v>
          </cell>
          <cell r="M438">
            <v>0.61250000000000004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1.2000000000000002</v>
          </cell>
          <cell r="U438">
            <v>1.2000000000000002</v>
          </cell>
          <cell r="V438">
            <v>1.2000000000000002</v>
          </cell>
          <cell r="W438">
            <v>0</v>
          </cell>
          <cell r="X438">
            <v>1.2000000000000002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0.57500000000000007</v>
          </cell>
          <cell r="AD438">
            <v>0</v>
          </cell>
          <cell r="AE438">
            <v>0</v>
          </cell>
          <cell r="AF438">
            <v>0</v>
          </cell>
          <cell r="AG438">
            <v>0.60000000000000009</v>
          </cell>
          <cell r="AH438">
            <v>0</v>
          </cell>
        </row>
        <row r="439"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7.8000000000000007</v>
          </cell>
          <cell r="M443">
            <v>7.9625000000000004</v>
          </cell>
          <cell r="N443">
            <v>7.9625000000000004</v>
          </cell>
          <cell r="O443">
            <v>7.9625000000000004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6</v>
          </cell>
          <cell r="U443">
            <v>5.4</v>
          </cell>
          <cell r="V443">
            <v>5.4</v>
          </cell>
          <cell r="W443">
            <v>0</v>
          </cell>
          <cell r="X443">
            <v>4.8000000000000007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5.75</v>
          </cell>
          <cell r="AD443">
            <v>0</v>
          </cell>
          <cell r="AE443">
            <v>0</v>
          </cell>
          <cell r="AF443">
            <v>0</v>
          </cell>
          <cell r="AG443">
            <v>6</v>
          </cell>
          <cell r="AH443">
            <v>0</v>
          </cell>
        </row>
        <row r="444"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3</v>
          </cell>
          <cell r="M444">
            <v>3.0625</v>
          </cell>
          <cell r="N444">
            <v>4.2874999999999996</v>
          </cell>
          <cell r="O444">
            <v>4.2874999999999996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4.8000000000000007</v>
          </cell>
          <cell r="U444">
            <v>4.8000000000000007</v>
          </cell>
          <cell r="V444">
            <v>4.8000000000000007</v>
          </cell>
          <cell r="W444">
            <v>0</v>
          </cell>
          <cell r="X444">
            <v>5.4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5.1749999999999998</v>
          </cell>
          <cell r="AD444">
            <v>0</v>
          </cell>
          <cell r="AE444">
            <v>0</v>
          </cell>
          <cell r="AF444">
            <v>0</v>
          </cell>
          <cell r="AG444">
            <v>5.4</v>
          </cell>
          <cell r="AH444">
            <v>0</v>
          </cell>
        </row>
        <row r="445"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D454">
            <v>0</v>
          </cell>
          <cell r="E454">
            <v>11</v>
          </cell>
          <cell r="F454">
            <v>11</v>
          </cell>
          <cell r="G454">
            <v>11</v>
          </cell>
          <cell r="H454">
            <v>0</v>
          </cell>
          <cell r="I454">
            <v>0</v>
          </cell>
          <cell r="J454">
            <v>0</v>
          </cell>
          <cell r="K454">
            <v>11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11</v>
          </cell>
          <cell r="X454">
            <v>11</v>
          </cell>
          <cell r="Y454">
            <v>11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D458">
            <v>0</v>
          </cell>
          <cell r="E458">
            <v>11</v>
          </cell>
          <cell r="F458">
            <v>11</v>
          </cell>
          <cell r="G458">
            <v>11</v>
          </cell>
          <cell r="H458">
            <v>0</v>
          </cell>
          <cell r="I458">
            <v>0</v>
          </cell>
          <cell r="J458">
            <v>0</v>
          </cell>
          <cell r="K458">
            <v>11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11</v>
          </cell>
          <cell r="X458">
            <v>11</v>
          </cell>
          <cell r="Y458">
            <v>11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</row>
        <row r="474"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D487" t="str">
            <v>PM</v>
          </cell>
          <cell r="M487" t="str">
            <v>PM</v>
          </cell>
          <cell r="T487" t="str">
            <v>PM</v>
          </cell>
          <cell r="AA487" t="str">
            <v>PM</v>
          </cell>
        </row>
        <row r="488">
          <cell r="D488">
            <v>10</v>
          </cell>
          <cell r="E488">
            <v>23</v>
          </cell>
          <cell r="F488">
            <v>23</v>
          </cell>
          <cell r="G488">
            <v>23</v>
          </cell>
          <cell r="H488">
            <v>23</v>
          </cell>
          <cell r="I488">
            <v>23</v>
          </cell>
          <cell r="J488">
            <v>23</v>
          </cell>
          <cell r="K488">
            <v>22</v>
          </cell>
          <cell r="L488">
            <v>24</v>
          </cell>
          <cell r="M488">
            <v>24.25</v>
          </cell>
          <cell r="N488">
            <v>24.25</v>
          </cell>
          <cell r="O488">
            <v>24.25</v>
          </cell>
          <cell r="P488">
            <v>24</v>
          </cell>
          <cell r="Q488">
            <v>12</v>
          </cell>
          <cell r="R488">
            <v>24</v>
          </cell>
          <cell r="S488">
            <v>24</v>
          </cell>
          <cell r="T488">
            <v>12</v>
          </cell>
          <cell r="U488">
            <v>23</v>
          </cell>
          <cell r="V488">
            <v>23</v>
          </cell>
          <cell r="W488">
            <v>23</v>
          </cell>
          <cell r="X488">
            <v>23</v>
          </cell>
          <cell r="Y488">
            <v>23.25</v>
          </cell>
          <cell r="Z488">
            <v>23</v>
          </cell>
          <cell r="AA488">
            <v>23</v>
          </cell>
          <cell r="AB488">
            <v>23</v>
          </cell>
          <cell r="AC488">
            <v>23.75</v>
          </cell>
          <cell r="AD488">
            <v>24</v>
          </cell>
          <cell r="AE488">
            <v>24</v>
          </cell>
          <cell r="AF488">
            <v>24</v>
          </cell>
          <cell r="AG488">
            <v>24</v>
          </cell>
          <cell r="AH488">
            <v>0</v>
          </cell>
        </row>
        <row r="489">
          <cell r="D489">
            <v>10</v>
          </cell>
          <cell r="E489">
            <v>12</v>
          </cell>
          <cell r="F489">
            <v>12</v>
          </cell>
          <cell r="G489">
            <v>12</v>
          </cell>
          <cell r="H489">
            <v>23</v>
          </cell>
          <cell r="I489">
            <v>23</v>
          </cell>
          <cell r="J489">
            <v>23</v>
          </cell>
          <cell r="K489">
            <v>11</v>
          </cell>
          <cell r="L489">
            <v>12</v>
          </cell>
          <cell r="M489">
            <v>12</v>
          </cell>
          <cell r="N489">
            <v>12</v>
          </cell>
          <cell r="O489">
            <v>12</v>
          </cell>
          <cell r="P489">
            <v>24</v>
          </cell>
          <cell r="Q489">
            <v>12</v>
          </cell>
          <cell r="R489">
            <v>24</v>
          </cell>
          <cell r="S489">
            <v>24</v>
          </cell>
          <cell r="U489">
            <v>11</v>
          </cell>
          <cell r="V489">
            <v>11</v>
          </cell>
          <cell r="W489">
            <v>12</v>
          </cell>
          <cell r="X489">
            <v>0</v>
          </cell>
          <cell r="Y489">
            <v>12.25</v>
          </cell>
          <cell r="Z489">
            <v>23</v>
          </cell>
          <cell r="AA489">
            <v>23</v>
          </cell>
          <cell r="AB489">
            <v>23</v>
          </cell>
          <cell r="AC489">
            <v>12.25</v>
          </cell>
          <cell r="AD489">
            <v>24</v>
          </cell>
          <cell r="AE489">
            <v>24</v>
          </cell>
          <cell r="AF489">
            <v>24</v>
          </cell>
          <cell r="AG489">
            <v>12</v>
          </cell>
        </row>
        <row r="490">
          <cell r="D490">
            <v>6631.5549926626718</v>
          </cell>
          <cell r="E490">
            <v>6634.0456677087905</v>
          </cell>
          <cell r="F490">
            <v>6635.8152317772347</v>
          </cell>
          <cell r="G490">
            <v>6637.1166826527933</v>
          </cell>
          <cell r="H490">
            <v>6638.4108186048306</v>
          </cell>
          <cell r="I490">
            <v>6639.4023386073441</v>
          </cell>
          <cell r="J490">
            <v>6640.0615317116863</v>
          </cell>
          <cell r="K490">
            <v>6638.7752183727334</v>
          </cell>
          <cell r="L490">
            <v>6637.3508094548533</v>
          </cell>
          <cell r="M490">
            <v>6636.306740304406</v>
          </cell>
          <cell r="N490">
            <v>6635.5175490183901</v>
          </cell>
          <cell r="O490">
            <v>6634.7609984135106</v>
          </cell>
          <cell r="P490">
            <v>6634.0650817630703</v>
          </cell>
          <cell r="Q490">
            <v>6633.3310071773976</v>
          </cell>
          <cell r="R490">
            <v>6632.5636011828619</v>
          </cell>
          <cell r="S490">
            <v>6631.894292506604</v>
          </cell>
          <cell r="T490">
            <v>0</v>
          </cell>
          <cell r="U490">
            <v>6622.0252015425604</v>
          </cell>
          <cell r="V490">
            <v>6621.441551997661</v>
          </cell>
          <cell r="W490">
            <v>6620.9704687446811</v>
          </cell>
          <cell r="X490">
            <v>0</v>
          </cell>
          <cell r="Y490">
            <v>6620.9379314661028</v>
          </cell>
          <cell r="Z490">
            <v>6621.0629436753788</v>
          </cell>
          <cell r="AA490">
            <v>6621.2488878251679</v>
          </cell>
          <cell r="AB490">
            <v>6621.4034921316943</v>
          </cell>
          <cell r="AC490">
            <v>6630.0774695095406</v>
          </cell>
          <cell r="AD490">
            <v>6630.0547635753292</v>
          </cell>
          <cell r="AE490">
            <v>6634.1049029434062</v>
          </cell>
          <cell r="AF490">
            <v>6614.0250473263786</v>
          </cell>
          <cell r="AG490">
            <v>6622.1084581228715</v>
          </cell>
          <cell r="AH490">
            <v>0</v>
          </cell>
        </row>
        <row r="491">
          <cell r="D491">
            <v>0.59342211683702695</v>
          </cell>
          <cell r="E491">
            <v>0.60302724462085722</v>
          </cell>
          <cell r="F491">
            <v>0.61075840716420471</v>
          </cell>
          <cell r="G491">
            <v>0.61774792003695</v>
          </cell>
          <cell r="H491">
            <v>0.62405442548659007</v>
          </cell>
          <cell r="I491">
            <v>0.62926373728719243</v>
          </cell>
          <cell r="J491">
            <v>0.63441220575089496</v>
          </cell>
          <cell r="K491">
            <v>0.63841262760722961</v>
          </cell>
          <cell r="L491">
            <v>0.6427607295938258</v>
          </cell>
          <cell r="M491">
            <v>0.6459757080109706</v>
          </cell>
          <cell r="N491">
            <v>0.64842700546795007</v>
          </cell>
          <cell r="O491">
            <v>0.65075775200808361</v>
          </cell>
          <cell r="P491">
            <v>0.65289788596354614</v>
          </cell>
          <cell r="Q491">
            <v>0.65513207408324003</v>
          </cell>
          <cell r="R491">
            <v>0.65539313430042545</v>
          </cell>
          <cell r="S491">
            <v>0.65560016986852654</v>
          </cell>
          <cell r="T491">
            <v>0</v>
          </cell>
          <cell r="U491">
            <v>0.64094875547954522</v>
          </cell>
          <cell r="V491">
            <v>0.64127198943615782</v>
          </cell>
          <cell r="W491">
            <v>0.64148615302024337</v>
          </cell>
          <cell r="X491">
            <v>0</v>
          </cell>
          <cell r="Y491">
            <v>0.64099539053147225</v>
          </cell>
          <cell r="Z491">
            <v>0.6399012675492064</v>
          </cell>
          <cell r="AA491">
            <v>0.63860763586747349</v>
          </cell>
          <cell r="AB491">
            <v>0.63739639729158126</v>
          </cell>
          <cell r="AC491">
            <v>0.65524049254402628</v>
          </cell>
          <cell r="AD491">
            <v>0.65475066244764824</v>
          </cell>
          <cell r="AE491">
            <v>0.66451657561340305</v>
          </cell>
          <cell r="AF491">
            <v>0.61161911235658029</v>
          </cell>
          <cell r="AG491">
            <v>0.63185488790951583</v>
          </cell>
          <cell r="AH491">
            <v>0</v>
          </cell>
        </row>
        <row r="492">
          <cell r="D492">
            <v>3.8394252194831489</v>
          </cell>
          <cell r="E492">
            <v>3.8840181775336822</v>
          </cell>
          <cell r="F492">
            <v>3.9204728466356182</v>
          </cell>
          <cell r="G492">
            <v>3.9541431732928571</v>
          </cell>
          <cell r="H492">
            <v>3.9842369360034451</v>
          </cell>
          <cell r="I492">
            <v>4.0092800994098106</v>
          </cell>
          <cell r="J492">
            <v>4.0347969965824175</v>
          </cell>
          <cell r="K492">
            <v>4.0601918366912599</v>
          </cell>
          <cell r="L492">
            <v>4.0879451891895053</v>
          </cell>
          <cell r="M492">
            <v>4.1084133655778388</v>
          </cell>
          <cell r="N492">
            <v>4.123980002503985</v>
          </cell>
          <cell r="O492">
            <v>4.1388166228493333</v>
          </cell>
          <cell r="P492">
            <v>4.1524470062687735</v>
          </cell>
          <cell r="Q492">
            <v>4.1667200210160127</v>
          </cell>
          <cell r="R492">
            <v>4.171627166509956</v>
          </cell>
          <cell r="S492">
            <v>4.1756398546106137</v>
          </cell>
          <cell r="T492">
            <v>0</v>
          </cell>
          <cell r="U492">
            <v>4.2674059752801572</v>
          </cell>
          <cell r="V492">
            <v>4.2727510589190105</v>
          </cell>
          <cell r="W492">
            <v>4.2764607505835874</v>
          </cell>
          <cell r="X492">
            <v>0</v>
          </cell>
          <cell r="Y492">
            <v>4.2583724860460084</v>
          </cell>
          <cell r="Z492">
            <v>4.2334921877108416</v>
          </cell>
          <cell r="AA492">
            <v>4.2073154496700509</v>
          </cell>
          <cell r="AB492">
            <v>4.1811493391997567</v>
          </cell>
          <cell r="AC492">
            <v>4.1211500955464153</v>
          </cell>
          <cell r="AD492">
            <v>4.1033267146565544</v>
          </cell>
          <cell r="AE492">
            <v>4.0763360287154535</v>
          </cell>
          <cell r="AF492">
            <v>4.0938095237079146</v>
          </cell>
          <cell r="AG492">
            <v>4.0612368044015987</v>
          </cell>
          <cell r="AH492">
            <v>0</v>
          </cell>
        </row>
        <row r="493">
          <cell r="D493">
            <v>9.85556563046425</v>
          </cell>
          <cell r="E493">
            <v>9.8282299727365547</v>
          </cell>
          <cell r="F493">
            <v>9.8060295970462263</v>
          </cell>
          <cell r="G493">
            <v>9.7857078126298092</v>
          </cell>
          <cell r="H493">
            <v>9.7674727215651913</v>
          </cell>
          <cell r="I493">
            <v>9.7523449448878878</v>
          </cell>
          <cell r="J493">
            <v>9.7371239276682147</v>
          </cell>
          <cell r="K493">
            <v>9.7375343432450201</v>
          </cell>
          <cell r="L493">
            <v>9.7360024449272711</v>
          </cell>
          <cell r="M493">
            <v>9.7355568506484325</v>
          </cell>
          <cell r="N493">
            <v>9.7357338636705499</v>
          </cell>
          <cell r="O493">
            <v>9.735438115099857</v>
          </cell>
          <cell r="P493">
            <v>9.7350734415141833</v>
          </cell>
          <cell r="Q493">
            <v>9.7341231381665807</v>
          </cell>
          <cell r="R493">
            <v>9.7400529050948599</v>
          </cell>
          <cell r="S493">
            <v>9.7453616340234266</v>
          </cell>
          <cell r="T493">
            <v>0</v>
          </cell>
          <cell r="U493">
            <v>9.7390305367516703</v>
          </cell>
          <cell r="V493">
            <v>9.742713565945408</v>
          </cell>
          <cell r="W493">
            <v>9.7459961488781381</v>
          </cell>
          <cell r="X493">
            <v>0</v>
          </cell>
          <cell r="Y493">
            <v>9.7566238353508652</v>
          </cell>
          <cell r="Z493">
            <v>9.7691517162086718</v>
          </cell>
          <cell r="AA493">
            <v>9.7821187030590693</v>
          </cell>
          <cell r="AB493">
            <v>9.7952031925452445</v>
          </cell>
          <cell r="AC493">
            <v>9.7952914946120142</v>
          </cell>
          <cell r="AD493">
            <v>9.8047068507221837</v>
          </cell>
          <cell r="AE493">
            <v>9.8043029413954219</v>
          </cell>
          <cell r="AF493">
            <v>9.8671237497850992</v>
          </cell>
          <cell r="AG493">
            <v>9.8551799556730071</v>
          </cell>
          <cell r="AH493">
            <v>0</v>
          </cell>
        </row>
        <row r="494">
          <cell r="D494">
            <v>13.537103404064279</v>
          </cell>
          <cell r="E494">
            <v>13.525419826365608</v>
          </cell>
          <cell r="F494">
            <v>13.516535428304341</v>
          </cell>
          <cell r="G494">
            <v>13.509162635208712</v>
          </cell>
          <cell r="H494">
            <v>13.502245428844752</v>
          </cell>
          <cell r="I494">
            <v>13.49670284914961</v>
          </cell>
          <cell r="J494">
            <v>13.491933802748965</v>
          </cell>
          <cell r="K494">
            <v>13.504057018686197</v>
          </cell>
          <cell r="L494">
            <v>13.51534777995659</v>
          </cell>
          <cell r="M494">
            <v>13.524351316500159</v>
          </cell>
          <cell r="N494">
            <v>13.531708921765233</v>
          </cell>
          <cell r="O494">
            <v>13.538262193608405</v>
          </cell>
          <cell r="P494">
            <v>13.544190741026426</v>
          </cell>
          <cell r="Q494">
            <v>13.549836693456175</v>
          </cell>
          <cell r="R494">
            <v>13.567222888990326</v>
          </cell>
          <cell r="S494">
            <v>13.5823819476173</v>
          </cell>
          <cell r="T494">
            <v>0</v>
          </cell>
          <cell r="U494">
            <v>13.581260420679737</v>
          </cell>
          <cell r="V494">
            <v>13.594511622820651</v>
          </cell>
          <cell r="W494">
            <v>13.605196563263657</v>
          </cell>
          <cell r="X494">
            <v>0</v>
          </cell>
          <cell r="Y494">
            <v>13.624085311153028</v>
          </cell>
          <cell r="Z494">
            <v>13.638981160949289</v>
          </cell>
          <cell r="AA494">
            <v>13.654022523689964</v>
          </cell>
          <cell r="AB494">
            <v>13.669420112095704</v>
          </cell>
          <cell r="AC494">
            <v>13.689364186228726</v>
          </cell>
          <cell r="AD494">
            <v>13.701336075408266</v>
          </cell>
          <cell r="AE494">
            <v>13.712655833820246</v>
          </cell>
          <cell r="AF494">
            <v>13.731253396604636</v>
          </cell>
          <cell r="AG494">
            <v>13.740024379818092</v>
          </cell>
          <cell r="AH494">
            <v>0</v>
          </cell>
        </row>
        <row r="495"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L495">
            <v>12</v>
          </cell>
          <cell r="M495">
            <v>12.25</v>
          </cell>
          <cell r="N495">
            <v>12.25</v>
          </cell>
          <cell r="O495">
            <v>12.25</v>
          </cell>
          <cell r="P495">
            <v>0</v>
          </cell>
          <cell r="T495">
            <v>12</v>
          </cell>
          <cell r="U495">
            <v>12</v>
          </cell>
          <cell r="V495">
            <v>12</v>
          </cell>
          <cell r="W495">
            <v>0</v>
          </cell>
          <cell r="X495">
            <v>12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11.5</v>
          </cell>
          <cell r="AE495">
            <v>0</v>
          </cell>
          <cell r="AF495">
            <v>0</v>
          </cell>
          <cell r="AG495">
            <v>12</v>
          </cell>
        </row>
        <row r="496"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6581.5310983193058</v>
          </cell>
          <cell r="M496">
            <v>6581.8100610079482</v>
          </cell>
          <cell r="N496">
            <v>6567.7225893536652</v>
          </cell>
          <cell r="O496">
            <v>6568.2957463693892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6567.7817364204029</v>
          </cell>
          <cell r="U496">
            <v>6565.2297802178091</v>
          </cell>
          <cell r="V496">
            <v>6564.749859210091</v>
          </cell>
          <cell r="W496">
            <v>0</v>
          </cell>
          <cell r="X496">
            <v>6557.0475339890982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6556.7407967640866</v>
          </cell>
          <cell r="AD496">
            <v>0</v>
          </cell>
          <cell r="AE496">
            <v>0</v>
          </cell>
          <cell r="AF496">
            <v>0</v>
          </cell>
          <cell r="AG496">
            <v>6556.5425081011217</v>
          </cell>
          <cell r="AH496">
            <v>0</v>
          </cell>
        </row>
        <row r="497"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1.5165916936803749</v>
          </cell>
          <cell r="M497">
            <v>1.5233683135426463</v>
          </cell>
          <cell r="N497">
            <v>1.6830348240115343</v>
          </cell>
          <cell r="O497">
            <v>1.6936679113701341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1.6937206333213604</v>
          </cell>
          <cell r="U497">
            <v>1.6545624960305989</v>
          </cell>
          <cell r="V497">
            <v>1.6578907152082842</v>
          </cell>
          <cell r="W497">
            <v>0</v>
          </cell>
          <cell r="X497">
            <v>1.7027832375444465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1.8051354569113764</v>
          </cell>
          <cell r="AD497">
            <v>0</v>
          </cell>
          <cell r="AE497">
            <v>0</v>
          </cell>
          <cell r="AF497">
            <v>0</v>
          </cell>
          <cell r="AG497">
            <v>1.8164387443379943</v>
          </cell>
          <cell r="AH497">
            <v>0</v>
          </cell>
        </row>
        <row r="498"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4.4059306708178099</v>
          </cell>
          <cell r="M498">
            <v>4.3979900091306234</v>
          </cell>
          <cell r="N498">
            <v>4.4301458971796857</v>
          </cell>
          <cell r="O498">
            <v>4.4142653503361169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4.3505827932301706</v>
          </cell>
          <cell r="U498">
            <v>4.3752468202835706</v>
          </cell>
          <cell r="V498">
            <v>4.3799293570427391</v>
          </cell>
          <cell r="W498">
            <v>0</v>
          </cell>
          <cell r="X498">
            <v>4.4061201586164174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4.3880053960124146</v>
          </cell>
          <cell r="AD498">
            <v>0</v>
          </cell>
          <cell r="AE498">
            <v>0</v>
          </cell>
          <cell r="AF498">
            <v>0</v>
          </cell>
          <cell r="AG498">
            <v>4.3822838116416207</v>
          </cell>
          <cell r="AH498">
            <v>0</v>
          </cell>
        </row>
        <row r="499"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9.7926683035205073</v>
          </cell>
          <cell r="M499">
            <v>9.7915167983331184</v>
          </cell>
          <cell r="N499">
            <v>9.8583440360071553</v>
          </cell>
          <cell r="O499">
            <v>9.8564008305312818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9.9061153918056739</v>
          </cell>
          <cell r="U499">
            <v>9.9086837245029962</v>
          </cell>
          <cell r="V499">
            <v>9.9068353245249376</v>
          </cell>
          <cell r="W499">
            <v>0</v>
          </cell>
          <cell r="X499">
            <v>9.9427366403193815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9.916882246158135</v>
          </cell>
          <cell r="AD499">
            <v>0</v>
          </cell>
          <cell r="AE499">
            <v>0</v>
          </cell>
          <cell r="AF499">
            <v>0</v>
          </cell>
          <cell r="AG499">
            <v>9.9139956579439108</v>
          </cell>
          <cell r="AH499">
            <v>0</v>
          </cell>
        </row>
        <row r="500"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13.429417104397766</v>
          </cell>
          <cell r="M500">
            <v>13.433163945720136</v>
          </cell>
          <cell r="N500">
            <v>13.479421308229215</v>
          </cell>
          <cell r="O500">
            <v>13.484101965415675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13.578904741105761</v>
          </cell>
          <cell r="U500">
            <v>13.591465474903092</v>
          </cell>
          <cell r="V500">
            <v>13.594442248384915</v>
          </cell>
          <cell r="W500">
            <v>0</v>
          </cell>
          <cell r="X500">
            <v>13.633817437096603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13.611290319303565</v>
          </cell>
          <cell r="AD500">
            <v>0</v>
          </cell>
          <cell r="AE500">
            <v>0</v>
          </cell>
          <cell r="AF500">
            <v>0</v>
          </cell>
          <cell r="AG500">
            <v>13.619531469739652</v>
          </cell>
          <cell r="AH500">
            <v>0</v>
          </cell>
        </row>
        <row r="501">
          <cell r="D501">
            <v>0</v>
          </cell>
          <cell r="E501">
            <v>11</v>
          </cell>
          <cell r="F501">
            <v>11</v>
          </cell>
          <cell r="G501">
            <v>11</v>
          </cell>
          <cell r="H501">
            <v>0</v>
          </cell>
          <cell r="I501">
            <v>0</v>
          </cell>
          <cell r="J501">
            <v>0</v>
          </cell>
          <cell r="K501">
            <v>11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11</v>
          </cell>
          <cell r="X501">
            <v>11</v>
          </cell>
          <cell r="Y501">
            <v>11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</row>
        <row r="502">
          <cell r="D502">
            <v>0</v>
          </cell>
          <cell r="E502">
            <v>6084.108721207389</v>
          </cell>
          <cell r="F502">
            <v>6085.2377299059754</v>
          </cell>
          <cell r="G502">
            <v>6086.4423399279785</v>
          </cell>
          <cell r="H502">
            <v>0</v>
          </cell>
          <cell r="I502">
            <v>0</v>
          </cell>
          <cell r="J502">
            <v>0</v>
          </cell>
          <cell r="K502">
            <v>6090.0930861981624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6099.2991913562309</v>
          </cell>
          <cell r="X502">
            <v>6099.8581043939921</v>
          </cell>
          <cell r="Y502">
            <v>6100.4719427081982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D503">
            <v>0</v>
          </cell>
          <cell r="E503">
            <v>0.28466913897647855</v>
          </cell>
          <cell r="F503">
            <v>0.28417559907455103</v>
          </cell>
          <cell r="G503">
            <v>0.28364901047265179</v>
          </cell>
          <cell r="H503">
            <v>0</v>
          </cell>
          <cell r="I503">
            <v>0</v>
          </cell>
          <cell r="J503">
            <v>0</v>
          </cell>
          <cell r="K503">
            <v>0.28199003144212481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0.2761153696649255</v>
          </cell>
          <cell r="X503">
            <v>0.27564481626387977</v>
          </cell>
          <cell r="Y503">
            <v>0.27565323607645198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D504">
            <v>0</v>
          </cell>
          <cell r="E504">
            <v>5.8888491104624681</v>
          </cell>
          <cell r="F504">
            <v>5.8599929836371656</v>
          </cell>
          <cell r="G504">
            <v>5.8292045764145266</v>
          </cell>
          <cell r="H504">
            <v>0</v>
          </cell>
          <cell r="I504">
            <v>0</v>
          </cell>
          <cell r="J504">
            <v>0</v>
          </cell>
          <cell r="K504">
            <v>5.7343961779267714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5.4551083496827433</v>
          </cell>
          <cell r="X504">
            <v>5.4354445518688754</v>
          </cell>
          <cell r="Y504">
            <v>5.4263355373350359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D505">
            <v>0</v>
          </cell>
          <cell r="E505">
            <v>12.936883634360779</v>
          </cell>
          <cell r="F505">
            <v>12.94925439417197</v>
          </cell>
          <cell r="G505">
            <v>12.962453531846483</v>
          </cell>
          <cell r="H505">
            <v>0</v>
          </cell>
          <cell r="I505">
            <v>0</v>
          </cell>
          <cell r="J505">
            <v>0</v>
          </cell>
          <cell r="K505">
            <v>13.002374594287113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13.100875998902673</v>
          </cell>
          <cell r="X505">
            <v>13.106710141750208</v>
          </cell>
          <cell r="Y505">
            <v>13.113790820697169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D506">
            <v>0</v>
          </cell>
          <cell r="E506">
            <v>16.988867264987984</v>
          </cell>
          <cell r="F506">
            <v>17.007028412372907</v>
          </cell>
          <cell r="G506">
            <v>17.026405676851351</v>
          </cell>
          <cell r="H506">
            <v>0</v>
          </cell>
          <cell r="I506">
            <v>0</v>
          </cell>
          <cell r="J506">
            <v>0</v>
          </cell>
          <cell r="K506">
            <v>17.085132395378299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17.233253184722916</v>
          </cell>
          <cell r="X506">
            <v>17.242247740266336</v>
          </cell>
          <cell r="Y506">
            <v>17.252117096813251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</row>
        <row r="508">
          <cell r="D508">
            <v>285.14632518129486</v>
          </cell>
          <cell r="E508">
            <v>293.14632518129486</v>
          </cell>
          <cell r="F508">
            <v>308.64632518129486</v>
          </cell>
          <cell r="G508">
            <v>301.64632518129486</v>
          </cell>
          <cell r="H508">
            <v>303.64632518129486</v>
          </cell>
          <cell r="I508">
            <v>318.64632518129486</v>
          </cell>
          <cell r="J508">
            <v>317.64632518129486</v>
          </cell>
          <cell r="K508">
            <v>318.64632518129486</v>
          </cell>
          <cell r="L508">
            <v>328.64632518129486</v>
          </cell>
          <cell r="M508">
            <v>328.89632518129486</v>
          </cell>
          <cell r="N508">
            <v>331.64632518129486</v>
          </cell>
          <cell r="O508">
            <v>328.39632518129486</v>
          </cell>
          <cell r="P508">
            <v>328.39632518129486</v>
          </cell>
          <cell r="Q508">
            <v>310.39632518129486</v>
          </cell>
          <cell r="R508">
            <v>313.39632518129486</v>
          </cell>
          <cell r="S508">
            <v>313.39632518129486</v>
          </cell>
          <cell r="T508">
            <v>301.39632518129486</v>
          </cell>
          <cell r="U508">
            <v>300.39632518129486</v>
          </cell>
          <cell r="V508">
            <v>299.39632518129486</v>
          </cell>
          <cell r="W508">
            <v>284.39632518129486</v>
          </cell>
          <cell r="X508">
            <v>292.39632518129486</v>
          </cell>
          <cell r="Y508">
            <v>291.64632518129486</v>
          </cell>
          <cell r="Z508">
            <v>290.64632518129486</v>
          </cell>
          <cell r="AA508">
            <v>283.64632518129486</v>
          </cell>
          <cell r="AB508">
            <v>284.64632518129486</v>
          </cell>
          <cell r="AC508">
            <v>288.39632518129486</v>
          </cell>
          <cell r="AD508">
            <v>288.39632518129486</v>
          </cell>
          <cell r="AE508">
            <v>297.39632518129486</v>
          </cell>
          <cell r="AF508">
            <v>296.39632518129486</v>
          </cell>
          <cell r="AG508">
            <v>290.39632518129486</v>
          </cell>
          <cell r="AH508">
            <v>290.39632518129486</v>
          </cell>
        </row>
        <row r="509">
          <cell r="D509">
            <v>195.88735048553531</v>
          </cell>
          <cell r="E509">
            <v>192.88735048553531</v>
          </cell>
          <cell r="F509">
            <v>204.88735048553531</v>
          </cell>
          <cell r="G509">
            <v>186.88735048553531</v>
          </cell>
          <cell r="H509">
            <v>188.88735048553531</v>
          </cell>
          <cell r="I509">
            <v>211.88735048553531</v>
          </cell>
          <cell r="J509">
            <v>210.88735048553531</v>
          </cell>
          <cell r="K509">
            <v>200.88735048553531</v>
          </cell>
          <cell r="L509">
            <v>212.88735048553531</v>
          </cell>
          <cell r="M509">
            <v>200.88735048553531</v>
          </cell>
          <cell r="N509">
            <v>198.88735048553531</v>
          </cell>
          <cell r="O509">
            <v>203.38735048553531</v>
          </cell>
          <cell r="P509">
            <v>203.38735048553531</v>
          </cell>
          <cell r="Q509">
            <v>215.38735048553531</v>
          </cell>
          <cell r="R509">
            <v>218.38735048553531</v>
          </cell>
          <cell r="S509">
            <v>218.38735048553531</v>
          </cell>
          <cell r="T509">
            <v>194.38735048553531</v>
          </cell>
          <cell r="U509">
            <v>205.38735048553531</v>
          </cell>
          <cell r="V509">
            <v>192.38735048553531</v>
          </cell>
          <cell r="W509">
            <v>181.38735048553531</v>
          </cell>
          <cell r="X509">
            <v>166.38735048553531</v>
          </cell>
          <cell r="Y509">
            <v>178.63735048553531</v>
          </cell>
          <cell r="Z509">
            <v>177.63735048553531</v>
          </cell>
          <cell r="AA509">
            <v>170.63735048553531</v>
          </cell>
          <cell r="AB509">
            <v>171.63735048553531</v>
          </cell>
          <cell r="AC509">
            <v>183.88735048553531</v>
          </cell>
          <cell r="AD509">
            <v>183.88735048553531</v>
          </cell>
          <cell r="AE509">
            <v>207.88735048553531</v>
          </cell>
          <cell r="AF509">
            <v>231.88735048553531</v>
          </cell>
          <cell r="AG509">
            <v>213.88735048553531</v>
          </cell>
          <cell r="AH509">
            <v>213.88735048553531</v>
          </cell>
        </row>
        <row r="510">
          <cell r="D510">
            <v>6657.3805276212843</v>
          </cell>
          <cell r="E510">
            <v>6656.0335562048131</v>
          </cell>
          <cell r="F510">
            <v>6654.8493938221382</v>
          </cell>
          <cell r="G510">
            <v>6653.8682737450299</v>
          </cell>
          <cell r="H510">
            <v>6652.1744057372525</v>
          </cell>
          <cell r="I510">
            <v>6650.7880202672632</v>
          </cell>
          <cell r="J510">
            <v>6649.7376902419619</v>
          </cell>
          <cell r="K510">
            <v>6649.1942289301851</v>
          </cell>
          <cell r="L510">
            <v>6648.5266409622773</v>
          </cell>
          <cell r="M510">
            <v>6647.8745864666462</v>
          </cell>
          <cell r="N510">
            <v>6647.1780469632849</v>
          </cell>
          <cell r="O510">
            <v>6646.4714868862848</v>
          </cell>
          <cell r="P510">
            <v>6645.1620309190939</v>
          </cell>
          <cell r="Q510">
            <v>6644.5028822523773</v>
          </cell>
          <cell r="R510">
            <v>6643.3058985976968</v>
          </cell>
          <cell r="S510">
            <v>6642.1759776441586</v>
          </cell>
          <cell r="T510">
            <v>6642.1759776441577</v>
          </cell>
          <cell r="U510">
            <v>6641.09675569308</v>
          </cell>
          <cell r="V510">
            <v>6640.0975880422702</v>
          </cell>
          <cell r="W510">
            <v>6638.9745956896322</v>
          </cell>
          <cell r="X510">
            <v>6638.9745956896313</v>
          </cell>
          <cell r="Y510">
            <v>6637.7377371259681</v>
          </cell>
          <cell r="Z510">
            <v>6635.8357073262314</v>
          </cell>
          <cell r="AA510">
            <v>6634.1635518291987</v>
          </cell>
          <cell r="AB510">
            <v>6632.6479280494541</v>
          </cell>
          <cell r="AC510">
            <v>6632.4766921431728</v>
          </cell>
          <cell r="AD510">
            <v>6632.1970874173794</v>
          </cell>
          <cell r="AE510">
            <v>6632.4173392629946</v>
          </cell>
          <cell r="AF510">
            <v>6630.5137640763587</v>
          </cell>
          <cell r="AG510">
            <v>6630.100197438971</v>
          </cell>
          <cell r="AH510">
            <v>6630.100197438971</v>
          </cell>
        </row>
        <row r="511">
          <cell r="D511">
            <v>0.5311565167614869</v>
          </cell>
          <cell r="E511">
            <v>0.53530515174239424</v>
          </cell>
          <cell r="F511">
            <v>0.53972435606572633</v>
          </cell>
          <cell r="G511">
            <v>0.54404126420056531</v>
          </cell>
          <cell r="H511">
            <v>0.55280931384872833</v>
          </cell>
          <cell r="I511">
            <v>0.56110830732358752</v>
          </cell>
          <cell r="J511">
            <v>0.56828617220367994</v>
          </cell>
          <cell r="K511">
            <v>0.57176267056084673</v>
          </cell>
          <cell r="L511">
            <v>0.57576467775597895</v>
          </cell>
          <cell r="M511">
            <v>0.57951114175780416</v>
          </cell>
          <cell r="N511">
            <v>0.58339578010120796</v>
          </cell>
          <cell r="O511">
            <v>0.58722883913021762</v>
          </cell>
          <cell r="P511">
            <v>0.59415999480195825</v>
          </cell>
          <cell r="Q511">
            <v>0.59755696751055054</v>
          </cell>
          <cell r="R511">
            <v>0.60335538584861925</v>
          </cell>
          <cell r="S511">
            <v>0.60852840669300767</v>
          </cell>
          <cell r="T511">
            <v>0.60852840669300767</v>
          </cell>
          <cell r="U511">
            <v>0.61026475431036997</v>
          </cell>
          <cell r="V511">
            <v>0.61184099980539708</v>
          </cell>
          <cell r="W511">
            <v>0.61358152747373407</v>
          </cell>
          <cell r="X511">
            <v>0.61358152747373407</v>
          </cell>
          <cell r="Y511">
            <v>0.61546142449160035</v>
          </cell>
          <cell r="Z511">
            <v>0.61824918374836202</v>
          </cell>
          <cell r="AA511">
            <v>0.62058296854768491</v>
          </cell>
          <cell r="AB511">
            <v>0.62258004638488917</v>
          </cell>
          <cell r="AC511">
            <v>0.62475578313020108</v>
          </cell>
          <cell r="AD511">
            <v>0.62821860615400416</v>
          </cell>
          <cell r="AE511">
            <v>0.63240910290616803</v>
          </cell>
          <cell r="AF511">
            <v>0.6302573694366822</v>
          </cell>
          <cell r="AG511">
            <v>0.63033597220814963</v>
          </cell>
          <cell r="AH511">
            <v>0.63033597220814952</v>
          </cell>
        </row>
        <row r="512">
          <cell r="D512">
            <v>4.4229835938415238</v>
          </cell>
          <cell r="E512">
            <v>4.3918725859779446</v>
          </cell>
          <cell r="F512">
            <v>4.3642632833113693</v>
          </cell>
          <cell r="G512">
            <v>4.3415720507005009</v>
          </cell>
          <cell r="H512">
            <v>4.3024143424392847</v>
          </cell>
          <cell r="I512">
            <v>4.2705951348545534</v>
          </cell>
          <cell r="J512">
            <v>4.2475059511711901</v>
          </cell>
          <cell r="K512">
            <v>4.238219909155859</v>
          </cell>
          <cell r="L512">
            <v>4.229749247862534</v>
          </cell>
          <cell r="M512">
            <v>4.2232747592606952</v>
          </cell>
          <cell r="N512">
            <v>4.2176777283503899</v>
          </cell>
          <cell r="O512">
            <v>4.2131903408241396</v>
          </cell>
          <cell r="P512">
            <v>4.206779078164999</v>
          </cell>
          <cell r="Q512">
            <v>4.2045472447509002</v>
          </cell>
          <cell r="R512">
            <v>4.2012468118910178</v>
          </cell>
          <cell r="S512">
            <v>4.1987113372736395</v>
          </cell>
          <cell r="T512">
            <v>4.1987113372736395</v>
          </cell>
          <cell r="U512">
            <v>4.202390439303465</v>
          </cell>
          <cell r="V512">
            <v>4.2059672048308139</v>
          </cell>
          <cell r="W512">
            <v>4.2101060252960902</v>
          </cell>
          <cell r="X512">
            <v>4.2101060252960902</v>
          </cell>
          <cell r="Y512">
            <v>4.2134158826276025</v>
          </cell>
          <cell r="Z512">
            <v>4.215705909826446</v>
          </cell>
          <cell r="AA512">
            <v>4.2147440720473384</v>
          </cell>
          <cell r="AB512">
            <v>4.2107537320971327</v>
          </cell>
          <cell r="AC512">
            <v>4.2047846181540143</v>
          </cell>
          <cell r="AD512">
            <v>4.1930715933920366</v>
          </cell>
          <cell r="AE512">
            <v>4.1795948063451362</v>
          </cell>
          <cell r="AF512">
            <v>4.1707161556598686</v>
          </cell>
          <cell r="AG512">
            <v>4.1653294383394179</v>
          </cell>
          <cell r="AH512">
            <v>4.1653294383394179</v>
          </cell>
        </row>
        <row r="513">
          <cell r="D513">
            <v>9.0496401633455221</v>
          </cell>
          <cell r="E513">
            <v>9.0945831466048261</v>
          </cell>
          <cell r="F513">
            <v>9.1362516897582484</v>
          </cell>
          <cell r="G513">
            <v>9.1721849678263876</v>
          </cell>
          <cell r="H513">
            <v>9.2374181431669662</v>
          </cell>
          <cell r="I513">
            <v>9.2933125437172706</v>
          </cell>
          <cell r="J513">
            <v>9.336770234434848</v>
          </cell>
          <cell r="K513">
            <v>9.3566379970056541</v>
          </cell>
          <cell r="L513">
            <v>9.3780219513114265</v>
          </cell>
          <cell r="M513">
            <v>9.3971000309934585</v>
          </cell>
          <cell r="N513">
            <v>9.4161880885171065</v>
          </cell>
          <cell r="O513">
            <v>9.4343541867215404</v>
          </cell>
          <cell r="P513">
            <v>9.4660941322357157</v>
          </cell>
          <cell r="Q513">
            <v>9.4810269872242756</v>
          </cell>
          <cell r="R513">
            <v>9.5069958699421182</v>
          </cell>
          <cell r="S513">
            <v>9.5305976722906802</v>
          </cell>
          <cell r="T513">
            <v>9.5305976722906802</v>
          </cell>
          <cell r="U513">
            <v>9.5417607819157411</v>
          </cell>
          <cell r="V513">
            <v>9.5519761693649912</v>
          </cell>
          <cell r="W513">
            <v>9.5633674797793926</v>
          </cell>
          <cell r="X513">
            <v>9.5633674797793926</v>
          </cell>
          <cell r="Y513">
            <v>9.5766199734450019</v>
          </cell>
          <cell r="Z513">
            <v>9.5985813316601423</v>
          </cell>
          <cell r="AA513">
            <v>9.6196210808990532</v>
          </cell>
          <cell r="AB513">
            <v>9.6404765024266474</v>
          </cell>
          <cell r="AC513">
            <v>9.6507897928692099</v>
          </cell>
          <cell r="AD513">
            <v>9.6685590769542866</v>
          </cell>
          <cell r="AE513">
            <v>9.6842303178401714</v>
          </cell>
          <cell r="AF513">
            <v>9.7031595192713311</v>
          </cell>
          <cell r="AG513">
            <v>9.7106393874694472</v>
          </cell>
          <cell r="AH513">
            <v>9.7106393874694472</v>
          </cell>
        </row>
        <row r="514">
          <cell r="D514">
            <v>12.827358106809438</v>
          </cell>
          <cell r="E514">
            <v>12.867652721248987</v>
          </cell>
          <cell r="F514">
            <v>12.905656982938211</v>
          </cell>
          <cell r="G514">
            <v>12.939047901362146</v>
          </cell>
          <cell r="H514">
            <v>13.000764546515532</v>
          </cell>
          <cell r="I514">
            <v>13.054597778817724</v>
          </cell>
          <cell r="J514">
            <v>13.097421406951065</v>
          </cell>
          <cell r="K514">
            <v>13.117580247548776</v>
          </cell>
          <cell r="L514">
            <v>13.140001543966846</v>
          </cell>
          <cell r="M514">
            <v>13.160510466591628</v>
          </cell>
          <cell r="N514">
            <v>13.181434121528964</v>
          </cell>
          <cell r="O514">
            <v>13.201738501355894</v>
          </cell>
          <cell r="P514">
            <v>13.237883228556168</v>
          </cell>
          <cell r="Q514">
            <v>13.255263272325504</v>
          </cell>
          <cell r="R514">
            <v>13.286539071922977</v>
          </cell>
          <cell r="S514">
            <v>13.31583197438856</v>
          </cell>
          <cell r="T514">
            <v>13.31583197438856</v>
          </cell>
          <cell r="U514">
            <v>13.330047615723341</v>
          </cell>
          <cell r="V514">
            <v>13.343491581239546</v>
          </cell>
          <cell r="W514">
            <v>13.35885681679267</v>
          </cell>
          <cell r="X514">
            <v>13.35885681679267</v>
          </cell>
          <cell r="Y514">
            <v>13.377044777188877</v>
          </cell>
          <cell r="Z514">
            <v>13.406922856879879</v>
          </cell>
          <cell r="AA514">
            <v>13.435249049998351</v>
          </cell>
          <cell r="AB514">
            <v>13.46306359308487</v>
          </cell>
          <cell r="AC514">
            <v>13.478139030621453</v>
          </cell>
          <cell r="AD514">
            <v>13.503906491038704</v>
          </cell>
          <cell r="AE514">
            <v>13.52800600558375</v>
          </cell>
          <cell r="AF514">
            <v>13.549041811867653</v>
          </cell>
          <cell r="AG514">
            <v>13.558438735532791</v>
          </cell>
          <cell r="AH514">
            <v>13.558438735532791</v>
          </cell>
        </row>
        <row r="515">
          <cell r="D515">
            <v>74.273103456485188</v>
          </cell>
          <cell r="E515">
            <v>74.273103456485188</v>
          </cell>
          <cell r="F515">
            <v>66.773103456485188</v>
          </cell>
          <cell r="G515">
            <v>66.773103456485188</v>
          </cell>
          <cell r="H515">
            <v>66.773103456485188</v>
          </cell>
          <cell r="I515">
            <v>58.773103456485188</v>
          </cell>
          <cell r="J515">
            <v>58.773103456485188</v>
          </cell>
          <cell r="K515">
            <v>58.773103456485188</v>
          </cell>
          <cell r="L515">
            <v>56.773103456485188</v>
          </cell>
          <cell r="M515">
            <v>69.023103456485188</v>
          </cell>
          <cell r="N515">
            <v>73.773103456485188</v>
          </cell>
          <cell r="O515">
            <v>86.023103456485188</v>
          </cell>
          <cell r="P515">
            <v>86.023103456485188</v>
          </cell>
          <cell r="Q515">
            <v>71.023103456485188</v>
          </cell>
          <cell r="R515">
            <v>71.023103456485188</v>
          </cell>
          <cell r="S515">
            <v>71.023103456485188</v>
          </cell>
          <cell r="T515">
            <v>83.023103456485188</v>
          </cell>
          <cell r="U515">
            <v>71.023103456485188</v>
          </cell>
          <cell r="V515">
            <v>83.023103456485188</v>
          </cell>
          <cell r="W515">
            <v>83.023103456485188</v>
          </cell>
          <cell r="X515">
            <v>95.023103456485188</v>
          </cell>
          <cell r="Y515">
            <v>71.023103456485188</v>
          </cell>
          <cell r="Z515">
            <v>71.023103456485188</v>
          </cell>
          <cell r="AA515">
            <v>71.023103456485188</v>
          </cell>
          <cell r="AB515">
            <v>71.023103456485188</v>
          </cell>
          <cell r="AC515">
            <v>62.523103456485188</v>
          </cell>
          <cell r="AD515">
            <v>62.523103456485188</v>
          </cell>
          <cell r="AE515">
            <v>62.523103456485188</v>
          </cell>
          <cell r="AF515">
            <v>62.523103456485188</v>
          </cell>
          <cell r="AG515">
            <v>74.523103456485188</v>
          </cell>
          <cell r="AH515">
            <v>74.523103456485188</v>
          </cell>
        </row>
        <row r="516">
          <cell r="D516">
            <v>6560.0537627650947</v>
          </cell>
          <cell r="E516">
            <v>6560.0537627650947</v>
          </cell>
          <cell r="F516">
            <v>6560.0537627650947</v>
          </cell>
          <cell r="G516">
            <v>6560.0537627650947</v>
          </cell>
          <cell r="H516">
            <v>6560.0537627650947</v>
          </cell>
          <cell r="I516">
            <v>6560.0537627650947</v>
          </cell>
          <cell r="J516">
            <v>6560.0537627650956</v>
          </cell>
          <cell r="K516">
            <v>6560.0537627650956</v>
          </cell>
          <cell r="L516">
            <v>6563.6953725584117</v>
          </cell>
          <cell r="M516">
            <v>6566.9103096214303</v>
          </cell>
          <cell r="N516">
            <v>6567.0327415982683</v>
          </cell>
          <cell r="O516">
            <v>6567.2125980301398</v>
          </cell>
          <cell r="P516">
            <v>6567.2125980301398</v>
          </cell>
          <cell r="Q516">
            <v>6567.2125980301398</v>
          </cell>
          <cell r="R516">
            <v>6567.2125980301398</v>
          </cell>
          <cell r="S516">
            <v>6567.2125980301398</v>
          </cell>
          <cell r="T516">
            <v>6567.2948602005335</v>
          </cell>
          <cell r="U516">
            <v>6567.0340714145295</v>
          </cell>
          <cell r="V516">
            <v>6566.7039157673416</v>
          </cell>
          <cell r="W516">
            <v>6566.7039157673416</v>
          </cell>
          <cell r="X516">
            <v>6565.4844588445103</v>
          </cell>
          <cell r="Y516">
            <v>6565.4844588445103</v>
          </cell>
          <cell r="Z516">
            <v>6565.4844588445103</v>
          </cell>
          <cell r="AA516">
            <v>6565.4844588445103</v>
          </cell>
          <cell r="AB516">
            <v>6565.4844588445103</v>
          </cell>
          <cell r="AC516">
            <v>6564.2659865656778</v>
          </cell>
          <cell r="AD516">
            <v>6564.2659865656778</v>
          </cell>
          <cell r="AE516">
            <v>6564.2659865656778</v>
          </cell>
          <cell r="AF516">
            <v>6564.2659865656778</v>
          </cell>
          <cell r="AG516">
            <v>6563.022322020377</v>
          </cell>
          <cell r="AH516">
            <v>6563.022322020377</v>
          </cell>
        </row>
        <row r="517">
          <cell r="D517">
            <v>1.6289199745413443</v>
          </cell>
          <cell r="E517">
            <v>1.6289199745413443</v>
          </cell>
          <cell r="F517">
            <v>1.6289199745413443</v>
          </cell>
          <cell r="G517">
            <v>1.6289199745413443</v>
          </cell>
          <cell r="H517">
            <v>1.6289199745413443</v>
          </cell>
          <cell r="I517">
            <v>1.6289199745413443</v>
          </cell>
          <cell r="J517">
            <v>1.6289199745413443</v>
          </cell>
          <cell r="K517">
            <v>1.6289199745413443</v>
          </cell>
          <cell r="L517">
            <v>1.6098740474235598</v>
          </cell>
          <cell r="M517">
            <v>1.5945212860005782</v>
          </cell>
          <cell r="N517">
            <v>1.6078626104304341</v>
          </cell>
          <cell r="O517">
            <v>1.6200815945669809</v>
          </cell>
          <cell r="P517">
            <v>1.6200815945669809</v>
          </cell>
          <cell r="Q517">
            <v>1.6200815945669809</v>
          </cell>
          <cell r="R517">
            <v>1.6200815945669809</v>
          </cell>
          <cell r="S517">
            <v>1.6200815945669809</v>
          </cell>
          <cell r="T517">
            <v>1.6307252398688661</v>
          </cell>
          <cell r="U517">
            <v>1.6337355296145784</v>
          </cell>
          <cell r="V517">
            <v>1.6372268737712852</v>
          </cell>
          <cell r="W517">
            <v>1.6372268737712852</v>
          </cell>
          <cell r="X517">
            <v>1.6455056642618335</v>
          </cell>
          <cell r="Y517">
            <v>1.6455056642618335</v>
          </cell>
          <cell r="Z517">
            <v>1.6455056642618335</v>
          </cell>
          <cell r="AA517">
            <v>1.6455056642618335</v>
          </cell>
          <cell r="AB517">
            <v>1.6455056642618335</v>
          </cell>
          <cell r="AC517">
            <v>1.6677508603169933</v>
          </cell>
          <cell r="AD517">
            <v>1.6677508603169933</v>
          </cell>
          <cell r="AE517">
            <v>1.6677508603169933</v>
          </cell>
          <cell r="AF517">
            <v>1.6677508603169933</v>
          </cell>
          <cell r="AG517">
            <v>1.6916931617711171</v>
          </cell>
          <cell r="AH517">
            <v>1.6916931617711171</v>
          </cell>
        </row>
        <row r="518">
          <cell r="D518">
            <v>5.2848908657204126</v>
          </cell>
          <cell r="E518">
            <v>5.2848908657204126</v>
          </cell>
          <cell r="F518">
            <v>5.2848908657204126</v>
          </cell>
          <cell r="G518">
            <v>5.2848908657204126</v>
          </cell>
          <cell r="H518">
            <v>5.2848908657204126</v>
          </cell>
          <cell r="I518">
            <v>5.2848908657204126</v>
          </cell>
          <cell r="J518">
            <v>5.2848908657204126</v>
          </cell>
          <cell r="K518">
            <v>5.2848908657204126</v>
          </cell>
          <cell r="L518">
            <v>5.1358579446854264</v>
          </cell>
          <cell r="M518">
            <v>5.004903499609731</v>
          </cell>
          <cell r="N518">
            <v>4.9182723715940799</v>
          </cell>
          <cell r="O518">
            <v>4.8464999550881673</v>
          </cell>
          <cell r="P518">
            <v>4.8464999550881673</v>
          </cell>
          <cell r="Q518">
            <v>4.8464999550881673</v>
          </cell>
          <cell r="R518">
            <v>4.8464999550881673</v>
          </cell>
          <cell r="S518">
            <v>4.8464999550881673</v>
          </cell>
          <cell r="T518">
            <v>4.7748210404904361</v>
          </cell>
          <cell r="U518">
            <v>4.7243607790585607</v>
          </cell>
          <cell r="V518">
            <v>4.6745773225011193</v>
          </cell>
          <cell r="W518">
            <v>4.6745773225011193</v>
          </cell>
          <cell r="X518">
            <v>4.6406751887101336</v>
          </cell>
          <cell r="Y518">
            <v>4.6406751887101336</v>
          </cell>
          <cell r="Z518">
            <v>4.6406751887101336</v>
          </cell>
          <cell r="AA518">
            <v>4.6406751887101336</v>
          </cell>
          <cell r="AB518">
            <v>4.6406751887101336</v>
          </cell>
          <cell r="AC518">
            <v>4.6054644114330046</v>
          </cell>
          <cell r="AD518">
            <v>4.6054644114330046</v>
          </cell>
          <cell r="AE518">
            <v>4.6054644114330046</v>
          </cell>
          <cell r="AF518">
            <v>4.6054644114330046</v>
          </cell>
          <cell r="AG518">
            <v>4.5695270031223005</v>
          </cell>
          <cell r="AH518">
            <v>4.5695270031223005</v>
          </cell>
        </row>
        <row r="519">
          <cell r="D519">
            <v>9.0916769870612217</v>
          </cell>
          <cell r="E519">
            <v>9.0916769870612217</v>
          </cell>
          <cell r="F519">
            <v>9.0916769870612217</v>
          </cell>
          <cell r="G519">
            <v>9.0916769870612217</v>
          </cell>
          <cell r="H519">
            <v>9.0916769870612217</v>
          </cell>
          <cell r="I519">
            <v>9.0916769870612217</v>
          </cell>
          <cell r="J519">
            <v>9.0916769870612235</v>
          </cell>
          <cell r="K519">
            <v>9.0916769870612235</v>
          </cell>
          <cell r="L519">
            <v>9.2105342278304292</v>
          </cell>
          <cell r="M519">
            <v>9.3136451592759393</v>
          </cell>
          <cell r="N519">
            <v>9.3957456446293754</v>
          </cell>
          <cell r="O519">
            <v>9.4613446035201445</v>
          </cell>
          <cell r="P519">
            <v>9.4613446035201445</v>
          </cell>
          <cell r="Q519">
            <v>9.4613446035201445</v>
          </cell>
          <cell r="R519">
            <v>9.4613446035201445</v>
          </cell>
          <cell r="S519">
            <v>9.4613446035201445</v>
          </cell>
          <cell r="T519">
            <v>9.5256309194638007</v>
          </cell>
          <cell r="U519">
            <v>9.5740047726980855</v>
          </cell>
          <cell r="V519">
            <v>9.6221114617477852</v>
          </cell>
          <cell r="W519">
            <v>9.6221114617477852</v>
          </cell>
          <cell r="X519">
            <v>9.6626016373251513</v>
          </cell>
          <cell r="Y519">
            <v>9.6626016373251513</v>
          </cell>
          <cell r="Z519">
            <v>9.6626016373251513</v>
          </cell>
          <cell r="AA519">
            <v>9.6626016373251513</v>
          </cell>
          <cell r="AB519">
            <v>9.6626016373251513</v>
          </cell>
          <cell r="AC519">
            <v>9.6980368897465699</v>
          </cell>
          <cell r="AD519">
            <v>9.6980368897465699</v>
          </cell>
          <cell r="AE519">
            <v>9.6980368897465699</v>
          </cell>
          <cell r="AF519">
            <v>9.6980368897465699</v>
          </cell>
          <cell r="AG519">
            <v>9.7328114106423786</v>
          </cell>
          <cell r="AH519">
            <v>9.7328114106423786</v>
          </cell>
        </row>
        <row r="520">
          <cell r="D520">
            <v>13.412066652580844</v>
          </cell>
          <cell r="E520">
            <v>13.412066652580844</v>
          </cell>
          <cell r="F520">
            <v>13.412066652580844</v>
          </cell>
          <cell r="G520">
            <v>13.412066652580844</v>
          </cell>
          <cell r="H520">
            <v>13.412066652580844</v>
          </cell>
          <cell r="I520">
            <v>13.412066652580844</v>
          </cell>
          <cell r="J520">
            <v>13.412066652580844</v>
          </cell>
          <cell r="K520">
            <v>13.412066652580844</v>
          </cell>
          <cell r="L520">
            <v>13.41500852472767</v>
          </cell>
          <cell r="M520">
            <v>13.418230690872342</v>
          </cell>
          <cell r="N520">
            <v>13.427453730608027</v>
          </cell>
          <cell r="O520">
            <v>13.435520643431566</v>
          </cell>
          <cell r="P520">
            <v>13.435520643431566</v>
          </cell>
          <cell r="Q520">
            <v>13.435520643431566</v>
          </cell>
          <cell r="R520">
            <v>13.435520643431566</v>
          </cell>
          <cell r="S520">
            <v>13.435520643431566</v>
          </cell>
          <cell r="T520">
            <v>13.456245105665049</v>
          </cell>
          <cell r="U520">
            <v>13.473321420496205</v>
          </cell>
          <cell r="V520">
            <v>13.490827992452122</v>
          </cell>
          <cell r="W520">
            <v>13.490827992452122</v>
          </cell>
          <cell r="X520">
            <v>13.508885425574368</v>
          </cell>
          <cell r="Y520">
            <v>13.508885425574368</v>
          </cell>
          <cell r="Z520">
            <v>13.508885425574368</v>
          </cell>
          <cell r="AA520">
            <v>13.508885425574368</v>
          </cell>
          <cell r="AB520">
            <v>13.508885425574368</v>
          </cell>
          <cell r="AC520">
            <v>13.523156050751558</v>
          </cell>
          <cell r="AD520">
            <v>13.523156050751558</v>
          </cell>
          <cell r="AE520">
            <v>13.523156050751558</v>
          </cell>
          <cell r="AF520">
            <v>13.523156050751558</v>
          </cell>
          <cell r="AG520">
            <v>13.538674795600025</v>
          </cell>
          <cell r="AH520">
            <v>13.538674795600025</v>
          </cell>
        </row>
        <row r="521">
          <cell r="D521">
            <v>14.985871239274379</v>
          </cell>
          <cell r="E521">
            <v>25.985871239274381</v>
          </cell>
          <cell r="F521">
            <v>36.985871239274381</v>
          </cell>
          <cell r="G521">
            <v>47.985871239274381</v>
          </cell>
          <cell r="H521">
            <v>47.985871239274381</v>
          </cell>
          <cell r="I521">
            <v>47.985871239274381</v>
          </cell>
          <cell r="J521">
            <v>47.985871239274381</v>
          </cell>
          <cell r="K521">
            <v>58.985871239274381</v>
          </cell>
          <cell r="L521">
            <v>58.985871239274381</v>
          </cell>
          <cell r="M521">
            <v>58.985871239274381</v>
          </cell>
          <cell r="N521">
            <v>58.985871239274381</v>
          </cell>
          <cell r="O521">
            <v>38.985871239274381</v>
          </cell>
          <cell r="P521">
            <v>38.985871239274381</v>
          </cell>
          <cell r="Q521">
            <v>23.985871239274381</v>
          </cell>
          <cell r="R521">
            <v>23.985871239274381</v>
          </cell>
          <cell r="S521">
            <v>23.985871239274381</v>
          </cell>
          <cell r="T521">
            <v>23.985871239274381</v>
          </cell>
          <cell r="U521">
            <v>23.985871239274381</v>
          </cell>
          <cell r="V521">
            <v>23.985871239274381</v>
          </cell>
          <cell r="W521">
            <v>19.985871239274381</v>
          </cell>
          <cell r="X521">
            <v>30.985871239274381</v>
          </cell>
          <cell r="Y521">
            <v>41.985871239274381</v>
          </cell>
          <cell r="Z521">
            <v>41.985871239274381</v>
          </cell>
          <cell r="AA521">
            <v>41.985871239274381</v>
          </cell>
          <cell r="AB521">
            <v>41.985871239274381</v>
          </cell>
          <cell r="AC521">
            <v>41.985871239274381</v>
          </cell>
          <cell r="AD521">
            <v>41.985871239274381</v>
          </cell>
          <cell r="AE521">
            <v>26.985871239274381</v>
          </cell>
          <cell r="AF521">
            <v>1.9858712392743811</v>
          </cell>
          <cell r="AG521">
            <v>1.9858712392743811</v>
          </cell>
          <cell r="AH521">
            <v>1.9858712392743811</v>
          </cell>
        </row>
        <row r="522">
          <cell r="D522">
            <v>6326.6198475879974</v>
          </cell>
          <cell r="E522">
            <v>6223.963201381157</v>
          </cell>
          <cell r="F522">
            <v>6182.70473875485</v>
          </cell>
          <cell r="G522">
            <v>6160.6381103963558</v>
          </cell>
          <cell r="H522">
            <v>6160.6381103963558</v>
          </cell>
          <cell r="I522">
            <v>6160.6381103963558</v>
          </cell>
          <cell r="J522">
            <v>6160.6381103963558</v>
          </cell>
          <cell r="K522">
            <v>6147.482497876329</v>
          </cell>
          <cell r="L522">
            <v>6147.482497876329</v>
          </cell>
          <cell r="M522">
            <v>6147.482497876329</v>
          </cell>
          <cell r="N522">
            <v>6147.482497876329</v>
          </cell>
          <cell r="O522">
            <v>6147.482497876329</v>
          </cell>
          <cell r="P522">
            <v>6147.482497876329</v>
          </cell>
          <cell r="Q522">
            <v>6147.482497876329</v>
          </cell>
          <cell r="R522">
            <v>6147.482497876329</v>
          </cell>
          <cell r="S522">
            <v>6147.482497876329</v>
          </cell>
          <cell r="T522">
            <v>6147.482497876329</v>
          </cell>
          <cell r="U522">
            <v>6147.482497876329</v>
          </cell>
          <cell r="V522">
            <v>6147.482497876329</v>
          </cell>
          <cell r="W522">
            <v>6132.3330574609045</v>
          </cell>
          <cell r="X522">
            <v>6120.804432657118</v>
          </cell>
          <cell r="Y522">
            <v>6115.477464731086</v>
          </cell>
          <cell r="Z522">
            <v>6115.477464731086</v>
          </cell>
          <cell r="AA522">
            <v>6115.477464731086</v>
          </cell>
          <cell r="AB522">
            <v>6115.477464731086</v>
          </cell>
          <cell r="AC522">
            <v>6115.477464731086</v>
          </cell>
          <cell r="AD522">
            <v>6115.477464731086</v>
          </cell>
          <cell r="AE522">
            <v>6115.477464731086</v>
          </cell>
          <cell r="AF522">
            <v>6115.4774647310851</v>
          </cell>
          <cell r="AG522">
            <v>6115.4774647310851</v>
          </cell>
          <cell r="AH522">
            <v>6115.4774647310851</v>
          </cell>
        </row>
        <row r="523">
          <cell r="D523">
            <v>0.19076173731904769</v>
          </cell>
          <cell r="E523">
            <v>0.23051339346789054</v>
          </cell>
          <cell r="F523">
            <v>0.24647311651603809</v>
          </cell>
          <cell r="G523">
            <v>0.25499510065348674</v>
          </cell>
          <cell r="H523">
            <v>0.25499510065348674</v>
          </cell>
          <cell r="I523">
            <v>0.25499510065348674</v>
          </cell>
          <cell r="J523">
            <v>0.25499510065348674</v>
          </cell>
          <cell r="K523">
            <v>0.26002925938398125</v>
          </cell>
          <cell r="L523">
            <v>0.26002925938398125</v>
          </cell>
          <cell r="M523">
            <v>0.26002925938398125</v>
          </cell>
          <cell r="N523">
            <v>0.26002925938398125</v>
          </cell>
          <cell r="O523">
            <v>0.26002925938398125</v>
          </cell>
          <cell r="P523">
            <v>0.26002925938398125</v>
          </cell>
          <cell r="Q523">
            <v>0.26002925938398125</v>
          </cell>
          <cell r="R523">
            <v>0.26002925938398125</v>
          </cell>
          <cell r="S523">
            <v>0.26002925938398125</v>
          </cell>
          <cell r="T523">
            <v>0.26002925938398125</v>
          </cell>
          <cell r="U523">
            <v>0.26002925938398125</v>
          </cell>
          <cell r="V523">
            <v>0.26002925938398125</v>
          </cell>
          <cell r="W523">
            <v>0.26508693572081488</v>
          </cell>
          <cell r="X523">
            <v>0.26883498866652361</v>
          </cell>
          <cell r="Y523">
            <v>0.27062132105157255</v>
          </cell>
          <cell r="Z523">
            <v>0.27062132105157255</v>
          </cell>
          <cell r="AA523">
            <v>0.27062132105157255</v>
          </cell>
          <cell r="AB523">
            <v>0.27062132105157255</v>
          </cell>
          <cell r="AC523">
            <v>0.27062132105157255</v>
          </cell>
          <cell r="AD523">
            <v>0.27062132105157255</v>
          </cell>
          <cell r="AE523">
            <v>0.27062132105157255</v>
          </cell>
          <cell r="AF523">
            <v>0.27062132105157255</v>
          </cell>
          <cell r="AG523">
            <v>0.27062132105157255</v>
          </cell>
          <cell r="AH523">
            <v>0.27062132105157255</v>
          </cell>
        </row>
        <row r="524">
          <cell r="D524">
            <v>5.1024935262024531</v>
          </cell>
          <cell r="E524">
            <v>5.435363313296099</v>
          </cell>
          <cell r="F524">
            <v>5.561652791338509</v>
          </cell>
          <cell r="G524">
            <v>5.6229847951102245</v>
          </cell>
          <cell r="H524">
            <v>5.6229847951102245</v>
          </cell>
          <cell r="I524">
            <v>5.6229847951102245</v>
          </cell>
          <cell r="J524">
            <v>5.6229847951102245</v>
          </cell>
          <cell r="K524">
            <v>5.6437613842363001</v>
          </cell>
          <cell r="L524">
            <v>5.6437613842363001</v>
          </cell>
          <cell r="M524">
            <v>5.6437613842363001</v>
          </cell>
          <cell r="N524">
            <v>5.6437613842363001</v>
          </cell>
          <cell r="O524">
            <v>5.6437613842363001</v>
          </cell>
          <cell r="P524">
            <v>5.6437613842363001</v>
          </cell>
          <cell r="Q524">
            <v>5.6437613842363001</v>
          </cell>
          <cell r="R524">
            <v>5.6437613842363001</v>
          </cell>
          <cell r="S524">
            <v>5.6437613842363001</v>
          </cell>
          <cell r="T524">
            <v>5.6437613842363001</v>
          </cell>
          <cell r="U524">
            <v>5.6437613842363001</v>
          </cell>
          <cell r="V524">
            <v>5.6437613842363001</v>
          </cell>
          <cell r="W524">
            <v>5.584446486348047</v>
          </cell>
          <cell r="X524">
            <v>5.5315507240628987</v>
          </cell>
          <cell r="Y524">
            <v>5.5039850925815186</v>
          </cell>
          <cell r="Z524">
            <v>5.5039850925815186</v>
          </cell>
          <cell r="AA524">
            <v>5.5039850925815186</v>
          </cell>
          <cell r="AB524">
            <v>5.5039850925815186</v>
          </cell>
          <cell r="AC524">
            <v>5.5039850925815186</v>
          </cell>
          <cell r="AD524">
            <v>5.5039850925815186</v>
          </cell>
          <cell r="AE524">
            <v>5.5039850925815186</v>
          </cell>
          <cell r="AF524">
            <v>5.5039850925815186</v>
          </cell>
          <cell r="AG524">
            <v>5.5039850925815186</v>
          </cell>
          <cell r="AH524">
            <v>5.5039850925815186</v>
          </cell>
        </row>
        <row r="525">
          <cell r="D525">
            <v>11.273920275706004</v>
          </cell>
          <cell r="E525">
            <v>11.977864229586434</v>
          </cell>
          <cell r="F525">
            <v>12.266766219790046</v>
          </cell>
          <cell r="G525">
            <v>12.426241503555604</v>
          </cell>
          <cell r="H525">
            <v>12.426241503555604</v>
          </cell>
          <cell r="I525">
            <v>12.426241503555604</v>
          </cell>
          <cell r="J525">
            <v>12.426241503555604</v>
          </cell>
          <cell r="K525">
            <v>12.533681876392327</v>
          </cell>
          <cell r="L525">
            <v>12.533681876392327</v>
          </cell>
          <cell r="M525">
            <v>12.533681876392327</v>
          </cell>
          <cell r="N525">
            <v>12.533681876392327</v>
          </cell>
          <cell r="O525">
            <v>12.533681876392327</v>
          </cell>
          <cell r="P525">
            <v>12.533681876392327</v>
          </cell>
          <cell r="Q525">
            <v>12.533681876392327</v>
          </cell>
          <cell r="R525">
            <v>12.533681876392329</v>
          </cell>
          <cell r="S525">
            <v>12.533681876392329</v>
          </cell>
          <cell r="T525">
            <v>12.533681876392329</v>
          </cell>
          <cell r="U525">
            <v>12.533681876392329</v>
          </cell>
          <cell r="V525">
            <v>12.533681876392329</v>
          </cell>
          <cell r="W525">
            <v>12.712014875589155</v>
          </cell>
          <cell r="X525">
            <v>12.85213189518964</v>
          </cell>
          <cell r="Y525">
            <v>12.920684674865923</v>
          </cell>
          <cell r="Z525">
            <v>12.920684674865923</v>
          </cell>
          <cell r="AA525">
            <v>12.920684674865923</v>
          </cell>
          <cell r="AB525">
            <v>12.920684674865923</v>
          </cell>
          <cell r="AC525">
            <v>12.920684674865923</v>
          </cell>
          <cell r="AD525">
            <v>12.920684674865923</v>
          </cell>
          <cell r="AE525">
            <v>12.920684674865923</v>
          </cell>
          <cell r="AF525">
            <v>12.920684674865923</v>
          </cell>
          <cell r="AG525">
            <v>12.920684674865923</v>
          </cell>
          <cell r="AH525">
            <v>12.920684674865923</v>
          </cell>
        </row>
        <row r="526">
          <cell r="D526">
            <v>16.577330907879787</v>
          </cell>
          <cell r="E526">
            <v>16.751537109646396</v>
          </cell>
          <cell r="F526">
            <v>16.827522999280038</v>
          </cell>
          <cell r="G526">
            <v>16.873113699141999</v>
          </cell>
          <cell r="H526">
            <v>16.873113699141999</v>
          </cell>
          <cell r="I526">
            <v>16.873113699141999</v>
          </cell>
          <cell r="J526">
            <v>16.873113699141999</v>
          </cell>
          <cell r="K526">
            <v>16.912652076885692</v>
          </cell>
          <cell r="L526">
            <v>16.912652076885692</v>
          </cell>
          <cell r="M526">
            <v>16.912652076885692</v>
          </cell>
          <cell r="N526">
            <v>16.912652076885692</v>
          </cell>
          <cell r="O526">
            <v>16.912652076885692</v>
          </cell>
          <cell r="P526">
            <v>16.912652076885692</v>
          </cell>
          <cell r="Q526">
            <v>16.912652076885692</v>
          </cell>
          <cell r="R526">
            <v>16.912652076885692</v>
          </cell>
          <cell r="S526">
            <v>16.912652076885692</v>
          </cell>
          <cell r="T526">
            <v>16.912652076885692</v>
          </cell>
          <cell r="U526">
            <v>16.912652076885692</v>
          </cell>
          <cell r="V526">
            <v>16.912652076885692</v>
          </cell>
          <cell r="W526">
            <v>17.013453116313592</v>
          </cell>
          <cell r="X526">
            <v>17.09467532381732</v>
          </cell>
          <cell r="Y526">
            <v>17.135923949886919</v>
          </cell>
          <cell r="Z526">
            <v>17.135923949886919</v>
          </cell>
          <cell r="AA526">
            <v>17.135923949886919</v>
          </cell>
          <cell r="AB526">
            <v>17.135923949886919</v>
          </cell>
          <cell r="AC526">
            <v>17.135923949886919</v>
          </cell>
          <cell r="AD526">
            <v>17.135923949886919</v>
          </cell>
          <cell r="AE526">
            <v>17.135923949886919</v>
          </cell>
          <cell r="AF526">
            <v>17.135923949886919</v>
          </cell>
          <cell r="AG526">
            <v>17.135923949886919</v>
          </cell>
          <cell r="AH526">
            <v>17.135923949886919</v>
          </cell>
        </row>
        <row r="529">
          <cell r="D529">
            <v>0</v>
          </cell>
          <cell r="E529">
            <v>0</v>
          </cell>
          <cell r="F529" t="str">
            <v/>
          </cell>
          <cell r="G529">
            <v>0</v>
          </cell>
          <cell r="H529">
            <v>0</v>
          </cell>
          <cell r="I529" t="str">
            <v/>
          </cell>
          <cell r="J529">
            <v>0</v>
          </cell>
          <cell r="K529">
            <v>0</v>
          </cell>
          <cell r="L529" t="str">
            <v/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 t="str">
            <v/>
          </cell>
          <cell r="R529">
            <v>0</v>
          </cell>
          <cell r="S529">
            <v>0</v>
          </cell>
          <cell r="T529">
            <v>0</v>
          </cell>
          <cell r="U529" t="str">
            <v/>
          </cell>
          <cell r="V529">
            <v>0</v>
          </cell>
          <cell r="W529">
            <v>0</v>
          </cell>
          <cell r="X529">
            <v>0</v>
          </cell>
          <cell r="Y529" t="str">
            <v/>
          </cell>
          <cell r="Z529">
            <v>0</v>
          </cell>
          <cell r="AA529">
            <v>0</v>
          </cell>
          <cell r="AB529">
            <v>0</v>
          </cell>
          <cell r="AC529" t="str">
            <v/>
          </cell>
          <cell r="AD529">
            <v>0</v>
          </cell>
          <cell r="AE529" t="str">
            <v/>
          </cell>
          <cell r="AF529" t="str">
            <v/>
          </cell>
          <cell r="AG529">
            <v>0</v>
          </cell>
          <cell r="AH529" t="str">
            <v/>
          </cell>
        </row>
        <row r="530">
          <cell r="D530">
            <v>1</v>
          </cell>
          <cell r="E530">
            <v>1</v>
          </cell>
          <cell r="F530">
            <v>1</v>
          </cell>
          <cell r="G530">
            <v>1</v>
          </cell>
          <cell r="H530">
            <v>1</v>
          </cell>
          <cell r="I530">
            <v>1</v>
          </cell>
          <cell r="J530">
            <v>1</v>
          </cell>
          <cell r="K530">
            <v>1</v>
          </cell>
          <cell r="L530">
            <v>1</v>
          </cell>
          <cell r="M530">
            <v>1</v>
          </cell>
          <cell r="N530">
            <v>1</v>
          </cell>
          <cell r="O530">
            <v>1</v>
          </cell>
          <cell r="P530">
            <v>1</v>
          </cell>
          <cell r="Q530">
            <v>1</v>
          </cell>
          <cell r="R530">
            <v>1</v>
          </cell>
          <cell r="S530">
            <v>1</v>
          </cell>
          <cell r="T530">
            <v>1</v>
          </cell>
          <cell r="U530">
            <v>1</v>
          </cell>
          <cell r="V530">
            <v>1</v>
          </cell>
          <cell r="W530">
            <v>1</v>
          </cell>
          <cell r="X530">
            <v>1</v>
          </cell>
          <cell r="Y530">
            <v>1</v>
          </cell>
          <cell r="Z530">
            <v>1</v>
          </cell>
          <cell r="AA530">
            <v>1</v>
          </cell>
          <cell r="AB530">
            <v>1</v>
          </cell>
          <cell r="AC530">
            <v>1</v>
          </cell>
          <cell r="AD530">
            <v>1</v>
          </cell>
          <cell r="AE530">
            <v>1</v>
          </cell>
          <cell r="AF530">
            <v>1</v>
          </cell>
          <cell r="AG530">
            <v>1</v>
          </cell>
          <cell r="AH530">
            <v>1</v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>
            <v>0</v>
          </cell>
          <cell r="P533" t="str">
            <v/>
          </cell>
          <cell r="Q533">
            <v>0</v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>
            <v>0</v>
          </cell>
          <cell r="X533" t="str">
            <v/>
          </cell>
          <cell r="Y533" t="str">
            <v/>
          </cell>
          <cell r="Z533" t="str">
            <v/>
          </cell>
          <cell r="AA533" t="str">
            <v/>
          </cell>
          <cell r="AB533" t="str">
            <v/>
          </cell>
          <cell r="AC533" t="str">
            <v/>
          </cell>
          <cell r="AD533" t="str">
            <v/>
          </cell>
          <cell r="AE533">
            <v>0</v>
          </cell>
          <cell r="AF533">
            <v>0</v>
          </cell>
          <cell r="AG533" t="str">
            <v/>
          </cell>
          <cell r="AH533" t="str">
            <v/>
          </cell>
        </row>
        <row r="535">
          <cell r="D535">
            <v>1</v>
          </cell>
          <cell r="E535">
            <v>1</v>
          </cell>
          <cell r="F535">
            <v>1</v>
          </cell>
          <cell r="G535">
            <v>1</v>
          </cell>
          <cell r="H535">
            <v>1</v>
          </cell>
          <cell r="I535">
            <v>1</v>
          </cell>
          <cell r="J535">
            <v>1</v>
          </cell>
          <cell r="K535">
            <v>1</v>
          </cell>
          <cell r="L535">
            <v>1</v>
          </cell>
          <cell r="M535">
            <v>1</v>
          </cell>
          <cell r="N535">
            <v>1</v>
          </cell>
          <cell r="O535">
            <v>1</v>
          </cell>
          <cell r="P535">
            <v>1</v>
          </cell>
          <cell r="Q535">
            <v>1</v>
          </cell>
          <cell r="R535">
            <v>1</v>
          </cell>
          <cell r="S535">
            <v>1</v>
          </cell>
          <cell r="T535">
            <v>1</v>
          </cell>
          <cell r="U535">
            <v>1</v>
          </cell>
          <cell r="V535">
            <v>1</v>
          </cell>
          <cell r="W535">
            <v>1</v>
          </cell>
          <cell r="X535">
            <v>1</v>
          </cell>
          <cell r="Y535">
            <v>1</v>
          </cell>
          <cell r="Z535">
            <v>1</v>
          </cell>
          <cell r="AA535">
            <v>1</v>
          </cell>
          <cell r="AB535">
            <v>1</v>
          </cell>
          <cell r="AC535">
            <v>1</v>
          </cell>
          <cell r="AD535">
            <v>1</v>
          </cell>
          <cell r="AE535">
            <v>1</v>
          </cell>
          <cell r="AF535">
            <v>1</v>
          </cell>
          <cell r="AG535">
            <v>1</v>
          </cell>
          <cell r="AH535">
            <v>1</v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>
            <v>0</v>
          </cell>
          <cell r="P537" t="str">
            <v/>
          </cell>
          <cell r="Q537">
            <v>0</v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>
            <v>0</v>
          </cell>
          <cell r="X537" t="str">
            <v/>
          </cell>
          <cell r="Y537" t="str">
            <v/>
          </cell>
          <cell r="Z537" t="str">
            <v/>
          </cell>
          <cell r="AA537" t="str">
            <v/>
          </cell>
          <cell r="AB537" t="str">
            <v/>
          </cell>
          <cell r="AC537" t="str">
            <v/>
          </cell>
          <cell r="AD537" t="str">
            <v/>
          </cell>
          <cell r="AE537">
            <v>0</v>
          </cell>
          <cell r="AF537">
            <v>0</v>
          </cell>
          <cell r="AG537" t="str">
            <v/>
          </cell>
          <cell r="AH537" t="str">
            <v/>
          </cell>
        </row>
        <row r="540">
          <cell r="D540">
            <v>1</v>
          </cell>
          <cell r="E540">
            <v>1</v>
          </cell>
          <cell r="F540">
            <v>1</v>
          </cell>
          <cell r="G540">
            <v>1</v>
          </cell>
          <cell r="H540">
            <v>1</v>
          </cell>
          <cell r="I540">
            <v>1</v>
          </cell>
          <cell r="J540">
            <v>1</v>
          </cell>
          <cell r="K540">
            <v>1</v>
          </cell>
          <cell r="L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R540">
            <v>1</v>
          </cell>
          <cell r="S540">
            <v>1</v>
          </cell>
          <cell r="T540">
            <v>1</v>
          </cell>
          <cell r="U540">
            <v>1</v>
          </cell>
          <cell r="V540">
            <v>1</v>
          </cell>
          <cell r="W540">
            <v>1</v>
          </cell>
          <cell r="X540">
            <v>1</v>
          </cell>
          <cell r="Y540">
            <v>1</v>
          </cell>
          <cell r="Z540">
            <v>1</v>
          </cell>
          <cell r="AA540">
            <v>1</v>
          </cell>
          <cell r="AB540">
            <v>1</v>
          </cell>
          <cell r="AC540">
            <v>1</v>
          </cell>
          <cell r="AD540">
            <v>1</v>
          </cell>
          <cell r="AE540">
            <v>1</v>
          </cell>
          <cell r="AF540">
            <v>1</v>
          </cell>
          <cell r="AG540">
            <v>1</v>
          </cell>
          <cell r="AH540">
            <v>1</v>
          </cell>
        </row>
        <row r="542">
          <cell r="D542">
            <v>14</v>
          </cell>
          <cell r="E542">
            <v>15</v>
          </cell>
          <cell r="F542">
            <v>7.5</v>
          </cell>
          <cell r="G542">
            <v>30</v>
          </cell>
          <cell r="H542">
            <v>21</v>
          </cell>
          <cell r="I542">
            <v>8</v>
          </cell>
          <cell r="J542">
            <v>24</v>
          </cell>
          <cell r="K542">
            <v>21</v>
          </cell>
          <cell r="L542">
            <v>14</v>
          </cell>
          <cell r="M542">
            <v>24</v>
          </cell>
          <cell r="N542">
            <v>21.5</v>
          </cell>
          <cell r="O542">
            <v>27.5</v>
          </cell>
          <cell r="P542">
            <v>24</v>
          </cell>
          <cell r="Q542">
            <v>30</v>
          </cell>
          <cell r="R542">
            <v>21</v>
          </cell>
          <cell r="S542">
            <v>24</v>
          </cell>
          <cell r="T542">
            <v>24</v>
          </cell>
          <cell r="U542">
            <v>24</v>
          </cell>
          <cell r="V542">
            <v>24</v>
          </cell>
          <cell r="W542">
            <v>38</v>
          </cell>
          <cell r="X542">
            <v>15</v>
          </cell>
          <cell r="Y542">
            <v>24</v>
          </cell>
          <cell r="Z542">
            <v>24</v>
          </cell>
          <cell r="AA542">
            <v>30</v>
          </cell>
          <cell r="AB542">
            <v>22</v>
          </cell>
          <cell r="AC542">
            <v>20</v>
          </cell>
          <cell r="AD542">
            <v>24</v>
          </cell>
          <cell r="AE542">
            <v>15</v>
          </cell>
          <cell r="AF542">
            <v>25</v>
          </cell>
          <cell r="AG542">
            <v>30</v>
          </cell>
          <cell r="AH542">
            <v>0</v>
          </cell>
        </row>
        <row r="543">
          <cell r="D543">
            <v>14</v>
          </cell>
          <cell r="E543">
            <v>15</v>
          </cell>
          <cell r="G543">
            <v>30</v>
          </cell>
          <cell r="H543">
            <v>21</v>
          </cell>
          <cell r="J543">
            <v>24</v>
          </cell>
          <cell r="K543">
            <v>21</v>
          </cell>
          <cell r="M543">
            <v>24</v>
          </cell>
          <cell r="N543">
            <v>14</v>
          </cell>
          <cell r="O543">
            <v>7.5</v>
          </cell>
          <cell r="P543">
            <v>24</v>
          </cell>
          <cell r="R543">
            <v>21</v>
          </cell>
          <cell r="S543">
            <v>24</v>
          </cell>
          <cell r="T543">
            <v>24</v>
          </cell>
          <cell r="V543">
            <v>24</v>
          </cell>
          <cell r="W543">
            <v>23</v>
          </cell>
          <cell r="X543">
            <v>15</v>
          </cell>
          <cell r="Z543">
            <v>24</v>
          </cell>
          <cell r="AA543">
            <v>30</v>
          </cell>
          <cell r="AB543">
            <v>22</v>
          </cell>
          <cell r="AD543">
            <v>24</v>
          </cell>
          <cell r="AG543">
            <v>30</v>
          </cell>
        </row>
        <row r="544">
          <cell r="D544">
            <v>6657.3805276212843</v>
          </cell>
          <cell r="E544">
            <v>6656.0335562048131</v>
          </cell>
          <cell r="F544">
            <v>0</v>
          </cell>
          <cell r="G544">
            <v>6653.8682737450299</v>
          </cell>
          <cell r="H544">
            <v>6652.1744057372525</v>
          </cell>
          <cell r="I544">
            <v>0</v>
          </cell>
          <cell r="J544">
            <v>6649.7376902419619</v>
          </cell>
          <cell r="K544">
            <v>6649.1942289301851</v>
          </cell>
          <cell r="L544">
            <v>0</v>
          </cell>
          <cell r="M544">
            <v>6647.8745864666462</v>
          </cell>
          <cell r="N544">
            <v>6647.1780469632849</v>
          </cell>
          <cell r="O544">
            <v>6646.4714868862848</v>
          </cell>
          <cell r="P544">
            <v>6645.1620309190939</v>
          </cell>
          <cell r="Q544">
            <v>0</v>
          </cell>
          <cell r="R544">
            <v>6643.3058985976968</v>
          </cell>
          <cell r="S544">
            <v>6642.1759776441586</v>
          </cell>
          <cell r="T544">
            <v>6642.1759776441577</v>
          </cell>
          <cell r="U544">
            <v>0</v>
          </cell>
          <cell r="V544">
            <v>6640.0975880422702</v>
          </cell>
          <cell r="W544">
            <v>6638.9745956896322</v>
          </cell>
          <cell r="X544">
            <v>6638.9745956896313</v>
          </cell>
          <cell r="Y544">
            <v>0</v>
          </cell>
          <cell r="Z544">
            <v>6635.8357073262314</v>
          </cell>
          <cell r="AA544">
            <v>6634.1635518291987</v>
          </cell>
          <cell r="AB544">
            <v>6632.6479280494541</v>
          </cell>
          <cell r="AC544">
            <v>0</v>
          </cell>
          <cell r="AD544">
            <v>6632.1970874173794</v>
          </cell>
          <cell r="AE544">
            <v>0</v>
          </cell>
          <cell r="AF544">
            <v>0</v>
          </cell>
          <cell r="AG544">
            <v>6630.100197438971</v>
          </cell>
          <cell r="AH544">
            <v>0</v>
          </cell>
        </row>
        <row r="545">
          <cell r="D545">
            <v>0.5311565167614869</v>
          </cell>
          <cell r="E545">
            <v>0.53530515174239424</v>
          </cell>
          <cell r="F545">
            <v>0</v>
          </cell>
          <cell r="G545">
            <v>0.54404126420056531</v>
          </cell>
          <cell r="H545">
            <v>0.55280931384872833</v>
          </cell>
          <cell r="I545">
            <v>0</v>
          </cell>
          <cell r="J545">
            <v>0.56828617220367994</v>
          </cell>
          <cell r="K545">
            <v>0.57176267056084673</v>
          </cell>
          <cell r="L545">
            <v>0</v>
          </cell>
          <cell r="M545">
            <v>0.57951114175780416</v>
          </cell>
          <cell r="N545">
            <v>0.58339578010120796</v>
          </cell>
          <cell r="O545">
            <v>0.58722883913021762</v>
          </cell>
          <cell r="P545">
            <v>0.59415999480195825</v>
          </cell>
          <cell r="Q545">
            <v>0</v>
          </cell>
          <cell r="R545">
            <v>0.60335538584861925</v>
          </cell>
          <cell r="S545">
            <v>0.60852840669300767</v>
          </cell>
          <cell r="T545">
            <v>0.60852840669300767</v>
          </cell>
          <cell r="U545">
            <v>0</v>
          </cell>
          <cell r="V545">
            <v>0.61184099980539708</v>
          </cell>
          <cell r="W545">
            <v>0.61358152747373407</v>
          </cell>
          <cell r="X545">
            <v>0.61358152747373407</v>
          </cell>
          <cell r="Y545">
            <v>0</v>
          </cell>
          <cell r="Z545">
            <v>0.61824918374836202</v>
          </cell>
          <cell r="AA545">
            <v>0.62058296854768491</v>
          </cell>
          <cell r="AB545">
            <v>0.62258004638488917</v>
          </cell>
          <cell r="AC545">
            <v>0</v>
          </cell>
          <cell r="AD545">
            <v>0.62821860615400416</v>
          </cell>
          <cell r="AE545">
            <v>0</v>
          </cell>
          <cell r="AF545">
            <v>0</v>
          </cell>
          <cell r="AG545">
            <v>0.63033597220814963</v>
          </cell>
          <cell r="AH545">
            <v>0</v>
          </cell>
        </row>
        <row r="546">
          <cell r="D546">
            <v>4.4229835938415238</v>
          </cell>
          <cell r="E546">
            <v>4.3918725859779446</v>
          </cell>
          <cell r="F546">
            <v>0</v>
          </cell>
          <cell r="G546">
            <v>4.3415720507005009</v>
          </cell>
          <cell r="H546">
            <v>4.3024143424392847</v>
          </cell>
          <cell r="I546">
            <v>0</v>
          </cell>
          <cell r="J546">
            <v>4.2475059511711901</v>
          </cell>
          <cell r="K546">
            <v>4.238219909155859</v>
          </cell>
          <cell r="L546">
            <v>0</v>
          </cell>
          <cell r="M546">
            <v>4.2232747592606952</v>
          </cell>
          <cell r="N546">
            <v>4.2176777283503899</v>
          </cell>
          <cell r="O546">
            <v>4.2131903408241396</v>
          </cell>
          <cell r="P546">
            <v>4.206779078164999</v>
          </cell>
          <cell r="Q546">
            <v>0</v>
          </cell>
          <cell r="R546">
            <v>4.2012468118910178</v>
          </cell>
          <cell r="S546">
            <v>4.1987113372736395</v>
          </cell>
          <cell r="T546">
            <v>4.1987113372736395</v>
          </cell>
          <cell r="U546">
            <v>0</v>
          </cell>
          <cell r="V546">
            <v>4.2059672048308139</v>
          </cell>
          <cell r="W546">
            <v>4.2101060252960902</v>
          </cell>
          <cell r="X546">
            <v>4.2101060252960902</v>
          </cell>
          <cell r="Y546">
            <v>0</v>
          </cell>
          <cell r="Z546">
            <v>4.215705909826446</v>
          </cell>
          <cell r="AA546">
            <v>4.2147440720473384</v>
          </cell>
          <cell r="AB546">
            <v>4.2107537320971327</v>
          </cell>
          <cell r="AC546">
            <v>0</v>
          </cell>
          <cell r="AD546">
            <v>4.1930715933920366</v>
          </cell>
          <cell r="AE546">
            <v>0</v>
          </cell>
          <cell r="AF546">
            <v>0</v>
          </cell>
          <cell r="AG546">
            <v>4.1653294383394179</v>
          </cell>
          <cell r="AH546">
            <v>0</v>
          </cell>
        </row>
        <row r="547">
          <cell r="D547">
            <v>9.0496401633455221</v>
          </cell>
          <cell r="E547">
            <v>9.0945831466048261</v>
          </cell>
          <cell r="F547">
            <v>0</v>
          </cell>
          <cell r="G547">
            <v>9.1721849678263876</v>
          </cell>
          <cell r="H547">
            <v>9.2374181431669662</v>
          </cell>
          <cell r="I547">
            <v>0</v>
          </cell>
          <cell r="J547">
            <v>9.336770234434848</v>
          </cell>
          <cell r="K547">
            <v>9.3566379970056541</v>
          </cell>
          <cell r="L547">
            <v>0</v>
          </cell>
          <cell r="M547">
            <v>9.3971000309934585</v>
          </cell>
          <cell r="N547">
            <v>9.4161880885171065</v>
          </cell>
          <cell r="O547">
            <v>9.4343541867215404</v>
          </cell>
          <cell r="P547">
            <v>9.4660941322357157</v>
          </cell>
          <cell r="Q547">
            <v>0</v>
          </cell>
          <cell r="R547">
            <v>9.5069958699421182</v>
          </cell>
          <cell r="S547">
            <v>9.5305976722906802</v>
          </cell>
          <cell r="T547">
            <v>9.5305976722906802</v>
          </cell>
          <cell r="U547">
            <v>0</v>
          </cell>
          <cell r="V547">
            <v>9.5519761693649912</v>
          </cell>
          <cell r="W547">
            <v>9.5633674797793926</v>
          </cell>
          <cell r="X547">
            <v>9.5633674797793926</v>
          </cell>
          <cell r="Y547">
            <v>0</v>
          </cell>
          <cell r="Z547">
            <v>9.5985813316601423</v>
          </cell>
          <cell r="AA547">
            <v>9.6196210808990532</v>
          </cell>
          <cell r="AB547">
            <v>9.6404765024266474</v>
          </cell>
          <cell r="AC547">
            <v>0</v>
          </cell>
          <cell r="AD547">
            <v>9.6685590769542866</v>
          </cell>
          <cell r="AE547">
            <v>0</v>
          </cell>
          <cell r="AF547">
            <v>0</v>
          </cell>
          <cell r="AG547">
            <v>9.7106393874694472</v>
          </cell>
          <cell r="AH547">
            <v>0</v>
          </cell>
        </row>
        <row r="548">
          <cell r="D548">
            <v>12.827358106809438</v>
          </cell>
          <cell r="E548">
            <v>12.867652721248987</v>
          </cell>
          <cell r="F548">
            <v>0</v>
          </cell>
          <cell r="G548">
            <v>12.939047901362146</v>
          </cell>
          <cell r="H548">
            <v>13.000764546515532</v>
          </cell>
          <cell r="I548">
            <v>0</v>
          </cell>
          <cell r="J548">
            <v>13.097421406951065</v>
          </cell>
          <cell r="K548">
            <v>13.117580247548776</v>
          </cell>
          <cell r="L548">
            <v>0</v>
          </cell>
          <cell r="M548">
            <v>13.160510466591628</v>
          </cell>
          <cell r="N548">
            <v>13.181434121528964</v>
          </cell>
          <cell r="O548">
            <v>13.201738501355894</v>
          </cell>
          <cell r="P548">
            <v>13.237883228556168</v>
          </cell>
          <cell r="Q548">
            <v>0</v>
          </cell>
          <cell r="R548">
            <v>13.286539071922977</v>
          </cell>
          <cell r="S548">
            <v>13.31583197438856</v>
          </cell>
          <cell r="T548">
            <v>13.31583197438856</v>
          </cell>
          <cell r="U548">
            <v>0</v>
          </cell>
          <cell r="V548">
            <v>13.343491581239546</v>
          </cell>
          <cell r="W548">
            <v>13.35885681679267</v>
          </cell>
          <cell r="X548">
            <v>13.35885681679267</v>
          </cell>
          <cell r="Y548">
            <v>0</v>
          </cell>
          <cell r="Z548">
            <v>13.406922856879879</v>
          </cell>
          <cell r="AA548">
            <v>13.435249049998351</v>
          </cell>
          <cell r="AB548">
            <v>13.46306359308487</v>
          </cell>
          <cell r="AC548">
            <v>0</v>
          </cell>
          <cell r="AD548">
            <v>13.503906491038704</v>
          </cell>
          <cell r="AE548">
            <v>0</v>
          </cell>
          <cell r="AF548">
            <v>0</v>
          </cell>
          <cell r="AG548">
            <v>13.558438735532791</v>
          </cell>
          <cell r="AH548">
            <v>0</v>
          </cell>
        </row>
        <row r="549">
          <cell r="F549">
            <v>7.5</v>
          </cell>
          <cell r="I549">
            <v>8</v>
          </cell>
          <cell r="L549">
            <v>14</v>
          </cell>
          <cell r="N549">
            <v>7.5</v>
          </cell>
          <cell r="Q549">
            <v>15</v>
          </cell>
          <cell r="U549">
            <v>24</v>
          </cell>
          <cell r="Y549">
            <v>24</v>
          </cell>
          <cell r="AC549">
            <v>20</v>
          </cell>
        </row>
        <row r="550">
          <cell r="D550">
            <v>0</v>
          </cell>
          <cell r="E550">
            <v>0</v>
          </cell>
          <cell r="F550">
            <v>6560.0537627650947</v>
          </cell>
          <cell r="G550">
            <v>0</v>
          </cell>
          <cell r="H550">
            <v>0</v>
          </cell>
          <cell r="I550">
            <v>6560.0537627650947</v>
          </cell>
          <cell r="J550">
            <v>0</v>
          </cell>
          <cell r="K550">
            <v>0</v>
          </cell>
          <cell r="L550">
            <v>6563.6953725584117</v>
          </cell>
          <cell r="M550">
            <v>0</v>
          </cell>
          <cell r="N550">
            <v>6567.0327415982683</v>
          </cell>
          <cell r="O550">
            <v>0</v>
          </cell>
          <cell r="P550">
            <v>0</v>
          </cell>
          <cell r="Q550">
            <v>6567.2125980301398</v>
          </cell>
          <cell r="R550">
            <v>0</v>
          </cell>
          <cell r="S550">
            <v>0</v>
          </cell>
          <cell r="T550">
            <v>0</v>
          </cell>
          <cell r="U550">
            <v>6567.0340714145295</v>
          </cell>
          <cell r="V550">
            <v>0</v>
          </cell>
          <cell r="W550">
            <v>0</v>
          </cell>
          <cell r="X550">
            <v>0</v>
          </cell>
          <cell r="Y550">
            <v>6565.4844588445103</v>
          </cell>
          <cell r="Z550">
            <v>0</v>
          </cell>
          <cell r="AA550">
            <v>0</v>
          </cell>
          <cell r="AB550">
            <v>0</v>
          </cell>
          <cell r="AC550">
            <v>6564.2659865656778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D551">
            <v>0</v>
          </cell>
          <cell r="E551">
            <v>0</v>
          </cell>
          <cell r="F551">
            <v>1.6289199745413443</v>
          </cell>
          <cell r="G551">
            <v>0</v>
          </cell>
          <cell r="H551">
            <v>0</v>
          </cell>
          <cell r="I551">
            <v>1.6289199745413443</v>
          </cell>
          <cell r="J551">
            <v>0</v>
          </cell>
          <cell r="K551">
            <v>0</v>
          </cell>
          <cell r="L551">
            <v>1.6098740474235598</v>
          </cell>
          <cell r="M551">
            <v>0</v>
          </cell>
          <cell r="N551">
            <v>1.6078626104304341</v>
          </cell>
          <cell r="O551">
            <v>0</v>
          </cell>
          <cell r="P551">
            <v>0</v>
          </cell>
          <cell r="Q551">
            <v>1.6200815945669809</v>
          </cell>
          <cell r="R551">
            <v>0</v>
          </cell>
          <cell r="S551">
            <v>0</v>
          </cell>
          <cell r="T551">
            <v>0</v>
          </cell>
          <cell r="U551">
            <v>1.6337355296145784</v>
          </cell>
          <cell r="V551">
            <v>0</v>
          </cell>
          <cell r="W551">
            <v>0</v>
          </cell>
          <cell r="X551">
            <v>0</v>
          </cell>
          <cell r="Y551">
            <v>1.6455056642618335</v>
          </cell>
          <cell r="Z551">
            <v>0</v>
          </cell>
          <cell r="AA551">
            <v>0</v>
          </cell>
          <cell r="AB551">
            <v>0</v>
          </cell>
          <cell r="AC551">
            <v>1.6677508603169933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D552">
            <v>0</v>
          </cell>
          <cell r="E552">
            <v>0</v>
          </cell>
          <cell r="F552">
            <v>5.2848908657204126</v>
          </cell>
          <cell r="G552">
            <v>0</v>
          </cell>
          <cell r="H552">
            <v>0</v>
          </cell>
          <cell r="I552">
            <v>5.2848908657204126</v>
          </cell>
          <cell r="J552">
            <v>0</v>
          </cell>
          <cell r="K552">
            <v>0</v>
          </cell>
          <cell r="L552">
            <v>5.1358579446854264</v>
          </cell>
          <cell r="M552">
            <v>0</v>
          </cell>
          <cell r="N552">
            <v>4.9182723715940799</v>
          </cell>
          <cell r="O552">
            <v>0</v>
          </cell>
          <cell r="P552">
            <v>0</v>
          </cell>
          <cell r="Q552">
            <v>4.8464999550881673</v>
          </cell>
          <cell r="R552">
            <v>0</v>
          </cell>
          <cell r="S552">
            <v>0</v>
          </cell>
          <cell r="T552">
            <v>0</v>
          </cell>
          <cell r="U552">
            <v>4.7243607790585607</v>
          </cell>
          <cell r="V552">
            <v>0</v>
          </cell>
          <cell r="W552">
            <v>0</v>
          </cell>
          <cell r="X552">
            <v>0</v>
          </cell>
          <cell r="Y552">
            <v>4.6406751887101336</v>
          </cell>
          <cell r="Z552">
            <v>0</v>
          </cell>
          <cell r="AA552">
            <v>0</v>
          </cell>
          <cell r="AB552">
            <v>0</v>
          </cell>
          <cell r="AC552">
            <v>4.6054644114330046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D553">
            <v>0</v>
          </cell>
          <cell r="E553">
            <v>0</v>
          </cell>
          <cell r="F553">
            <v>9.0916769870612217</v>
          </cell>
          <cell r="G553">
            <v>0</v>
          </cell>
          <cell r="H553">
            <v>0</v>
          </cell>
          <cell r="I553">
            <v>9.0916769870612217</v>
          </cell>
          <cell r="J553">
            <v>0</v>
          </cell>
          <cell r="K553">
            <v>0</v>
          </cell>
          <cell r="L553">
            <v>9.2105342278304292</v>
          </cell>
          <cell r="M553">
            <v>0</v>
          </cell>
          <cell r="N553">
            <v>9.3957456446293754</v>
          </cell>
          <cell r="O553">
            <v>0</v>
          </cell>
          <cell r="P553">
            <v>0</v>
          </cell>
          <cell r="Q553">
            <v>9.4613446035201445</v>
          </cell>
          <cell r="R553">
            <v>0</v>
          </cell>
          <cell r="S553">
            <v>0</v>
          </cell>
          <cell r="T553">
            <v>0</v>
          </cell>
          <cell r="U553">
            <v>9.5740047726980855</v>
          </cell>
          <cell r="V553">
            <v>0</v>
          </cell>
          <cell r="W553">
            <v>0</v>
          </cell>
          <cell r="X553">
            <v>0</v>
          </cell>
          <cell r="Y553">
            <v>9.6626016373251513</v>
          </cell>
          <cell r="Z553">
            <v>0</v>
          </cell>
          <cell r="AA553">
            <v>0</v>
          </cell>
          <cell r="AB553">
            <v>0</v>
          </cell>
          <cell r="AC553">
            <v>9.6980368897465699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D554">
            <v>0</v>
          </cell>
          <cell r="E554">
            <v>0</v>
          </cell>
          <cell r="F554">
            <v>13.412066652580844</v>
          </cell>
          <cell r="G554">
            <v>0</v>
          </cell>
          <cell r="H554">
            <v>0</v>
          </cell>
          <cell r="I554">
            <v>13.412066652580844</v>
          </cell>
          <cell r="J554">
            <v>0</v>
          </cell>
          <cell r="K554">
            <v>0</v>
          </cell>
          <cell r="L554">
            <v>13.41500852472767</v>
          </cell>
          <cell r="M554">
            <v>0</v>
          </cell>
          <cell r="N554">
            <v>13.427453730608027</v>
          </cell>
          <cell r="O554">
            <v>0</v>
          </cell>
          <cell r="P554">
            <v>0</v>
          </cell>
          <cell r="Q554">
            <v>13.435520643431566</v>
          </cell>
          <cell r="R554">
            <v>0</v>
          </cell>
          <cell r="S554">
            <v>0</v>
          </cell>
          <cell r="T554">
            <v>0</v>
          </cell>
          <cell r="U554">
            <v>13.473321420496205</v>
          </cell>
          <cell r="V554">
            <v>0</v>
          </cell>
          <cell r="W554">
            <v>0</v>
          </cell>
          <cell r="X554">
            <v>0</v>
          </cell>
          <cell r="Y554">
            <v>13.508885425574368</v>
          </cell>
          <cell r="Z554">
            <v>0</v>
          </cell>
          <cell r="AA554">
            <v>0</v>
          </cell>
          <cell r="AB554">
            <v>0</v>
          </cell>
          <cell r="AC554">
            <v>13.523156050751558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O555">
            <v>20</v>
          </cell>
          <cell r="Q555">
            <v>15</v>
          </cell>
          <cell r="W555">
            <v>15</v>
          </cell>
          <cell r="AE555">
            <v>15</v>
          </cell>
          <cell r="AF555">
            <v>25</v>
          </cell>
        </row>
        <row r="556"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6147.482497876329</v>
          </cell>
          <cell r="P556">
            <v>0</v>
          </cell>
          <cell r="Q556">
            <v>6147.482497876329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6132.3330574609045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6115.477464731086</v>
          </cell>
          <cell r="AF556">
            <v>6115.4774647310851</v>
          </cell>
          <cell r="AG556">
            <v>0</v>
          </cell>
          <cell r="AH556">
            <v>0</v>
          </cell>
        </row>
        <row r="557"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0.26002925938398125</v>
          </cell>
          <cell r="P557">
            <v>0</v>
          </cell>
          <cell r="Q557">
            <v>0.26002925938398125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0.26508693572081488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0.27062132105157255</v>
          </cell>
          <cell r="AF557">
            <v>0.27062132105157255</v>
          </cell>
          <cell r="AG557">
            <v>0</v>
          </cell>
          <cell r="AH557">
            <v>0</v>
          </cell>
        </row>
        <row r="558"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5.6437613842363001</v>
          </cell>
          <cell r="P558">
            <v>0</v>
          </cell>
          <cell r="Q558">
            <v>5.6437613842363001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5.584446486348047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5.5039850925815186</v>
          </cell>
          <cell r="AF558">
            <v>5.5039850925815186</v>
          </cell>
          <cell r="AG558">
            <v>0</v>
          </cell>
          <cell r="AH558">
            <v>0</v>
          </cell>
        </row>
        <row r="559"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12.533681876392327</v>
          </cell>
          <cell r="P559">
            <v>0</v>
          </cell>
          <cell r="Q559">
            <v>12.533681876392327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12.712014875589155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12.920684674865923</v>
          </cell>
          <cell r="AF559">
            <v>12.920684674865923</v>
          </cell>
          <cell r="AG559">
            <v>0</v>
          </cell>
          <cell r="AH559">
            <v>0</v>
          </cell>
        </row>
        <row r="560"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16.912652076885692</v>
          </cell>
          <cell r="P560">
            <v>0</v>
          </cell>
          <cell r="Q560">
            <v>16.912652076885692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17.013453116313592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17.135923949886919</v>
          </cell>
          <cell r="AF560">
            <v>17.135923949886919</v>
          </cell>
          <cell r="AG560">
            <v>0</v>
          </cell>
          <cell r="AH560">
            <v>0</v>
          </cell>
        </row>
      </sheetData>
      <sheetData sheetId="14">
        <row r="5">
          <cell r="D5">
            <v>1</v>
          </cell>
          <cell r="E5">
            <v>2</v>
          </cell>
          <cell r="F5">
            <v>3</v>
          </cell>
          <cell r="G5">
            <v>4</v>
          </cell>
          <cell r="H5">
            <v>5</v>
          </cell>
          <cell r="I5">
            <v>6</v>
          </cell>
          <cell r="J5">
            <v>7</v>
          </cell>
          <cell r="K5">
            <v>8</v>
          </cell>
          <cell r="L5">
            <v>9</v>
          </cell>
          <cell r="M5">
            <v>10</v>
          </cell>
          <cell r="N5">
            <v>11</v>
          </cell>
          <cell r="O5">
            <v>12</v>
          </cell>
          <cell r="P5">
            <v>13</v>
          </cell>
          <cell r="Q5">
            <v>14</v>
          </cell>
          <cell r="R5">
            <v>15</v>
          </cell>
          <cell r="S5">
            <v>16</v>
          </cell>
          <cell r="T5">
            <v>17</v>
          </cell>
          <cell r="U5">
            <v>18</v>
          </cell>
          <cell r="V5">
            <v>19</v>
          </cell>
          <cell r="W5">
            <v>20</v>
          </cell>
          <cell r="X5">
            <v>21</v>
          </cell>
          <cell r="Y5">
            <v>22</v>
          </cell>
          <cell r="Z5">
            <v>23</v>
          </cell>
          <cell r="AA5">
            <v>24</v>
          </cell>
          <cell r="AB5">
            <v>25</v>
          </cell>
          <cell r="AC5">
            <v>26</v>
          </cell>
          <cell r="AD5">
            <v>27</v>
          </cell>
          <cell r="AE5">
            <v>28</v>
          </cell>
          <cell r="AF5">
            <v>29</v>
          </cell>
          <cell r="AG5">
            <v>30</v>
          </cell>
          <cell r="AH5">
            <v>31</v>
          </cell>
          <cell r="AI5" t="str">
            <v>Week1</v>
          </cell>
          <cell r="AJ5" t="str">
            <v>Week2</v>
          </cell>
          <cell r="AK5" t="str">
            <v>Week3</v>
          </cell>
          <cell r="AL5" t="str">
            <v>Week4</v>
          </cell>
          <cell r="AM5">
            <v>46266</v>
          </cell>
        </row>
        <row r="6">
          <cell r="D6">
            <v>27.9283</v>
          </cell>
          <cell r="E6">
            <v>25.556699999999999</v>
          </cell>
          <cell r="F6">
            <v>25.148000000000003</v>
          </cell>
          <cell r="G6">
            <v>25.6431</v>
          </cell>
          <cell r="H6">
            <v>20.851960000000002</v>
          </cell>
          <cell r="I6">
            <v>26.806319999999999</v>
          </cell>
          <cell r="J6">
            <v>22.16084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174.09522000000004</v>
          </cell>
          <cell r="AJ6">
            <v>0</v>
          </cell>
          <cell r="AK6">
            <v>0</v>
          </cell>
          <cell r="AL6">
            <v>0</v>
          </cell>
          <cell r="AM6">
            <v>174.09522000000004</v>
          </cell>
        </row>
        <row r="7">
          <cell r="D7">
            <v>6487.6739425500955</v>
          </cell>
          <cell r="E7">
            <v>6504.4569977118608</v>
          </cell>
          <cell r="F7">
            <v>6484.7851986161222</v>
          </cell>
          <cell r="G7">
            <v>6507.2985231279281</v>
          </cell>
          <cell r="H7">
            <v>6530.2483536154259</v>
          </cell>
          <cell r="I7">
            <v>6525.5886197850459</v>
          </cell>
          <cell r="J7">
            <v>6407.717736304603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6493.3703921666765</v>
          </cell>
          <cell r="AJ7">
            <v>0</v>
          </cell>
          <cell r="AK7">
            <v>0</v>
          </cell>
          <cell r="AL7">
            <v>0</v>
          </cell>
          <cell r="AM7">
            <v>6493.3703921666765</v>
          </cell>
        </row>
        <row r="8">
          <cell r="D8">
            <v>0.92311707919280372</v>
          </cell>
          <cell r="E8">
            <v>1.0220929580507252</v>
          </cell>
          <cell r="F8">
            <v>0.98879046888155586</v>
          </cell>
          <cell r="G8">
            <v>0.94658920344163799</v>
          </cell>
          <cell r="H8">
            <v>0.91911989791197013</v>
          </cell>
          <cell r="I8">
            <v>0.84960729059205931</v>
          </cell>
          <cell r="J8">
            <v>1.0570741112781348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0.9558444203041766</v>
          </cell>
          <cell r="AJ8">
            <v>0</v>
          </cell>
          <cell r="AK8">
            <v>0</v>
          </cell>
          <cell r="AL8">
            <v>0</v>
          </cell>
          <cell r="AM8">
            <v>0.9558444203041766</v>
          </cell>
        </row>
        <row r="9">
          <cell r="D9">
            <v>4.6751646283189281</v>
          </cell>
          <cell r="E9">
            <v>4.6475588235553111</v>
          </cell>
          <cell r="F9">
            <v>4.1717246280153013</v>
          </cell>
          <cell r="G9">
            <v>4.1986102852697549</v>
          </cell>
          <cell r="H9">
            <v>5.3558073044817407</v>
          </cell>
          <cell r="I9">
            <v>4.2377463125629129</v>
          </cell>
          <cell r="J9">
            <v>4.9590995262240201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4.5785108619606785</v>
          </cell>
          <cell r="AJ9">
            <v>0</v>
          </cell>
          <cell r="AK9">
            <v>0</v>
          </cell>
          <cell r="AL9">
            <v>0</v>
          </cell>
          <cell r="AM9">
            <v>4.5785108619606785</v>
          </cell>
        </row>
        <row r="10">
          <cell r="D10">
            <v>10.526951236948488</v>
          </cell>
          <cell r="E10">
            <v>10.413329994650855</v>
          </cell>
          <cell r="F10">
            <v>10.766060840967857</v>
          </cell>
          <cell r="G10">
            <v>10.596625689519671</v>
          </cell>
          <cell r="H10">
            <v>10.368299175442104</v>
          </cell>
          <cell r="I10">
            <v>10.492487299215876</v>
          </cell>
          <cell r="J10">
            <v>10.795930275531539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10.565003728723982</v>
          </cell>
          <cell r="AJ10">
            <v>0</v>
          </cell>
          <cell r="AK10">
            <v>0</v>
          </cell>
          <cell r="AL10">
            <v>0</v>
          </cell>
          <cell r="AM10">
            <v>10.565003728723982</v>
          </cell>
        </row>
        <row r="11">
          <cell r="D11">
            <v>14.559105778673819</v>
          </cell>
          <cell r="E11">
            <v>14.413443349856214</v>
          </cell>
          <cell r="F11">
            <v>14.792107691445466</v>
          </cell>
          <cell r="G11">
            <v>14.577556375941043</v>
          </cell>
          <cell r="H11">
            <v>14.299526856796708</v>
          </cell>
          <cell r="I11">
            <v>14.26695552669765</v>
          </cell>
          <cell r="J11">
            <v>14.541904604743168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14.495833603348924</v>
          </cell>
          <cell r="AJ11">
            <v>0</v>
          </cell>
          <cell r="AK11">
            <v>0</v>
          </cell>
          <cell r="AL11">
            <v>0</v>
          </cell>
          <cell r="AM11">
            <v>14.495833603348924</v>
          </cell>
        </row>
        <row r="12">
          <cell r="D12">
            <v>27.9283</v>
          </cell>
          <cell r="E12">
            <v>25.556699999999999</v>
          </cell>
          <cell r="F12">
            <v>25.148000000000003</v>
          </cell>
          <cell r="G12">
            <v>25.6431</v>
          </cell>
          <cell r="H12">
            <v>20.851960000000002</v>
          </cell>
          <cell r="I12">
            <v>26.806319999999999</v>
          </cell>
          <cell r="J12">
            <v>22.16084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174.09522000000004</v>
          </cell>
          <cell r="AJ12">
            <v>0</v>
          </cell>
          <cell r="AK12">
            <v>0</v>
          </cell>
          <cell r="AL12">
            <v>0</v>
          </cell>
          <cell r="AM12">
            <v>174.09522000000004</v>
          </cell>
        </row>
        <row r="13">
          <cell r="D13">
            <v>6487.6739425500955</v>
          </cell>
          <cell r="E13">
            <v>6504.4569977118608</v>
          </cell>
          <cell r="F13">
            <v>6484.7851986161222</v>
          </cell>
          <cell r="G13">
            <v>6507.2985231279281</v>
          </cell>
          <cell r="H13">
            <v>6530.2483536154259</v>
          </cell>
          <cell r="I13">
            <v>6525.5886197850459</v>
          </cell>
          <cell r="J13">
            <v>6407.717736304603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6493.3703921666765</v>
          </cell>
          <cell r="AJ13">
            <v>0</v>
          </cell>
          <cell r="AK13">
            <v>0</v>
          </cell>
          <cell r="AL13">
            <v>0</v>
          </cell>
          <cell r="AM13">
            <v>6493.3703921666765</v>
          </cell>
        </row>
        <row r="14">
          <cell r="D14">
            <v>0.92311707919280372</v>
          </cell>
          <cell r="E14">
            <v>1.0220929580507252</v>
          </cell>
          <cell r="F14">
            <v>0.98879046888155586</v>
          </cell>
          <cell r="G14">
            <v>0.94658920344163799</v>
          </cell>
          <cell r="H14">
            <v>0.91911989791197013</v>
          </cell>
          <cell r="I14">
            <v>0.84960729059205931</v>
          </cell>
          <cell r="J14">
            <v>1.0570741112781348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0.9558444203041766</v>
          </cell>
          <cell r="AJ14">
            <v>0</v>
          </cell>
          <cell r="AK14">
            <v>0</v>
          </cell>
          <cell r="AL14">
            <v>0</v>
          </cell>
          <cell r="AM14">
            <v>0.9558444203041766</v>
          </cell>
        </row>
        <row r="15">
          <cell r="D15">
            <v>4.6751646283189281</v>
          </cell>
          <cell r="E15">
            <v>4.6475588235553111</v>
          </cell>
          <cell r="F15">
            <v>4.1717246280153013</v>
          </cell>
          <cell r="G15">
            <v>4.1986102852697549</v>
          </cell>
          <cell r="H15">
            <v>5.3558073044817407</v>
          </cell>
          <cell r="I15">
            <v>4.2377463125629129</v>
          </cell>
          <cell r="J15">
            <v>4.9590995262240201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4.5785108619606785</v>
          </cell>
          <cell r="AJ15">
            <v>0</v>
          </cell>
          <cell r="AK15">
            <v>0</v>
          </cell>
          <cell r="AL15">
            <v>0</v>
          </cell>
          <cell r="AM15">
            <v>4.5785108619606785</v>
          </cell>
        </row>
        <row r="16">
          <cell r="D16">
            <v>10.526951236948488</v>
          </cell>
          <cell r="E16">
            <v>10.413329994650855</v>
          </cell>
          <cell r="F16">
            <v>10.766060840967857</v>
          </cell>
          <cell r="G16">
            <v>10.596625689519671</v>
          </cell>
          <cell r="H16">
            <v>10.368299175442104</v>
          </cell>
          <cell r="I16">
            <v>10.492487299215876</v>
          </cell>
          <cell r="J16">
            <v>10.795930275531539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10.565003728723982</v>
          </cell>
          <cell r="AJ16">
            <v>0</v>
          </cell>
          <cell r="AK16">
            <v>0</v>
          </cell>
          <cell r="AL16">
            <v>0</v>
          </cell>
          <cell r="AM16">
            <v>10.565003728723982</v>
          </cell>
        </row>
        <row r="17">
          <cell r="D17">
            <v>14.559105778673819</v>
          </cell>
          <cell r="E17">
            <v>14.413443349856214</v>
          </cell>
          <cell r="F17">
            <v>14.792107691445466</v>
          </cell>
          <cell r="G17">
            <v>14.577556375941043</v>
          </cell>
          <cell r="H17">
            <v>14.299526856796708</v>
          </cell>
          <cell r="I17">
            <v>14.26695552669765</v>
          </cell>
          <cell r="J17">
            <v>14.541904604743168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14.495833603348924</v>
          </cell>
          <cell r="AJ17">
            <v>0</v>
          </cell>
          <cell r="AK17">
            <v>0</v>
          </cell>
          <cell r="AL17">
            <v>0</v>
          </cell>
          <cell r="AM17">
            <v>14.495833603348924</v>
          </cell>
        </row>
        <row r="18">
          <cell r="D18">
            <v>22.364940000000001</v>
          </cell>
          <cell r="E18">
            <v>18.526319999999998</v>
          </cell>
          <cell r="F18">
            <v>17.667400000000001</v>
          </cell>
          <cell r="G18">
            <v>20.092140000000001</v>
          </cell>
          <cell r="H18">
            <v>15.411300000000002</v>
          </cell>
          <cell r="I18">
            <v>21.110880000000002</v>
          </cell>
          <cell r="J18">
            <v>14.729839999999999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129.90281999999999</v>
          </cell>
          <cell r="AJ18">
            <v>0</v>
          </cell>
          <cell r="AK18">
            <v>0</v>
          </cell>
          <cell r="AL18">
            <v>0</v>
          </cell>
          <cell r="AM18">
            <v>129.90281999999999</v>
          </cell>
          <cell r="BJ18">
            <v>4432.2238180000004</v>
          </cell>
        </row>
        <row r="19">
          <cell r="D19">
            <v>6483.2499280626671</v>
          </cell>
          <cell r="E19">
            <v>6509.7581857310333</v>
          </cell>
          <cell r="F19">
            <v>6534.1668474327471</v>
          </cell>
          <cell r="G19">
            <v>6539.9128703743309</v>
          </cell>
          <cell r="H19">
            <v>6537.5226809687301</v>
          </cell>
          <cell r="I19">
            <v>6501.3536809827365</v>
          </cell>
          <cell r="J19">
            <v>6385.784729685005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6501.0486399756091</v>
          </cell>
          <cell r="AJ19">
            <v>0</v>
          </cell>
          <cell r="AK19">
            <v>0</v>
          </cell>
          <cell r="AL19">
            <v>0</v>
          </cell>
          <cell r="AM19">
            <v>6501.0486399756091</v>
          </cell>
        </row>
        <row r="20">
          <cell r="D20">
            <v>0.67074627753317806</v>
          </cell>
          <cell r="E20">
            <v>0.6153134906091019</v>
          </cell>
          <cell r="F20">
            <v>0.51405864814026325</v>
          </cell>
          <cell r="G20">
            <v>0.58526705007808533</v>
          </cell>
          <cell r="H20">
            <v>0.46898593406584671</v>
          </cell>
          <cell r="I20">
            <v>0.57172901244119845</v>
          </cell>
          <cell r="J20">
            <v>0.50384841831523119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0.5693566485560001</v>
          </cell>
          <cell r="AJ20">
            <v>0</v>
          </cell>
          <cell r="AK20">
            <v>0</v>
          </cell>
          <cell r="AL20">
            <v>0</v>
          </cell>
          <cell r="AM20">
            <v>0.5693566485560001</v>
          </cell>
        </row>
        <row r="21">
          <cell r="D21">
            <v>4.6469337981672485</v>
          </cell>
          <cell r="E21">
            <v>4.6729673962513321</v>
          </cell>
          <cell r="F21">
            <v>3.4887921737130658</v>
          </cell>
          <cell r="G21">
            <v>3.8844533543791755</v>
          </cell>
          <cell r="H21">
            <v>5.8143648868714211</v>
          </cell>
          <cell r="I21">
            <v>4.4381590756484357</v>
          </cell>
          <cell r="J21">
            <v>4.859806372281426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4.503910599667261</v>
          </cell>
          <cell r="AJ21">
            <v>0</v>
          </cell>
          <cell r="AK21">
            <v>0</v>
          </cell>
          <cell r="AL21">
            <v>0</v>
          </cell>
          <cell r="AM21">
            <v>4.503910599667261</v>
          </cell>
        </row>
        <row r="22">
          <cell r="D22">
            <v>10.646129472702663</v>
          </cell>
          <cell r="E22">
            <v>10.434768462487508</v>
          </cell>
          <cell r="F22">
            <v>10.891215277118373</v>
          </cell>
          <cell r="G22">
            <v>10.630366963699972</v>
          </cell>
          <cell r="H22">
            <v>10.307862331229078</v>
          </cell>
          <cell r="I22">
            <v>10.565518550866873</v>
          </cell>
          <cell r="J22">
            <v>11.156219055107679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10.651489007869548</v>
          </cell>
          <cell r="AJ22">
            <v>0</v>
          </cell>
          <cell r="AK22">
            <v>0</v>
          </cell>
          <cell r="AL22">
            <v>0</v>
          </cell>
          <cell r="AM22">
            <v>10.651489007869548</v>
          </cell>
        </row>
        <row r="23">
          <cell r="D23">
            <v>14.751127958524572</v>
          </cell>
          <cell r="E23">
            <v>14.497579324887557</v>
          </cell>
          <cell r="F23">
            <v>15.082414391989124</v>
          </cell>
          <cell r="G23">
            <v>14.782614259152663</v>
          </cell>
          <cell r="H23">
            <v>14.377102128816047</v>
          </cell>
          <cell r="I23">
            <v>14.441192634060641</v>
          </cell>
          <cell r="J23">
            <v>15.024721711704231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14.701175497677312</v>
          </cell>
          <cell r="AJ23">
            <v>0</v>
          </cell>
          <cell r="AK23">
            <v>0</v>
          </cell>
          <cell r="AL23">
            <v>0</v>
          </cell>
          <cell r="AM23">
            <v>14.701175497677312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</row>
        <row r="30">
          <cell r="D30">
            <v>3.8748800000000001</v>
          </cell>
          <cell r="E30">
            <v>4.2819400000000005</v>
          </cell>
          <cell r="F30">
            <v>3.5804800000000001</v>
          </cell>
          <cell r="G30">
            <v>4.9565000000000001</v>
          </cell>
          <cell r="H30">
            <v>4.3552400000000011</v>
          </cell>
          <cell r="I30">
            <v>3.9628200000000002</v>
          </cell>
          <cell r="J30">
            <v>2.6970399999999999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27.708900000000003</v>
          </cell>
          <cell r="AJ30">
            <v>0</v>
          </cell>
          <cell r="AK30">
            <v>0</v>
          </cell>
          <cell r="AL30">
            <v>0</v>
          </cell>
          <cell r="AM30">
            <v>27.708900000000003</v>
          </cell>
        </row>
        <row r="31">
          <cell r="D31">
            <v>6596.8254646098458</v>
          </cell>
          <cell r="E31">
            <v>6586.9765395339828</v>
          </cell>
          <cell r="F31">
            <v>6696.7374574035821</v>
          </cell>
          <cell r="G31">
            <v>6678.2785650156366</v>
          </cell>
          <cell r="H31">
            <v>6675.5164245442329</v>
          </cell>
          <cell r="I31">
            <v>6655.7771775198316</v>
          </cell>
          <cell r="J31">
            <v>6643.9905150936302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6648.1743723230866</v>
          </cell>
          <cell r="AJ31">
            <v>0</v>
          </cell>
          <cell r="AK31">
            <v>0</v>
          </cell>
          <cell r="AL31">
            <v>0</v>
          </cell>
          <cell r="AM31">
            <v>6648.1743723230866</v>
          </cell>
        </row>
        <row r="32">
          <cell r="D32">
            <v>0.53891761727235876</v>
          </cell>
          <cell r="E32">
            <v>0.51282501637733091</v>
          </cell>
          <cell r="F32">
            <v>0.54293178163541422</v>
          </cell>
          <cell r="G32">
            <v>0.58132341932723697</v>
          </cell>
          <cell r="H32">
            <v>0.52378417481925532</v>
          </cell>
          <cell r="I32">
            <v>0.46006647222703567</v>
          </cell>
          <cell r="J32">
            <v>0.40964497993351162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0.51675123388293709</v>
          </cell>
          <cell r="AJ32">
            <v>0</v>
          </cell>
          <cell r="AK32">
            <v>0</v>
          </cell>
          <cell r="AL32">
            <v>0</v>
          </cell>
          <cell r="AM32">
            <v>0.51675123388293709</v>
          </cell>
        </row>
        <row r="33">
          <cell r="D33">
            <v>3.8996978453297011</v>
          </cell>
          <cell r="E33">
            <v>3.8433576797332418</v>
          </cell>
          <cell r="F33">
            <v>3.1412948240824918</v>
          </cell>
          <cell r="G33">
            <v>3.328022112103195</v>
          </cell>
          <cell r="H33">
            <v>3.0563536896162877</v>
          </cell>
          <cell r="I33">
            <v>2.3806494729945005</v>
          </cell>
          <cell r="J33">
            <v>2.4635861731960258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3.2011448560113029</v>
          </cell>
          <cell r="AJ33">
            <v>0</v>
          </cell>
          <cell r="AK33">
            <v>0</v>
          </cell>
          <cell r="AL33">
            <v>0</v>
          </cell>
          <cell r="AM33">
            <v>3.2011448560113029</v>
          </cell>
        </row>
        <row r="34">
          <cell r="D34">
            <v>9.8075128202539155</v>
          </cell>
          <cell r="E34">
            <v>9.7942999138861513</v>
          </cell>
          <cell r="F34">
            <v>9.6530452604768548</v>
          </cell>
          <cell r="G34">
            <v>9.6760172223279959</v>
          </cell>
          <cell r="H34">
            <v>9.8608113063242193</v>
          </cell>
          <cell r="I34">
            <v>10.243362771920328</v>
          </cell>
          <cell r="J34">
            <v>10.184044414875901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9.8693500120605915</v>
          </cell>
          <cell r="AJ34">
            <v>0</v>
          </cell>
          <cell r="AK34">
            <v>0</v>
          </cell>
          <cell r="AL34">
            <v>0</v>
          </cell>
          <cell r="AM34">
            <v>9.8693500120605915</v>
          </cell>
        </row>
        <row r="35">
          <cell r="D35">
            <v>13.4642222437302</v>
          </cell>
          <cell r="E35">
            <v>13.428950367814155</v>
          </cell>
          <cell r="F35">
            <v>13.490477510315346</v>
          </cell>
          <cell r="G35">
            <v>13.562579421327486</v>
          </cell>
          <cell r="H35">
            <v>13.669568001663947</v>
          </cell>
          <cell r="I35">
            <v>13.695587396254703</v>
          </cell>
          <cell r="J35">
            <v>13.544667167692992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13.552953064568952</v>
          </cell>
          <cell r="AJ35">
            <v>0</v>
          </cell>
          <cell r="AK35">
            <v>0</v>
          </cell>
          <cell r="AL35">
            <v>0</v>
          </cell>
          <cell r="AM35">
            <v>13.552953064568952</v>
          </cell>
        </row>
        <row r="36">
          <cell r="D36">
            <v>11.915500000000002</v>
          </cell>
          <cell r="E36">
            <v>9.0558999999999994</v>
          </cell>
          <cell r="F36">
            <v>7.4601399999999991</v>
          </cell>
          <cell r="G36">
            <v>9.3444199999999995</v>
          </cell>
          <cell r="H36">
            <v>6.5281599999999997</v>
          </cell>
          <cell r="I36">
            <v>12.192800000000002</v>
          </cell>
          <cell r="J36">
            <v>6.2734399999999999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62.770360000000004</v>
          </cell>
          <cell r="AJ36">
            <v>0</v>
          </cell>
          <cell r="AK36">
            <v>0</v>
          </cell>
          <cell r="AL36">
            <v>0</v>
          </cell>
          <cell r="AM36">
            <v>62.770360000000004</v>
          </cell>
        </row>
        <row r="37">
          <cell r="D37">
            <v>6648.3430569985012</v>
          </cell>
          <cell r="E37">
            <v>6709.2016943655308</v>
          </cell>
          <cell r="F37">
            <v>6745.4597805676913</v>
          </cell>
          <cell r="G37">
            <v>6692.6273951642388</v>
          </cell>
          <cell r="H37">
            <v>6779.9589382376016</v>
          </cell>
          <cell r="I37">
            <v>6681.6021536018525</v>
          </cell>
          <cell r="J37">
            <v>6658.0043852753315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6696.3718774663521</v>
          </cell>
          <cell r="AJ37">
            <v>0</v>
          </cell>
          <cell r="AK37">
            <v>0</v>
          </cell>
          <cell r="AL37">
            <v>0</v>
          </cell>
          <cell r="AM37">
            <v>6696.3718774663521</v>
          </cell>
        </row>
        <row r="38">
          <cell r="D38">
            <v>0.91969709188730753</v>
          </cell>
          <cell r="E38">
            <v>0.88024340900139086</v>
          </cell>
          <cell r="F38">
            <v>0.74375255217710212</v>
          </cell>
          <cell r="G38">
            <v>0.7985602066376718</v>
          </cell>
          <cell r="H38">
            <v>0.53577452546747062</v>
          </cell>
          <cell r="I38">
            <v>0.70770859806497921</v>
          </cell>
          <cell r="J38">
            <v>0.70456117500477722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0.77245407856591797</v>
          </cell>
          <cell r="AJ38">
            <v>0</v>
          </cell>
          <cell r="AK38">
            <v>0</v>
          </cell>
          <cell r="AL38">
            <v>0</v>
          </cell>
          <cell r="AM38">
            <v>0.77245407856591797</v>
          </cell>
        </row>
        <row r="39">
          <cell r="D39">
            <v>4.1461147993798964</v>
          </cell>
          <cell r="E39">
            <v>4.2824505222161378</v>
          </cell>
          <cell r="F39">
            <v>4.2900994658122249</v>
          </cell>
          <cell r="G39">
            <v>4.3268842135237096</v>
          </cell>
          <cell r="H39">
            <v>3.9921640128563829</v>
          </cell>
          <cell r="I39">
            <v>3.8502246960046658</v>
          </cell>
          <cell r="J39">
            <v>3.9152706711525274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4.1132496503511726</v>
          </cell>
          <cell r="AJ39">
            <v>0</v>
          </cell>
          <cell r="AK39">
            <v>0</v>
          </cell>
          <cell r="AL39">
            <v>0</v>
          </cell>
          <cell r="AM39">
            <v>4.1132496503511726</v>
          </cell>
        </row>
        <row r="40">
          <cell r="D40">
            <v>9.716415063059717</v>
          </cell>
          <cell r="E40">
            <v>9.2594002167084088</v>
          </cell>
          <cell r="F40">
            <v>9.06805774642344</v>
          </cell>
          <cell r="G40">
            <v>9.4600028288038249</v>
          </cell>
          <cell r="H40">
            <v>9.0173976552863753</v>
          </cell>
          <cell r="I40">
            <v>9.5537621787611631</v>
          </cell>
          <cell r="J40">
            <v>9.561880593607663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9.4155167569217006</v>
          </cell>
          <cell r="AJ40">
            <v>0</v>
          </cell>
          <cell r="AK40">
            <v>0</v>
          </cell>
          <cell r="AL40">
            <v>0</v>
          </cell>
          <cell r="AM40">
            <v>9.4155167569217006</v>
          </cell>
        </row>
        <row r="41">
          <cell r="D41">
            <v>13.877432121006754</v>
          </cell>
          <cell r="E41">
            <v>13.448059513256775</v>
          </cell>
          <cell r="F41">
            <v>13.248836860758754</v>
          </cell>
          <cell r="G41">
            <v>13.65024554784717</v>
          </cell>
          <cell r="H41">
            <v>13.126044087854796</v>
          </cell>
          <cell r="I41">
            <v>13.51436764276788</v>
          </cell>
          <cell r="J41">
            <v>13.491615361773025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13.519730763804199</v>
          </cell>
          <cell r="AJ41">
            <v>0</v>
          </cell>
          <cell r="AK41">
            <v>0</v>
          </cell>
          <cell r="AL41">
            <v>0</v>
          </cell>
          <cell r="AM41">
            <v>13.519730763804199</v>
          </cell>
        </row>
        <row r="42">
          <cell r="D42">
            <v>6.5745599999999991</v>
          </cell>
          <cell r="E42">
            <v>5.1884799999999993</v>
          </cell>
          <cell r="F42">
            <v>6.626780000000001</v>
          </cell>
          <cell r="G42">
            <v>5.7912199999999991</v>
          </cell>
          <cell r="H42">
            <v>4.5279000000000007</v>
          </cell>
          <cell r="I42">
            <v>4.95526</v>
          </cell>
          <cell r="J42">
            <v>5.75936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39.423560000000002</v>
          </cell>
          <cell r="AJ42">
            <v>0</v>
          </cell>
          <cell r="AK42">
            <v>0</v>
          </cell>
          <cell r="AL42">
            <v>0</v>
          </cell>
          <cell r="AM42">
            <v>39.423560000000002</v>
          </cell>
        </row>
        <row r="43">
          <cell r="D43">
            <v>6117.1024211738595</v>
          </cell>
          <cell r="E43">
            <v>6097.9256591093326</v>
          </cell>
          <cell r="F43">
            <v>6208.4648202361768</v>
          </cell>
          <cell r="G43">
            <v>6175.0781334403282</v>
          </cell>
          <cell r="H43">
            <v>6055.2552834948192</v>
          </cell>
          <cell r="I43">
            <v>5934.3428485546747</v>
          </cell>
          <cell r="J43">
            <v>5968.3520622280221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6086.6466392759603</v>
          </cell>
          <cell r="AJ43">
            <v>0</v>
          </cell>
          <cell r="AK43">
            <v>0</v>
          </cell>
          <cell r="AL43">
            <v>0</v>
          </cell>
          <cell r="AM43">
            <v>6086.6466392759603</v>
          </cell>
        </row>
        <row r="44">
          <cell r="D44">
            <v>0.29725311763119411</v>
          </cell>
          <cell r="E44">
            <v>0.23749005279750018</v>
          </cell>
          <cell r="F44">
            <v>0.23987897742868097</v>
          </cell>
          <cell r="G44">
            <v>0.24448320277096328</v>
          </cell>
          <cell r="H44">
            <v>0.31998394618994408</v>
          </cell>
          <cell r="I44">
            <v>0.32643949302503383</v>
          </cell>
          <cell r="J44">
            <v>0.32933441070441455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0.28295783976849026</v>
          </cell>
          <cell r="AJ44">
            <v>0</v>
          </cell>
          <cell r="AK44">
            <v>0</v>
          </cell>
          <cell r="AL44">
            <v>0</v>
          </cell>
          <cell r="AM44">
            <v>0.28295783976849026</v>
          </cell>
        </row>
        <row r="45">
          <cell r="D45">
            <v>5.9950024794146417</v>
          </cell>
          <cell r="E45">
            <v>6.0392289582353387</v>
          </cell>
          <cell r="F45">
            <v>2.7744697921528907</v>
          </cell>
          <cell r="G45">
            <v>3.6467990576219362</v>
          </cell>
          <cell r="H45">
            <v>11.094388638377302</v>
          </cell>
          <cell r="I45">
            <v>7.5302483923966221</v>
          </cell>
          <cell r="J45">
            <v>7.0107727599757803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6.0415732090536585</v>
          </cell>
          <cell r="AJ45">
            <v>0</v>
          </cell>
          <cell r="AK45">
            <v>0</v>
          </cell>
          <cell r="AL45">
            <v>0</v>
          </cell>
          <cell r="AM45">
            <v>6.0415732090536585</v>
          </cell>
        </row>
        <row r="46">
          <cell r="D46">
            <v>12.825370508200267</v>
          </cell>
          <cell r="E46">
            <v>13.014804464158333</v>
          </cell>
          <cell r="F46">
            <v>13.612635544914063</v>
          </cell>
          <cell r="G46">
            <v>13.335601529562856</v>
          </cell>
          <cell r="H46">
            <v>12.59841079400625</v>
          </cell>
          <cell r="I46">
            <v>13.312657643010464</v>
          </cell>
          <cell r="J46">
            <v>13.348125893645879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13.169136687657412</v>
          </cell>
          <cell r="AJ46">
            <v>0</v>
          </cell>
          <cell r="AK46">
            <v>0</v>
          </cell>
          <cell r="AL46">
            <v>0</v>
          </cell>
          <cell r="AM46">
            <v>13.169136687657412</v>
          </cell>
        </row>
        <row r="47">
          <cell r="D47">
            <v>17.093053192773858</v>
          </cell>
          <cell r="E47">
            <v>17.211312737871332</v>
          </cell>
          <cell r="F47">
            <v>18.00670692168352</v>
          </cell>
          <cell r="G47">
            <v>17.653931789306551</v>
          </cell>
          <cell r="H47">
            <v>16.861385790694516</v>
          </cell>
          <cell r="I47">
            <v>17.317992459360717</v>
          </cell>
          <cell r="J47">
            <v>17.387765002502604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17.389306448866783</v>
          </cell>
          <cell r="AJ47">
            <v>0</v>
          </cell>
          <cell r="AK47">
            <v>0</v>
          </cell>
          <cell r="AL47">
            <v>0</v>
          </cell>
          <cell r="AM47">
            <v>17.389306448866783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D60">
            <v>5.5633600000000012</v>
          </cell>
          <cell r="E60">
            <v>7.0303800000000001</v>
          </cell>
          <cell r="F60">
            <v>7.4806000000000008</v>
          </cell>
          <cell r="G60">
            <v>5.5509599999999999</v>
          </cell>
          <cell r="H60">
            <v>5.4406599999999994</v>
          </cell>
          <cell r="I60">
            <v>5.6954399999999996</v>
          </cell>
          <cell r="J60">
            <v>7.431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44.192399999999992</v>
          </cell>
          <cell r="AJ60">
            <v>0</v>
          </cell>
          <cell r="AK60">
            <v>0</v>
          </cell>
          <cell r="AL60">
            <v>0</v>
          </cell>
          <cell r="AM60">
            <v>44.192399999999992</v>
          </cell>
          <cell r="BJ60">
            <v>1100.612893</v>
          </cell>
        </row>
        <row r="61">
          <cell r="D61">
            <v>6505.4586659133993</v>
          </cell>
          <cell r="E61">
            <v>6490.4874106307407</v>
          </cell>
          <cell r="F61">
            <v>6368.1574759330724</v>
          </cell>
          <cell r="G61">
            <v>6389.2483064296748</v>
          </cell>
          <cell r="H61">
            <v>6509.6429783227277</v>
          </cell>
          <cell r="I61">
            <v>6615.4185336921182</v>
          </cell>
          <cell r="J61">
            <v>6451.1936720098438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6470.8003112695378</v>
          </cell>
          <cell r="AJ61">
            <v>0</v>
          </cell>
          <cell r="AK61">
            <v>0</v>
          </cell>
          <cell r="AL61">
            <v>0</v>
          </cell>
          <cell r="AM61">
            <v>6470.8003112695378</v>
          </cell>
        </row>
        <row r="62">
          <cell r="D62">
            <v>1.9376582623751661</v>
          </cell>
          <cell r="E62">
            <v>2.0940302620446904</v>
          </cell>
          <cell r="F62">
            <v>2.1099942452851486</v>
          </cell>
          <cell r="G62">
            <v>2.2544233961726201</v>
          </cell>
          <cell r="H62">
            <v>2.1941765191714802</v>
          </cell>
          <cell r="I62">
            <v>1.8795988249861435</v>
          </cell>
          <cell r="J62">
            <v>2.153686403194794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2.0919187553845195</v>
          </cell>
          <cell r="AJ62">
            <v>0</v>
          </cell>
          <cell r="AK62">
            <v>0</v>
          </cell>
          <cell r="AL62">
            <v>0</v>
          </cell>
          <cell r="AM62">
            <v>2.0919187553845195</v>
          </cell>
        </row>
        <row r="63">
          <cell r="D63">
            <v>4.7886537468538561</v>
          </cell>
          <cell r="E63">
            <v>4.5806026492788519</v>
          </cell>
          <cell r="F63">
            <v>5.7846488377229903</v>
          </cell>
          <cell r="G63">
            <v>5.3357262143025412</v>
          </cell>
          <cell r="H63">
            <v>4.0568898074350432</v>
          </cell>
          <cell r="I63">
            <v>3.4948906610299471</v>
          </cell>
          <cell r="J63">
            <v>5.1559199098426154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4.7977970841313393</v>
          </cell>
          <cell r="AJ63">
            <v>0</v>
          </cell>
          <cell r="AK63">
            <v>0</v>
          </cell>
          <cell r="AL63">
            <v>0</v>
          </cell>
          <cell r="AM63">
            <v>4.7977970841313393</v>
          </cell>
        </row>
        <row r="64">
          <cell r="D64">
            <v>10.047849742177707</v>
          </cell>
          <cell r="E64">
            <v>10.356835763122609</v>
          </cell>
          <cell r="F64">
            <v>10.4704757962862</v>
          </cell>
          <cell r="G64">
            <v>10.474496471400823</v>
          </cell>
          <cell r="H64">
            <v>10.539493541055874</v>
          </cell>
          <cell r="I64">
            <v>10.221787583328425</v>
          </cell>
          <cell r="J64">
            <v>10.081760436081696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10.310781698476788</v>
          </cell>
          <cell r="AJ64">
            <v>0</v>
          </cell>
          <cell r="AK64">
            <v>0</v>
          </cell>
          <cell r="AL64">
            <v>0</v>
          </cell>
          <cell r="AM64">
            <v>10.310781698476788</v>
          </cell>
        </row>
        <row r="65">
          <cell r="D65">
            <v>13.787168580464225</v>
          </cell>
          <cell r="E65">
            <v>14.191729872498996</v>
          </cell>
          <cell r="F65">
            <v>14.106472234238154</v>
          </cell>
          <cell r="G65">
            <v>13.835333103283421</v>
          </cell>
          <cell r="H65">
            <v>14.079785908148642</v>
          </cell>
          <cell r="I65">
            <v>13.621123305642344</v>
          </cell>
          <cell r="J65">
            <v>13.584857271302271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13.89223454248328</v>
          </cell>
          <cell r="AJ65">
            <v>0</v>
          </cell>
          <cell r="AK65">
            <v>0</v>
          </cell>
          <cell r="AL65">
            <v>0</v>
          </cell>
          <cell r="AM65">
            <v>13.89223454248328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2">
          <cell r="D72">
            <v>2.1711400000000003</v>
          </cell>
          <cell r="E72">
            <v>3.8765200000000002</v>
          </cell>
          <cell r="F72">
            <v>4.8110400000000002</v>
          </cell>
          <cell r="G72">
            <v>3.6421199999999998</v>
          </cell>
          <cell r="H72">
            <v>1.64046</v>
          </cell>
          <cell r="I72">
            <v>5.0327999999999999</v>
          </cell>
          <cell r="J72">
            <v>5.0249800000000002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26.199060000000003</v>
          </cell>
          <cell r="AJ72">
            <v>0</v>
          </cell>
          <cell r="AK72">
            <v>0</v>
          </cell>
          <cell r="AL72">
            <v>0</v>
          </cell>
          <cell r="AM72">
            <v>26.199060000000003</v>
          </cell>
        </row>
        <row r="73">
          <cell r="D73">
            <v>6347.7617489737331</v>
          </cell>
          <cell r="E73">
            <v>6490.9095478724385</v>
          </cell>
          <cell r="F73">
            <v>6489.1774861359854</v>
          </cell>
          <cell r="G73">
            <v>6603.4419464480397</v>
          </cell>
          <cell r="H73">
            <v>6556.0076619045094</v>
          </cell>
          <cell r="I73">
            <v>6640.9282684577647</v>
          </cell>
          <cell r="J73">
            <v>6527.681518712252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6534.3200006230409</v>
          </cell>
          <cell r="AJ73">
            <v>0</v>
          </cell>
          <cell r="AK73">
            <v>0</v>
          </cell>
          <cell r="AL73">
            <v>0</v>
          </cell>
          <cell r="AM73">
            <v>6534.3200006230409</v>
          </cell>
        </row>
        <row r="74">
          <cell r="D74">
            <v>1.7585192665646416</v>
          </cell>
          <cell r="E74">
            <v>1.8642627522249575</v>
          </cell>
          <cell r="F74">
            <v>1.8979043122383485</v>
          </cell>
          <cell r="G74">
            <v>1.9473905974775458</v>
          </cell>
          <cell r="H74">
            <v>1.88387046827031</v>
          </cell>
          <cell r="I74">
            <v>1.8228948600826977</v>
          </cell>
          <cell r="J74">
            <v>2.0244428745976952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1.8972372110334947</v>
          </cell>
          <cell r="AJ74">
            <v>0</v>
          </cell>
          <cell r="AK74">
            <v>0</v>
          </cell>
          <cell r="AL74">
            <v>0</v>
          </cell>
          <cell r="AM74">
            <v>1.8972372110334947</v>
          </cell>
        </row>
        <row r="75">
          <cell r="D75">
            <v>6.6971894313797762</v>
          </cell>
          <cell r="E75">
            <v>4.7590929590220057</v>
          </cell>
          <cell r="F75">
            <v>4.7765113355533666</v>
          </cell>
          <cell r="G75">
            <v>3.2355023318292973</v>
          </cell>
          <cell r="H75">
            <v>3.8924059317304032</v>
          </cell>
          <cell r="I75">
            <v>3.3790741692546074</v>
          </cell>
          <cell r="J75">
            <v>4.6098501577215707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4.3631059781341559</v>
          </cell>
          <cell r="AJ75">
            <v>0</v>
          </cell>
          <cell r="AK75">
            <v>0</v>
          </cell>
          <cell r="AL75">
            <v>0</v>
          </cell>
          <cell r="AM75">
            <v>4.3631059781341559</v>
          </cell>
        </row>
        <row r="76">
          <cell r="D76">
            <v>10.098460057679857</v>
          </cell>
          <cell r="E76">
            <v>10.163260614827049</v>
          </cell>
          <cell r="F76">
            <v>10.139807848213088</v>
          </cell>
          <cell r="G76">
            <v>10.214202104538451</v>
          </cell>
          <cell r="H76">
            <v>10.249184558559325</v>
          </cell>
          <cell r="I76">
            <v>10.096065434007244</v>
          </cell>
          <cell r="J76">
            <v>9.7782052152802166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10.079283973820196</v>
          </cell>
          <cell r="AJ76">
            <v>0</v>
          </cell>
          <cell r="AK76">
            <v>0</v>
          </cell>
          <cell r="AL76">
            <v>0</v>
          </cell>
          <cell r="AM76">
            <v>10.079283973820196</v>
          </cell>
        </row>
        <row r="77">
          <cell r="D77">
            <v>14.212552263952565</v>
          </cell>
          <cell r="E77">
            <v>13.78247714411725</v>
          </cell>
          <cell r="F77">
            <v>13.715093785298812</v>
          </cell>
          <cell r="G77">
            <v>13.444383333558518</v>
          </cell>
          <cell r="H77">
            <v>13.681117046553803</v>
          </cell>
          <cell r="I77">
            <v>13.482772046307772</v>
          </cell>
          <cell r="J77">
            <v>13.16851098660687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13.577064826564111</v>
          </cell>
          <cell r="AJ77">
            <v>0</v>
          </cell>
          <cell r="AK77">
            <v>0</v>
          </cell>
          <cell r="AL77">
            <v>0</v>
          </cell>
          <cell r="AM77">
            <v>13.577064826564111</v>
          </cell>
        </row>
        <row r="78">
          <cell r="D78">
            <v>3.3922200000000005</v>
          </cell>
          <cell r="E78">
            <v>3.1538599999999999</v>
          </cell>
          <cell r="F78">
            <v>2.6695600000000002</v>
          </cell>
          <cell r="G78">
            <v>1.9088400000000001</v>
          </cell>
          <cell r="H78">
            <v>3.8001999999999998</v>
          </cell>
          <cell r="I78">
            <v>0.66264000000000001</v>
          </cell>
          <cell r="J78">
            <v>2.4060199999999998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17.99334</v>
          </cell>
          <cell r="AJ78">
            <v>0</v>
          </cell>
          <cell r="AK78">
            <v>0</v>
          </cell>
          <cell r="AL78">
            <v>0</v>
          </cell>
          <cell r="AM78">
            <v>17.99334</v>
          </cell>
        </row>
        <row r="79">
          <cell r="D79">
            <v>6606.3902341030771</v>
          </cell>
          <cell r="E79">
            <v>6489.9685469334981</v>
          </cell>
          <cell r="F79">
            <v>6150.0570736620539</v>
          </cell>
          <cell r="G79">
            <v>5980.560862650369</v>
          </cell>
          <cell r="H79">
            <v>6489.6283978194469</v>
          </cell>
          <cell r="I79">
            <v>6421.6702040884929</v>
          </cell>
          <cell r="J79">
            <v>6291.4485743287523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6378.312971367448</v>
          </cell>
          <cell r="AJ79">
            <v>0</v>
          </cell>
          <cell r="AK79">
            <v>0</v>
          </cell>
          <cell r="AL79">
            <v>0</v>
          </cell>
          <cell r="AM79">
            <v>6378.312971367448</v>
          </cell>
        </row>
        <row r="80">
          <cell r="D80">
            <v>2.0523135145003417</v>
          </cell>
          <cell r="E80">
            <v>2.3764455712741399</v>
          </cell>
          <cell r="F80">
            <v>2.4922194627312733</v>
          </cell>
          <cell r="G80">
            <v>2.8402505460559544</v>
          </cell>
          <cell r="H80">
            <v>2.3281285912364589</v>
          </cell>
          <cell r="I80">
            <v>2.3102696486099248</v>
          </cell>
          <cell r="J80">
            <v>2.4236119010417982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2.375383273997802</v>
          </cell>
          <cell r="AJ80">
            <v>0</v>
          </cell>
          <cell r="AK80">
            <v>0</v>
          </cell>
          <cell r="AL80">
            <v>0</v>
          </cell>
          <cell r="AM80">
            <v>2.375383273997802</v>
          </cell>
        </row>
        <row r="81">
          <cell r="D81">
            <v>3.567123844282206</v>
          </cell>
          <cell r="E81">
            <v>4.3612139460626249</v>
          </cell>
          <cell r="F81">
            <v>7.6014987487338486</v>
          </cell>
          <cell r="G81">
            <v>9.3430120040143301</v>
          </cell>
          <cell r="H81">
            <v>4.1278937595266258</v>
          </cell>
          <cell r="I81">
            <v>4.3745255152598856</v>
          </cell>
          <cell r="J81">
            <v>6.2963882280665739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5.4307256214393957</v>
          </cell>
          <cell r="AJ81">
            <v>0</v>
          </cell>
          <cell r="AK81">
            <v>0</v>
          </cell>
          <cell r="AL81">
            <v>0</v>
          </cell>
          <cell r="AM81">
            <v>5.4307256214393957</v>
          </cell>
        </row>
        <row r="82">
          <cell r="D82">
            <v>10.015457361848799</v>
          </cell>
          <cell r="E82">
            <v>10.594765770754746</v>
          </cell>
          <cell r="F82">
            <v>11.066400489830329</v>
          </cell>
          <cell r="G82">
            <v>10.971145388773039</v>
          </cell>
          <cell r="H82">
            <v>10.66481333302111</v>
          </cell>
          <cell r="I82">
            <v>11.176656642098845</v>
          </cell>
          <cell r="J82">
            <v>10.715736426897656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10.647852124431139</v>
          </cell>
          <cell r="AJ82">
            <v>0</v>
          </cell>
          <cell r="AK82">
            <v>0</v>
          </cell>
          <cell r="AL82">
            <v>0</v>
          </cell>
          <cell r="AM82">
            <v>10.647852124431139</v>
          </cell>
        </row>
        <row r="83">
          <cell r="D83">
            <v>13.514908075376443</v>
          </cell>
          <cell r="E83">
            <v>14.694756762286875</v>
          </cell>
          <cell r="F83">
            <v>14.811808459303386</v>
          </cell>
          <cell r="G83">
            <v>14.581276176202291</v>
          </cell>
          <cell r="H83">
            <v>14.251882197999668</v>
          </cell>
          <cell r="I83">
            <v>14.671911392656471</v>
          </cell>
          <cell r="J83">
            <v>14.454397737993613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14.351134907704466</v>
          </cell>
          <cell r="AJ83">
            <v>0</v>
          </cell>
          <cell r="AK83">
            <v>0</v>
          </cell>
          <cell r="AL83">
            <v>0</v>
          </cell>
          <cell r="AM83">
            <v>14.351134907704466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BJ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BJ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BJ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5">
          <cell r="B185" t="str">
            <v>ROM Stock Biangan</v>
          </cell>
          <cell r="C185">
            <v>481.64750998</v>
          </cell>
          <cell r="D185">
            <v>500.16282998000003</v>
          </cell>
          <cell r="E185">
            <v>502.93991998000001</v>
          </cell>
          <cell r="F185">
            <v>504.05679998000005</v>
          </cell>
          <cell r="G185">
            <v>506.23342997999998</v>
          </cell>
          <cell r="H185">
            <v>506.23009998000009</v>
          </cell>
          <cell r="I185">
            <v>514.39512998000009</v>
          </cell>
          <cell r="J185">
            <v>511.30773998000006</v>
          </cell>
          <cell r="K185">
            <v>511.30773998000006</v>
          </cell>
          <cell r="L185">
            <v>511.30773998000006</v>
          </cell>
          <cell r="M185">
            <v>511.30773998000006</v>
          </cell>
          <cell r="N185">
            <v>511.30773998000006</v>
          </cell>
          <cell r="O185">
            <v>511.30773998000006</v>
          </cell>
          <cell r="P185">
            <v>511.30773998000006</v>
          </cell>
          <cell r="Q185">
            <v>511.30773998000006</v>
          </cell>
          <cell r="R185">
            <v>511.30773998000006</v>
          </cell>
          <cell r="S185">
            <v>511.30773998000006</v>
          </cell>
          <cell r="T185">
            <v>511.30773998000006</v>
          </cell>
          <cell r="U185">
            <v>511.30773998000006</v>
          </cell>
          <cell r="V185">
            <v>511.30773998000006</v>
          </cell>
          <cell r="W185">
            <v>511.30773998000006</v>
          </cell>
          <cell r="X185">
            <v>511.30773998000006</v>
          </cell>
          <cell r="Y185">
            <v>511.30773998000006</v>
          </cell>
          <cell r="Z185">
            <v>511.30773998000006</v>
          </cell>
          <cell r="AA185">
            <v>511.30773998000006</v>
          </cell>
          <cell r="AB185">
            <v>511.30773998000006</v>
          </cell>
          <cell r="AC185">
            <v>511.30773998000006</v>
          </cell>
          <cell r="AD185">
            <v>511.30773998000006</v>
          </cell>
          <cell r="AE185">
            <v>511.30773998000006</v>
          </cell>
          <cell r="AF185">
            <v>511.30773998000006</v>
          </cell>
          <cell r="AG185">
            <v>511.30773998000006</v>
          </cell>
          <cell r="AH185">
            <v>511.30773998000006</v>
          </cell>
          <cell r="AI185">
            <v>511.30773998000006</v>
          </cell>
          <cell r="AJ185">
            <v>511.30773998000006</v>
          </cell>
          <cell r="AK185">
            <v>511.30773998000006</v>
          </cell>
          <cell r="AL185">
            <v>511.30773998000006</v>
          </cell>
          <cell r="AM185">
            <v>511.30773998000006</v>
          </cell>
          <cell r="AN185">
            <v>2.9385502297701152</v>
          </cell>
          <cell r="AS185">
            <v>181</v>
          </cell>
        </row>
        <row r="186">
          <cell r="B186" t="str">
            <v>ROM 1</v>
          </cell>
          <cell r="C186">
            <v>283.57475692000003</v>
          </cell>
          <cell r="D186">
            <v>305.93969692000002</v>
          </cell>
          <cell r="E186">
            <v>324.46601692000002</v>
          </cell>
          <cell r="F186">
            <v>329.36958692000007</v>
          </cell>
          <cell r="G186">
            <v>325.99525691999997</v>
          </cell>
          <cell r="H186">
            <v>328.29299692000006</v>
          </cell>
          <cell r="I186">
            <v>340.35017692000002</v>
          </cell>
          <cell r="J186">
            <v>342.65436692000003</v>
          </cell>
          <cell r="K186">
            <v>342.65436692000003</v>
          </cell>
          <cell r="L186">
            <v>342.65436692000003</v>
          </cell>
          <cell r="M186">
            <v>342.65436692000003</v>
          </cell>
          <cell r="N186">
            <v>342.65436692000003</v>
          </cell>
          <cell r="O186">
            <v>342.65436692000003</v>
          </cell>
          <cell r="P186">
            <v>342.65436692000003</v>
          </cell>
          <cell r="Q186">
            <v>342.65436692000003</v>
          </cell>
          <cell r="R186">
            <v>342.65436692000003</v>
          </cell>
          <cell r="S186">
            <v>342.65436692000003</v>
          </cell>
          <cell r="T186">
            <v>342.65436692000003</v>
          </cell>
          <cell r="U186">
            <v>342.65436692000003</v>
          </cell>
          <cell r="V186">
            <v>342.65436692000003</v>
          </cell>
          <cell r="W186">
            <v>342.65436692000003</v>
          </cell>
          <cell r="X186">
            <v>342.65436692000003</v>
          </cell>
          <cell r="Y186">
            <v>342.65436692000003</v>
          </cell>
          <cell r="Z186">
            <v>342.65436692000003</v>
          </cell>
          <cell r="AA186">
            <v>342.65436692000003</v>
          </cell>
          <cell r="AB186">
            <v>342.65436692000003</v>
          </cell>
          <cell r="AC186">
            <v>342.65436692000003</v>
          </cell>
          <cell r="AD186">
            <v>342.65436692000003</v>
          </cell>
          <cell r="AE186">
            <v>342.65436692000003</v>
          </cell>
          <cell r="AF186">
            <v>342.65436692000003</v>
          </cell>
          <cell r="AG186">
            <v>342.65436692000003</v>
          </cell>
          <cell r="AH186">
            <v>342.65436692000003</v>
          </cell>
          <cell r="AI186">
            <v>342.65436692000003</v>
          </cell>
          <cell r="AJ186">
            <v>342.65436692000003</v>
          </cell>
          <cell r="AK186">
            <v>342.65436692000003</v>
          </cell>
          <cell r="AL186">
            <v>342.65436692000003</v>
          </cell>
          <cell r="AM186">
            <v>342.65436692000003</v>
          </cell>
          <cell r="AS186">
            <v>182</v>
          </cell>
        </row>
        <row r="187">
          <cell r="B187" t="str">
            <v>CV</v>
          </cell>
          <cell r="C187">
            <v>6478.1348399684512</v>
          </cell>
          <cell r="D187">
            <v>6478.5087654167455</v>
          </cell>
          <cell r="E187">
            <v>6480.2930409043684</v>
          </cell>
          <cell r="F187">
            <v>6498.1876840564009</v>
          </cell>
          <cell r="G187">
            <v>6529.5639367954718</v>
          </cell>
          <cell r="H187">
            <v>6547.275115133858</v>
          </cell>
          <cell r="I187">
            <v>6541.997312376654</v>
          </cell>
          <cell r="J187">
            <v>6531.6306320922404</v>
          </cell>
          <cell r="K187">
            <v>6531.6306320922404</v>
          </cell>
          <cell r="L187">
            <v>6531.6306320922404</v>
          </cell>
          <cell r="M187">
            <v>6531.6306320922404</v>
          </cell>
          <cell r="N187">
            <v>6531.6306320922404</v>
          </cell>
          <cell r="O187">
            <v>6531.6306320922404</v>
          </cell>
          <cell r="P187">
            <v>6531.6306320922404</v>
          </cell>
          <cell r="Q187">
            <v>6531.6306320922404</v>
          </cell>
          <cell r="R187">
            <v>6531.6306320922404</v>
          </cell>
          <cell r="S187">
            <v>6531.6306320922404</v>
          </cell>
          <cell r="T187">
            <v>6531.6306320922404</v>
          </cell>
          <cell r="U187">
            <v>6531.6306320922404</v>
          </cell>
          <cell r="V187">
            <v>6531.6306320922404</v>
          </cell>
          <cell r="W187">
            <v>6531.6306320922404</v>
          </cell>
          <cell r="X187">
            <v>6531.6306320922404</v>
          </cell>
          <cell r="Y187">
            <v>6531.6306320922404</v>
          </cell>
          <cell r="Z187">
            <v>6531.6306320922404</v>
          </cell>
          <cell r="AA187">
            <v>6531.6306320922404</v>
          </cell>
          <cell r="AB187">
            <v>6531.6306320922404</v>
          </cell>
          <cell r="AC187">
            <v>6531.6306320922404</v>
          </cell>
          <cell r="AD187">
            <v>6531.6306320922404</v>
          </cell>
          <cell r="AE187">
            <v>6531.6306320922404</v>
          </cell>
          <cell r="AF187">
            <v>6531.6306320922404</v>
          </cell>
          <cell r="AG187">
            <v>6531.6306320922404</v>
          </cell>
          <cell r="AH187">
            <v>6531.6306320922404</v>
          </cell>
          <cell r="AI187">
            <v>6531.6306320922404</v>
          </cell>
          <cell r="AJ187">
            <v>6531.6306320922404</v>
          </cell>
          <cell r="AK187">
            <v>6531.6306320922404</v>
          </cell>
          <cell r="AL187">
            <v>6531.6306320922404</v>
          </cell>
          <cell r="AM187">
            <v>6531.6306320922404</v>
          </cell>
          <cell r="AS187">
            <v>183</v>
          </cell>
        </row>
        <row r="188">
          <cell r="B188" t="str">
            <v>TS</v>
          </cell>
          <cell r="C188">
            <v>0.51772463226694709</v>
          </cell>
          <cell r="D188">
            <v>0.52891088874014824</v>
          </cell>
          <cell r="E188">
            <v>0.53384429368113939</v>
          </cell>
          <cell r="F188">
            <v>0.5425809630341627</v>
          </cell>
          <cell r="G188">
            <v>0.56419937170239443</v>
          </cell>
          <cell r="H188">
            <v>0.57103306925853936</v>
          </cell>
          <cell r="I188">
            <v>0.57045131863067322</v>
          </cell>
          <cell r="J188">
            <v>0.56643077644580808</v>
          </cell>
          <cell r="K188">
            <v>0.56643077644580808</v>
          </cell>
          <cell r="L188">
            <v>0.56643077644580808</v>
          </cell>
          <cell r="M188">
            <v>0.56643077644580808</v>
          </cell>
          <cell r="N188">
            <v>0.56643077644580808</v>
          </cell>
          <cell r="O188">
            <v>0.56643077644580808</v>
          </cell>
          <cell r="P188">
            <v>0.56643077644580808</v>
          </cell>
          <cell r="Q188">
            <v>0.56643077644580808</v>
          </cell>
          <cell r="R188">
            <v>0.56643077644580808</v>
          </cell>
          <cell r="S188">
            <v>0.56643077644580808</v>
          </cell>
          <cell r="T188">
            <v>0.56643077644580808</v>
          </cell>
          <cell r="U188">
            <v>0.56643077644580808</v>
          </cell>
          <cell r="V188">
            <v>0.56643077644580808</v>
          </cell>
          <cell r="W188">
            <v>0.56643077644580808</v>
          </cell>
          <cell r="X188">
            <v>0.56643077644580808</v>
          </cell>
          <cell r="Y188">
            <v>0.56643077644580808</v>
          </cell>
          <cell r="Z188">
            <v>0.56643077644580808</v>
          </cell>
          <cell r="AA188">
            <v>0.56643077644580808</v>
          </cell>
          <cell r="AB188">
            <v>0.56643077644580808</v>
          </cell>
          <cell r="AC188">
            <v>0.56643077644580808</v>
          </cell>
          <cell r="AD188">
            <v>0.56643077644580808</v>
          </cell>
          <cell r="AE188">
            <v>0.56643077644580808</v>
          </cell>
          <cell r="AF188">
            <v>0.56643077644580808</v>
          </cell>
          <cell r="AG188">
            <v>0.56643077644580808</v>
          </cell>
          <cell r="AH188">
            <v>0.56643077644580808</v>
          </cell>
          <cell r="AI188">
            <v>0.56643077644580808</v>
          </cell>
          <cell r="AJ188">
            <v>0.56643077644580808</v>
          </cell>
          <cell r="AK188">
            <v>0.56643077644580808</v>
          </cell>
          <cell r="AL188">
            <v>0.56643077644580808</v>
          </cell>
          <cell r="AM188">
            <v>0.56643077644580808</v>
          </cell>
          <cell r="AS188">
            <v>184</v>
          </cell>
        </row>
        <row r="189">
          <cell r="B189" t="str">
            <v>ASH</v>
          </cell>
          <cell r="C189">
            <v>4.3617823666748743</v>
          </cell>
          <cell r="D189">
            <v>4.3826276336357965</v>
          </cell>
          <cell r="E189">
            <v>4.39920541704128</v>
          </cell>
          <cell r="F189">
            <v>4.2980543368177662</v>
          </cell>
          <cell r="G189">
            <v>4.1772229395402265</v>
          </cell>
          <cell r="H189">
            <v>4.1835165248367341</v>
          </cell>
          <cell r="I189">
            <v>4.2103911428961149</v>
          </cell>
          <cell r="J189">
            <v>4.2552446095154828</v>
          </cell>
          <cell r="K189">
            <v>4.2552446095154828</v>
          </cell>
          <cell r="L189">
            <v>4.2552446095154828</v>
          </cell>
          <cell r="M189">
            <v>4.2552446095154828</v>
          </cell>
          <cell r="N189">
            <v>4.2552446095154828</v>
          </cell>
          <cell r="O189">
            <v>4.2552446095154828</v>
          </cell>
          <cell r="P189">
            <v>4.2552446095154828</v>
          </cell>
          <cell r="Q189">
            <v>4.2552446095154828</v>
          </cell>
          <cell r="R189">
            <v>4.2552446095154828</v>
          </cell>
          <cell r="S189">
            <v>4.2552446095154828</v>
          </cell>
          <cell r="T189">
            <v>4.2552446095154828</v>
          </cell>
          <cell r="U189">
            <v>4.2552446095154828</v>
          </cell>
          <cell r="V189">
            <v>4.2552446095154828</v>
          </cell>
          <cell r="W189">
            <v>4.2552446095154828</v>
          </cell>
          <cell r="X189">
            <v>4.2552446095154828</v>
          </cell>
          <cell r="Y189">
            <v>4.2552446095154828</v>
          </cell>
          <cell r="Z189">
            <v>4.2552446095154828</v>
          </cell>
          <cell r="AA189">
            <v>4.2552446095154828</v>
          </cell>
          <cell r="AB189">
            <v>4.2552446095154828</v>
          </cell>
          <cell r="AC189">
            <v>4.2552446095154828</v>
          </cell>
          <cell r="AD189">
            <v>4.2552446095154828</v>
          </cell>
          <cell r="AE189">
            <v>4.2552446095154828</v>
          </cell>
          <cell r="AF189">
            <v>4.2552446095154828</v>
          </cell>
          <cell r="AG189">
            <v>4.2552446095154828</v>
          </cell>
          <cell r="AH189">
            <v>4.2552446095154828</v>
          </cell>
          <cell r="AI189">
            <v>4.2552446095154828</v>
          </cell>
          <cell r="AJ189">
            <v>4.2552446095154828</v>
          </cell>
          <cell r="AK189">
            <v>4.2552446095154828</v>
          </cell>
          <cell r="AL189">
            <v>4.2552446095154828</v>
          </cell>
          <cell r="AM189">
            <v>4.2552446095154828</v>
          </cell>
          <cell r="AS189">
            <v>185</v>
          </cell>
        </row>
        <row r="190">
          <cell r="B190" t="str">
            <v>IM</v>
          </cell>
          <cell r="C190">
            <v>10.807311203068931</v>
          </cell>
          <cell r="D190">
            <v>10.795528424419972</v>
          </cell>
          <cell r="E190">
            <v>10.774929797292877</v>
          </cell>
          <cell r="F190">
            <v>10.696595568978347</v>
          </cell>
          <cell r="G190">
            <v>10.528137804815415</v>
          </cell>
          <cell r="H190">
            <v>10.420749285038346</v>
          </cell>
          <cell r="I190">
            <v>10.446024204155485</v>
          </cell>
          <cell r="J190">
            <v>10.499661677741376</v>
          </cell>
          <cell r="K190">
            <v>10.499661677741376</v>
          </cell>
          <cell r="L190">
            <v>10.499661677741376</v>
          </cell>
          <cell r="M190">
            <v>10.499661677741376</v>
          </cell>
          <cell r="N190">
            <v>10.499661677741376</v>
          </cell>
          <cell r="O190">
            <v>10.499661677741376</v>
          </cell>
          <cell r="P190">
            <v>10.499661677741376</v>
          </cell>
          <cell r="Q190">
            <v>10.499661677741376</v>
          </cell>
          <cell r="R190">
            <v>10.499661677741376</v>
          </cell>
          <cell r="S190">
            <v>10.499661677741376</v>
          </cell>
          <cell r="T190">
            <v>10.499661677741376</v>
          </cell>
          <cell r="U190">
            <v>10.499661677741376</v>
          </cell>
          <cell r="V190">
            <v>10.499661677741376</v>
          </cell>
          <cell r="W190">
            <v>10.499661677741376</v>
          </cell>
          <cell r="X190">
            <v>10.499661677741376</v>
          </cell>
          <cell r="Y190">
            <v>10.499661677741376</v>
          </cell>
          <cell r="Z190">
            <v>10.499661677741376</v>
          </cell>
          <cell r="AA190">
            <v>10.499661677741376</v>
          </cell>
          <cell r="AB190">
            <v>10.499661677741376</v>
          </cell>
          <cell r="AC190">
            <v>10.499661677741376</v>
          </cell>
          <cell r="AD190">
            <v>10.499661677741376</v>
          </cell>
          <cell r="AE190">
            <v>10.499661677741376</v>
          </cell>
          <cell r="AF190">
            <v>10.499661677741376</v>
          </cell>
          <cell r="AG190">
            <v>10.499661677741376</v>
          </cell>
          <cell r="AH190">
            <v>10.499661677741376</v>
          </cell>
          <cell r="AI190">
            <v>10.499661677741376</v>
          </cell>
          <cell r="AJ190">
            <v>10.499661677741376</v>
          </cell>
          <cell r="AK190">
            <v>10.499661677741376</v>
          </cell>
          <cell r="AL190">
            <v>10.499661677741376</v>
          </cell>
          <cell r="AM190">
            <v>10.499661677741376</v>
          </cell>
          <cell r="AS190">
            <v>186</v>
          </cell>
        </row>
        <row r="191">
          <cell r="B191" t="str">
            <v>TM</v>
          </cell>
          <cell r="C191">
            <v>14.610957970728347</v>
          </cell>
          <cell r="D191">
            <v>14.621204739612621</v>
          </cell>
          <cell r="E191">
            <v>14.614145991164724</v>
          </cell>
          <cell r="F191">
            <v>14.545139271971376</v>
          </cell>
          <cell r="G191">
            <v>14.377317133837236</v>
          </cell>
          <cell r="H191">
            <v>14.269867570239274</v>
          </cell>
          <cell r="I191">
            <v>14.299967982959771</v>
          </cell>
          <cell r="J191">
            <v>14.358423288713196</v>
          </cell>
          <cell r="K191">
            <v>14.358423288713196</v>
          </cell>
          <cell r="L191">
            <v>14.358423288713196</v>
          </cell>
          <cell r="M191">
            <v>14.358423288713196</v>
          </cell>
          <cell r="N191">
            <v>14.358423288713196</v>
          </cell>
          <cell r="O191">
            <v>14.358423288713196</v>
          </cell>
          <cell r="P191">
            <v>14.358423288713196</v>
          </cell>
          <cell r="Q191">
            <v>14.358423288713196</v>
          </cell>
          <cell r="R191">
            <v>14.358423288713196</v>
          </cell>
          <cell r="S191">
            <v>14.358423288713196</v>
          </cell>
          <cell r="T191">
            <v>14.358423288713196</v>
          </cell>
          <cell r="U191">
            <v>14.358423288713196</v>
          </cell>
          <cell r="V191">
            <v>14.358423288713196</v>
          </cell>
          <cell r="W191">
            <v>14.358423288713196</v>
          </cell>
          <cell r="X191">
            <v>14.358423288713196</v>
          </cell>
          <cell r="Y191">
            <v>14.358423288713196</v>
          </cell>
          <cell r="Z191">
            <v>14.358423288713196</v>
          </cell>
          <cell r="AA191">
            <v>14.358423288713196</v>
          </cell>
          <cell r="AB191">
            <v>14.358423288713196</v>
          </cell>
          <cell r="AC191">
            <v>14.358423288713196</v>
          </cell>
          <cell r="AD191">
            <v>14.358423288713196</v>
          </cell>
          <cell r="AE191">
            <v>14.358423288713196</v>
          </cell>
          <cell r="AF191">
            <v>14.358423288713196</v>
          </cell>
          <cell r="AG191">
            <v>14.358423288713196</v>
          </cell>
          <cell r="AH191">
            <v>14.358423288713196</v>
          </cell>
          <cell r="AI191">
            <v>14.358423288713196</v>
          </cell>
          <cell r="AJ191">
            <v>14.358423288713196</v>
          </cell>
          <cell r="AK191">
            <v>14.358423288713196</v>
          </cell>
          <cell r="AL191">
            <v>14.358423288713196</v>
          </cell>
          <cell r="AM191">
            <v>14.358423288713196</v>
          </cell>
          <cell r="AS191">
            <v>187</v>
          </cell>
        </row>
        <row r="192">
          <cell r="B192" t="str">
            <v>ROM 1.U1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 t="str">
            <v>ROM 1.U</v>
          </cell>
          <cell r="AP192">
            <v>0</v>
          </cell>
          <cell r="AQ192" t="str">
            <v>ROM 1.M</v>
          </cell>
          <cell r="AS192">
            <v>188</v>
          </cell>
        </row>
        <row r="193">
          <cell r="B193" t="str">
            <v>CV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 t="str">
            <v>ROM 1.UCV</v>
          </cell>
          <cell r="AO193">
            <v>0</v>
          </cell>
          <cell r="AP193" t="e">
            <v>#DIV/0!</v>
          </cell>
          <cell r="AQ193" t="str">
            <v>ROM 1.MCV</v>
          </cell>
          <cell r="AS193">
            <v>189</v>
          </cell>
        </row>
        <row r="194">
          <cell r="B194" t="str">
            <v>TS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 t="str">
            <v>ROM 1.UTS</v>
          </cell>
          <cell r="AO194">
            <v>0</v>
          </cell>
          <cell r="AP194" t="e">
            <v>#DIV/0!</v>
          </cell>
          <cell r="AQ194" t="str">
            <v>ROM 1.MTS</v>
          </cell>
          <cell r="AS194">
            <v>190</v>
          </cell>
        </row>
        <row r="195">
          <cell r="B195" t="str">
            <v>ASH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 t="str">
            <v>ROM 1.UASH</v>
          </cell>
          <cell r="AO195">
            <v>0</v>
          </cell>
          <cell r="AP195" t="e">
            <v>#DIV/0!</v>
          </cell>
          <cell r="AQ195" t="str">
            <v>ROM 1.MASH</v>
          </cell>
          <cell r="AS195">
            <v>191</v>
          </cell>
        </row>
        <row r="196">
          <cell r="B196" t="str">
            <v>IM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 t="str">
            <v>ROM 1.UIM</v>
          </cell>
          <cell r="AO196">
            <v>0</v>
          </cell>
          <cell r="AP196" t="e">
            <v>#DIV/0!</v>
          </cell>
          <cell r="AQ196" t="str">
            <v>ROM 1.MIM</v>
          </cell>
          <cell r="AS196">
            <v>192</v>
          </cell>
        </row>
        <row r="197">
          <cell r="B197" t="str">
            <v>TM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 t="str">
            <v>ROM 1.UTM</v>
          </cell>
          <cell r="AO197">
            <v>0</v>
          </cell>
          <cell r="AP197" t="e">
            <v>#DIV/0!</v>
          </cell>
          <cell r="AQ197" t="str">
            <v>ROM 1.MTM</v>
          </cell>
          <cell r="AS197">
            <v>193</v>
          </cell>
        </row>
        <row r="198">
          <cell r="B198" t="str">
            <v>ROM 1.B1</v>
          </cell>
          <cell r="C198">
            <v>47.204476410000005</v>
          </cell>
          <cell r="D198">
            <v>51.079356410000003</v>
          </cell>
          <cell r="E198">
            <v>55.361296410000001</v>
          </cell>
          <cell r="F198">
            <v>58.941776410000003</v>
          </cell>
          <cell r="G198">
            <v>63.898276410000001</v>
          </cell>
          <cell r="H198">
            <v>68.253516410000003</v>
          </cell>
          <cell r="I198">
            <v>67.972886410000001</v>
          </cell>
          <cell r="J198">
            <v>65.338776409999994</v>
          </cell>
          <cell r="K198">
            <v>65.338776409999994</v>
          </cell>
          <cell r="L198">
            <v>65.338776409999994</v>
          </cell>
          <cell r="M198">
            <v>65.338776409999994</v>
          </cell>
          <cell r="N198">
            <v>65.338776409999994</v>
          </cell>
          <cell r="O198">
            <v>65.338776409999994</v>
          </cell>
          <cell r="P198">
            <v>65.338776409999994</v>
          </cell>
          <cell r="Q198">
            <v>65.338776409999994</v>
          </cell>
          <cell r="R198">
            <v>65.338776409999994</v>
          </cell>
          <cell r="S198">
            <v>65.338776409999994</v>
          </cell>
          <cell r="T198">
            <v>65.338776409999994</v>
          </cell>
          <cell r="U198">
            <v>65.338776409999994</v>
          </cell>
          <cell r="V198">
            <v>65.338776409999994</v>
          </cell>
          <cell r="W198">
            <v>65.338776409999994</v>
          </cell>
          <cell r="X198">
            <v>65.338776409999994</v>
          </cell>
          <cell r="Y198">
            <v>65.338776409999994</v>
          </cell>
          <cell r="Z198">
            <v>65.338776409999994</v>
          </cell>
          <cell r="AA198">
            <v>65.338776409999994</v>
          </cell>
          <cell r="AB198">
            <v>65.338776409999994</v>
          </cell>
          <cell r="AC198">
            <v>65.338776409999994</v>
          </cell>
          <cell r="AD198">
            <v>65.338776409999994</v>
          </cell>
          <cell r="AE198">
            <v>65.338776409999994</v>
          </cell>
          <cell r="AF198">
            <v>65.338776409999994</v>
          </cell>
          <cell r="AG198">
            <v>65.338776409999994</v>
          </cell>
          <cell r="AH198">
            <v>65.338776409999994</v>
          </cell>
          <cell r="AI198">
            <v>65.338776409999994</v>
          </cell>
          <cell r="AJ198">
            <v>65.338776409999994</v>
          </cell>
          <cell r="AK198">
            <v>65.338776409999994</v>
          </cell>
          <cell r="AL198">
            <v>65.338776409999994</v>
          </cell>
          <cell r="AM198">
            <v>65.338776409999994</v>
          </cell>
          <cell r="AN198" t="str">
            <v>ROM 1.B</v>
          </cell>
          <cell r="AP198">
            <v>0</v>
          </cell>
          <cell r="AQ198" t="str">
            <v>ROM 1.U</v>
          </cell>
          <cell r="AS198">
            <v>194</v>
          </cell>
        </row>
        <row r="199">
          <cell r="B199" t="str">
            <v>CV</v>
          </cell>
          <cell r="C199">
            <v>6559.3708376860341</v>
          </cell>
          <cell r="D199">
            <v>6562.2121457011472</v>
          </cell>
          <cell r="E199">
            <v>6564.127556925323</v>
          </cell>
          <cell r="F199">
            <v>6572.1830843522803</v>
          </cell>
          <cell r="G199">
            <v>6580.4127625134533</v>
          </cell>
          <cell r="H199">
            <v>6586.4813036642827</v>
          </cell>
          <cell r="I199">
            <v>6590.2838653626941</v>
          </cell>
          <cell r="J199">
            <v>6592.3335205689264</v>
          </cell>
          <cell r="K199">
            <v>6592.3335205689264</v>
          </cell>
          <cell r="L199">
            <v>6592.3335205689264</v>
          </cell>
          <cell r="M199">
            <v>6592.3335205689264</v>
          </cell>
          <cell r="N199">
            <v>6592.3335205689264</v>
          </cell>
          <cell r="O199">
            <v>6592.3335205689264</v>
          </cell>
          <cell r="P199">
            <v>6592.3335205689264</v>
          </cell>
          <cell r="Q199">
            <v>6592.3335205689264</v>
          </cell>
          <cell r="R199">
            <v>6592.3335205689264</v>
          </cell>
          <cell r="S199">
            <v>6592.3335205689264</v>
          </cell>
          <cell r="T199">
            <v>6592.3335205689264</v>
          </cell>
          <cell r="U199">
            <v>6592.3335205689264</v>
          </cell>
          <cell r="V199">
            <v>6592.3335205689264</v>
          </cell>
          <cell r="W199">
            <v>6592.3335205689264</v>
          </cell>
          <cell r="X199">
            <v>6592.3335205689264</v>
          </cell>
          <cell r="Y199">
            <v>6592.3335205689264</v>
          </cell>
          <cell r="Z199">
            <v>6592.3335205689264</v>
          </cell>
          <cell r="AA199">
            <v>6592.3335205689264</v>
          </cell>
          <cell r="AB199">
            <v>6592.3335205689264</v>
          </cell>
          <cell r="AC199">
            <v>6592.3335205689264</v>
          </cell>
          <cell r="AD199">
            <v>6592.3335205689264</v>
          </cell>
          <cell r="AE199">
            <v>6592.3335205689264</v>
          </cell>
          <cell r="AF199">
            <v>6592.3335205689264</v>
          </cell>
          <cell r="AG199">
            <v>6592.3335205689264</v>
          </cell>
          <cell r="AH199">
            <v>6592.3335205689264</v>
          </cell>
          <cell r="AI199">
            <v>6592.3335205689264</v>
          </cell>
          <cell r="AJ199">
            <v>6592.3335205689264</v>
          </cell>
          <cell r="AK199">
            <v>6592.3335205689264</v>
          </cell>
          <cell r="AL199">
            <v>6592.3335205689264</v>
          </cell>
          <cell r="AM199">
            <v>6592.3335205689264</v>
          </cell>
          <cell r="AN199" t="str">
            <v>ROM 1.BCV</v>
          </cell>
          <cell r="AO199">
            <v>430735.00592060119</v>
          </cell>
          <cell r="AP199" t="e">
            <v>#DIV/0!</v>
          </cell>
          <cell r="AQ199" t="str">
            <v>ROM 1.UCV</v>
          </cell>
          <cell r="AS199">
            <v>195</v>
          </cell>
        </row>
        <row r="200">
          <cell r="B200" t="str">
            <v>TS</v>
          </cell>
          <cell r="C200">
            <v>0.44846506139791287</v>
          </cell>
          <cell r="D200">
            <v>0.45532679232681234</v>
          </cell>
          <cell r="E200">
            <v>0.45977401378758737</v>
          </cell>
          <cell r="F200">
            <v>0.464825519574462</v>
          </cell>
          <cell r="G200">
            <v>0.47386209884648539</v>
          </cell>
          <cell r="H200">
            <v>0.47704761416636404</v>
          </cell>
          <cell r="I200">
            <v>0.47611578610300237</v>
          </cell>
          <cell r="J200">
            <v>0.47357900090768063</v>
          </cell>
          <cell r="K200">
            <v>0.47357900090768063</v>
          </cell>
          <cell r="L200">
            <v>0.47357900090768063</v>
          </cell>
          <cell r="M200">
            <v>0.47357900090768063</v>
          </cell>
          <cell r="N200">
            <v>0.47357900090768063</v>
          </cell>
          <cell r="O200">
            <v>0.47357900090768063</v>
          </cell>
          <cell r="P200">
            <v>0.47357900090768063</v>
          </cell>
          <cell r="Q200">
            <v>0.47357900090768063</v>
          </cell>
          <cell r="R200">
            <v>0.47357900090768063</v>
          </cell>
          <cell r="S200">
            <v>0.47357900090768063</v>
          </cell>
          <cell r="T200">
            <v>0.47357900090768063</v>
          </cell>
          <cell r="U200">
            <v>0.47357900090768063</v>
          </cell>
          <cell r="V200">
            <v>0.47357900090768063</v>
          </cell>
          <cell r="W200">
            <v>0.47357900090768063</v>
          </cell>
          <cell r="X200">
            <v>0.47357900090768063</v>
          </cell>
          <cell r="Y200">
            <v>0.47357900090768063</v>
          </cell>
          <cell r="Z200">
            <v>0.47357900090768063</v>
          </cell>
          <cell r="AA200">
            <v>0.47357900090768063</v>
          </cell>
          <cell r="AB200">
            <v>0.47357900090768063</v>
          </cell>
          <cell r="AC200">
            <v>0.47357900090768063</v>
          </cell>
          <cell r="AD200">
            <v>0.47357900090768063</v>
          </cell>
          <cell r="AE200">
            <v>0.47357900090768063</v>
          </cell>
          <cell r="AF200">
            <v>0.47357900090768063</v>
          </cell>
          <cell r="AG200">
            <v>0.47357900090768063</v>
          </cell>
          <cell r="AH200">
            <v>0.47357900090768063</v>
          </cell>
          <cell r="AI200">
            <v>0.47357900090768063</v>
          </cell>
          <cell r="AJ200">
            <v>0.47357900090768063</v>
          </cell>
          <cell r="AK200">
            <v>0.47357900090768063</v>
          </cell>
          <cell r="AL200">
            <v>0.47357900090768063</v>
          </cell>
          <cell r="AM200">
            <v>0.47357900090768063</v>
          </cell>
          <cell r="AN200" t="str">
            <v>ROM 1.BTS</v>
          </cell>
          <cell r="AO200">
            <v>30.943072452778129</v>
          </cell>
          <cell r="AP200" t="e">
            <v>#DIV/0!</v>
          </cell>
          <cell r="AQ200" t="str">
            <v>ROM 1.UTS</v>
          </cell>
          <cell r="AS200">
            <v>196</v>
          </cell>
        </row>
        <row r="201">
          <cell r="B201" t="str">
            <v>ASH</v>
          </cell>
          <cell r="C201">
            <v>4.122391171751266</v>
          </cell>
          <cell r="D201">
            <v>4.1054976559097973</v>
          </cell>
          <cell r="E201">
            <v>4.0852223422452374</v>
          </cell>
          <cell r="F201">
            <v>4.02788247558221</v>
          </cell>
          <cell r="G201">
            <v>3.9735952852779524</v>
          </cell>
          <cell r="H201">
            <v>3.9150663259333136</v>
          </cell>
          <cell r="I201">
            <v>3.8308662945354182</v>
          </cell>
          <cell r="J201">
            <v>3.7786855528000571</v>
          </cell>
          <cell r="K201">
            <v>3.7786855528000571</v>
          </cell>
          <cell r="L201">
            <v>3.7786855528000571</v>
          </cell>
          <cell r="M201">
            <v>3.7786855528000571</v>
          </cell>
          <cell r="N201">
            <v>3.7786855528000571</v>
          </cell>
          <cell r="O201">
            <v>3.7786855528000571</v>
          </cell>
          <cell r="P201">
            <v>3.7786855528000571</v>
          </cell>
          <cell r="Q201">
            <v>3.7786855528000571</v>
          </cell>
          <cell r="R201">
            <v>3.7786855528000571</v>
          </cell>
          <cell r="S201">
            <v>3.7786855528000571</v>
          </cell>
          <cell r="T201">
            <v>3.7786855528000571</v>
          </cell>
          <cell r="U201">
            <v>3.7786855528000571</v>
          </cell>
          <cell r="V201">
            <v>3.7786855528000571</v>
          </cell>
          <cell r="W201">
            <v>3.7786855528000571</v>
          </cell>
          <cell r="X201">
            <v>3.7786855528000571</v>
          </cell>
          <cell r="Y201">
            <v>3.7786855528000571</v>
          </cell>
          <cell r="Z201">
            <v>3.7786855528000571</v>
          </cell>
          <cell r="AA201">
            <v>3.7786855528000571</v>
          </cell>
          <cell r="AB201">
            <v>3.7786855528000571</v>
          </cell>
          <cell r="AC201">
            <v>3.7786855528000571</v>
          </cell>
          <cell r="AD201">
            <v>3.7786855528000571</v>
          </cell>
          <cell r="AE201">
            <v>3.7786855528000571</v>
          </cell>
          <cell r="AF201">
            <v>3.7786855528000571</v>
          </cell>
          <cell r="AG201">
            <v>3.7786855528000571</v>
          </cell>
          <cell r="AH201">
            <v>3.7786855528000571</v>
          </cell>
          <cell r="AI201">
            <v>3.7786855528000571</v>
          </cell>
          <cell r="AJ201">
            <v>3.7786855528000571</v>
          </cell>
          <cell r="AK201">
            <v>3.7786855528000571</v>
          </cell>
          <cell r="AL201">
            <v>3.7786855528000571</v>
          </cell>
          <cell r="AM201">
            <v>3.7786855528000571</v>
          </cell>
          <cell r="AN201" t="str">
            <v>ROM 1.BASH</v>
          </cell>
          <cell r="AO201">
            <v>246.89469045810017</v>
          </cell>
          <cell r="AP201" t="e">
            <v>#DIV/0!</v>
          </cell>
          <cell r="AQ201" t="str">
            <v>ROM 1.UASH</v>
          </cell>
          <cell r="AS201">
            <v>197</v>
          </cell>
        </row>
        <row r="202">
          <cell r="B202" t="str">
            <v>IM</v>
          </cell>
          <cell r="C202">
            <v>9.8204631341342932</v>
          </cell>
          <cell r="D202">
            <v>9.8194807233175645</v>
          </cell>
          <cell r="E202">
            <v>9.8175331042745029</v>
          </cell>
          <cell r="F202">
            <v>9.8075411177611702</v>
          </cell>
          <cell r="G202">
            <v>9.7973389930038195</v>
          </cell>
          <cell r="H202">
            <v>9.801389145617275</v>
          </cell>
          <cell r="I202">
            <v>9.8256421334155295</v>
          </cell>
          <cell r="J202">
            <v>9.8393201622220392</v>
          </cell>
          <cell r="K202">
            <v>9.8393201622220392</v>
          </cell>
          <cell r="L202">
            <v>9.8393201622220392</v>
          </cell>
          <cell r="M202">
            <v>9.8393201622220392</v>
          </cell>
          <cell r="N202">
            <v>9.8393201622220392</v>
          </cell>
          <cell r="O202">
            <v>9.8393201622220392</v>
          </cell>
          <cell r="P202">
            <v>9.8393201622220392</v>
          </cell>
          <cell r="Q202">
            <v>9.8393201622220392</v>
          </cell>
          <cell r="R202">
            <v>9.8393201622220392</v>
          </cell>
          <cell r="S202">
            <v>9.8393201622220392</v>
          </cell>
          <cell r="T202">
            <v>9.8393201622220392</v>
          </cell>
          <cell r="U202">
            <v>9.8393201622220392</v>
          </cell>
          <cell r="V202">
            <v>9.8393201622220392</v>
          </cell>
          <cell r="W202">
            <v>9.8393201622220392</v>
          </cell>
          <cell r="X202">
            <v>9.8393201622220392</v>
          </cell>
          <cell r="Y202">
            <v>9.8393201622220392</v>
          </cell>
          <cell r="Z202">
            <v>9.8393201622220392</v>
          </cell>
          <cell r="AA202">
            <v>9.8393201622220392</v>
          </cell>
          <cell r="AB202">
            <v>9.8393201622220392</v>
          </cell>
          <cell r="AC202">
            <v>9.8393201622220392</v>
          </cell>
          <cell r="AD202">
            <v>9.8393201622220392</v>
          </cell>
          <cell r="AE202">
            <v>9.8393201622220392</v>
          </cell>
          <cell r="AF202">
            <v>9.8393201622220392</v>
          </cell>
          <cell r="AG202">
            <v>9.8393201622220392</v>
          </cell>
          <cell r="AH202">
            <v>9.8393201622220392</v>
          </cell>
          <cell r="AI202">
            <v>9.8393201622220392</v>
          </cell>
          <cell r="AJ202">
            <v>9.8393201622220392</v>
          </cell>
          <cell r="AK202">
            <v>9.8393201622220392</v>
          </cell>
          <cell r="AL202">
            <v>9.8393201622220392</v>
          </cell>
          <cell r="AM202">
            <v>9.8393201622220392</v>
          </cell>
          <cell r="AN202" t="str">
            <v>ROM 1.BIM</v>
          </cell>
          <cell r="AO202">
            <v>642.88914010583073</v>
          </cell>
          <cell r="AP202" t="e">
            <v>#DIV/0!</v>
          </cell>
          <cell r="AQ202" t="str">
            <v>ROM 1.UIM</v>
          </cell>
          <cell r="AS202">
            <v>198</v>
          </cell>
        </row>
        <row r="203">
          <cell r="B203" t="str">
            <v>TM</v>
          </cell>
          <cell r="C203">
            <v>13.327780513095099</v>
          </cell>
          <cell r="D203">
            <v>13.338130982841815</v>
          </cell>
          <cell r="E203">
            <v>13.345155441850297</v>
          </cell>
          <cell r="F203">
            <v>13.353983183248491</v>
          </cell>
          <cell r="G203">
            <v>13.370163701912322</v>
          </cell>
          <cell r="H203">
            <v>13.389268616223509</v>
          </cell>
          <cell r="I203">
            <v>13.406077640998618</v>
          </cell>
          <cell r="J203">
            <v>13.411366757827567</v>
          </cell>
          <cell r="K203">
            <v>13.411366757827567</v>
          </cell>
          <cell r="L203">
            <v>13.411366757827567</v>
          </cell>
          <cell r="M203">
            <v>13.411366757827567</v>
          </cell>
          <cell r="N203">
            <v>13.411366757827567</v>
          </cell>
          <cell r="O203">
            <v>13.411366757827567</v>
          </cell>
          <cell r="P203">
            <v>13.411366757827567</v>
          </cell>
          <cell r="Q203">
            <v>13.411366757827567</v>
          </cell>
          <cell r="R203">
            <v>13.411366757827567</v>
          </cell>
          <cell r="S203">
            <v>13.411366757827567</v>
          </cell>
          <cell r="T203">
            <v>13.411366757827567</v>
          </cell>
          <cell r="U203">
            <v>13.411366757827567</v>
          </cell>
          <cell r="V203">
            <v>13.411366757827567</v>
          </cell>
          <cell r="W203">
            <v>13.411366757827567</v>
          </cell>
          <cell r="X203">
            <v>13.411366757827567</v>
          </cell>
          <cell r="Y203">
            <v>13.411366757827567</v>
          </cell>
          <cell r="Z203">
            <v>13.411366757827567</v>
          </cell>
          <cell r="AA203">
            <v>13.411366757827567</v>
          </cell>
          <cell r="AB203">
            <v>13.411366757827567</v>
          </cell>
          <cell r="AC203">
            <v>13.411366757827567</v>
          </cell>
          <cell r="AD203">
            <v>13.411366757827567</v>
          </cell>
          <cell r="AE203">
            <v>13.411366757827567</v>
          </cell>
          <cell r="AF203">
            <v>13.411366757827567</v>
          </cell>
          <cell r="AG203">
            <v>13.411366757827567</v>
          </cell>
          <cell r="AH203">
            <v>13.411366757827567</v>
          </cell>
          <cell r="AI203">
            <v>13.411366757827567</v>
          </cell>
          <cell r="AJ203">
            <v>13.411366757827567</v>
          </cell>
          <cell r="AK203">
            <v>13.411366757827567</v>
          </cell>
          <cell r="AL203">
            <v>13.411366757827567</v>
          </cell>
          <cell r="AM203">
            <v>13.411366757827567</v>
          </cell>
          <cell r="AN203" t="str">
            <v>ROM 1.BTM</v>
          </cell>
          <cell r="AO203">
            <v>876.28229394220193</v>
          </cell>
          <cell r="AP203" t="e">
            <v>#DIV/0!</v>
          </cell>
          <cell r="AQ203" t="str">
            <v>ROM 1.UTM</v>
          </cell>
          <cell r="AS203">
            <v>199</v>
          </cell>
        </row>
        <row r="204">
          <cell r="B204" t="str">
            <v>ROM 1.B2</v>
          </cell>
          <cell r="C204">
            <v>151.70170015000002</v>
          </cell>
          <cell r="D204">
            <v>163.61720015000003</v>
          </cell>
          <cell r="E204">
            <v>172.67310015000004</v>
          </cell>
          <cell r="F204">
            <v>180.13324015000003</v>
          </cell>
          <cell r="G204">
            <v>189.47766015000002</v>
          </cell>
          <cell r="H204">
            <v>196.00582015000003</v>
          </cell>
          <cell r="I204">
            <v>203.38837015000004</v>
          </cell>
          <cell r="J204">
            <v>202.56731015000003</v>
          </cell>
          <cell r="K204">
            <v>202.56731015000003</v>
          </cell>
          <cell r="L204">
            <v>202.56731015000003</v>
          </cell>
          <cell r="M204">
            <v>202.56731015000003</v>
          </cell>
          <cell r="N204">
            <v>202.56731015000003</v>
          </cell>
          <cell r="O204">
            <v>202.56731015000003</v>
          </cell>
          <cell r="P204">
            <v>202.56731015000003</v>
          </cell>
          <cell r="Q204">
            <v>202.56731015000003</v>
          </cell>
          <cell r="R204">
            <v>202.56731015000003</v>
          </cell>
          <cell r="S204">
            <v>202.56731015000003</v>
          </cell>
          <cell r="T204">
            <v>202.56731015000003</v>
          </cell>
          <cell r="U204">
            <v>202.56731015000003</v>
          </cell>
          <cell r="V204">
            <v>202.56731015000003</v>
          </cell>
          <cell r="W204">
            <v>202.56731015000003</v>
          </cell>
          <cell r="X204">
            <v>202.56731015000003</v>
          </cell>
          <cell r="Y204">
            <v>202.56731015000003</v>
          </cell>
          <cell r="Z204">
            <v>202.56731015000003</v>
          </cell>
          <cell r="AA204">
            <v>202.56731015000003</v>
          </cell>
          <cell r="AB204">
            <v>202.56731015000003</v>
          </cell>
          <cell r="AC204">
            <v>202.56731015000003</v>
          </cell>
          <cell r="AD204">
            <v>202.56731015000003</v>
          </cell>
          <cell r="AE204">
            <v>202.56731015000003</v>
          </cell>
          <cell r="AF204">
            <v>202.56731015000003</v>
          </cell>
          <cell r="AG204">
            <v>202.56731015000003</v>
          </cell>
          <cell r="AH204">
            <v>202.56731015000003</v>
          </cell>
          <cell r="AI204">
            <v>202.56731015000003</v>
          </cell>
          <cell r="AJ204">
            <v>202.56731015000003</v>
          </cell>
          <cell r="AK204">
            <v>202.56731015000003</v>
          </cell>
          <cell r="AL204">
            <v>202.56731015000003</v>
          </cell>
          <cell r="AM204">
            <v>202.56731015000003</v>
          </cell>
          <cell r="AN204" t="str">
            <v>ROM 1.B</v>
          </cell>
          <cell r="AP204">
            <v>342.65436692000003</v>
          </cell>
          <cell r="AQ204" t="str">
            <v>ROM 1.B</v>
          </cell>
          <cell r="AS204">
            <v>200</v>
          </cell>
        </row>
        <row r="205">
          <cell r="B205" t="str">
            <v>CV</v>
          </cell>
          <cell r="C205">
            <v>6674.0034190656506</v>
          </cell>
          <cell r="D205">
            <v>6672.1346910594821</v>
          </cell>
          <cell r="E205">
            <v>6674.0786827695247</v>
          </cell>
          <cell r="F205">
            <v>6677.0348999701064</v>
          </cell>
          <cell r="G205">
            <v>6677.8038709602843</v>
          </cell>
          <cell r="H205">
            <v>6681.2062424994892</v>
          </cell>
          <cell r="I205">
            <v>6681.2294283634756</v>
          </cell>
          <cell r="J205">
            <v>6680.5344953463155</v>
          </cell>
          <cell r="K205">
            <v>6680.5344953463155</v>
          </cell>
          <cell r="L205">
            <v>6680.5344953463155</v>
          </cell>
          <cell r="M205">
            <v>6680.5344953463155</v>
          </cell>
          <cell r="N205">
            <v>6680.5344953463155</v>
          </cell>
          <cell r="O205">
            <v>6680.5344953463155</v>
          </cell>
          <cell r="P205">
            <v>6680.5344953463155</v>
          </cell>
          <cell r="Q205">
            <v>6680.5344953463155</v>
          </cell>
          <cell r="R205">
            <v>6680.5344953463155</v>
          </cell>
          <cell r="S205">
            <v>6680.5344953463155</v>
          </cell>
          <cell r="T205">
            <v>6680.5344953463155</v>
          </cell>
          <cell r="U205">
            <v>6680.5344953463155</v>
          </cell>
          <cell r="V205">
            <v>6680.5344953463155</v>
          </cell>
          <cell r="W205">
            <v>6680.5344953463155</v>
          </cell>
          <cell r="X205">
            <v>6680.5344953463155</v>
          </cell>
          <cell r="Y205">
            <v>6680.5344953463155</v>
          </cell>
          <cell r="Z205">
            <v>6680.5344953463155</v>
          </cell>
          <cell r="AA205">
            <v>6680.5344953463155</v>
          </cell>
          <cell r="AB205">
            <v>6680.5344953463155</v>
          </cell>
          <cell r="AC205">
            <v>6680.5344953463155</v>
          </cell>
          <cell r="AD205">
            <v>6680.5344953463155</v>
          </cell>
          <cell r="AE205">
            <v>6680.5344953463155</v>
          </cell>
          <cell r="AF205">
            <v>6680.5344953463155</v>
          </cell>
          <cell r="AG205">
            <v>6680.5344953463155</v>
          </cell>
          <cell r="AH205">
            <v>6680.5344953463155</v>
          </cell>
          <cell r="AI205">
            <v>6680.5344953463155</v>
          </cell>
          <cell r="AJ205">
            <v>6680.5344953463155</v>
          </cell>
          <cell r="AK205">
            <v>6680.5344953463155</v>
          </cell>
          <cell r="AL205">
            <v>6680.5344953463155</v>
          </cell>
          <cell r="AM205">
            <v>6680.5344953463155</v>
          </cell>
          <cell r="AN205" t="str">
            <v>ROM 1.BCV</v>
          </cell>
          <cell r="AO205">
            <v>1353257.903086591</v>
          </cell>
          <cell r="AP205">
            <v>6531.6306320922404</v>
          </cell>
          <cell r="AQ205" t="str">
            <v>ROM 1.BCV</v>
          </cell>
          <cell r="AS205">
            <v>201</v>
          </cell>
        </row>
        <row r="206">
          <cell r="B206" t="str">
            <v>TS</v>
          </cell>
          <cell r="C206">
            <v>0.66881218786129892</v>
          </cell>
          <cell r="D206">
            <v>0.68708299967803499</v>
          </cell>
          <cell r="E206">
            <v>0.69721336363902153</v>
          </cell>
          <cell r="F206">
            <v>0.69914076394388125</v>
          </cell>
          <cell r="G206">
            <v>0.70404380648705633</v>
          </cell>
          <cell r="H206">
            <v>0.69843943826605059</v>
          </cell>
          <cell r="I206">
            <v>0.6989822709299508</v>
          </cell>
          <cell r="J206">
            <v>0.69914920128295188</v>
          </cell>
          <cell r="K206">
            <v>0.69914920128295188</v>
          </cell>
          <cell r="L206">
            <v>0.69914920128295188</v>
          </cell>
          <cell r="M206">
            <v>0.69914920128295188</v>
          </cell>
          <cell r="N206">
            <v>0.69914920128295188</v>
          </cell>
          <cell r="O206">
            <v>0.69914920128295188</v>
          </cell>
          <cell r="P206">
            <v>0.69914920128295188</v>
          </cell>
          <cell r="Q206">
            <v>0.69914920128295188</v>
          </cell>
          <cell r="R206">
            <v>0.69914920128295188</v>
          </cell>
          <cell r="S206">
            <v>0.69914920128295188</v>
          </cell>
          <cell r="T206">
            <v>0.69914920128295188</v>
          </cell>
          <cell r="U206">
            <v>0.69914920128295188</v>
          </cell>
          <cell r="V206">
            <v>0.69914920128295188</v>
          </cell>
          <cell r="W206">
            <v>0.69914920128295188</v>
          </cell>
          <cell r="X206">
            <v>0.69914920128295188</v>
          </cell>
          <cell r="Y206">
            <v>0.69914920128295188</v>
          </cell>
          <cell r="Z206">
            <v>0.69914920128295188</v>
          </cell>
          <cell r="AA206">
            <v>0.69914920128295188</v>
          </cell>
          <cell r="AB206">
            <v>0.69914920128295188</v>
          </cell>
          <cell r="AC206">
            <v>0.69914920128295188</v>
          </cell>
          <cell r="AD206">
            <v>0.69914920128295188</v>
          </cell>
          <cell r="AE206">
            <v>0.69914920128295188</v>
          </cell>
          <cell r="AF206">
            <v>0.69914920128295188</v>
          </cell>
          <cell r="AG206">
            <v>0.69914920128295188</v>
          </cell>
          <cell r="AH206">
            <v>0.69914920128295188</v>
          </cell>
          <cell r="AI206">
            <v>0.69914920128295188</v>
          </cell>
          <cell r="AJ206">
            <v>0.69914920128295188</v>
          </cell>
          <cell r="AK206">
            <v>0.69914920128295188</v>
          </cell>
          <cell r="AL206">
            <v>0.69914920128295188</v>
          </cell>
          <cell r="AM206">
            <v>0.69914920128295188</v>
          </cell>
          <cell r="AN206" t="str">
            <v>ROM 1.BTS</v>
          </cell>
          <cell r="AO206">
            <v>141.62477309740851</v>
          </cell>
          <cell r="AP206">
            <v>0.56643077644580808</v>
          </cell>
          <cell r="AQ206" t="str">
            <v>ROM 1.BTS</v>
          </cell>
          <cell r="AS206">
            <v>202</v>
          </cell>
        </row>
        <row r="207">
          <cell r="B207" t="str">
            <v>ASH</v>
          </cell>
          <cell r="C207">
            <v>3.5525282366604198</v>
          </cell>
          <cell r="D207">
            <v>3.5957564588864428</v>
          </cell>
          <cell r="E207">
            <v>3.631770364716044</v>
          </cell>
          <cell r="F207">
            <v>3.6590347788583868</v>
          </cell>
          <cell r="G207">
            <v>3.6919709340195541</v>
          </cell>
          <cell r="H207">
            <v>3.7019691496237623</v>
          </cell>
          <cell r="I207">
            <v>3.710651484908265</v>
          </cell>
          <cell r="J207">
            <v>3.7167740409752654</v>
          </cell>
          <cell r="K207">
            <v>3.716774040975265</v>
          </cell>
          <cell r="L207">
            <v>3.716774040975265</v>
          </cell>
          <cell r="M207">
            <v>3.716774040975265</v>
          </cell>
          <cell r="N207">
            <v>3.716774040975265</v>
          </cell>
          <cell r="O207">
            <v>3.716774040975265</v>
          </cell>
          <cell r="P207">
            <v>3.716774040975265</v>
          </cell>
          <cell r="Q207">
            <v>3.716774040975265</v>
          </cell>
          <cell r="R207">
            <v>3.716774040975265</v>
          </cell>
          <cell r="S207">
            <v>3.716774040975265</v>
          </cell>
          <cell r="T207">
            <v>3.716774040975265</v>
          </cell>
          <cell r="U207">
            <v>3.716774040975265</v>
          </cell>
          <cell r="V207">
            <v>3.716774040975265</v>
          </cell>
          <cell r="W207">
            <v>3.716774040975265</v>
          </cell>
          <cell r="X207">
            <v>3.716774040975265</v>
          </cell>
          <cell r="Y207">
            <v>3.716774040975265</v>
          </cell>
          <cell r="Z207">
            <v>3.716774040975265</v>
          </cell>
          <cell r="AA207">
            <v>3.716774040975265</v>
          </cell>
          <cell r="AB207">
            <v>3.716774040975265</v>
          </cell>
          <cell r="AC207">
            <v>3.716774040975265</v>
          </cell>
          <cell r="AD207">
            <v>3.716774040975265</v>
          </cell>
          <cell r="AE207">
            <v>3.716774040975265</v>
          </cell>
          <cell r="AF207">
            <v>3.716774040975265</v>
          </cell>
          <cell r="AG207">
            <v>3.716774040975265</v>
          </cell>
          <cell r="AH207">
            <v>3.716774040975265</v>
          </cell>
          <cell r="AI207">
            <v>3.7167740409752654</v>
          </cell>
          <cell r="AJ207">
            <v>3.716774040975265</v>
          </cell>
          <cell r="AK207">
            <v>3.716774040975265</v>
          </cell>
          <cell r="AL207">
            <v>3.716774040975265</v>
          </cell>
          <cell r="AM207">
            <v>3.716774040975265</v>
          </cell>
          <cell r="AN207" t="str">
            <v>ROM 1.BASH</v>
          </cell>
          <cell r="AO207">
            <v>752.89691991570544</v>
          </cell>
          <cell r="AP207">
            <v>4.2552446095154828</v>
          </cell>
          <cell r="AQ207" t="str">
            <v>ROM 1.BASH</v>
          </cell>
          <cell r="AS207">
            <v>203</v>
          </cell>
        </row>
        <row r="208">
          <cell r="B208" t="str">
            <v>IM</v>
          </cell>
          <cell r="C208">
            <v>9.9392992974168379</v>
          </cell>
          <cell r="D208">
            <v>9.923067647614447</v>
          </cell>
          <cell r="E208">
            <v>9.8882613814252078</v>
          </cell>
          <cell r="F208">
            <v>9.8542930036814518</v>
          </cell>
          <cell r="G208">
            <v>9.83484789868589</v>
          </cell>
          <cell r="H208">
            <v>9.8076219419420188</v>
          </cell>
          <cell r="I208">
            <v>9.7927550743408709</v>
          </cell>
          <cell r="J208">
            <v>9.7858469149513549</v>
          </cell>
          <cell r="K208">
            <v>9.7858469149513549</v>
          </cell>
          <cell r="L208">
            <v>9.7858469149513549</v>
          </cell>
          <cell r="M208">
            <v>9.7858469149513549</v>
          </cell>
          <cell r="N208">
            <v>9.7858469149513549</v>
          </cell>
          <cell r="O208">
            <v>9.7858469149513549</v>
          </cell>
          <cell r="P208">
            <v>9.7858469149513549</v>
          </cell>
          <cell r="Q208">
            <v>9.7858469149513549</v>
          </cell>
          <cell r="R208">
            <v>9.7858469149513549</v>
          </cell>
          <cell r="S208">
            <v>9.7858469149513549</v>
          </cell>
          <cell r="T208">
            <v>9.7858469149513549</v>
          </cell>
          <cell r="U208">
            <v>9.7858469149513549</v>
          </cell>
          <cell r="V208">
            <v>9.7858469149513549</v>
          </cell>
          <cell r="W208">
            <v>9.7858469149513549</v>
          </cell>
          <cell r="X208">
            <v>9.7858469149513549</v>
          </cell>
          <cell r="Y208">
            <v>9.7858469149513549</v>
          </cell>
          <cell r="Z208">
            <v>9.7858469149513549</v>
          </cell>
          <cell r="AA208">
            <v>9.7858469149513549</v>
          </cell>
          <cell r="AB208">
            <v>9.7858469149513549</v>
          </cell>
          <cell r="AC208">
            <v>9.7858469149513549</v>
          </cell>
          <cell r="AD208">
            <v>9.7858469149513549</v>
          </cell>
          <cell r="AE208">
            <v>9.7858469149513549</v>
          </cell>
          <cell r="AF208">
            <v>9.7858469149513549</v>
          </cell>
          <cell r="AG208">
            <v>9.7858469149513549</v>
          </cell>
          <cell r="AH208">
            <v>9.7858469149513549</v>
          </cell>
          <cell r="AI208">
            <v>9.7858469149513549</v>
          </cell>
          <cell r="AJ208">
            <v>9.7858469149513549</v>
          </cell>
          <cell r="AK208">
            <v>9.7858469149513549</v>
          </cell>
          <cell r="AL208">
            <v>9.7858469149513549</v>
          </cell>
          <cell r="AM208">
            <v>9.7858469149513549</v>
          </cell>
          <cell r="AN208" t="str">
            <v>ROM 1.BIM</v>
          </cell>
          <cell r="AO208">
            <v>1982.2926871013719</v>
          </cell>
          <cell r="AP208">
            <v>10.499661677741376</v>
          </cell>
          <cell r="AQ208" t="str">
            <v>ROM 1.BIM</v>
          </cell>
          <cell r="AS208">
            <v>204</v>
          </cell>
        </row>
        <row r="209">
          <cell r="B209" t="str">
            <v>TM</v>
          </cell>
          <cell r="C209">
            <v>13.702861545567218</v>
          </cell>
          <cell r="D209">
            <v>13.715574730304171</v>
          </cell>
          <cell r="E209">
            <v>13.701544802933</v>
          </cell>
          <cell r="F209">
            <v>13.682796099890078</v>
          </cell>
          <cell r="G209">
            <v>13.681190812864262</v>
          </cell>
          <cell r="H209">
            <v>13.662701123927656</v>
          </cell>
          <cell r="I209">
            <v>13.654014224524664</v>
          </cell>
          <cell r="J209">
            <v>13.649154972757202</v>
          </cell>
          <cell r="K209">
            <v>13.649154972757202</v>
          </cell>
          <cell r="L209">
            <v>13.649154972757202</v>
          </cell>
          <cell r="M209">
            <v>13.649154972757202</v>
          </cell>
          <cell r="N209">
            <v>13.649154972757202</v>
          </cell>
          <cell r="O209">
            <v>13.649154972757202</v>
          </cell>
          <cell r="P209">
            <v>13.649154972757202</v>
          </cell>
          <cell r="Q209">
            <v>13.649154972757202</v>
          </cell>
          <cell r="R209">
            <v>13.649154972757202</v>
          </cell>
          <cell r="S209">
            <v>13.649154972757202</v>
          </cell>
          <cell r="T209">
            <v>13.649154972757202</v>
          </cell>
          <cell r="U209">
            <v>13.649154972757202</v>
          </cell>
          <cell r="V209">
            <v>13.649154972757202</v>
          </cell>
          <cell r="W209">
            <v>13.649154972757202</v>
          </cell>
          <cell r="X209">
            <v>13.649154972757202</v>
          </cell>
          <cell r="Y209">
            <v>13.649154972757202</v>
          </cell>
          <cell r="Z209">
            <v>13.649154972757202</v>
          </cell>
          <cell r="AA209">
            <v>13.649154972757202</v>
          </cell>
          <cell r="AB209">
            <v>13.649154972757202</v>
          </cell>
          <cell r="AC209">
            <v>13.649154972757202</v>
          </cell>
          <cell r="AD209">
            <v>13.649154972757202</v>
          </cell>
          <cell r="AE209">
            <v>13.649154972757202</v>
          </cell>
          <cell r="AF209">
            <v>13.649154972757202</v>
          </cell>
          <cell r="AG209">
            <v>13.649154972757202</v>
          </cell>
          <cell r="AH209">
            <v>13.649154972757202</v>
          </cell>
          <cell r="AI209">
            <v>13.649154972757202</v>
          </cell>
          <cell r="AJ209">
            <v>13.649154972757202</v>
          </cell>
          <cell r="AK209">
            <v>13.649154972757202</v>
          </cell>
          <cell r="AL209">
            <v>13.649154972757202</v>
          </cell>
          <cell r="AM209">
            <v>13.649154972757202</v>
          </cell>
          <cell r="AN209" t="str">
            <v>ROM 1.BTM</v>
          </cell>
          <cell r="AO209">
            <v>2764.8726086519232</v>
          </cell>
          <cell r="AP209">
            <v>14.358423288713196</v>
          </cell>
          <cell r="AQ209" t="str">
            <v>ROM 1.BTM</v>
          </cell>
          <cell r="AS209">
            <v>205</v>
          </cell>
        </row>
        <row r="210">
          <cell r="B210" t="str">
            <v>ROM 1.B3</v>
          </cell>
          <cell r="C210">
            <v>84.668580359999993</v>
          </cell>
          <cell r="D210">
            <v>91.243140359999998</v>
          </cell>
          <cell r="E210">
            <v>96.431620359999997</v>
          </cell>
          <cell r="F210">
            <v>90.294570359999994</v>
          </cell>
          <cell r="G210">
            <v>72.619320359999989</v>
          </cell>
          <cell r="H210">
            <v>64.033660359999999</v>
          </cell>
          <cell r="I210">
            <v>68.988920359999995</v>
          </cell>
          <cell r="J210">
            <v>74.748280359999995</v>
          </cell>
          <cell r="K210">
            <v>74.748280359999995</v>
          </cell>
          <cell r="L210">
            <v>74.748280359999995</v>
          </cell>
          <cell r="M210">
            <v>74.748280359999995</v>
          </cell>
          <cell r="N210">
            <v>74.748280359999995</v>
          </cell>
          <cell r="O210">
            <v>74.748280359999995</v>
          </cell>
          <cell r="P210">
            <v>74.748280359999995</v>
          </cell>
          <cell r="Q210">
            <v>74.748280359999995</v>
          </cell>
          <cell r="R210">
            <v>74.748280359999995</v>
          </cell>
          <cell r="S210">
            <v>74.748280359999995</v>
          </cell>
          <cell r="T210">
            <v>74.748280359999995</v>
          </cell>
          <cell r="U210">
            <v>74.748280359999995</v>
          </cell>
          <cell r="V210">
            <v>74.748280359999995</v>
          </cell>
          <cell r="W210">
            <v>74.748280359999995</v>
          </cell>
          <cell r="X210">
            <v>74.748280359999995</v>
          </cell>
          <cell r="Y210">
            <v>74.748280359999995</v>
          </cell>
          <cell r="Z210">
            <v>74.748280359999995</v>
          </cell>
          <cell r="AA210">
            <v>74.748280359999995</v>
          </cell>
          <cell r="AB210">
            <v>74.748280359999995</v>
          </cell>
          <cell r="AC210">
            <v>74.748280359999995</v>
          </cell>
          <cell r="AD210">
            <v>74.748280359999995</v>
          </cell>
          <cell r="AE210">
            <v>74.748280359999995</v>
          </cell>
          <cell r="AF210">
            <v>74.748280359999995</v>
          </cell>
          <cell r="AG210">
            <v>74.748280359999995</v>
          </cell>
          <cell r="AH210">
            <v>74.748280359999995</v>
          </cell>
          <cell r="AI210">
            <v>74.748280359999995</v>
          </cell>
          <cell r="AJ210">
            <v>74.748280359999995</v>
          </cell>
          <cell r="AK210">
            <v>74.748280359999995</v>
          </cell>
          <cell r="AL210">
            <v>74.748280359999995</v>
          </cell>
          <cell r="AM210">
            <v>74.748280359999995</v>
          </cell>
          <cell r="AN210" t="str">
            <v>ROM 1.B</v>
          </cell>
          <cell r="AS210">
            <v>206</v>
          </cell>
        </row>
        <row r="211">
          <cell r="B211" t="str">
            <v>CV</v>
          </cell>
          <cell r="C211">
            <v>6081.9040415982745</v>
          </cell>
          <cell r="D211">
            <v>6084.4402745414791</v>
          </cell>
          <cell r="E211">
            <v>6085.1658523951055</v>
          </cell>
          <cell r="F211">
            <v>6093.0941254059007</v>
          </cell>
          <cell r="G211">
            <v>6098.0354119918811</v>
          </cell>
          <cell r="H211">
            <v>6095.5245743632795</v>
          </cell>
          <cell r="I211">
            <v>6083.9473913248648</v>
          </cell>
          <cell r="J211">
            <v>6075.0407634883331</v>
          </cell>
          <cell r="K211">
            <v>6075.0407634883331</v>
          </cell>
          <cell r="L211">
            <v>6075.0407634883331</v>
          </cell>
          <cell r="M211">
            <v>6075.0407634883331</v>
          </cell>
          <cell r="N211">
            <v>6075.0407634883331</v>
          </cell>
          <cell r="O211">
            <v>6075.0407634883331</v>
          </cell>
          <cell r="P211">
            <v>6075.0407634883331</v>
          </cell>
          <cell r="Q211">
            <v>6075.0407634883331</v>
          </cell>
          <cell r="R211">
            <v>6075.0407634883331</v>
          </cell>
          <cell r="S211">
            <v>6075.0407634883331</v>
          </cell>
          <cell r="T211">
            <v>6075.0407634883331</v>
          </cell>
          <cell r="U211">
            <v>6075.0407634883331</v>
          </cell>
          <cell r="V211">
            <v>6075.0407634883331</v>
          </cell>
          <cell r="W211">
            <v>6075.0407634883331</v>
          </cell>
          <cell r="X211">
            <v>6075.0407634883331</v>
          </cell>
          <cell r="Y211">
            <v>6075.0407634883331</v>
          </cell>
          <cell r="Z211">
            <v>6075.0407634883331</v>
          </cell>
          <cell r="AA211">
            <v>6075.0407634883331</v>
          </cell>
          <cell r="AB211">
            <v>6075.0407634883331</v>
          </cell>
          <cell r="AC211">
            <v>6075.0407634883331</v>
          </cell>
          <cell r="AD211">
            <v>6075.0407634883331</v>
          </cell>
          <cell r="AE211">
            <v>6075.0407634883331</v>
          </cell>
          <cell r="AF211">
            <v>6075.0407634883331</v>
          </cell>
          <cell r="AG211">
            <v>6075.0407634883331</v>
          </cell>
          <cell r="AH211">
            <v>6075.0407634883331</v>
          </cell>
          <cell r="AI211">
            <v>6075.0407634883331</v>
          </cell>
          <cell r="AJ211">
            <v>6075.0407634883331</v>
          </cell>
          <cell r="AK211">
            <v>6075.0407634883331</v>
          </cell>
          <cell r="AL211">
            <v>6075.0407634883331</v>
          </cell>
          <cell r="AM211">
            <v>6075.0407634883331</v>
          </cell>
          <cell r="AN211" t="str">
            <v>ROM 1.BCV</v>
          </cell>
          <cell r="AO211">
            <v>454098.85018765437</v>
          </cell>
          <cell r="AS211">
            <v>207</v>
          </cell>
        </row>
        <row r="212">
          <cell r="B212" t="str">
            <v>TS</v>
          </cell>
          <cell r="C212">
            <v>0.2856329024615844</v>
          </cell>
          <cell r="D212">
            <v>0.28647020158943204</v>
          </cell>
          <cell r="E212">
            <v>0.28383483653536334</v>
          </cell>
          <cell r="F212">
            <v>0.28100842154159794</v>
          </cell>
          <cell r="G212">
            <v>0.27880699741159537</v>
          </cell>
          <cell r="H212">
            <v>0.28122374172854492</v>
          </cell>
          <cell r="I212">
            <v>0.28447144878933472</v>
          </cell>
          <cell r="J212">
            <v>0.28792814300478453</v>
          </cell>
          <cell r="K212">
            <v>0.28792814300478453</v>
          </cell>
          <cell r="L212">
            <v>0.28792814300478453</v>
          </cell>
          <cell r="M212">
            <v>0.28792814300478453</v>
          </cell>
          <cell r="N212">
            <v>0.28792814300478453</v>
          </cell>
          <cell r="O212">
            <v>0.28792814300478453</v>
          </cell>
          <cell r="P212">
            <v>0.28792814300478453</v>
          </cell>
          <cell r="Q212">
            <v>0.28792814300478453</v>
          </cell>
          <cell r="R212">
            <v>0.28792814300478453</v>
          </cell>
          <cell r="S212">
            <v>0.28792814300478453</v>
          </cell>
          <cell r="T212">
            <v>0.28792814300478453</v>
          </cell>
          <cell r="U212">
            <v>0.28792814300478453</v>
          </cell>
          <cell r="V212">
            <v>0.28792814300478453</v>
          </cell>
          <cell r="W212">
            <v>0.28792814300478453</v>
          </cell>
          <cell r="X212">
            <v>0.28792814300478453</v>
          </cell>
          <cell r="Y212">
            <v>0.28792814300478453</v>
          </cell>
          <cell r="Z212">
            <v>0.28792814300478453</v>
          </cell>
          <cell r="AA212">
            <v>0.28792814300478453</v>
          </cell>
          <cell r="AB212">
            <v>0.28792814300478453</v>
          </cell>
          <cell r="AC212">
            <v>0.28792814300478453</v>
          </cell>
          <cell r="AD212">
            <v>0.28792814300478453</v>
          </cell>
          <cell r="AE212">
            <v>0.28792814300478453</v>
          </cell>
          <cell r="AF212">
            <v>0.28792814300478453</v>
          </cell>
          <cell r="AG212">
            <v>0.28792814300478453</v>
          </cell>
          <cell r="AH212">
            <v>0.28792814300478453</v>
          </cell>
          <cell r="AI212">
            <v>0.28792814300478453</v>
          </cell>
          <cell r="AJ212">
            <v>0.28792814300478453</v>
          </cell>
          <cell r="AK212">
            <v>0.28792814300478453</v>
          </cell>
          <cell r="AL212">
            <v>0.28792814300478453</v>
          </cell>
          <cell r="AM212">
            <v>0.28792814300478453</v>
          </cell>
          <cell r="AN212" t="str">
            <v>ROM 1.BTS</v>
          </cell>
          <cell r="AO212">
            <v>21.522133556855806</v>
          </cell>
          <cell r="AS212">
            <v>208</v>
          </cell>
        </row>
        <row r="213">
          <cell r="B213" t="str">
            <v>ASH</v>
          </cell>
          <cell r="C213">
            <v>5.9451981133438929</v>
          </cell>
          <cell r="D213">
            <v>5.9487867863301807</v>
          </cell>
          <cell r="E213">
            <v>5.9536530055053296</v>
          </cell>
          <cell r="F213">
            <v>5.7492276732569483</v>
          </cell>
          <cell r="G213">
            <v>5.6225114688960334</v>
          </cell>
          <cell r="H213">
            <v>5.9436651348360234</v>
          </cell>
          <cell r="I213">
            <v>6.0576244852916385</v>
          </cell>
          <cell r="J213">
            <v>6.1310646235910937</v>
          </cell>
          <cell r="K213">
            <v>6.1310646235910937</v>
          </cell>
          <cell r="L213">
            <v>6.1310646235910937</v>
          </cell>
          <cell r="M213">
            <v>6.1310646235910937</v>
          </cell>
          <cell r="N213">
            <v>6.1310646235910937</v>
          </cell>
          <cell r="O213">
            <v>6.1310646235910937</v>
          </cell>
          <cell r="P213">
            <v>6.1310646235910937</v>
          </cell>
          <cell r="Q213">
            <v>6.1310646235910937</v>
          </cell>
          <cell r="R213">
            <v>6.1310646235910937</v>
          </cell>
          <cell r="S213">
            <v>6.1310646235910937</v>
          </cell>
          <cell r="T213">
            <v>6.1310646235910937</v>
          </cell>
          <cell r="U213">
            <v>6.1310646235910937</v>
          </cell>
          <cell r="V213">
            <v>6.1310646235910937</v>
          </cell>
          <cell r="W213">
            <v>6.1310646235910937</v>
          </cell>
          <cell r="X213">
            <v>6.1310646235910937</v>
          </cell>
          <cell r="Y213">
            <v>6.1310646235910937</v>
          </cell>
          <cell r="Z213">
            <v>6.1310646235910937</v>
          </cell>
          <cell r="AA213">
            <v>6.1310646235910937</v>
          </cell>
          <cell r="AB213">
            <v>6.1310646235910937</v>
          </cell>
          <cell r="AC213">
            <v>6.1310646235910937</v>
          </cell>
          <cell r="AD213">
            <v>6.1310646235910937</v>
          </cell>
          <cell r="AE213">
            <v>6.1310646235910937</v>
          </cell>
          <cell r="AF213">
            <v>6.1310646235910937</v>
          </cell>
          <cell r="AG213">
            <v>6.1310646235910937</v>
          </cell>
          <cell r="AH213">
            <v>6.1310646235910937</v>
          </cell>
          <cell r="AI213">
            <v>6.1310646235910937</v>
          </cell>
          <cell r="AJ213">
            <v>6.1310646235910937</v>
          </cell>
          <cell r="AK213">
            <v>6.1310646235910937</v>
          </cell>
          <cell r="AL213">
            <v>6.1310646235910937</v>
          </cell>
          <cell r="AM213">
            <v>6.1310646235910937</v>
          </cell>
          <cell r="AN213" t="str">
            <v>ROM 1.BASH</v>
          </cell>
          <cell r="AO213">
            <v>458.28653738946491</v>
          </cell>
          <cell r="AS213">
            <v>209</v>
          </cell>
        </row>
        <row r="214">
          <cell r="B214" t="str">
            <v>IM</v>
          </cell>
          <cell r="C214">
            <v>12.912726546874076</v>
          </cell>
          <cell r="D214">
            <v>12.906432073499341</v>
          </cell>
          <cell r="E214">
            <v>12.91226302375598</v>
          </cell>
          <cell r="F214">
            <v>12.957297825378626</v>
          </cell>
          <cell r="G214">
            <v>12.980098699155462</v>
          </cell>
          <cell r="H214">
            <v>12.957696794619428</v>
          </cell>
          <cell r="I214">
            <v>12.983192530520494</v>
          </cell>
          <cell r="J214">
            <v>13.011310670551639</v>
          </cell>
          <cell r="K214">
            <v>13.011310670551639</v>
          </cell>
          <cell r="L214">
            <v>13.011310670551639</v>
          </cell>
          <cell r="M214">
            <v>13.011310670551639</v>
          </cell>
          <cell r="N214">
            <v>13.011310670551639</v>
          </cell>
          <cell r="O214">
            <v>13.011310670551639</v>
          </cell>
          <cell r="P214">
            <v>13.011310670551639</v>
          </cell>
          <cell r="Q214">
            <v>13.011310670551639</v>
          </cell>
          <cell r="R214">
            <v>13.011310670551639</v>
          </cell>
          <cell r="S214">
            <v>13.011310670551639</v>
          </cell>
          <cell r="T214">
            <v>13.011310670551639</v>
          </cell>
          <cell r="U214">
            <v>13.011310670551639</v>
          </cell>
          <cell r="V214">
            <v>13.011310670551639</v>
          </cell>
          <cell r="W214">
            <v>13.011310670551639</v>
          </cell>
          <cell r="X214">
            <v>13.011310670551639</v>
          </cell>
          <cell r="Y214">
            <v>13.011310670551639</v>
          </cell>
          <cell r="Z214">
            <v>13.011310670551639</v>
          </cell>
          <cell r="AA214">
            <v>13.011310670551639</v>
          </cell>
          <cell r="AB214">
            <v>13.011310670551639</v>
          </cell>
          <cell r="AC214">
            <v>13.011310670551639</v>
          </cell>
          <cell r="AD214">
            <v>13.011310670551639</v>
          </cell>
          <cell r="AE214">
            <v>13.011310670551639</v>
          </cell>
          <cell r="AF214">
            <v>13.011310670551639</v>
          </cell>
          <cell r="AG214">
            <v>13.011310670551639</v>
          </cell>
          <cell r="AH214">
            <v>13.011310670551639</v>
          </cell>
          <cell r="AI214">
            <v>13.011310670551639</v>
          </cell>
          <cell r="AJ214">
            <v>13.011310670551639</v>
          </cell>
          <cell r="AK214">
            <v>13.011310670551639</v>
          </cell>
          <cell r="AL214">
            <v>13.011310670551639</v>
          </cell>
          <cell r="AM214">
            <v>13.011310670551639</v>
          </cell>
          <cell r="AN214" t="str">
            <v>ROM 1.BIM</v>
          </cell>
          <cell r="AO214">
            <v>972.57309785345342</v>
          </cell>
          <cell r="AS214">
            <v>210</v>
          </cell>
        </row>
        <row r="215">
          <cell r="B215" t="str">
            <v>TM</v>
          </cell>
          <cell r="C215">
            <v>16.953402957788395</v>
          </cell>
          <cell r="D215">
            <v>16.96346550983673</v>
          </cell>
          <cell r="E215">
            <v>16.976800869969768</v>
          </cell>
          <cell r="F215">
            <v>17.043025076842135</v>
          </cell>
          <cell r="G215">
            <v>17.079845247213871</v>
          </cell>
          <cell r="H215">
            <v>17.067023494614645</v>
          </cell>
          <cell r="I215">
            <v>17.085049816316133</v>
          </cell>
          <cell r="J215">
            <v>17.108374041653736</v>
          </cell>
          <cell r="K215">
            <v>17.108374041653736</v>
          </cell>
          <cell r="L215">
            <v>17.108374041653736</v>
          </cell>
          <cell r="M215">
            <v>17.108374041653736</v>
          </cell>
          <cell r="N215">
            <v>17.108374041653736</v>
          </cell>
          <cell r="O215">
            <v>17.108374041653736</v>
          </cell>
          <cell r="P215">
            <v>17.108374041653736</v>
          </cell>
          <cell r="Q215">
            <v>17.108374041653736</v>
          </cell>
          <cell r="R215">
            <v>17.108374041653736</v>
          </cell>
          <cell r="S215">
            <v>17.108374041653736</v>
          </cell>
          <cell r="T215">
            <v>17.108374041653736</v>
          </cell>
          <cell r="U215">
            <v>17.108374041653736</v>
          </cell>
          <cell r="V215">
            <v>17.108374041653736</v>
          </cell>
          <cell r="W215">
            <v>17.108374041653736</v>
          </cell>
          <cell r="X215">
            <v>17.108374041653736</v>
          </cell>
          <cell r="Y215">
            <v>17.108374041653736</v>
          </cell>
          <cell r="Z215">
            <v>17.108374041653736</v>
          </cell>
          <cell r="AA215">
            <v>17.108374041653736</v>
          </cell>
          <cell r="AB215">
            <v>17.108374041653736</v>
          </cell>
          <cell r="AC215">
            <v>17.108374041653736</v>
          </cell>
          <cell r="AD215">
            <v>17.108374041653736</v>
          </cell>
          <cell r="AE215">
            <v>17.108374041653736</v>
          </cell>
          <cell r="AF215">
            <v>17.108374041653736</v>
          </cell>
          <cell r="AG215">
            <v>17.108374041653736</v>
          </cell>
          <cell r="AH215">
            <v>17.108374041653736</v>
          </cell>
          <cell r="AI215">
            <v>17.108374041653736</v>
          </cell>
          <cell r="AJ215">
            <v>17.108374041653736</v>
          </cell>
          <cell r="AK215">
            <v>17.108374041653736</v>
          </cell>
          <cell r="AL215">
            <v>17.108374041653736</v>
          </cell>
          <cell r="AM215">
            <v>17.108374041653736</v>
          </cell>
          <cell r="AN215" t="str">
            <v>ROM 1.BTM</v>
          </cell>
          <cell r="AO215">
            <v>1278.8215393692797</v>
          </cell>
          <cell r="AS215">
            <v>211</v>
          </cell>
        </row>
        <row r="216">
          <cell r="B216" t="str">
            <v>ROM 1.B4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 t="str">
            <v>ROM 1.B</v>
          </cell>
          <cell r="AS216">
            <v>212</v>
          </cell>
        </row>
        <row r="217">
          <cell r="B217" t="str">
            <v>CV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 t="str">
            <v>ROM 1.BCV</v>
          </cell>
          <cell r="AO217">
            <v>0</v>
          </cell>
          <cell r="AS217">
            <v>213</v>
          </cell>
        </row>
        <row r="218">
          <cell r="B218" t="str">
            <v>TS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 t="str">
            <v>ROM 1.BTS</v>
          </cell>
          <cell r="AO218">
            <v>0</v>
          </cell>
          <cell r="AS218">
            <v>214</v>
          </cell>
        </row>
        <row r="219">
          <cell r="B219" t="str">
            <v>ASH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 t="str">
            <v>ROM 1.BASH</v>
          </cell>
          <cell r="AO219">
            <v>0</v>
          </cell>
          <cell r="AS219">
            <v>215</v>
          </cell>
        </row>
        <row r="220">
          <cell r="B220" t="str">
            <v>IM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 t="str">
            <v>ROM 1.BIM</v>
          </cell>
          <cell r="AO220">
            <v>0</v>
          </cell>
          <cell r="AS220">
            <v>216</v>
          </cell>
        </row>
        <row r="221">
          <cell r="B221" t="str">
            <v>TM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 t="str">
            <v>ROM 1.BTM</v>
          </cell>
          <cell r="AO221">
            <v>0</v>
          </cell>
          <cell r="AS221">
            <v>217</v>
          </cell>
        </row>
        <row r="222">
          <cell r="B222" t="str">
            <v/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 t="str">
            <v/>
          </cell>
          <cell r="AS222">
            <v>218</v>
          </cell>
        </row>
        <row r="223">
          <cell r="B223" t="str">
            <v>CV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 t="str">
            <v>ROM 1.BCV</v>
          </cell>
          <cell r="AO223">
            <v>0</v>
          </cell>
          <cell r="AS223">
            <v>219</v>
          </cell>
        </row>
        <row r="224">
          <cell r="B224" t="str">
            <v>TS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 t="str">
            <v>ROM 1.BTS</v>
          </cell>
          <cell r="AO224">
            <v>0</v>
          </cell>
          <cell r="AS224">
            <v>220</v>
          </cell>
        </row>
        <row r="225">
          <cell r="B225" t="str">
            <v>ASH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 t="str">
            <v>ROM 1.BASH</v>
          </cell>
          <cell r="AO225">
            <v>0</v>
          </cell>
          <cell r="AS225">
            <v>221</v>
          </cell>
        </row>
        <row r="226">
          <cell r="B226" t="str">
            <v>IM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 t="str">
            <v>ROM 1.BIM</v>
          </cell>
          <cell r="AO226">
            <v>0</v>
          </cell>
          <cell r="AS226">
            <v>222</v>
          </cell>
        </row>
        <row r="227">
          <cell r="B227" t="str">
            <v>TM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 t="str">
            <v>ROM 1.BTM</v>
          </cell>
          <cell r="AO227">
            <v>0</v>
          </cell>
          <cell r="AS227">
            <v>223</v>
          </cell>
        </row>
        <row r="228">
          <cell r="B228" t="str">
            <v>ROM 4</v>
          </cell>
          <cell r="C228">
            <v>198.07275306</v>
          </cell>
          <cell r="D228">
            <v>194.22313306000001</v>
          </cell>
          <cell r="E228">
            <v>178.47390306</v>
          </cell>
          <cell r="F228">
            <v>174.68721306</v>
          </cell>
          <cell r="G228">
            <v>180.23817306000001</v>
          </cell>
          <cell r="H228">
            <v>177.93710306000003</v>
          </cell>
          <cell r="I228">
            <v>174.04495306000001</v>
          </cell>
          <cell r="J228">
            <v>168.65337306000001</v>
          </cell>
          <cell r="K228">
            <v>168.65337306000001</v>
          </cell>
          <cell r="L228">
            <v>168.65337306000001</v>
          </cell>
          <cell r="M228">
            <v>168.65337306000001</v>
          </cell>
          <cell r="N228">
            <v>168.65337306000001</v>
          </cell>
          <cell r="O228">
            <v>168.65337306000001</v>
          </cell>
          <cell r="P228">
            <v>168.65337306000001</v>
          </cell>
          <cell r="Q228">
            <v>168.65337306000001</v>
          </cell>
          <cell r="R228">
            <v>168.65337306000001</v>
          </cell>
          <cell r="S228">
            <v>168.65337306000001</v>
          </cell>
          <cell r="T228">
            <v>168.65337306000001</v>
          </cell>
          <cell r="U228">
            <v>168.65337306000001</v>
          </cell>
          <cell r="V228">
            <v>168.65337306000001</v>
          </cell>
          <cell r="W228">
            <v>168.65337306000001</v>
          </cell>
          <cell r="X228">
            <v>168.65337306000001</v>
          </cell>
          <cell r="Y228">
            <v>168.65337306000001</v>
          </cell>
          <cell r="Z228">
            <v>168.65337306000001</v>
          </cell>
          <cell r="AA228">
            <v>168.65337306000001</v>
          </cell>
          <cell r="AB228">
            <v>168.65337306000001</v>
          </cell>
          <cell r="AC228">
            <v>168.65337306000001</v>
          </cell>
          <cell r="AD228">
            <v>168.65337306000001</v>
          </cell>
          <cell r="AE228">
            <v>168.65337306000001</v>
          </cell>
          <cell r="AF228">
            <v>168.65337306000001</v>
          </cell>
          <cell r="AG228">
            <v>168.65337306000001</v>
          </cell>
          <cell r="AH228">
            <v>168.65337306000001</v>
          </cell>
          <cell r="AI228">
            <v>168.65337306000001</v>
          </cell>
          <cell r="AJ228">
            <v>168.65337306000001</v>
          </cell>
          <cell r="AK228">
            <v>168.65337306000001</v>
          </cell>
          <cell r="AL228">
            <v>168.65337306000001</v>
          </cell>
          <cell r="AM228">
            <v>168.65337306000001</v>
          </cell>
          <cell r="AS228">
            <v>224</v>
          </cell>
        </row>
        <row r="229">
          <cell r="B229" t="str">
            <v>CV</v>
          </cell>
          <cell r="C229">
            <v>6552.4571574854845</v>
          </cell>
          <cell r="D229">
            <v>6551.1889061173406</v>
          </cell>
          <cell r="E229">
            <v>6550.1735673230323</v>
          </cell>
          <cell r="F229">
            <v>6542.5684334594425</v>
          </cell>
          <cell r="G229">
            <v>6537.846493162956</v>
          </cell>
          <cell r="H229">
            <v>6537.0151846634517</v>
          </cell>
          <cell r="I229">
            <v>6539.2532953264636</v>
          </cell>
          <cell r="J229">
            <v>6536.1740629493625</v>
          </cell>
          <cell r="K229">
            <v>6536.1740629493625</v>
          </cell>
          <cell r="L229">
            <v>6536.1740629493625</v>
          </cell>
          <cell r="M229">
            <v>6536.1740629493625</v>
          </cell>
          <cell r="N229">
            <v>6536.1740629493625</v>
          </cell>
          <cell r="O229">
            <v>6536.1740629493625</v>
          </cell>
          <cell r="P229">
            <v>6536.1740629493625</v>
          </cell>
          <cell r="Q229">
            <v>6536.1740629493625</v>
          </cell>
          <cell r="R229">
            <v>6536.1740629493625</v>
          </cell>
          <cell r="S229">
            <v>6536.1740629493625</v>
          </cell>
          <cell r="T229">
            <v>6536.1740629493625</v>
          </cell>
          <cell r="U229">
            <v>6536.1740629493625</v>
          </cell>
          <cell r="V229">
            <v>6536.1740629493625</v>
          </cell>
          <cell r="W229">
            <v>6536.1740629493625</v>
          </cell>
          <cell r="X229">
            <v>6536.1740629493625</v>
          </cell>
          <cell r="Y229">
            <v>6536.1740629493625</v>
          </cell>
          <cell r="Z229">
            <v>6536.1740629493625</v>
          </cell>
          <cell r="AA229">
            <v>6536.1740629493625</v>
          </cell>
          <cell r="AB229">
            <v>6536.1740629493625</v>
          </cell>
          <cell r="AC229">
            <v>6536.1740629493625</v>
          </cell>
          <cell r="AD229">
            <v>6536.1740629493625</v>
          </cell>
          <cell r="AE229">
            <v>6536.1740629493625</v>
          </cell>
          <cell r="AF229">
            <v>6536.1740629493625</v>
          </cell>
          <cell r="AG229">
            <v>6536.1740629493625</v>
          </cell>
          <cell r="AH229">
            <v>6536.1740629493625</v>
          </cell>
          <cell r="AI229">
            <v>6536.1740629493625</v>
          </cell>
          <cell r="AJ229">
            <v>6536.1740629493625</v>
          </cell>
          <cell r="AK229">
            <v>6536.1740629493625</v>
          </cell>
          <cell r="AL229">
            <v>6536.1740629493625</v>
          </cell>
          <cell r="AM229">
            <v>6536.1740629493625</v>
          </cell>
          <cell r="AS229">
            <v>225</v>
          </cell>
        </row>
        <row r="230">
          <cell r="B230" t="str">
            <v>TS</v>
          </cell>
          <cell r="C230">
            <v>1.6514471667992927</v>
          </cell>
          <cell r="D230">
            <v>1.6591113033402811</v>
          </cell>
          <cell r="E230">
            <v>1.6631592788364109</v>
          </cell>
          <cell r="F230">
            <v>1.683685776766026</v>
          </cell>
          <cell r="G230">
            <v>1.7012633056658921</v>
          </cell>
          <cell r="H230">
            <v>1.7157446140165713</v>
          </cell>
          <cell r="I230">
            <v>1.7222446211341227</v>
          </cell>
          <cell r="J230">
            <v>1.7362849421618016</v>
          </cell>
          <cell r="K230">
            <v>1.7362849421618016</v>
          </cell>
          <cell r="L230">
            <v>1.7362849421618016</v>
          </cell>
          <cell r="M230">
            <v>1.7362849421618016</v>
          </cell>
          <cell r="N230">
            <v>1.7362849421618016</v>
          </cell>
          <cell r="O230">
            <v>1.7362849421618016</v>
          </cell>
          <cell r="P230">
            <v>1.7362849421618016</v>
          </cell>
          <cell r="Q230">
            <v>1.7362849421618016</v>
          </cell>
          <cell r="R230">
            <v>1.7362849421618016</v>
          </cell>
          <cell r="S230">
            <v>1.7362849421618016</v>
          </cell>
          <cell r="T230">
            <v>1.7362849421618016</v>
          </cell>
          <cell r="U230">
            <v>1.7362849421618016</v>
          </cell>
          <cell r="V230">
            <v>1.7362849421618016</v>
          </cell>
          <cell r="W230">
            <v>1.7362849421618016</v>
          </cell>
          <cell r="X230">
            <v>1.7362849421618016</v>
          </cell>
          <cell r="Y230">
            <v>1.7362849421618016</v>
          </cell>
          <cell r="Z230">
            <v>1.7362849421618016</v>
          </cell>
          <cell r="AA230">
            <v>1.7362849421618016</v>
          </cell>
          <cell r="AB230">
            <v>1.7362849421618016</v>
          </cell>
          <cell r="AC230">
            <v>1.7362849421618016</v>
          </cell>
          <cell r="AD230">
            <v>1.7362849421618016</v>
          </cell>
          <cell r="AE230">
            <v>1.7362849421618016</v>
          </cell>
          <cell r="AF230">
            <v>1.7362849421618016</v>
          </cell>
          <cell r="AG230">
            <v>1.7362849421618016</v>
          </cell>
          <cell r="AH230">
            <v>1.7362849421618016</v>
          </cell>
          <cell r="AI230">
            <v>1.7362849421618016</v>
          </cell>
          <cell r="AJ230">
            <v>1.7362849421618016</v>
          </cell>
          <cell r="AK230">
            <v>1.7362849421618016</v>
          </cell>
          <cell r="AL230">
            <v>1.7362849421618016</v>
          </cell>
          <cell r="AM230">
            <v>1.7362849421618016</v>
          </cell>
          <cell r="AS230">
            <v>226</v>
          </cell>
        </row>
        <row r="231">
          <cell r="B231" t="str">
            <v>ASH</v>
          </cell>
          <cell r="C231">
            <v>4.5820639310389542</v>
          </cell>
          <cell r="D231">
            <v>4.5877628873732981</v>
          </cell>
          <cell r="E231">
            <v>4.5915673367394891</v>
          </cell>
          <cell r="F231">
            <v>4.6389661745439517</v>
          </cell>
          <cell r="G231">
            <v>4.6604249312802999</v>
          </cell>
          <cell r="H231">
            <v>4.6427395850098412</v>
          </cell>
          <cell r="I231">
            <v>4.6072201256039396</v>
          </cell>
          <cell r="J231">
            <v>4.6292143700910469</v>
          </cell>
          <cell r="K231">
            <v>4.6292143700910469</v>
          </cell>
          <cell r="L231">
            <v>4.6292143700910469</v>
          </cell>
          <cell r="M231">
            <v>4.6292143700910469</v>
          </cell>
          <cell r="N231">
            <v>4.6292143700910469</v>
          </cell>
          <cell r="O231">
            <v>4.6292143700910469</v>
          </cell>
          <cell r="P231">
            <v>4.6292143700910469</v>
          </cell>
          <cell r="Q231">
            <v>4.6292143700910469</v>
          </cell>
          <cell r="R231">
            <v>4.6292143700910469</v>
          </cell>
          <cell r="S231">
            <v>4.6292143700910469</v>
          </cell>
          <cell r="T231">
            <v>4.6292143700910469</v>
          </cell>
          <cell r="U231">
            <v>4.6292143700910469</v>
          </cell>
          <cell r="V231">
            <v>4.6292143700910469</v>
          </cell>
          <cell r="W231">
            <v>4.6292143700910469</v>
          </cell>
          <cell r="X231">
            <v>4.6292143700910469</v>
          </cell>
          <cell r="Y231">
            <v>4.6292143700910469</v>
          </cell>
          <cell r="Z231">
            <v>4.6292143700910469</v>
          </cell>
          <cell r="AA231">
            <v>4.6292143700910469</v>
          </cell>
          <cell r="AB231">
            <v>4.6292143700910469</v>
          </cell>
          <cell r="AC231">
            <v>4.6292143700910469</v>
          </cell>
          <cell r="AD231">
            <v>4.6292143700910469</v>
          </cell>
          <cell r="AE231">
            <v>4.6292143700910469</v>
          </cell>
          <cell r="AF231">
            <v>4.6292143700910469</v>
          </cell>
          <cell r="AG231">
            <v>4.6292143700910469</v>
          </cell>
          <cell r="AH231">
            <v>4.6292143700910469</v>
          </cell>
          <cell r="AI231">
            <v>4.6292143700910469</v>
          </cell>
          <cell r="AJ231">
            <v>4.6292143700910469</v>
          </cell>
          <cell r="AK231">
            <v>4.6292143700910469</v>
          </cell>
          <cell r="AL231">
            <v>4.6292143700910469</v>
          </cell>
          <cell r="AM231">
            <v>4.6292143700910469</v>
          </cell>
          <cell r="AS231">
            <v>227</v>
          </cell>
        </row>
        <row r="232">
          <cell r="B232" t="str">
            <v>IM</v>
          </cell>
          <cell r="C232">
            <v>9.9552774767039107</v>
          </cell>
          <cell r="D232">
            <v>9.9576553268066839</v>
          </cell>
          <cell r="E232">
            <v>9.9607727172152476</v>
          </cell>
          <cell r="F232">
            <v>9.9837970254571005</v>
          </cell>
          <cell r="G232">
            <v>9.998909545464441</v>
          </cell>
          <cell r="H232">
            <v>10.014787128735502</v>
          </cell>
          <cell r="I232">
            <v>10.022616668794969</v>
          </cell>
          <cell r="J232">
            <v>10.021299315856254</v>
          </cell>
          <cell r="K232">
            <v>10.021299315856254</v>
          </cell>
          <cell r="L232">
            <v>10.021299315856254</v>
          </cell>
          <cell r="M232">
            <v>10.021299315856254</v>
          </cell>
          <cell r="N232">
            <v>10.021299315856254</v>
          </cell>
          <cell r="O232">
            <v>10.021299315856254</v>
          </cell>
          <cell r="P232">
            <v>10.021299315856254</v>
          </cell>
          <cell r="Q232">
            <v>10.021299315856254</v>
          </cell>
          <cell r="R232">
            <v>10.021299315856254</v>
          </cell>
          <cell r="S232">
            <v>10.021299315856254</v>
          </cell>
          <cell r="T232">
            <v>10.021299315856254</v>
          </cell>
          <cell r="U232">
            <v>10.021299315856254</v>
          </cell>
          <cell r="V232">
            <v>10.021299315856254</v>
          </cell>
          <cell r="W232">
            <v>10.021299315856254</v>
          </cell>
          <cell r="X232">
            <v>10.021299315856254</v>
          </cell>
          <cell r="Y232">
            <v>10.021299315856254</v>
          </cell>
          <cell r="Z232">
            <v>10.021299315856254</v>
          </cell>
          <cell r="AA232">
            <v>10.021299315856254</v>
          </cell>
          <cell r="AB232">
            <v>10.021299315856254</v>
          </cell>
          <cell r="AC232">
            <v>10.021299315856254</v>
          </cell>
          <cell r="AD232">
            <v>10.021299315856254</v>
          </cell>
          <cell r="AE232">
            <v>10.021299315856254</v>
          </cell>
          <cell r="AF232">
            <v>10.021299315856254</v>
          </cell>
          <cell r="AG232">
            <v>10.021299315856254</v>
          </cell>
          <cell r="AH232">
            <v>10.021299315856254</v>
          </cell>
          <cell r="AI232">
            <v>10.021299315856254</v>
          </cell>
          <cell r="AJ232">
            <v>10.021299315856254</v>
          </cell>
          <cell r="AK232">
            <v>10.021299315856254</v>
          </cell>
          <cell r="AL232">
            <v>10.021299315856254</v>
          </cell>
          <cell r="AM232">
            <v>10.021299315856254</v>
          </cell>
          <cell r="AS232">
            <v>228</v>
          </cell>
        </row>
        <row r="233">
          <cell r="B233" t="str">
            <v>TM</v>
          </cell>
          <cell r="C233">
            <v>13.49068185897595</v>
          </cell>
          <cell r="D233">
            <v>13.498676520348594</v>
          </cell>
          <cell r="E233">
            <v>13.515032117112234</v>
          </cell>
          <cell r="F233">
            <v>13.540697650475792</v>
          </cell>
          <cell r="G233">
            <v>13.549771808215798</v>
          </cell>
          <cell r="H233">
            <v>13.565331382606576</v>
          </cell>
          <cell r="I233">
            <v>13.56817789462052</v>
          </cell>
          <cell r="J233">
            <v>13.5657948591783</v>
          </cell>
          <cell r="K233">
            <v>13.5657948591783</v>
          </cell>
          <cell r="L233">
            <v>13.5657948591783</v>
          </cell>
          <cell r="M233">
            <v>13.5657948591783</v>
          </cell>
          <cell r="N233">
            <v>13.5657948591783</v>
          </cell>
          <cell r="O233">
            <v>13.5657948591783</v>
          </cell>
          <cell r="P233">
            <v>13.5657948591783</v>
          </cell>
          <cell r="Q233">
            <v>13.5657948591783</v>
          </cell>
          <cell r="R233">
            <v>13.5657948591783</v>
          </cell>
          <cell r="S233">
            <v>13.5657948591783</v>
          </cell>
          <cell r="T233">
            <v>13.5657948591783</v>
          </cell>
          <cell r="U233">
            <v>13.5657948591783</v>
          </cell>
          <cell r="V233">
            <v>13.5657948591783</v>
          </cell>
          <cell r="W233">
            <v>13.5657948591783</v>
          </cell>
          <cell r="X233">
            <v>13.5657948591783</v>
          </cell>
          <cell r="Y233">
            <v>13.5657948591783</v>
          </cell>
          <cell r="Z233">
            <v>13.5657948591783</v>
          </cell>
          <cell r="AA233">
            <v>13.5657948591783</v>
          </cell>
          <cell r="AB233">
            <v>13.5657948591783</v>
          </cell>
          <cell r="AC233">
            <v>13.5657948591783</v>
          </cell>
          <cell r="AD233">
            <v>13.5657948591783</v>
          </cell>
          <cell r="AE233">
            <v>13.5657948591783</v>
          </cell>
          <cell r="AF233">
            <v>13.5657948591783</v>
          </cell>
          <cell r="AG233">
            <v>13.5657948591783</v>
          </cell>
          <cell r="AH233">
            <v>13.5657948591783</v>
          </cell>
          <cell r="AI233">
            <v>13.5657948591783</v>
          </cell>
          <cell r="AJ233">
            <v>13.5657948591783</v>
          </cell>
          <cell r="AK233">
            <v>13.5657948591783</v>
          </cell>
          <cell r="AL233">
            <v>13.5657948591783</v>
          </cell>
          <cell r="AM233">
            <v>13.5657948591783</v>
          </cell>
          <cell r="AS233">
            <v>229</v>
          </cell>
        </row>
        <row r="234">
          <cell r="B234" t="str">
            <v>ROM 4.U1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 t="str">
            <v>ROM 4.U</v>
          </cell>
          <cell r="AP234">
            <v>0</v>
          </cell>
          <cell r="AQ234" t="str">
            <v>ROM 4.M</v>
          </cell>
          <cell r="AS234">
            <v>230</v>
          </cell>
        </row>
        <row r="235">
          <cell r="B235" t="str">
            <v>CV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 t="str">
            <v>ROM 4.UCV</v>
          </cell>
          <cell r="AO235">
            <v>0</v>
          </cell>
          <cell r="AP235" t="e">
            <v>#DIV/0!</v>
          </cell>
          <cell r="AQ235" t="str">
            <v>ROM 4.MCV</v>
          </cell>
          <cell r="AS235">
            <v>231</v>
          </cell>
        </row>
        <row r="236">
          <cell r="B236" t="str">
            <v>TS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 t="str">
            <v>ROM 4.UTS</v>
          </cell>
          <cell r="AO236">
            <v>0</v>
          </cell>
          <cell r="AP236" t="e">
            <v>#DIV/0!</v>
          </cell>
          <cell r="AQ236" t="str">
            <v>ROM 4.MTS</v>
          </cell>
          <cell r="AS236">
            <v>232</v>
          </cell>
        </row>
        <row r="237">
          <cell r="B237" t="str">
            <v>ASH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 t="str">
            <v>ROM 4.UASH</v>
          </cell>
          <cell r="AO237">
            <v>0</v>
          </cell>
          <cell r="AP237" t="e">
            <v>#DIV/0!</v>
          </cell>
          <cell r="AQ237" t="str">
            <v>ROM 4.MASH</v>
          </cell>
          <cell r="AS237">
            <v>233</v>
          </cell>
        </row>
        <row r="238">
          <cell r="B238" t="str">
            <v>IM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 t="str">
            <v>ROM 4.UIM</v>
          </cell>
          <cell r="AO238">
            <v>0</v>
          </cell>
          <cell r="AP238" t="e">
            <v>#DIV/0!</v>
          </cell>
          <cell r="AQ238" t="str">
            <v>ROM 4.MIM</v>
          </cell>
          <cell r="AS238">
            <v>234</v>
          </cell>
        </row>
        <row r="239">
          <cell r="B239" t="str">
            <v>TM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 t="str">
            <v>ROM 4.UTM</v>
          </cell>
          <cell r="AO239">
            <v>0</v>
          </cell>
          <cell r="AP239" t="e">
            <v>#DIV/0!</v>
          </cell>
          <cell r="AQ239" t="str">
            <v>ROM 4.MTM</v>
          </cell>
          <cell r="AS239">
            <v>235</v>
          </cell>
        </row>
        <row r="240">
          <cell r="B240" t="str">
            <v>ROM 4.B1</v>
          </cell>
          <cell r="C240">
            <v>109.44127284999999</v>
          </cell>
          <cell r="D240">
            <v>106.49231284999999</v>
          </cell>
          <cell r="E240">
            <v>100.48989284999999</v>
          </cell>
          <cell r="F240">
            <v>98.325102849999993</v>
          </cell>
          <cell r="G240">
            <v>101.96722285</v>
          </cell>
          <cell r="H240">
            <v>99.278732849999997</v>
          </cell>
          <cell r="I240">
            <v>98.525932850000004</v>
          </cell>
          <cell r="J240">
            <v>97.100432850000004</v>
          </cell>
          <cell r="K240">
            <v>97.100432850000004</v>
          </cell>
          <cell r="L240">
            <v>97.100432850000004</v>
          </cell>
          <cell r="M240">
            <v>97.100432850000004</v>
          </cell>
          <cell r="N240">
            <v>97.100432850000004</v>
          </cell>
          <cell r="O240">
            <v>97.100432850000004</v>
          </cell>
          <cell r="P240">
            <v>97.100432850000004</v>
          </cell>
          <cell r="Q240">
            <v>97.100432850000004</v>
          </cell>
          <cell r="R240">
            <v>97.100432850000004</v>
          </cell>
          <cell r="S240">
            <v>97.100432850000004</v>
          </cell>
          <cell r="T240">
            <v>97.100432850000004</v>
          </cell>
          <cell r="U240">
            <v>97.100432850000004</v>
          </cell>
          <cell r="V240">
            <v>97.100432850000004</v>
          </cell>
          <cell r="W240">
            <v>97.100432850000004</v>
          </cell>
          <cell r="X240">
            <v>97.100432850000004</v>
          </cell>
          <cell r="Y240">
            <v>97.100432850000004</v>
          </cell>
          <cell r="Z240">
            <v>97.100432850000004</v>
          </cell>
          <cell r="AA240">
            <v>97.100432850000004</v>
          </cell>
          <cell r="AB240">
            <v>97.100432850000004</v>
          </cell>
          <cell r="AC240">
            <v>97.100432850000004</v>
          </cell>
          <cell r="AD240">
            <v>97.100432850000004</v>
          </cell>
          <cell r="AE240">
            <v>97.100432850000004</v>
          </cell>
          <cell r="AF240">
            <v>97.100432850000004</v>
          </cell>
          <cell r="AG240">
            <v>97.100432850000004</v>
          </cell>
          <cell r="AH240">
            <v>97.100432850000004</v>
          </cell>
          <cell r="AI240">
            <v>97.100432850000004</v>
          </cell>
          <cell r="AJ240">
            <v>97.100432850000004</v>
          </cell>
          <cell r="AK240">
            <v>97.100432850000004</v>
          </cell>
          <cell r="AL240">
            <v>97.100432850000004</v>
          </cell>
          <cell r="AM240">
            <v>97.100432850000004</v>
          </cell>
          <cell r="AN240" t="str">
            <v>ROM 4.B</v>
          </cell>
          <cell r="AP240">
            <v>0</v>
          </cell>
          <cell r="AQ240" t="str">
            <v>ROM 4.U</v>
          </cell>
          <cell r="AS240">
            <v>236</v>
          </cell>
        </row>
        <row r="241">
          <cell r="B241" t="str">
            <v>CV</v>
          </cell>
          <cell r="C241">
            <v>6591.243155246907</v>
          </cell>
          <cell r="D241">
            <v>6586.5068341969682</v>
          </cell>
          <cell r="E241">
            <v>6583.1491399746656</v>
          </cell>
          <cell r="F241">
            <v>6578.855717559044</v>
          </cell>
          <cell r="G241">
            <v>6579.7339016799642</v>
          </cell>
          <cell r="H241">
            <v>6579.3582350669167</v>
          </cell>
          <cell r="I241">
            <v>6582.3288525584185</v>
          </cell>
          <cell r="J241">
            <v>6579.6769999375911</v>
          </cell>
          <cell r="K241">
            <v>6579.6769999375911</v>
          </cell>
          <cell r="L241">
            <v>6579.6769999375911</v>
          </cell>
          <cell r="M241">
            <v>6579.6769999375911</v>
          </cell>
          <cell r="N241">
            <v>6579.6769999375911</v>
          </cell>
          <cell r="O241">
            <v>6579.6769999375911</v>
          </cell>
          <cell r="P241">
            <v>6579.6769999375911</v>
          </cell>
          <cell r="Q241">
            <v>6579.6769999375911</v>
          </cell>
          <cell r="R241">
            <v>6579.6769999375911</v>
          </cell>
          <cell r="S241">
            <v>6579.6769999375911</v>
          </cell>
          <cell r="T241">
            <v>6579.6769999375911</v>
          </cell>
          <cell r="U241">
            <v>6579.6769999375911</v>
          </cell>
          <cell r="V241">
            <v>6579.6769999375911</v>
          </cell>
          <cell r="W241">
            <v>6579.6769999375911</v>
          </cell>
          <cell r="X241">
            <v>6579.6769999375911</v>
          </cell>
          <cell r="Y241">
            <v>6579.6769999375911</v>
          </cell>
          <cell r="Z241">
            <v>6579.6769999375911</v>
          </cell>
          <cell r="AA241">
            <v>6579.6769999375911</v>
          </cell>
          <cell r="AB241">
            <v>6579.6769999375911</v>
          </cell>
          <cell r="AC241">
            <v>6579.6769999375911</v>
          </cell>
          <cell r="AD241">
            <v>6579.6769999375911</v>
          </cell>
          <cell r="AE241">
            <v>6579.6769999375911</v>
          </cell>
          <cell r="AF241">
            <v>6579.6769999375911</v>
          </cell>
          <cell r="AG241">
            <v>6579.6769999375911</v>
          </cell>
          <cell r="AH241">
            <v>6579.6769999375911</v>
          </cell>
          <cell r="AI241">
            <v>6579.6769999375911</v>
          </cell>
          <cell r="AJ241">
            <v>6579.6769999375911</v>
          </cell>
          <cell r="AK241">
            <v>6579.6769999375911</v>
          </cell>
          <cell r="AL241">
            <v>6579.6769999375911</v>
          </cell>
          <cell r="AM241">
            <v>6579.6769999375911</v>
          </cell>
          <cell r="AN241" t="str">
            <v>ROM 4.BCV</v>
          </cell>
          <cell r="AO241">
            <v>638889.48470712954</v>
          </cell>
          <cell r="AP241" t="e">
            <v>#DIV/0!</v>
          </cell>
          <cell r="AQ241" t="str">
            <v>ROM 4.UCV</v>
          </cell>
          <cell r="AS241">
            <v>237</v>
          </cell>
        </row>
        <row r="242">
          <cell r="B242" t="str">
            <v>TS</v>
          </cell>
          <cell r="C242">
            <v>1.3023106463325491</v>
          </cell>
          <cell r="D242">
            <v>1.3111850426334504</v>
          </cell>
          <cell r="E242">
            <v>1.3306109688430674</v>
          </cell>
          <cell r="F242">
            <v>1.3565297417631159</v>
          </cell>
          <cell r="G242">
            <v>1.3776344269714238</v>
          </cell>
          <cell r="H242">
            <v>1.3856498554943402</v>
          </cell>
          <cell r="I242">
            <v>1.4067459567495746</v>
          </cell>
          <cell r="J242">
            <v>1.4367207254195975</v>
          </cell>
          <cell r="K242">
            <v>1.4367207254195975</v>
          </cell>
          <cell r="L242">
            <v>1.4367207254195975</v>
          </cell>
          <cell r="M242">
            <v>1.4367207254195975</v>
          </cell>
          <cell r="N242">
            <v>1.4367207254195975</v>
          </cell>
          <cell r="O242">
            <v>1.4367207254195975</v>
          </cell>
          <cell r="P242">
            <v>1.4367207254195975</v>
          </cell>
          <cell r="Q242">
            <v>1.4367207254195975</v>
          </cell>
          <cell r="R242">
            <v>1.4367207254195975</v>
          </cell>
          <cell r="S242">
            <v>1.4367207254195975</v>
          </cell>
          <cell r="T242">
            <v>1.4367207254195975</v>
          </cell>
          <cell r="U242">
            <v>1.4367207254195975</v>
          </cell>
          <cell r="V242">
            <v>1.4367207254195975</v>
          </cell>
          <cell r="W242">
            <v>1.4367207254195975</v>
          </cell>
          <cell r="X242">
            <v>1.4367207254195975</v>
          </cell>
          <cell r="Y242">
            <v>1.4367207254195975</v>
          </cell>
          <cell r="Z242">
            <v>1.4367207254195975</v>
          </cell>
          <cell r="AA242">
            <v>1.4367207254195975</v>
          </cell>
          <cell r="AB242">
            <v>1.4367207254195975</v>
          </cell>
          <cell r="AC242">
            <v>1.4367207254195975</v>
          </cell>
          <cell r="AD242">
            <v>1.4367207254195975</v>
          </cell>
          <cell r="AE242">
            <v>1.4367207254195975</v>
          </cell>
          <cell r="AF242">
            <v>1.4367207254195975</v>
          </cell>
          <cell r="AG242">
            <v>1.4367207254195975</v>
          </cell>
          <cell r="AH242">
            <v>1.4367207254195975</v>
          </cell>
          <cell r="AI242">
            <v>1.4367207254195975</v>
          </cell>
          <cell r="AJ242">
            <v>1.4367207254195975</v>
          </cell>
          <cell r="AK242">
            <v>1.4367207254195975</v>
          </cell>
          <cell r="AL242">
            <v>1.4367207254195975</v>
          </cell>
          <cell r="AM242">
            <v>1.4367207254195975</v>
          </cell>
          <cell r="AN242" t="str">
            <v>ROM 4.BTS</v>
          </cell>
          <cell r="AO242">
            <v>139.50620432280891</v>
          </cell>
          <cell r="AP242" t="e">
            <v>#DIV/0!</v>
          </cell>
          <cell r="AQ242" t="str">
            <v>ROM 4.UTS</v>
          </cell>
          <cell r="AS242">
            <v>238</v>
          </cell>
        </row>
        <row r="243">
          <cell r="B243" t="str">
            <v>ASH</v>
          </cell>
          <cell r="C243">
            <v>4.6714488901342639</v>
          </cell>
          <cell r="D243">
            <v>4.7108545996464368</v>
          </cell>
          <cell r="E243">
            <v>4.7125488910515179</v>
          </cell>
          <cell r="F243">
            <v>4.7154712381824258</v>
          </cell>
          <cell r="G243">
            <v>4.6626089143635623</v>
          </cell>
          <cell r="H243">
            <v>4.650413996475864</v>
          </cell>
          <cell r="I243">
            <v>4.5890746708268004</v>
          </cell>
          <cell r="J243">
            <v>4.5900828358276025</v>
          </cell>
          <cell r="K243">
            <v>4.5900828358276025</v>
          </cell>
          <cell r="L243">
            <v>4.5900828358276025</v>
          </cell>
          <cell r="M243">
            <v>4.5900828358276025</v>
          </cell>
          <cell r="N243">
            <v>4.5900828358276025</v>
          </cell>
          <cell r="O243">
            <v>4.5900828358276025</v>
          </cell>
          <cell r="P243">
            <v>4.5900828358276025</v>
          </cell>
          <cell r="Q243">
            <v>4.5900828358276025</v>
          </cell>
          <cell r="R243">
            <v>4.5900828358276025</v>
          </cell>
          <cell r="S243">
            <v>4.5900828358276025</v>
          </cell>
          <cell r="T243">
            <v>4.5900828358276025</v>
          </cell>
          <cell r="U243">
            <v>4.5900828358276025</v>
          </cell>
          <cell r="V243">
            <v>4.5900828358276025</v>
          </cell>
          <cell r="W243">
            <v>4.5900828358276025</v>
          </cell>
          <cell r="X243">
            <v>4.5900828358276025</v>
          </cell>
          <cell r="Y243">
            <v>4.5900828358276025</v>
          </cell>
          <cell r="Z243">
            <v>4.5900828358276025</v>
          </cell>
          <cell r="AA243">
            <v>4.5900828358276025</v>
          </cell>
          <cell r="AB243">
            <v>4.5900828358276025</v>
          </cell>
          <cell r="AC243">
            <v>4.5900828358276025</v>
          </cell>
          <cell r="AD243">
            <v>4.5900828358276025</v>
          </cell>
          <cell r="AE243">
            <v>4.5900828358276025</v>
          </cell>
          <cell r="AF243">
            <v>4.5900828358276025</v>
          </cell>
          <cell r="AG243">
            <v>4.5900828358276025</v>
          </cell>
          <cell r="AH243">
            <v>4.5900828358276025</v>
          </cell>
          <cell r="AI243">
            <v>4.5900828358276025</v>
          </cell>
          <cell r="AJ243">
            <v>4.5900828358276025</v>
          </cell>
          <cell r="AK243">
            <v>4.5900828358276025</v>
          </cell>
          <cell r="AL243">
            <v>4.5900828358276025</v>
          </cell>
          <cell r="AM243">
            <v>4.5900828358276025</v>
          </cell>
          <cell r="AN243" t="str">
            <v>ROM 4.BASH</v>
          </cell>
          <cell r="AO243">
            <v>445.69903017621573</v>
          </cell>
          <cell r="AP243" t="e">
            <v>#DIV/0!</v>
          </cell>
          <cell r="AQ243" t="str">
            <v>ROM 4.UASH</v>
          </cell>
          <cell r="AS243">
            <v>239</v>
          </cell>
        </row>
        <row r="244">
          <cell r="B244" t="str">
            <v>IM</v>
          </cell>
          <cell r="C244">
            <v>9.609057851105133</v>
          </cell>
          <cell r="D244">
            <v>9.6185779455072726</v>
          </cell>
          <cell r="E244">
            <v>9.6377090100184031</v>
          </cell>
          <cell r="F244">
            <v>9.6606491448218534</v>
          </cell>
          <cell r="G244">
            <v>9.6804212465746762</v>
          </cell>
          <cell r="H244">
            <v>9.6894266932472863</v>
          </cell>
          <cell r="I244">
            <v>9.709046110185966</v>
          </cell>
          <cell r="J244">
            <v>9.7124021706044772</v>
          </cell>
          <cell r="K244">
            <v>9.7124021706044772</v>
          </cell>
          <cell r="L244">
            <v>9.7124021706044772</v>
          </cell>
          <cell r="M244">
            <v>9.7124021706044772</v>
          </cell>
          <cell r="N244">
            <v>9.7124021706044772</v>
          </cell>
          <cell r="O244">
            <v>9.7124021706044772</v>
          </cell>
          <cell r="P244">
            <v>9.7124021706044772</v>
          </cell>
          <cell r="Q244">
            <v>9.7124021706044772</v>
          </cell>
          <cell r="R244">
            <v>9.7124021706044772</v>
          </cell>
          <cell r="S244">
            <v>9.7124021706044772</v>
          </cell>
          <cell r="T244">
            <v>9.7124021706044772</v>
          </cell>
          <cell r="U244">
            <v>9.7124021706044772</v>
          </cell>
          <cell r="V244">
            <v>9.7124021706044772</v>
          </cell>
          <cell r="W244">
            <v>9.7124021706044772</v>
          </cell>
          <cell r="X244">
            <v>9.7124021706044772</v>
          </cell>
          <cell r="Y244">
            <v>9.7124021706044772</v>
          </cell>
          <cell r="Z244">
            <v>9.7124021706044772</v>
          </cell>
          <cell r="AA244">
            <v>9.7124021706044772</v>
          </cell>
          <cell r="AB244">
            <v>9.7124021706044772</v>
          </cell>
          <cell r="AC244">
            <v>9.7124021706044772</v>
          </cell>
          <cell r="AD244">
            <v>9.7124021706044772</v>
          </cell>
          <cell r="AE244">
            <v>9.7124021706044772</v>
          </cell>
          <cell r="AF244">
            <v>9.7124021706044772</v>
          </cell>
          <cell r="AG244">
            <v>9.7124021706044772</v>
          </cell>
          <cell r="AH244">
            <v>9.7124021706044772</v>
          </cell>
          <cell r="AI244">
            <v>9.7124021706044772</v>
          </cell>
          <cell r="AJ244">
            <v>9.7124021706044772</v>
          </cell>
          <cell r="AK244">
            <v>9.7124021706044772</v>
          </cell>
          <cell r="AL244">
            <v>9.7124021706044772</v>
          </cell>
          <cell r="AM244">
            <v>9.7124021706044772</v>
          </cell>
          <cell r="AN244" t="str">
            <v>ROM 4.BIM</v>
          </cell>
          <cell r="AO244">
            <v>943.07845477897433</v>
          </cell>
          <cell r="AP244" t="e">
            <v>#DIV/0!</v>
          </cell>
          <cell r="AQ244" t="str">
            <v>ROM 4.UIM</v>
          </cell>
          <cell r="AS244">
            <v>240</v>
          </cell>
        </row>
        <row r="245">
          <cell r="B245" t="str">
            <v>TM</v>
          </cell>
          <cell r="C245">
            <v>13.243541555069747</v>
          </cell>
          <cell r="D245">
            <v>13.26239123188223</v>
          </cell>
          <cell r="E245">
            <v>13.280658376586363</v>
          </cell>
          <cell r="F245">
            <v>13.30050707186534</v>
          </cell>
          <cell r="G245">
            <v>13.305646121410787</v>
          </cell>
          <cell r="H245">
            <v>13.311591095923456</v>
          </cell>
          <cell r="I245">
            <v>13.319850196940916</v>
          </cell>
          <cell r="J245">
            <v>13.312506210449499</v>
          </cell>
          <cell r="K245">
            <v>13.312506210449499</v>
          </cell>
          <cell r="L245">
            <v>13.312506210449499</v>
          </cell>
          <cell r="M245">
            <v>13.312506210449499</v>
          </cell>
          <cell r="N245">
            <v>13.312506210449499</v>
          </cell>
          <cell r="O245">
            <v>13.312506210449499</v>
          </cell>
          <cell r="P245">
            <v>13.312506210449499</v>
          </cell>
          <cell r="Q245">
            <v>13.312506210449499</v>
          </cell>
          <cell r="R245">
            <v>13.312506210449499</v>
          </cell>
          <cell r="S245">
            <v>13.312506210449499</v>
          </cell>
          <cell r="T245">
            <v>13.312506210449499</v>
          </cell>
          <cell r="U245">
            <v>13.312506210449499</v>
          </cell>
          <cell r="V245">
            <v>13.312506210449499</v>
          </cell>
          <cell r="W245">
            <v>13.312506210449499</v>
          </cell>
          <cell r="X245">
            <v>13.312506210449499</v>
          </cell>
          <cell r="Y245">
            <v>13.312506210449499</v>
          </cell>
          <cell r="Z245">
            <v>13.312506210449499</v>
          </cell>
          <cell r="AA245">
            <v>13.312506210449499</v>
          </cell>
          <cell r="AB245">
            <v>13.312506210449499</v>
          </cell>
          <cell r="AC245">
            <v>13.312506210449499</v>
          </cell>
          <cell r="AD245">
            <v>13.312506210449499</v>
          </cell>
          <cell r="AE245">
            <v>13.312506210449499</v>
          </cell>
          <cell r="AF245">
            <v>13.312506210449499</v>
          </cell>
          <cell r="AG245">
            <v>13.312506210449499</v>
          </cell>
          <cell r="AH245">
            <v>13.312506210449499</v>
          </cell>
          <cell r="AI245">
            <v>13.312506210449499</v>
          </cell>
          <cell r="AJ245">
            <v>13.312506210449499</v>
          </cell>
          <cell r="AK245">
            <v>13.312506210449499</v>
          </cell>
          <cell r="AL245">
            <v>13.312506210449499</v>
          </cell>
          <cell r="AM245">
            <v>13.312506210449499</v>
          </cell>
          <cell r="AN245" t="str">
            <v>ROM 4.BTM</v>
          </cell>
          <cell r="AO245">
            <v>1292.6501153529596</v>
          </cell>
          <cell r="AP245" t="e">
            <v>#DIV/0!</v>
          </cell>
          <cell r="AQ245" t="str">
            <v>ROM 4.UTM</v>
          </cell>
          <cell r="AS245">
            <v>241</v>
          </cell>
        </row>
        <row r="246">
          <cell r="B246" t="str">
            <v>ROM 4.B2</v>
          </cell>
          <cell r="C246">
            <v>88.631480210000007</v>
          </cell>
          <cell r="D246">
            <v>87.730820210000005</v>
          </cell>
          <cell r="E246">
            <v>77.984010210000008</v>
          </cell>
          <cell r="F246">
            <v>76.362110210000012</v>
          </cell>
          <cell r="G246">
            <v>78.270950210000009</v>
          </cell>
          <cell r="H246">
            <v>78.658370210000015</v>
          </cell>
          <cell r="I246">
            <v>75.519020210000008</v>
          </cell>
          <cell r="J246">
            <v>71.552940210000003</v>
          </cell>
          <cell r="K246">
            <v>71.552940210000003</v>
          </cell>
          <cell r="L246">
            <v>71.552940210000003</v>
          </cell>
          <cell r="M246">
            <v>71.552940210000003</v>
          </cell>
          <cell r="N246">
            <v>71.552940210000003</v>
          </cell>
          <cell r="O246">
            <v>71.552940210000003</v>
          </cell>
          <cell r="P246">
            <v>71.552940210000003</v>
          </cell>
          <cell r="Q246">
            <v>71.552940210000003</v>
          </cell>
          <cell r="R246">
            <v>71.552940210000003</v>
          </cell>
          <cell r="S246">
            <v>71.552940210000003</v>
          </cell>
          <cell r="T246">
            <v>71.552940210000003</v>
          </cell>
          <cell r="U246">
            <v>71.552940210000003</v>
          </cell>
          <cell r="V246">
            <v>71.552940210000003</v>
          </cell>
          <cell r="W246">
            <v>71.552940210000003</v>
          </cell>
          <cell r="X246">
            <v>71.552940210000003</v>
          </cell>
          <cell r="Y246">
            <v>71.552940210000003</v>
          </cell>
          <cell r="Z246">
            <v>71.552940210000003</v>
          </cell>
          <cell r="AA246">
            <v>71.552940210000003</v>
          </cell>
          <cell r="AB246">
            <v>71.552940210000003</v>
          </cell>
          <cell r="AC246">
            <v>71.552940210000003</v>
          </cell>
          <cell r="AD246">
            <v>71.552940210000003</v>
          </cell>
          <cell r="AE246">
            <v>71.552940210000003</v>
          </cell>
          <cell r="AF246">
            <v>71.552940210000003</v>
          </cell>
          <cell r="AG246">
            <v>71.552940210000003</v>
          </cell>
          <cell r="AH246">
            <v>71.552940210000003</v>
          </cell>
          <cell r="AI246">
            <v>71.552940210000003</v>
          </cell>
          <cell r="AJ246">
            <v>71.552940210000003</v>
          </cell>
          <cell r="AK246">
            <v>71.552940210000003</v>
          </cell>
          <cell r="AL246">
            <v>71.552940210000003</v>
          </cell>
          <cell r="AM246">
            <v>71.552940210000003</v>
          </cell>
          <cell r="AN246" t="str">
            <v>ROM 4.B</v>
          </cell>
          <cell r="AP246">
            <v>168.65337306000001</v>
          </cell>
          <cell r="AQ246" t="str">
            <v>ROM 4.B</v>
          </cell>
          <cell r="AS246">
            <v>242</v>
          </cell>
        </row>
        <row r="247">
          <cell r="B247" t="str">
            <v>CV</v>
          </cell>
          <cell r="C247">
            <v>6504.5645920706929</v>
          </cell>
          <cell r="D247">
            <v>6508.3181357624471</v>
          </cell>
          <cell r="E247">
            <v>6507.6813724037575</v>
          </cell>
          <cell r="F247">
            <v>6495.8443325744829</v>
          </cell>
          <cell r="G247">
            <v>6483.2778095401909</v>
          </cell>
          <cell r="H247">
            <v>6483.5718654358016</v>
          </cell>
          <cell r="I247">
            <v>6483.0547449809992</v>
          </cell>
          <cell r="J247">
            <v>6477.1386969755013</v>
          </cell>
          <cell r="K247">
            <v>6477.1386969755013</v>
          </cell>
          <cell r="L247">
            <v>6477.1386969755013</v>
          </cell>
          <cell r="M247">
            <v>6477.1386969755013</v>
          </cell>
          <cell r="N247">
            <v>6477.1386969755013</v>
          </cell>
          <cell r="O247">
            <v>6477.1386969755013</v>
          </cell>
          <cell r="P247">
            <v>6477.1386969755013</v>
          </cell>
          <cell r="Q247">
            <v>6477.1386969755013</v>
          </cell>
          <cell r="R247">
            <v>6477.1386969755013</v>
          </cell>
          <cell r="S247">
            <v>6477.1386969755013</v>
          </cell>
          <cell r="T247">
            <v>6477.1386969755013</v>
          </cell>
          <cell r="U247">
            <v>6477.1386969755013</v>
          </cell>
          <cell r="V247">
            <v>6477.1386969755013</v>
          </cell>
          <cell r="W247">
            <v>6477.1386969755013</v>
          </cell>
          <cell r="X247">
            <v>6477.1386969755013</v>
          </cell>
          <cell r="Y247">
            <v>6477.1386969755013</v>
          </cell>
          <cell r="Z247">
            <v>6477.1386969755013</v>
          </cell>
          <cell r="AA247">
            <v>6477.1386969755013</v>
          </cell>
          <cell r="AB247">
            <v>6477.1386969755013</v>
          </cell>
          <cell r="AC247">
            <v>6477.1386969755013</v>
          </cell>
          <cell r="AD247">
            <v>6477.1386969755013</v>
          </cell>
          <cell r="AE247">
            <v>6477.1386969755013</v>
          </cell>
          <cell r="AF247">
            <v>6477.1386969755013</v>
          </cell>
          <cell r="AG247">
            <v>6477.1386969755013</v>
          </cell>
          <cell r="AH247">
            <v>6477.1386969755013</v>
          </cell>
          <cell r="AI247">
            <v>6477.1386969755013</v>
          </cell>
          <cell r="AJ247">
            <v>6477.1386969755013</v>
          </cell>
          <cell r="AK247">
            <v>6477.1386969755013</v>
          </cell>
          <cell r="AL247">
            <v>6477.1386969755013</v>
          </cell>
          <cell r="AM247">
            <v>6477.1386969755013</v>
          </cell>
          <cell r="AN247" t="str">
            <v>ROM 4.BCV</v>
          </cell>
          <cell r="AO247">
            <v>463458.31791656534</v>
          </cell>
          <cell r="AP247">
            <v>6536.1740629493625</v>
          </cell>
          <cell r="AQ247" t="str">
            <v>ROM 4.BCV</v>
          </cell>
          <cell r="AS247">
            <v>243</v>
          </cell>
        </row>
        <row r="248">
          <cell r="B248" t="str">
            <v>TS</v>
          </cell>
          <cell r="C248">
            <v>2.0825574800623379</v>
          </cell>
          <cell r="D248">
            <v>2.081442613081065</v>
          </cell>
          <cell r="E248">
            <v>2.0916797402578018</v>
          </cell>
          <cell r="F248">
            <v>2.1049372416770469</v>
          </cell>
          <cell r="G248">
            <v>2.1228697625441733</v>
          </cell>
          <cell r="H248">
            <v>2.132374010977399</v>
          </cell>
          <cell r="I248">
            <v>2.1338601338218854</v>
          </cell>
          <cell r="J248">
            <v>2.1428065334013748</v>
          </cell>
          <cell r="K248">
            <v>2.1428065334013748</v>
          </cell>
          <cell r="L248">
            <v>2.1428065334013748</v>
          </cell>
          <cell r="M248">
            <v>2.1428065334013748</v>
          </cell>
          <cell r="N248">
            <v>2.1428065334013748</v>
          </cell>
          <cell r="O248">
            <v>2.1428065334013748</v>
          </cell>
          <cell r="P248">
            <v>2.1428065334013748</v>
          </cell>
          <cell r="Q248">
            <v>2.1428065334013748</v>
          </cell>
          <cell r="R248">
            <v>2.1428065334013748</v>
          </cell>
          <cell r="S248">
            <v>2.1428065334013748</v>
          </cell>
          <cell r="T248">
            <v>2.1428065334013748</v>
          </cell>
          <cell r="U248">
            <v>2.1428065334013748</v>
          </cell>
          <cell r="V248">
            <v>2.1428065334013748</v>
          </cell>
          <cell r="W248">
            <v>2.1428065334013748</v>
          </cell>
          <cell r="X248">
            <v>2.1428065334013748</v>
          </cell>
          <cell r="Y248">
            <v>2.1428065334013748</v>
          </cell>
          <cell r="Z248">
            <v>2.1428065334013748</v>
          </cell>
          <cell r="AA248">
            <v>2.1428065334013748</v>
          </cell>
          <cell r="AB248">
            <v>2.1428065334013748</v>
          </cell>
          <cell r="AC248">
            <v>2.1428065334013748</v>
          </cell>
          <cell r="AD248">
            <v>2.1428065334013748</v>
          </cell>
          <cell r="AE248">
            <v>2.1428065334013748</v>
          </cell>
          <cell r="AF248">
            <v>2.1428065334013748</v>
          </cell>
          <cell r="AG248">
            <v>2.1428065334013748</v>
          </cell>
          <cell r="AH248">
            <v>2.1428065334013748</v>
          </cell>
          <cell r="AI248">
            <v>2.1428065334013748</v>
          </cell>
          <cell r="AJ248">
            <v>2.1428065334013748</v>
          </cell>
          <cell r="AK248">
            <v>2.1428065334013748</v>
          </cell>
          <cell r="AL248">
            <v>2.1428065334013748</v>
          </cell>
          <cell r="AM248">
            <v>2.1428065334013748</v>
          </cell>
          <cell r="AN248" t="str">
            <v>ROM 4.BTS</v>
          </cell>
          <cell r="AO248">
            <v>153.32410776606594</v>
          </cell>
          <cell r="AP248">
            <v>1.7362849421618016</v>
          </cell>
          <cell r="AQ248" t="str">
            <v>ROM 4.BTS</v>
          </cell>
          <cell r="AS248">
            <v>244</v>
          </cell>
        </row>
        <row r="249">
          <cell r="B249" t="str">
            <v>ASH</v>
          </cell>
          <cell r="C249">
            <v>4.4716922699332402</v>
          </cell>
          <cell r="D249">
            <v>4.4383476522112888</v>
          </cell>
          <cell r="E249">
            <v>4.4356709754610169</v>
          </cell>
          <cell r="F249">
            <v>4.5404570025198705</v>
          </cell>
          <cell r="G249">
            <v>4.657579754504571</v>
          </cell>
          <cell r="H249">
            <v>4.6330533196615757</v>
          </cell>
          <cell r="I249">
            <v>4.6308936035427921</v>
          </cell>
          <cell r="J249">
            <v>4.6823175536068238</v>
          </cell>
          <cell r="K249">
            <v>4.6823175536068238</v>
          </cell>
          <cell r="L249">
            <v>4.6823175536068238</v>
          </cell>
          <cell r="M249">
            <v>4.6823175536068238</v>
          </cell>
          <cell r="N249">
            <v>4.6823175536068238</v>
          </cell>
          <cell r="O249">
            <v>4.6823175536068238</v>
          </cell>
          <cell r="P249">
            <v>4.6823175536068238</v>
          </cell>
          <cell r="Q249">
            <v>4.6823175536068238</v>
          </cell>
          <cell r="R249">
            <v>4.6823175536068238</v>
          </cell>
          <cell r="S249">
            <v>4.6823175536068238</v>
          </cell>
          <cell r="T249">
            <v>4.6823175536068238</v>
          </cell>
          <cell r="U249">
            <v>4.6823175536068238</v>
          </cell>
          <cell r="V249">
            <v>4.6823175536068238</v>
          </cell>
          <cell r="W249">
            <v>4.6823175536068238</v>
          </cell>
          <cell r="X249">
            <v>4.6823175536068238</v>
          </cell>
          <cell r="Y249">
            <v>4.6823175536068238</v>
          </cell>
          <cell r="Z249">
            <v>4.6823175536068238</v>
          </cell>
          <cell r="AA249">
            <v>4.6823175536068238</v>
          </cell>
          <cell r="AB249">
            <v>4.6823175536068238</v>
          </cell>
          <cell r="AC249">
            <v>4.6823175536068238</v>
          </cell>
          <cell r="AD249">
            <v>4.6823175536068238</v>
          </cell>
          <cell r="AE249">
            <v>4.6823175536068238</v>
          </cell>
          <cell r="AF249">
            <v>4.6823175536068238</v>
          </cell>
          <cell r="AG249">
            <v>4.6823175536068238</v>
          </cell>
          <cell r="AH249">
            <v>4.6823175536068238</v>
          </cell>
          <cell r="AI249">
            <v>4.6823175536068238</v>
          </cell>
          <cell r="AJ249">
            <v>4.6823175536068238</v>
          </cell>
          <cell r="AK249">
            <v>4.6823175536068238</v>
          </cell>
          <cell r="AL249">
            <v>4.6823175536068238</v>
          </cell>
          <cell r="AM249">
            <v>4.6823175536068238</v>
          </cell>
          <cell r="AN249" t="str">
            <v>ROM 4.BASH</v>
          </cell>
          <cell r="AO249">
            <v>335.03358795746254</v>
          </cell>
          <cell r="AP249">
            <v>4.6292143700910469</v>
          </cell>
          <cell r="AQ249" t="str">
            <v>ROM 4.BASH</v>
          </cell>
          <cell r="AS249">
            <v>245</v>
          </cell>
        </row>
        <row r="250">
          <cell r="B250" t="str">
            <v>IM</v>
          </cell>
          <cell r="C250">
            <v>10.382786037109355</v>
          </cell>
          <cell r="D250">
            <v>10.36924539838315</v>
          </cell>
          <cell r="E250">
            <v>10.377071356288976</v>
          </cell>
          <cell r="F250">
            <v>10.399887525206795</v>
          </cell>
          <cell r="G250">
            <v>10.41381912891627</v>
          </cell>
          <cell r="H250">
            <v>10.425441095612223</v>
          </cell>
          <cell r="I250">
            <v>10.43171667718142</v>
          </cell>
          <cell r="J250">
            <v>10.440486094513394</v>
          </cell>
          <cell r="K250">
            <v>10.440486094513394</v>
          </cell>
          <cell r="L250">
            <v>10.440486094513394</v>
          </cell>
          <cell r="M250">
            <v>10.440486094513394</v>
          </cell>
          <cell r="N250">
            <v>10.440486094513394</v>
          </cell>
          <cell r="O250">
            <v>10.440486094513394</v>
          </cell>
          <cell r="P250">
            <v>10.440486094513394</v>
          </cell>
          <cell r="Q250">
            <v>10.440486094513394</v>
          </cell>
          <cell r="R250">
            <v>10.440486094513394</v>
          </cell>
          <cell r="S250">
            <v>10.440486094513394</v>
          </cell>
          <cell r="T250">
            <v>10.440486094513394</v>
          </cell>
          <cell r="U250">
            <v>10.440486094513394</v>
          </cell>
          <cell r="V250">
            <v>10.440486094513394</v>
          </cell>
          <cell r="W250">
            <v>10.440486094513394</v>
          </cell>
          <cell r="X250">
            <v>10.440486094513394</v>
          </cell>
          <cell r="Y250">
            <v>10.440486094513394</v>
          </cell>
          <cell r="Z250">
            <v>10.440486094513394</v>
          </cell>
          <cell r="AA250">
            <v>10.440486094513394</v>
          </cell>
          <cell r="AB250">
            <v>10.440486094513394</v>
          </cell>
          <cell r="AC250">
            <v>10.440486094513394</v>
          </cell>
          <cell r="AD250">
            <v>10.440486094513394</v>
          </cell>
          <cell r="AE250">
            <v>10.440486094513394</v>
          </cell>
          <cell r="AF250">
            <v>10.440486094513394</v>
          </cell>
          <cell r="AG250">
            <v>10.440486094513394</v>
          </cell>
          <cell r="AH250">
            <v>10.440486094513394</v>
          </cell>
          <cell r="AI250">
            <v>10.440486094513394</v>
          </cell>
          <cell r="AJ250">
            <v>10.440486094513394</v>
          </cell>
          <cell r="AK250">
            <v>10.440486094513394</v>
          </cell>
          <cell r="AL250">
            <v>10.440486094513394</v>
          </cell>
          <cell r="AM250">
            <v>10.440486094513394</v>
          </cell>
          <cell r="AN250" t="str">
            <v>ROM 4.BIM</v>
          </cell>
          <cell r="AO250">
            <v>747.04747728405334</v>
          </cell>
          <cell r="AP250">
            <v>10.021299315856254</v>
          </cell>
          <cell r="AQ250" t="str">
            <v>ROM 4.BIM</v>
          </cell>
          <cell r="AS250">
            <v>246</v>
          </cell>
        </row>
        <row r="251">
          <cell r="B251" t="str">
            <v>TM</v>
          </cell>
          <cell r="C251">
            <v>13.79584825547464</v>
          </cell>
          <cell r="D251">
            <v>13.785492109225817</v>
          </cell>
          <cell r="E251">
            <v>13.817045209397122</v>
          </cell>
          <cell r="F251">
            <v>13.849970970457735</v>
          </cell>
          <cell r="G251">
            <v>13.867805743450628</v>
          </cell>
          <cell r="H251">
            <v>13.885589914122571</v>
          </cell>
          <cell r="I251">
            <v>13.892158767231681</v>
          </cell>
          <cell r="J251">
            <v>13.909518504291643</v>
          </cell>
          <cell r="K251">
            <v>13.909518504291643</v>
          </cell>
          <cell r="L251">
            <v>13.909518504291643</v>
          </cell>
          <cell r="M251">
            <v>13.909518504291643</v>
          </cell>
          <cell r="N251">
            <v>13.909518504291643</v>
          </cell>
          <cell r="O251">
            <v>13.909518504291643</v>
          </cell>
          <cell r="P251">
            <v>13.909518504291643</v>
          </cell>
          <cell r="Q251">
            <v>13.909518504291643</v>
          </cell>
          <cell r="R251">
            <v>13.909518504291643</v>
          </cell>
          <cell r="S251">
            <v>13.909518504291643</v>
          </cell>
          <cell r="T251">
            <v>13.909518504291643</v>
          </cell>
          <cell r="U251">
            <v>13.909518504291643</v>
          </cell>
          <cell r="V251">
            <v>13.909518504291643</v>
          </cell>
          <cell r="W251">
            <v>13.909518504291643</v>
          </cell>
          <cell r="X251">
            <v>13.909518504291643</v>
          </cell>
          <cell r="Y251">
            <v>13.909518504291643</v>
          </cell>
          <cell r="Z251">
            <v>13.909518504291643</v>
          </cell>
          <cell r="AA251">
            <v>13.909518504291643</v>
          </cell>
          <cell r="AB251">
            <v>13.909518504291643</v>
          </cell>
          <cell r="AC251">
            <v>13.909518504291643</v>
          </cell>
          <cell r="AD251">
            <v>13.909518504291643</v>
          </cell>
          <cell r="AE251">
            <v>13.909518504291643</v>
          </cell>
          <cell r="AF251">
            <v>13.909518504291643</v>
          </cell>
          <cell r="AG251">
            <v>13.909518504291643</v>
          </cell>
          <cell r="AH251">
            <v>13.909518504291643</v>
          </cell>
          <cell r="AI251">
            <v>13.909518504291643</v>
          </cell>
          <cell r="AJ251">
            <v>13.909518504291643</v>
          </cell>
          <cell r="AK251">
            <v>13.909518504291643</v>
          </cell>
          <cell r="AL251">
            <v>13.909518504291643</v>
          </cell>
          <cell r="AM251">
            <v>13.909518504291643</v>
          </cell>
          <cell r="AN251" t="str">
            <v>ROM 4.BTM</v>
          </cell>
          <cell r="AO251">
            <v>995.26694588746864</v>
          </cell>
          <cell r="AP251">
            <v>13.5657948591783</v>
          </cell>
          <cell r="AQ251" t="str">
            <v>ROM 4.BTM</v>
          </cell>
          <cell r="AS251">
            <v>247</v>
          </cell>
        </row>
        <row r="252">
          <cell r="B252" t="str">
            <v/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 t="str">
            <v/>
          </cell>
          <cell r="AS252">
            <v>248</v>
          </cell>
        </row>
        <row r="253">
          <cell r="B253" t="str">
            <v>CV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 t="str">
            <v>CV</v>
          </cell>
          <cell r="AO253">
            <v>0</v>
          </cell>
          <cell r="AS253">
            <v>249</v>
          </cell>
        </row>
        <row r="254">
          <cell r="B254" t="str">
            <v>TS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 t="str">
            <v>TS</v>
          </cell>
          <cell r="AO254">
            <v>0</v>
          </cell>
          <cell r="AS254">
            <v>250</v>
          </cell>
        </row>
        <row r="255">
          <cell r="B255" t="str">
            <v>ASH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 t="str">
            <v>ASH</v>
          </cell>
          <cell r="AO255">
            <v>0</v>
          </cell>
          <cell r="AS255">
            <v>251</v>
          </cell>
        </row>
        <row r="256">
          <cell r="B256" t="str">
            <v>IM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 t="str">
            <v>IM</v>
          </cell>
          <cell r="AO256">
            <v>0</v>
          </cell>
          <cell r="AS256">
            <v>252</v>
          </cell>
        </row>
        <row r="257">
          <cell r="B257" t="str">
            <v>TM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 t="str">
            <v>TM</v>
          </cell>
          <cell r="AO257">
            <v>0</v>
          </cell>
          <cell r="AS257">
            <v>253</v>
          </cell>
        </row>
        <row r="258">
          <cell r="B258" t="str">
            <v/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 t="str">
            <v/>
          </cell>
          <cell r="AS258">
            <v>254</v>
          </cell>
        </row>
        <row r="259">
          <cell r="B259" t="str">
            <v>CV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 t="str">
            <v>CV</v>
          </cell>
          <cell r="AO259">
            <v>0</v>
          </cell>
          <cell r="AS259">
            <v>255</v>
          </cell>
        </row>
        <row r="260">
          <cell r="B260" t="str">
            <v>TS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 t="str">
            <v>TS</v>
          </cell>
          <cell r="AO260">
            <v>0</v>
          </cell>
          <cell r="AS260">
            <v>256</v>
          </cell>
        </row>
        <row r="261">
          <cell r="B261" t="str">
            <v>ASH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 t="str">
            <v>ASH</v>
          </cell>
          <cell r="AO261">
            <v>0</v>
          </cell>
          <cell r="AS261">
            <v>257</v>
          </cell>
        </row>
        <row r="262">
          <cell r="B262" t="str">
            <v>IM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 t="str">
            <v>IM</v>
          </cell>
          <cell r="AO262">
            <v>0</v>
          </cell>
          <cell r="AS262">
            <v>258</v>
          </cell>
        </row>
        <row r="263">
          <cell r="B263" t="str">
            <v>TM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 t="str">
            <v>TM</v>
          </cell>
          <cell r="AO263">
            <v>0</v>
          </cell>
          <cell r="AS263">
            <v>259</v>
          </cell>
        </row>
        <row r="264">
          <cell r="B264" t="str">
            <v/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 t="str">
            <v/>
          </cell>
          <cell r="AS264">
            <v>260</v>
          </cell>
        </row>
        <row r="265">
          <cell r="B265" t="str">
            <v>CV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 t="str">
            <v>CV</v>
          </cell>
          <cell r="AO265">
            <v>0</v>
          </cell>
          <cell r="AS265">
            <v>261</v>
          </cell>
        </row>
        <row r="266">
          <cell r="B266" t="str">
            <v>TS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 t="str">
            <v>TS</v>
          </cell>
          <cell r="AO266">
            <v>0</v>
          </cell>
          <cell r="AS266">
            <v>262</v>
          </cell>
        </row>
        <row r="267">
          <cell r="B267" t="str">
            <v>ASH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 t="str">
            <v>ASH</v>
          </cell>
          <cell r="AO267">
            <v>0</v>
          </cell>
          <cell r="AS267">
            <v>263</v>
          </cell>
        </row>
        <row r="268">
          <cell r="B268" t="str">
            <v>IM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 t="str">
            <v>IM</v>
          </cell>
          <cell r="AO268">
            <v>0</v>
          </cell>
          <cell r="AS268">
            <v>264</v>
          </cell>
        </row>
        <row r="269">
          <cell r="B269" t="str">
            <v>TM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 t="str">
            <v>TM</v>
          </cell>
          <cell r="AO269">
            <v>0</v>
          </cell>
          <cell r="AS269">
            <v>265</v>
          </cell>
        </row>
        <row r="270">
          <cell r="B270" t="str">
            <v/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S270">
            <v>266</v>
          </cell>
        </row>
        <row r="271">
          <cell r="B271" t="str">
            <v/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S271">
            <v>267</v>
          </cell>
        </row>
        <row r="272">
          <cell r="B272" t="str">
            <v/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S272">
            <v>268</v>
          </cell>
        </row>
        <row r="273">
          <cell r="B273" t="str">
            <v/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S273">
            <v>269</v>
          </cell>
        </row>
        <row r="274">
          <cell r="B274" t="str">
            <v/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S274">
            <v>270</v>
          </cell>
        </row>
        <row r="275">
          <cell r="B275" t="str">
            <v/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S275">
            <v>271</v>
          </cell>
        </row>
        <row r="276">
          <cell r="B276" t="str">
            <v/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 t="str">
            <v/>
          </cell>
          <cell r="AP276">
            <v>0</v>
          </cell>
          <cell r="AQ276" t="str">
            <v>ROM 5.M</v>
          </cell>
          <cell r="AS276">
            <v>272</v>
          </cell>
        </row>
        <row r="277">
          <cell r="B277" t="str">
            <v/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 t="str">
            <v/>
          </cell>
          <cell r="AO277">
            <v>0</v>
          </cell>
          <cell r="AP277">
            <v>0</v>
          </cell>
          <cell r="AQ277" t="str">
            <v>ROM 5.MCV</v>
          </cell>
          <cell r="AS277">
            <v>273</v>
          </cell>
        </row>
        <row r="278">
          <cell r="B278" t="str">
            <v/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 t="str">
            <v/>
          </cell>
          <cell r="AO278">
            <v>0</v>
          </cell>
          <cell r="AP278">
            <v>0</v>
          </cell>
          <cell r="AQ278" t="str">
            <v>ROM 5.MTS</v>
          </cell>
          <cell r="AS278">
            <v>274</v>
          </cell>
        </row>
        <row r="279">
          <cell r="B279" t="str">
            <v/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 t="str">
            <v/>
          </cell>
          <cell r="AO279">
            <v>0</v>
          </cell>
          <cell r="AP279">
            <v>0</v>
          </cell>
          <cell r="AQ279" t="str">
            <v>ROM 5.MASH</v>
          </cell>
          <cell r="AS279">
            <v>275</v>
          </cell>
        </row>
        <row r="280">
          <cell r="B280" t="str">
            <v/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 t="str">
            <v/>
          </cell>
          <cell r="AO280">
            <v>0</v>
          </cell>
          <cell r="AP280">
            <v>0</v>
          </cell>
          <cell r="AQ280" t="str">
            <v>ROM 5.MIM</v>
          </cell>
          <cell r="AS280">
            <v>276</v>
          </cell>
        </row>
        <row r="281">
          <cell r="B281" t="str">
            <v/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 t="str">
            <v/>
          </cell>
          <cell r="AO281">
            <v>0</v>
          </cell>
          <cell r="AP281">
            <v>0</v>
          </cell>
          <cell r="AQ281" t="str">
            <v>ROM 5.MTM</v>
          </cell>
          <cell r="AS281">
            <v>277</v>
          </cell>
        </row>
        <row r="282">
          <cell r="B282" t="str">
            <v/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 t="str">
            <v/>
          </cell>
          <cell r="AP282">
            <v>0</v>
          </cell>
          <cell r="AQ282" t="str">
            <v>ROM 5.U</v>
          </cell>
          <cell r="AS282">
            <v>278</v>
          </cell>
        </row>
        <row r="283">
          <cell r="B283" t="str">
            <v/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 t="str">
            <v/>
          </cell>
          <cell r="AO283">
            <v>0</v>
          </cell>
          <cell r="AP283">
            <v>0</v>
          </cell>
          <cell r="AQ283" t="str">
            <v>ROM 5.UCV</v>
          </cell>
          <cell r="AS283">
            <v>279</v>
          </cell>
        </row>
        <row r="284">
          <cell r="B284" t="str">
            <v/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 t="str">
            <v/>
          </cell>
          <cell r="AO284">
            <v>0</v>
          </cell>
          <cell r="AP284">
            <v>0</v>
          </cell>
          <cell r="AQ284" t="str">
            <v>ROM 5.UTS</v>
          </cell>
          <cell r="AS284">
            <v>280</v>
          </cell>
        </row>
        <row r="285">
          <cell r="B285" t="str">
            <v/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 t="str">
            <v/>
          </cell>
          <cell r="AO285">
            <v>0</v>
          </cell>
          <cell r="AP285">
            <v>0</v>
          </cell>
          <cell r="AQ285" t="str">
            <v>ROM 5.UASH</v>
          </cell>
          <cell r="AS285">
            <v>281</v>
          </cell>
        </row>
        <row r="286">
          <cell r="B286" t="str">
            <v/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 t="str">
            <v/>
          </cell>
          <cell r="AO286">
            <v>0</v>
          </cell>
          <cell r="AP286">
            <v>0</v>
          </cell>
          <cell r="AQ286" t="str">
            <v>ROM 5.UIM</v>
          </cell>
          <cell r="AS286">
            <v>282</v>
          </cell>
        </row>
        <row r="287">
          <cell r="B287" t="str">
            <v/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 t="str">
            <v/>
          </cell>
          <cell r="AO287">
            <v>0</v>
          </cell>
          <cell r="AP287">
            <v>0</v>
          </cell>
          <cell r="AQ287" t="str">
            <v>ROM 5.UTM</v>
          </cell>
          <cell r="AS287">
            <v>283</v>
          </cell>
        </row>
        <row r="288">
          <cell r="B288" t="str">
            <v/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 t="str">
            <v/>
          </cell>
          <cell r="AS288">
            <v>284</v>
          </cell>
        </row>
        <row r="289">
          <cell r="B289" t="str">
            <v/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 t="str">
            <v/>
          </cell>
          <cell r="AO289">
            <v>0</v>
          </cell>
          <cell r="AS289">
            <v>285</v>
          </cell>
        </row>
        <row r="290">
          <cell r="B290" t="str">
            <v/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 t="str">
            <v/>
          </cell>
          <cell r="AO290">
            <v>0</v>
          </cell>
          <cell r="AS290">
            <v>286</v>
          </cell>
        </row>
        <row r="291">
          <cell r="B291" t="str">
            <v/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 t="str">
            <v/>
          </cell>
          <cell r="AO291">
            <v>0</v>
          </cell>
          <cell r="AS291">
            <v>287</v>
          </cell>
        </row>
        <row r="292">
          <cell r="B292" t="str">
            <v/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 t="str">
            <v/>
          </cell>
          <cell r="AO292">
            <v>0</v>
          </cell>
          <cell r="AS292">
            <v>288</v>
          </cell>
        </row>
        <row r="293">
          <cell r="B293" t="str">
            <v/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 t="str">
            <v/>
          </cell>
          <cell r="AO293">
            <v>0</v>
          </cell>
          <cell r="AS293">
            <v>289</v>
          </cell>
        </row>
        <row r="294">
          <cell r="B294" t="str">
            <v/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 t="str">
            <v/>
          </cell>
          <cell r="AS294">
            <v>290</v>
          </cell>
        </row>
        <row r="295">
          <cell r="B295" t="str">
            <v/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 t="str">
            <v/>
          </cell>
          <cell r="AO295">
            <v>0</v>
          </cell>
          <cell r="AS295">
            <v>291</v>
          </cell>
        </row>
        <row r="296">
          <cell r="B296" t="str">
            <v/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 t="str">
            <v/>
          </cell>
          <cell r="AO296">
            <v>0</v>
          </cell>
          <cell r="AS296">
            <v>292</v>
          </cell>
        </row>
        <row r="297">
          <cell r="B297" t="str">
            <v/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 t="str">
            <v/>
          </cell>
          <cell r="AO297">
            <v>0</v>
          </cell>
          <cell r="AS297">
            <v>293</v>
          </cell>
        </row>
        <row r="298">
          <cell r="B298" t="str">
            <v/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 t="str">
            <v/>
          </cell>
          <cell r="AO298">
            <v>0</v>
          </cell>
          <cell r="AS298">
            <v>294</v>
          </cell>
        </row>
        <row r="299">
          <cell r="B299" t="str">
            <v/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 t="str">
            <v/>
          </cell>
          <cell r="AO299">
            <v>0</v>
          </cell>
          <cell r="AS299">
            <v>295</v>
          </cell>
        </row>
        <row r="300">
          <cell r="B300" t="str">
            <v/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 t="str">
            <v/>
          </cell>
          <cell r="AS300">
            <v>296</v>
          </cell>
        </row>
        <row r="301">
          <cell r="B301" t="str">
            <v/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 t="str">
            <v/>
          </cell>
          <cell r="AO301">
            <v>0</v>
          </cell>
          <cell r="AS301">
            <v>297</v>
          </cell>
        </row>
        <row r="302">
          <cell r="B302" t="str">
            <v/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 t="str">
            <v/>
          </cell>
          <cell r="AO302">
            <v>0</v>
          </cell>
          <cell r="AS302">
            <v>298</v>
          </cell>
        </row>
        <row r="303">
          <cell r="B303" t="str">
            <v/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 t="str">
            <v/>
          </cell>
          <cell r="AO303">
            <v>0</v>
          </cell>
          <cell r="AS303">
            <v>299</v>
          </cell>
        </row>
        <row r="304">
          <cell r="B304" t="str">
            <v/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 t="str">
            <v/>
          </cell>
          <cell r="AO304">
            <v>0</v>
          </cell>
          <cell r="AS304">
            <v>300</v>
          </cell>
        </row>
        <row r="305">
          <cell r="B305" t="str">
            <v/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 t="str">
            <v/>
          </cell>
          <cell r="AO305">
            <v>0</v>
          </cell>
          <cell r="AS305">
            <v>301</v>
          </cell>
        </row>
        <row r="306">
          <cell r="B306" t="str">
            <v>HAC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S306">
            <v>302</v>
          </cell>
        </row>
        <row r="307">
          <cell r="B307" t="str">
            <v>CV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S307">
            <v>303</v>
          </cell>
        </row>
        <row r="308">
          <cell r="B308" t="str">
            <v>TS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S308">
            <v>304</v>
          </cell>
        </row>
        <row r="309">
          <cell r="B309" t="str">
            <v>ASH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S309">
            <v>305</v>
          </cell>
        </row>
        <row r="310">
          <cell r="B310" t="str">
            <v>IM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S310">
            <v>306</v>
          </cell>
        </row>
        <row r="311">
          <cell r="B311" t="str">
            <v>TM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S311">
            <v>307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7">
          <cell r="B327" t="str">
            <v>ROM Stock SB1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S327">
            <v>323</v>
          </cell>
        </row>
        <row r="328">
          <cell r="B328" t="str">
            <v>ROM 1-01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 t="str">
            <v>ROM 1-0</v>
          </cell>
          <cell r="AP328">
            <v>0</v>
          </cell>
          <cell r="AQ328" t="str">
            <v>ROM 1-0</v>
          </cell>
          <cell r="AS328">
            <v>324</v>
          </cell>
        </row>
        <row r="329">
          <cell r="B329" t="str">
            <v>CV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 t="str">
            <v>ROM 1-0CV</v>
          </cell>
          <cell r="AO329">
            <v>0</v>
          </cell>
          <cell r="AP329">
            <v>0</v>
          </cell>
          <cell r="AQ329" t="str">
            <v>ROM 1-0CV</v>
          </cell>
          <cell r="AS329">
            <v>325</v>
          </cell>
        </row>
        <row r="330">
          <cell r="B330" t="str">
            <v>TS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 t="str">
            <v>ROM 1-0TS</v>
          </cell>
          <cell r="AO330">
            <v>0</v>
          </cell>
          <cell r="AP330">
            <v>0</v>
          </cell>
          <cell r="AQ330" t="str">
            <v>ROM 1-0TS</v>
          </cell>
          <cell r="AS330">
            <v>326</v>
          </cell>
        </row>
        <row r="331">
          <cell r="B331" t="str">
            <v>ASH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 t="str">
            <v>ROM 1-0ASH</v>
          </cell>
          <cell r="AO331">
            <v>0</v>
          </cell>
          <cell r="AP331">
            <v>0</v>
          </cell>
          <cell r="AQ331" t="str">
            <v>ROM 1-0ASH</v>
          </cell>
          <cell r="AS331">
            <v>327</v>
          </cell>
        </row>
        <row r="332">
          <cell r="B332" t="str">
            <v>IM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 t="str">
            <v>ROM 1-0IM</v>
          </cell>
          <cell r="AO332">
            <v>0</v>
          </cell>
          <cell r="AP332">
            <v>0</v>
          </cell>
          <cell r="AQ332" t="str">
            <v>ROM 1-0IM</v>
          </cell>
          <cell r="AS332">
            <v>328</v>
          </cell>
        </row>
        <row r="333">
          <cell r="B333" t="str">
            <v>TM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 t="str">
            <v>ROM 1-0TM</v>
          </cell>
          <cell r="AO333">
            <v>0</v>
          </cell>
          <cell r="AP333">
            <v>0</v>
          </cell>
          <cell r="AQ333" t="str">
            <v>ROM 1-0TM</v>
          </cell>
          <cell r="AS333">
            <v>329</v>
          </cell>
        </row>
        <row r="334">
          <cell r="B334" t="str">
            <v>ROM 4-01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 t="str">
            <v>ROM 4-0</v>
          </cell>
          <cell r="AP334">
            <v>0</v>
          </cell>
          <cell r="AQ334" t="str">
            <v>ROM 4-0</v>
          </cell>
          <cell r="AS334">
            <v>330</v>
          </cell>
        </row>
        <row r="335">
          <cell r="B335" t="str">
            <v>CV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 t="str">
            <v>ROM 4-0CV</v>
          </cell>
          <cell r="AO335">
            <v>0</v>
          </cell>
          <cell r="AP335" t="e">
            <v>#DIV/0!</v>
          </cell>
          <cell r="AQ335" t="str">
            <v>ROM 4-0CV</v>
          </cell>
          <cell r="AS335">
            <v>331</v>
          </cell>
        </row>
        <row r="336">
          <cell r="B336" t="str">
            <v>TS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 t="str">
            <v>ROM 4-0TS</v>
          </cell>
          <cell r="AO336">
            <v>0</v>
          </cell>
          <cell r="AP336" t="e">
            <v>#DIV/0!</v>
          </cell>
          <cell r="AQ336" t="str">
            <v>ROM 4-0TS</v>
          </cell>
          <cell r="AS336">
            <v>332</v>
          </cell>
        </row>
        <row r="337">
          <cell r="B337" t="str">
            <v>ASH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 t="str">
            <v>ROM 4-0ASH</v>
          </cell>
          <cell r="AO337">
            <v>0</v>
          </cell>
          <cell r="AP337" t="e">
            <v>#DIV/0!</v>
          </cell>
          <cell r="AQ337" t="str">
            <v>ROM 4-0ASH</v>
          </cell>
          <cell r="AS337">
            <v>333</v>
          </cell>
        </row>
        <row r="338">
          <cell r="B338" t="str">
            <v>IM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 t="str">
            <v>ROM 4-0IM</v>
          </cell>
          <cell r="AO338">
            <v>0</v>
          </cell>
          <cell r="AP338" t="e">
            <v>#DIV/0!</v>
          </cell>
          <cell r="AQ338" t="str">
            <v>ROM 4-0IM</v>
          </cell>
          <cell r="AS338">
            <v>334</v>
          </cell>
        </row>
        <row r="339">
          <cell r="B339" t="str">
            <v>TM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 t="str">
            <v>ROM 4-0TM</v>
          </cell>
          <cell r="AO339">
            <v>0</v>
          </cell>
          <cell r="AP339" t="e">
            <v>#DIV/0!</v>
          </cell>
          <cell r="AQ339" t="str">
            <v>ROM 4-0TM</v>
          </cell>
          <cell r="AS339">
            <v>335</v>
          </cell>
        </row>
        <row r="340">
          <cell r="B340" t="str">
            <v/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S340">
            <v>336</v>
          </cell>
        </row>
        <row r="341">
          <cell r="B341" t="str">
            <v/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S341">
            <v>337</v>
          </cell>
        </row>
        <row r="342">
          <cell r="B342" t="str">
            <v/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S342">
            <v>338</v>
          </cell>
        </row>
        <row r="343">
          <cell r="B343" t="str">
            <v/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S343">
            <v>339</v>
          </cell>
        </row>
        <row r="344">
          <cell r="B344" t="str">
            <v/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S344">
            <v>340</v>
          </cell>
        </row>
        <row r="345">
          <cell r="B345" t="str">
            <v/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S345">
            <v>341</v>
          </cell>
        </row>
        <row r="348"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1</v>
          </cell>
          <cell r="J348">
            <v>1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1</v>
          </cell>
          <cell r="AJ348">
            <v>0</v>
          </cell>
          <cell r="AK348">
            <v>0</v>
          </cell>
          <cell r="AL348">
            <v>0</v>
          </cell>
          <cell r="AM348">
            <v>1</v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>
            <v>0</v>
          </cell>
          <cell r="J349">
            <v>0</v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  <cell r="Z349" t="str">
            <v/>
          </cell>
          <cell r="AA349" t="str">
            <v/>
          </cell>
          <cell r="AB349" t="str">
            <v/>
          </cell>
          <cell r="AC349" t="str">
            <v/>
          </cell>
          <cell r="AD349" t="str">
            <v/>
          </cell>
          <cell r="AE349" t="str">
            <v/>
          </cell>
          <cell r="AF349" t="str">
            <v/>
          </cell>
          <cell r="AG349" t="str">
            <v/>
          </cell>
          <cell r="AH349" t="str">
            <v/>
          </cell>
          <cell r="AI349">
            <v>0</v>
          </cell>
          <cell r="AJ349" t="str">
            <v/>
          </cell>
          <cell r="AK349" t="str">
            <v/>
          </cell>
          <cell r="AL349" t="str">
            <v/>
          </cell>
          <cell r="AM349">
            <v>0</v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>
            <v>0.44170166700495989</v>
          </cell>
          <cell r="J350">
            <v>0.44161688161842005</v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  <cell r="Z350" t="str">
            <v/>
          </cell>
          <cell r="AA350" t="str">
            <v/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  <cell r="AF350" t="str">
            <v/>
          </cell>
          <cell r="AG350" t="str">
            <v/>
          </cell>
          <cell r="AH350" t="str">
            <v/>
          </cell>
          <cell r="AI350">
            <v>0.44165927431168994</v>
          </cell>
          <cell r="AJ350" t="str">
            <v/>
          </cell>
          <cell r="AK350" t="str">
            <v/>
          </cell>
          <cell r="AL350" t="str">
            <v/>
          </cell>
          <cell r="AM350">
            <v>0.44165927431168994</v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>
            <v>0.50070000676586457</v>
          </cell>
          <cell r="J351">
            <v>0.55838311838157995</v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  <cell r="Z351" t="str">
            <v/>
          </cell>
          <cell r="AA351" t="str">
            <v/>
          </cell>
          <cell r="AB351" t="str">
            <v/>
          </cell>
          <cell r="AC351" t="str">
            <v/>
          </cell>
          <cell r="AD351" t="str">
            <v/>
          </cell>
          <cell r="AE351" t="str">
            <v/>
          </cell>
          <cell r="AF351" t="str">
            <v/>
          </cell>
          <cell r="AG351" t="str">
            <v/>
          </cell>
          <cell r="AH351" t="str">
            <v/>
          </cell>
          <cell r="AI351">
            <v>0.52954156257372231</v>
          </cell>
          <cell r="AJ351" t="str">
            <v/>
          </cell>
          <cell r="AK351" t="str">
            <v/>
          </cell>
          <cell r="AL351" t="str">
            <v/>
          </cell>
          <cell r="AM351">
            <v>0.52954156257372231</v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>
            <v>0</v>
          </cell>
          <cell r="J352">
            <v>0</v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  <cell r="Z352" t="str">
            <v/>
          </cell>
          <cell r="AA352" t="str">
            <v/>
          </cell>
          <cell r="AB352" t="str">
            <v/>
          </cell>
          <cell r="AC352" t="str">
            <v/>
          </cell>
          <cell r="AD352" t="str">
            <v/>
          </cell>
          <cell r="AE352" t="str">
            <v/>
          </cell>
          <cell r="AF352" t="str">
            <v/>
          </cell>
          <cell r="AG352" t="str">
            <v/>
          </cell>
          <cell r="AH352" t="str">
            <v/>
          </cell>
          <cell r="AI352">
            <v>0</v>
          </cell>
          <cell r="AJ352" t="str">
            <v/>
          </cell>
          <cell r="AK352" t="str">
            <v/>
          </cell>
          <cell r="AL352" t="str">
            <v/>
          </cell>
          <cell r="AM352">
            <v>0</v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>
            <v>0</v>
          </cell>
          <cell r="J353">
            <v>0</v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  <cell r="Z353" t="str">
            <v/>
          </cell>
          <cell r="AA353" t="str">
            <v/>
          </cell>
          <cell r="AB353" t="str">
            <v/>
          </cell>
          <cell r="AC353" t="str">
            <v/>
          </cell>
          <cell r="AD353" t="str">
            <v/>
          </cell>
          <cell r="AE353" t="str">
            <v/>
          </cell>
          <cell r="AF353" t="str">
            <v/>
          </cell>
          <cell r="AG353" t="str">
            <v/>
          </cell>
          <cell r="AH353" t="str">
            <v/>
          </cell>
          <cell r="AI353">
            <v>0</v>
          </cell>
          <cell r="AJ353" t="str">
            <v/>
          </cell>
          <cell r="AK353" t="str">
            <v/>
          </cell>
          <cell r="AL353" t="str">
            <v/>
          </cell>
          <cell r="AM353">
            <v>0</v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>
            <v>0</v>
          </cell>
          <cell r="J354">
            <v>0</v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  <cell r="Z354" t="str">
            <v/>
          </cell>
          <cell r="AA354" t="str">
            <v/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  <cell r="AF354" t="str">
            <v/>
          </cell>
          <cell r="AG354" t="str">
            <v/>
          </cell>
          <cell r="AH354" t="str">
            <v/>
          </cell>
          <cell r="AI354">
            <v>0</v>
          </cell>
          <cell r="AJ354" t="str">
            <v/>
          </cell>
          <cell r="AK354" t="str">
            <v/>
          </cell>
          <cell r="AL354" t="str">
            <v/>
          </cell>
          <cell r="AM354">
            <v>0</v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>
            <v>0</v>
          </cell>
          <cell r="J355">
            <v>0</v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  <cell r="Z355" t="str">
            <v/>
          </cell>
          <cell r="AA355" t="str">
            <v/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  <cell r="AF355" t="str">
            <v/>
          </cell>
          <cell r="AG355" t="str">
            <v/>
          </cell>
          <cell r="AH355" t="str">
            <v/>
          </cell>
          <cell r="AI355">
            <v>0</v>
          </cell>
          <cell r="AJ355" t="str">
            <v/>
          </cell>
          <cell r="AK355" t="str">
            <v/>
          </cell>
          <cell r="AL355" t="str">
            <v/>
          </cell>
          <cell r="AM355">
            <v>0</v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>
            <v>1.6555550351044286E-2</v>
          </cell>
          <cell r="J356">
            <v>0</v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  <cell r="Z356" t="str">
            <v/>
          </cell>
          <cell r="AA356" t="str">
            <v/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  <cell r="AF356" t="str">
            <v/>
          </cell>
          <cell r="AG356" t="str">
            <v/>
          </cell>
          <cell r="AH356" t="str">
            <v/>
          </cell>
          <cell r="AI356">
            <v>8.2777751755221431E-3</v>
          </cell>
          <cell r="AJ356" t="str">
            <v/>
          </cell>
          <cell r="AK356" t="str">
            <v/>
          </cell>
          <cell r="AL356" t="str">
            <v/>
          </cell>
          <cell r="AM356">
            <v>8.2777751755221431E-3</v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>
            <v>4.1042775878131162E-2</v>
          </cell>
          <cell r="J357">
            <v>0</v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  <cell r="Z357" t="str">
            <v/>
          </cell>
          <cell r="AA357" t="str">
            <v/>
          </cell>
          <cell r="AB357" t="str">
            <v/>
          </cell>
          <cell r="AC357" t="str">
            <v/>
          </cell>
          <cell r="AD357" t="str">
            <v/>
          </cell>
          <cell r="AE357" t="str">
            <v/>
          </cell>
          <cell r="AF357" t="str">
            <v/>
          </cell>
          <cell r="AG357" t="str">
            <v/>
          </cell>
          <cell r="AH357" t="str">
            <v/>
          </cell>
          <cell r="AI357">
            <v>2.0521387939065581E-2</v>
          </cell>
          <cell r="AJ357" t="str">
            <v/>
          </cell>
          <cell r="AK357" t="str">
            <v/>
          </cell>
          <cell r="AL357" t="str">
            <v/>
          </cell>
          <cell r="AM357">
            <v>2.0521387939065581E-2</v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>
            <v>0</v>
          </cell>
          <cell r="J358">
            <v>0</v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  <cell r="Z358" t="str">
            <v/>
          </cell>
          <cell r="AA358" t="str">
            <v/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  <cell r="AF358" t="str">
            <v/>
          </cell>
          <cell r="AG358" t="str">
            <v/>
          </cell>
          <cell r="AH358" t="str">
            <v/>
          </cell>
          <cell r="AI358">
            <v>0</v>
          </cell>
          <cell r="AJ358" t="str">
            <v/>
          </cell>
          <cell r="AK358" t="str">
            <v/>
          </cell>
          <cell r="AL358" t="str">
            <v/>
          </cell>
          <cell r="AM358">
            <v>0</v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>
            <v>0</v>
          </cell>
          <cell r="J359">
            <v>0</v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  <cell r="Z359" t="str">
            <v/>
          </cell>
          <cell r="AA359" t="str">
            <v/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  <cell r="AF359" t="str">
            <v/>
          </cell>
          <cell r="AG359" t="str">
            <v/>
          </cell>
          <cell r="AH359" t="str">
            <v/>
          </cell>
          <cell r="AI359">
            <v>0</v>
          </cell>
          <cell r="AJ359" t="str">
            <v/>
          </cell>
          <cell r="AK359" t="str">
            <v/>
          </cell>
          <cell r="AL359" t="str">
            <v/>
          </cell>
          <cell r="AM359">
            <v>0</v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>
            <v>0</v>
          </cell>
          <cell r="J360">
            <v>0</v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  <cell r="Z360" t="str">
            <v/>
          </cell>
          <cell r="AA360" t="str">
            <v/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  <cell r="AF360" t="str">
            <v/>
          </cell>
          <cell r="AG360" t="str">
            <v/>
          </cell>
          <cell r="AH360" t="str">
            <v/>
          </cell>
          <cell r="AI360">
            <v>0</v>
          </cell>
          <cell r="AJ360" t="str">
            <v/>
          </cell>
          <cell r="AK360" t="str">
            <v/>
          </cell>
          <cell r="AL360" t="str">
            <v/>
          </cell>
          <cell r="AM360">
            <v>0</v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>
            <v>0</v>
          </cell>
          <cell r="J361">
            <v>0</v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  <cell r="Z361" t="str">
            <v/>
          </cell>
          <cell r="AA361" t="str">
            <v/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  <cell r="AF361" t="str">
            <v/>
          </cell>
          <cell r="AG361" t="str">
            <v/>
          </cell>
          <cell r="AH361" t="str">
            <v/>
          </cell>
          <cell r="AI361">
            <v>0</v>
          </cell>
          <cell r="AJ361" t="str">
            <v/>
          </cell>
          <cell r="AK361" t="str">
            <v/>
          </cell>
          <cell r="AL361" t="str">
            <v/>
          </cell>
          <cell r="AM361">
            <v>0</v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>
            <v>0</v>
          </cell>
          <cell r="J362">
            <v>0</v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  <cell r="Z362" t="str">
            <v/>
          </cell>
          <cell r="AA362" t="str">
            <v/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  <cell r="AF362" t="str">
            <v/>
          </cell>
          <cell r="AG362" t="str">
            <v/>
          </cell>
          <cell r="AH362" t="str">
            <v/>
          </cell>
          <cell r="AI362">
            <v>0</v>
          </cell>
          <cell r="AJ362" t="str">
            <v/>
          </cell>
          <cell r="AK362" t="str">
            <v/>
          </cell>
          <cell r="AL362" t="str">
            <v/>
          </cell>
          <cell r="AM362">
            <v>0</v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>
            <v>0</v>
          </cell>
          <cell r="J363">
            <v>0</v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  <cell r="Z363" t="str">
            <v/>
          </cell>
          <cell r="AA363" t="str">
            <v/>
          </cell>
          <cell r="AB363" t="str">
            <v/>
          </cell>
          <cell r="AC363" t="str">
            <v/>
          </cell>
          <cell r="AD363" t="str">
            <v/>
          </cell>
          <cell r="AE363" t="str">
            <v/>
          </cell>
          <cell r="AF363" t="str">
            <v/>
          </cell>
          <cell r="AG363" t="str">
            <v/>
          </cell>
          <cell r="AH363" t="str">
            <v/>
          </cell>
          <cell r="AI363">
            <v>0</v>
          </cell>
          <cell r="AJ363" t="str">
            <v/>
          </cell>
          <cell r="AK363" t="str">
            <v/>
          </cell>
          <cell r="AL363" t="str">
            <v/>
          </cell>
          <cell r="AM363">
            <v>0</v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>
            <v>0</v>
          </cell>
          <cell r="J364">
            <v>0</v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/>
          </cell>
          <cell r="Z364" t="str">
            <v/>
          </cell>
          <cell r="AA364" t="str">
            <v/>
          </cell>
          <cell r="AB364" t="str">
            <v/>
          </cell>
          <cell r="AC364" t="str">
            <v/>
          </cell>
          <cell r="AD364" t="str">
            <v/>
          </cell>
          <cell r="AE364" t="str">
            <v/>
          </cell>
          <cell r="AF364" t="str">
            <v/>
          </cell>
          <cell r="AG364" t="str">
            <v/>
          </cell>
          <cell r="AH364" t="str">
            <v/>
          </cell>
          <cell r="AI364">
            <v>0</v>
          </cell>
          <cell r="AJ364" t="str">
            <v/>
          </cell>
          <cell r="AK364" t="str">
            <v/>
          </cell>
          <cell r="AL364" t="str">
            <v/>
          </cell>
          <cell r="AM364">
            <v>0</v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>
            <v>0</v>
          </cell>
          <cell r="J365">
            <v>0</v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/>
          </cell>
          <cell r="Z365" t="str">
            <v/>
          </cell>
          <cell r="AA365" t="str">
            <v/>
          </cell>
          <cell r="AB365" t="str">
            <v/>
          </cell>
          <cell r="AC365" t="str">
            <v/>
          </cell>
          <cell r="AD365" t="str">
            <v/>
          </cell>
          <cell r="AE365" t="str">
            <v/>
          </cell>
          <cell r="AF365" t="str">
            <v/>
          </cell>
          <cell r="AG365" t="str">
            <v/>
          </cell>
          <cell r="AH365" t="str">
            <v/>
          </cell>
          <cell r="AI365">
            <v>0</v>
          </cell>
          <cell r="AJ365" t="str">
            <v/>
          </cell>
          <cell r="AK365" t="str">
            <v/>
          </cell>
          <cell r="AL365" t="str">
            <v/>
          </cell>
          <cell r="AM365">
            <v>0</v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>
            <v>0</v>
          </cell>
          <cell r="J366">
            <v>0</v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/>
          </cell>
          <cell r="Z366" t="str">
            <v/>
          </cell>
          <cell r="AA366" t="str">
            <v/>
          </cell>
          <cell r="AB366" t="str">
            <v/>
          </cell>
          <cell r="AC366" t="str">
            <v/>
          </cell>
          <cell r="AD366" t="str">
            <v/>
          </cell>
          <cell r="AE366" t="str">
            <v/>
          </cell>
          <cell r="AF366" t="str">
            <v/>
          </cell>
          <cell r="AG366" t="str">
            <v/>
          </cell>
          <cell r="AH366" t="str">
            <v/>
          </cell>
          <cell r="AI366">
            <v>0</v>
          </cell>
          <cell r="AJ366" t="str">
            <v/>
          </cell>
          <cell r="AK366" t="str">
            <v/>
          </cell>
          <cell r="AL366" t="str">
            <v/>
          </cell>
          <cell r="AM366">
            <v>0</v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>
            <v>0</v>
          </cell>
          <cell r="J367">
            <v>0</v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/>
          </cell>
          <cell r="Z367" t="str">
            <v/>
          </cell>
          <cell r="AA367" t="str">
            <v/>
          </cell>
          <cell r="AB367" t="str">
            <v/>
          </cell>
          <cell r="AC367" t="str">
            <v/>
          </cell>
          <cell r="AD367" t="str">
            <v/>
          </cell>
          <cell r="AE367" t="str">
            <v/>
          </cell>
          <cell r="AF367" t="str">
            <v/>
          </cell>
          <cell r="AG367" t="str">
            <v/>
          </cell>
          <cell r="AH367" t="str">
            <v/>
          </cell>
          <cell r="AI367">
            <v>0</v>
          </cell>
          <cell r="AJ367" t="str">
            <v/>
          </cell>
          <cell r="AK367" t="str">
            <v/>
          </cell>
          <cell r="AL367" t="str">
            <v/>
          </cell>
          <cell r="AM367">
            <v>0</v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>
            <v>0</v>
          </cell>
          <cell r="J368">
            <v>0</v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/>
          </cell>
          <cell r="Z368" t="str">
            <v/>
          </cell>
          <cell r="AA368" t="str">
            <v/>
          </cell>
          <cell r="AB368" t="str">
            <v/>
          </cell>
          <cell r="AC368" t="str">
            <v/>
          </cell>
          <cell r="AD368" t="str">
            <v/>
          </cell>
          <cell r="AE368" t="str">
            <v/>
          </cell>
          <cell r="AF368" t="str">
            <v/>
          </cell>
          <cell r="AG368" t="str">
            <v/>
          </cell>
          <cell r="AH368" t="str">
            <v/>
          </cell>
          <cell r="AI368">
            <v>0</v>
          </cell>
          <cell r="AJ368" t="str">
            <v/>
          </cell>
          <cell r="AK368" t="str">
            <v/>
          </cell>
          <cell r="AL368" t="str">
            <v/>
          </cell>
          <cell r="AM368">
            <v>0</v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>
            <v>0</v>
          </cell>
          <cell r="J369">
            <v>0</v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/>
          </cell>
          <cell r="Z369" t="str">
            <v/>
          </cell>
          <cell r="AA369" t="str">
            <v/>
          </cell>
          <cell r="AB369" t="str">
            <v/>
          </cell>
          <cell r="AC369" t="str">
            <v/>
          </cell>
          <cell r="AD369" t="str">
            <v/>
          </cell>
          <cell r="AE369" t="str">
            <v/>
          </cell>
          <cell r="AF369" t="str">
            <v/>
          </cell>
          <cell r="AG369" t="str">
            <v/>
          </cell>
          <cell r="AH369" t="str">
            <v/>
          </cell>
          <cell r="AI369">
            <v>0</v>
          </cell>
          <cell r="AJ369" t="str">
            <v/>
          </cell>
          <cell r="AK369" t="str">
            <v/>
          </cell>
          <cell r="AL369" t="str">
            <v/>
          </cell>
          <cell r="AM369">
            <v>0</v>
          </cell>
        </row>
        <row r="370">
          <cell r="D370">
            <v>1.0000000000000002</v>
          </cell>
          <cell r="E370">
            <v>0.99999999999999978</v>
          </cell>
          <cell r="F370">
            <v>0.99999999999999989</v>
          </cell>
          <cell r="G370">
            <v>0</v>
          </cell>
          <cell r="H370">
            <v>1</v>
          </cell>
          <cell r="I370">
            <v>0.99999999999999989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1</v>
          </cell>
          <cell r="AJ370">
            <v>0</v>
          </cell>
          <cell r="AK370">
            <v>0</v>
          </cell>
          <cell r="AL370">
            <v>0</v>
          </cell>
          <cell r="AM370">
            <v>1</v>
          </cell>
        </row>
        <row r="371">
          <cell r="D371">
            <v>0</v>
          </cell>
          <cell r="E371">
            <v>0</v>
          </cell>
          <cell r="F371">
            <v>0</v>
          </cell>
          <cell r="G371" t="str">
            <v/>
          </cell>
          <cell r="H371">
            <v>0</v>
          </cell>
          <cell r="I371">
            <v>0</v>
          </cell>
          <cell r="J371">
            <v>0</v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/>
          </cell>
          <cell r="Z371" t="str">
            <v/>
          </cell>
          <cell r="AA371" t="str">
            <v/>
          </cell>
          <cell r="AB371" t="str">
            <v/>
          </cell>
          <cell r="AC371" t="str">
            <v/>
          </cell>
          <cell r="AD371" t="str">
            <v/>
          </cell>
          <cell r="AE371" t="str">
            <v/>
          </cell>
          <cell r="AF371" t="str">
            <v/>
          </cell>
          <cell r="AG371" t="str">
            <v/>
          </cell>
          <cell r="AH371" t="str">
            <v/>
          </cell>
          <cell r="AI371">
            <v>0</v>
          </cell>
          <cell r="AJ371" t="str">
            <v/>
          </cell>
          <cell r="AK371" t="str">
            <v/>
          </cell>
          <cell r="AL371" t="str">
            <v/>
          </cell>
          <cell r="AM371">
            <v>0</v>
          </cell>
        </row>
        <row r="372">
          <cell r="D372">
            <v>0</v>
          </cell>
          <cell r="E372">
            <v>0</v>
          </cell>
          <cell r="F372">
            <v>0</v>
          </cell>
          <cell r="G372" t="str">
            <v/>
          </cell>
          <cell r="H372">
            <v>0</v>
          </cell>
          <cell r="I372">
            <v>0</v>
          </cell>
          <cell r="J372">
            <v>1.2112551511559327E-2</v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/>
          </cell>
          <cell r="Z372" t="str">
            <v/>
          </cell>
          <cell r="AA372" t="str">
            <v/>
          </cell>
          <cell r="AB372" t="str">
            <v/>
          </cell>
          <cell r="AC372" t="str">
            <v/>
          </cell>
          <cell r="AD372" t="str">
            <v/>
          </cell>
          <cell r="AE372" t="str">
            <v/>
          </cell>
          <cell r="AF372" t="str">
            <v/>
          </cell>
          <cell r="AG372" t="str">
            <v/>
          </cell>
          <cell r="AH372" t="str">
            <v/>
          </cell>
          <cell r="AI372">
            <v>2.0187585852598877E-3</v>
          </cell>
          <cell r="AJ372" t="str">
            <v/>
          </cell>
          <cell r="AK372" t="str">
            <v/>
          </cell>
          <cell r="AL372" t="str">
            <v/>
          </cell>
          <cell r="AM372">
            <v>2.0187585852598877E-3</v>
          </cell>
        </row>
        <row r="373">
          <cell r="D373">
            <v>0</v>
          </cell>
          <cell r="E373">
            <v>0</v>
          </cell>
          <cell r="F373">
            <v>0</v>
          </cell>
          <cell r="G373" t="str">
            <v/>
          </cell>
          <cell r="H373">
            <v>0</v>
          </cell>
          <cell r="I373">
            <v>0</v>
          </cell>
          <cell r="J373">
            <v>4.1426992905927322E-2</v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/>
          </cell>
          <cell r="Z373" t="str">
            <v/>
          </cell>
          <cell r="AA373" t="str">
            <v/>
          </cell>
          <cell r="AB373" t="str">
            <v/>
          </cell>
          <cell r="AC373" t="str">
            <v/>
          </cell>
          <cell r="AD373" t="str">
            <v/>
          </cell>
          <cell r="AE373" t="str">
            <v/>
          </cell>
          <cell r="AF373" t="str">
            <v/>
          </cell>
          <cell r="AG373" t="str">
            <v/>
          </cell>
          <cell r="AH373" t="str">
            <v/>
          </cell>
          <cell r="AI373">
            <v>6.9044988176545537E-3</v>
          </cell>
          <cell r="AJ373" t="str">
            <v/>
          </cell>
          <cell r="AK373" t="str">
            <v/>
          </cell>
          <cell r="AL373" t="str">
            <v/>
          </cell>
          <cell r="AM373">
            <v>6.9044988176545537E-3</v>
          </cell>
        </row>
        <row r="374">
          <cell r="D374">
            <v>0</v>
          </cell>
          <cell r="E374">
            <v>0</v>
          </cell>
          <cell r="F374">
            <v>0</v>
          </cell>
          <cell r="G374" t="str">
            <v/>
          </cell>
          <cell r="H374">
            <v>4.9339782624979581E-2</v>
          </cell>
          <cell r="I374">
            <v>0</v>
          </cell>
          <cell r="J374">
            <v>0</v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/>
          </cell>
          <cell r="Z374" t="str">
            <v/>
          </cell>
          <cell r="AA374" t="str">
            <v/>
          </cell>
          <cell r="AB374" t="str">
            <v/>
          </cell>
          <cell r="AC374" t="str">
            <v/>
          </cell>
          <cell r="AD374" t="str">
            <v/>
          </cell>
          <cell r="AE374" t="str">
            <v/>
          </cell>
          <cell r="AF374" t="str">
            <v/>
          </cell>
          <cell r="AG374" t="str">
            <v/>
          </cell>
          <cell r="AH374" t="str">
            <v/>
          </cell>
          <cell r="AI374">
            <v>8.223297104163264E-3</v>
          </cell>
          <cell r="AJ374" t="str">
            <v/>
          </cell>
          <cell r="AK374" t="str">
            <v/>
          </cell>
          <cell r="AL374" t="str">
            <v/>
          </cell>
          <cell r="AM374">
            <v>8.223297104163264E-3</v>
          </cell>
        </row>
        <row r="375">
          <cell r="D375">
            <v>0</v>
          </cell>
          <cell r="E375">
            <v>0</v>
          </cell>
          <cell r="F375">
            <v>0</v>
          </cell>
          <cell r="G375" t="str">
            <v/>
          </cell>
          <cell r="H375">
            <v>0</v>
          </cell>
          <cell r="I375">
            <v>0</v>
          </cell>
          <cell r="J375">
            <v>0</v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/>
          </cell>
          <cell r="Z375" t="str">
            <v/>
          </cell>
          <cell r="AA375" t="str">
            <v/>
          </cell>
          <cell r="AB375" t="str">
            <v/>
          </cell>
          <cell r="AC375" t="str">
            <v/>
          </cell>
          <cell r="AD375" t="str">
            <v/>
          </cell>
          <cell r="AE375" t="str">
            <v/>
          </cell>
          <cell r="AF375" t="str">
            <v/>
          </cell>
          <cell r="AG375" t="str">
            <v/>
          </cell>
          <cell r="AH375" t="str">
            <v/>
          </cell>
          <cell r="AI375">
            <v>0</v>
          </cell>
          <cell r="AJ375" t="str">
            <v/>
          </cell>
          <cell r="AK375" t="str">
            <v/>
          </cell>
          <cell r="AL375" t="str">
            <v/>
          </cell>
          <cell r="AM375">
            <v>0</v>
          </cell>
        </row>
        <row r="376">
          <cell r="D376">
            <v>0</v>
          </cell>
          <cell r="E376">
            <v>0</v>
          </cell>
          <cell r="F376">
            <v>0</v>
          </cell>
          <cell r="G376" t="str">
            <v/>
          </cell>
          <cell r="H376">
            <v>0</v>
          </cell>
          <cell r="I376">
            <v>0</v>
          </cell>
          <cell r="J376">
            <v>0</v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/>
          </cell>
          <cell r="Z376" t="str">
            <v/>
          </cell>
          <cell r="AA376" t="str">
            <v/>
          </cell>
          <cell r="AB376" t="str">
            <v/>
          </cell>
          <cell r="AC376" t="str">
            <v/>
          </cell>
          <cell r="AD376" t="str">
            <v/>
          </cell>
          <cell r="AE376" t="str">
            <v/>
          </cell>
          <cell r="AF376" t="str">
            <v/>
          </cell>
          <cell r="AG376" t="str">
            <v/>
          </cell>
          <cell r="AH376" t="str">
            <v/>
          </cell>
          <cell r="AI376">
            <v>0</v>
          </cell>
          <cell r="AJ376" t="str">
            <v/>
          </cell>
          <cell r="AK376" t="str">
            <v/>
          </cell>
          <cell r="AL376" t="str">
            <v/>
          </cell>
          <cell r="AM376">
            <v>0</v>
          </cell>
        </row>
        <row r="377">
          <cell r="D377">
            <v>0</v>
          </cell>
          <cell r="E377">
            <v>0</v>
          </cell>
          <cell r="F377">
            <v>0</v>
          </cell>
          <cell r="G377" t="str">
            <v/>
          </cell>
          <cell r="H377">
            <v>0</v>
          </cell>
          <cell r="I377">
            <v>0</v>
          </cell>
          <cell r="J377">
            <v>0</v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/>
          </cell>
          <cell r="Z377" t="str">
            <v/>
          </cell>
          <cell r="AA377" t="str">
            <v/>
          </cell>
          <cell r="AB377" t="str">
            <v/>
          </cell>
          <cell r="AC377" t="str">
            <v/>
          </cell>
          <cell r="AD377" t="str">
            <v/>
          </cell>
          <cell r="AE377" t="str">
            <v/>
          </cell>
          <cell r="AF377" t="str">
            <v/>
          </cell>
          <cell r="AG377" t="str">
            <v/>
          </cell>
          <cell r="AH377" t="str">
            <v/>
          </cell>
          <cell r="AI377">
            <v>0</v>
          </cell>
          <cell r="AJ377" t="str">
            <v/>
          </cell>
          <cell r="AK377" t="str">
            <v/>
          </cell>
          <cell r="AL377" t="str">
            <v/>
          </cell>
          <cell r="AM377">
            <v>0</v>
          </cell>
        </row>
        <row r="378">
          <cell r="D378">
            <v>0.54394038869730954</v>
          </cell>
          <cell r="E378">
            <v>0.43367467660772058</v>
          </cell>
          <cell r="F378">
            <v>0.61059757926724689</v>
          </cell>
          <cell r="G378" t="str">
            <v/>
          </cell>
          <cell r="H378">
            <v>0.5315815131767182</v>
          </cell>
          <cell r="I378">
            <v>0.62280280355624817</v>
          </cell>
          <cell r="J378">
            <v>0.47612292062329814</v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/>
          </cell>
          <cell r="Z378" t="str">
            <v/>
          </cell>
          <cell r="AA378" t="str">
            <v/>
          </cell>
          <cell r="AB378" t="str">
            <v/>
          </cell>
          <cell r="AC378" t="str">
            <v/>
          </cell>
          <cell r="AD378" t="str">
            <v/>
          </cell>
          <cell r="AE378" t="str">
            <v/>
          </cell>
          <cell r="AF378" t="str">
            <v/>
          </cell>
          <cell r="AG378" t="str">
            <v/>
          </cell>
          <cell r="AH378" t="str">
            <v/>
          </cell>
          <cell r="AI378">
            <v>0.53645331365475701</v>
          </cell>
          <cell r="AJ378" t="str">
            <v/>
          </cell>
          <cell r="AK378" t="str">
            <v/>
          </cell>
          <cell r="AL378" t="str">
            <v/>
          </cell>
          <cell r="AM378">
            <v>0.53645331365475701</v>
          </cell>
        </row>
        <row r="379">
          <cell r="D379">
            <v>0.45605961130269063</v>
          </cell>
          <cell r="E379">
            <v>0.56632532339227915</v>
          </cell>
          <cell r="F379">
            <v>0.389402420732753</v>
          </cell>
          <cell r="G379" t="str">
            <v/>
          </cell>
          <cell r="H379">
            <v>0.41907870419830223</v>
          </cell>
          <cell r="I379">
            <v>0.37719719644375171</v>
          </cell>
          <cell r="J379">
            <v>0.4703375349592151</v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str">
            <v/>
          </cell>
          <cell r="Z379" t="str">
            <v/>
          </cell>
          <cell r="AA379" t="str">
            <v/>
          </cell>
          <cell r="AB379" t="str">
            <v/>
          </cell>
          <cell r="AC379" t="str">
            <v/>
          </cell>
          <cell r="AD379" t="str">
            <v/>
          </cell>
          <cell r="AE379" t="str">
            <v/>
          </cell>
          <cell r="AF379" t="str">
            <v/>
          </cell>
          <cell r="AG379" t="str">
            <v/>
          </cell>
          <cell r="AH379" t="str">
            <v/>
          </cell>
          <cell r="AI379">
            <v>0.44640013183816524</v>
          </cell>
          <cell r="AJ379" t="str">
            <v/>
          </cell>
          <cell r="AK379" t="str">
            <v/>
          </cell>
          <cell r="AL379" t="str">
            <v/>
          </cell>
          <cell r="AM379">
            <v>0.44640013183816524</v>
          </cell>
        </row>
        <row r="380">
          <cell r="D380">
            <v>0</v>
          </cell>
          <cell r="E380">
            <v>0</v>
          </cell>
          <cell r="F380">
            <v>0</v>
          </cell>
          <cell r="G380" t="str">
            <v/>
          </cell>
          <cell r="H380">
            <v>0</v>
          </cell>
          <cell r="I380">
            <v>0</v>
          </cell>
          <cell r="J380">
            <v>0</v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 t="str">
            <v/>
          </cell>
          <cell r="Y380" t="str">
            <v/>
          </cell>
          <cell r="Z380" t="str">
            <v/>
          </cell>
          <cell r="AA380" t="str">
            <v/>
          </cell>
          <cell r="AB380" t="str">
            <v/>
          </cell>
          <cell r="AC380" t="str">
            <v/>
          </cell>
          <cell r="AD380" t="str">
            <v/>
          </cell>
          <cell r="AE380" t="str">
            <v/>
          </cell>
          <cell r="AF380" t="str">
            <v/>
          </cell>
          <cell r="AG380" t="str">
            <v/>
          </cell>
          <cell r="AH380" t="str">
            <v/>
          </cell>
          <cell r="AI380">
            <v>0</v>
          </cell>
          <cell r="AJ380" t="str">
            <v/>
          </cell>
          <cell r="AK380" t="str">
            <v/>
          </cell>
          <cell r="AL380" t="str">
            <v/>
          </cell>
          <cell r="AM380">
            <v>0</v>
          </cell>
        </row>
        <row r="381">
          <cell r="D381">
            <v>0</v>
          </cell>
          <cell r="E381">
            <v>0</v>
          </cell>
          <cell r="F381">
            <v>0</v>
          </cell>
          <cell r="G381" t="str">
            <v/>
          </cell>
          <cell r="H381">
            <v>0</v>
          </cell>
          <cell r="I381">
            <v>0</v>
          </cell>
          <cell r="J381">
            <v>0</v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T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str">
            <v/>
          </cell>
          <cell r="Z381" t="str">
            <v/>
          </cell>
          <cell r="AA381" t="str">
            <v/>
          </cell>
          <cell r="AB381" t="str">
            <v/>
          </cell>
          <cell r="AC381" t="str">
            <v/>
          </cell>
          <cell r="AD381" t="str">
            <v/>
          </cell>
          <cell r="AE381" t="str">
            <v/>
          </cell>
          <cell r="AF381" t="str">
            <v/>
          </cell>
          <cell r="AG381" t="str">
            <v/>
          </cell>
          <cell r="AH381" t="str">
            <v/>
          </cell>
          <cell r="AI381">
            <v>0</v>
          </cell>
          <cell r="AJ381" t="str">
            <v/>
          </cell>
          <cell r="AK381" t="str">
            <v/>
          </cell>
          <cell r="AL381" t="str">
            <v/>
          </cell>
          <cell r="AM381">
            <v>0</v>
          </cell>
        </row>
        <row r="382">
          <cell r="D382">
            <v>0</v>
          </cell>
          <cell r="E382">
            <v>0</v>
          </cell>
          <cell r="F382">
            <v>0</v>
          </cell>
          <cell r="G382" t="str">
            <v/>
          </cell>
          <cell r="H382">
            <v>0</v>
          </cell>
          <cell r="I382">
            <v>0</v>
          </cell>
          <cell r="J382">
            <v>0</v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/>
          </cell>
          <cell r="Z382" t="str">
            <v/>
          </cell>
          <cell r="AA382" t="str">
            <v/>
          </cell>
          <cell r="AB382" t="str">
            <v/>
          </cell>
          <cell r="AC382" t="str">
            <v/>
          </cell>
          <cell r="AD382" t="str">
            <v/>
          </cell>
          <cell r="AE382" t="str">
            <v/>
          </cell>
          <cell r="AF382" t="str">
            <v/>
          </cell>
          <cell r="AG382" t="str">
            <v/>
          </cell>
          <cell r="AH382" t="str">
            <v/>
          </cell>
          <cell r="AI382">
            <v>0</v>
          </cell>
          <cell r="AJ382" t="str">
            <v/>
          </cell>
          <cell r="AK382" t="str">
            <v/>
          </cell>
          <cell r="AL382" t="str">
            <v/>
          </cell>
          <cell r="AM382">
            <v>0</v>
          </cell>
        </row>
        <row r="383">
          <cell r="D383">
            <v>0</v>
          </cell>
          <cell r="E383">
            <v>0</v>
          </cell>
          <cell r="F383">
            <v>0</v>
          </cell>
          <cell r="G383" t="str">
            <v/>
          </cell>
          <cell r="H383">
            <v>0</v>
          </cell>
          <cell r="I383">
            <v>0</v>
          </cell>
          <cell r="J383">
            <v>0</v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/>
          </cell>
          <cell r="Z383" t="str">
            <v/>
          </cell>
          <cell r="AA383" t="str">
            <v/>
          </cell>
          <cell r="AB383" t="str">
            <v/>
          </cell>
          <cell r="AC383" t="str">
            <v/>
          </cell>
          <cell r="AD383" t="str">
            <v/>
          </cell>
          <cell r="AE383" t="str">
            <v/>
          </cell>
          <cell r="AF383" t="str">
            <v/>
          </cell>
          <cell r="AG383" t="str">
            <v/>
          </cell>
          <cell r="AH383" t="str">
            <v/>
          </cell>
          <cell r="AI383">
            <v>0</v>
          </cell>
          <cell r="AJ383" t="str">
            <v/>
          </cell>
          <cell r="AK383" t="str">
            <v/>
          </cell>
          <cell r="AL383" t="str">
            <v/>
          </cell>
          <cell r="AM383">
            <v>0</v>
          </cell>
        </row>
        <row r="384">
          <cell r="D384">
            <v>0</v>
          </cell>
          <cell r="E384">
            <v>0</v>
          </cell>
          <cell r="F384">
            <v>0</v>
          </cell>
          <cell r="G384" t="str">
            <v/>
          </cell>
          <cell r="H384">
            <v>0</v>
          </cell>
          <cell r="I384">
            <v>0</v>
          </cell>
          <cell r="J384">
            <v>0</v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/>
          </cell>
          <cell r="Z384" t="str">
            <v/>
          </cell>
          <cell r="AA384" t="str">
            <v/>
          </cell>
          <cell r="AB384" t="str">
            <v/>
          </cell>
          <cell r="AC384" t="str">
            <v/>
          </cell>
          <cell r="AD384" t="str">
            <v/>
          </cell>
          <cell r="AE384" t="str">
            <v/>
          </cell>
          <cell r="AF384" t="str">
            <v/>
          </cell>
          <cell r="AG384" t="str">
            <v/>
          </cell>
          <cell r="AH384" t="str">
            <v/>
          </cell>
          <cell r="AI384">
            <v>0</v>
          </cell>
          <cell r="AJ384" t="str">
            <v/>
          </cell>
          <cell r="AK384" t="str">
            <v/>
          </cell>
          <cell r="AL384" t="str">
            <v/>
          </cell>
          <cell r="AM384">
            <v>0</v>
          </cell>
        </row>
        <row r="385">
          <cell r="D385">
            <v>0</v>
          </cell>
          <cell r="E385">
            <v>0</v>
          </cell>
          <cell r="F385">
            <v>0</v>
          </cell>
          <cell r="G385" t="str">
            <v/>
          </cell>
          <cell r="H385">
            <v>0</v>
          </cell>
          <cell r="I385">
            <v>0</v>
          </cell>
          <cell r="J385">
            <v>0</v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/>
          </cell>
          <cell r="Z385" t="str">
            <v/>
          </cell>
          <cell r="AA385" t="str">
            <v/>
          </cell>
          <cell r="AB385" t="str">
            <v/>
          </cell>
          <cell r="AC385" t="str">
            <v/>
          </cell>
          <cell r="AD385" t="str">
            <v/>
          </cell>
          <cell r="AE385" t="str">
            <v/>
          </cell>
          <cell r="AF385" t="str">
            <v/>
          </cell>
          <cell r="AG385" t="str">
            <v/>
          </cell>
          <cell r="AH385" t="str">
            <v/>
          </cell>
          <cell r="AI385">
            <v>0</v>
          </cell>
          <cell r="AJ385" t="str">
            <v/>
          </cell>
          <cell r="AK385" t="str">
            <v/>
          </cell>
          <cell r="AL385" t="str">
            <v/>
          </cell>
          <cell r="AM385">
            <v>0</v>
          </cell>
        </row>
        <row r="386">
          <cell r="D386">
            <v>0</v>
          </cell>
          <cell r="E386">
            <v>0</v>
          </cell>
          <cell r="F386">
            <v>0</v>
          </cell>
          <cell r="G386" t="str">
            <v/>
          </cell>
          <cell r="H386">
            <v>0</v>
          </cell>
          <cell r="I386">
            <v>0</v>
          </cell>
          <cell r="J386">
            <v>0</v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/>
          </cell>
          <cell r="Z386" t="str">
            <v/>
          </cell>
          <cell r="AA386" t="str">
            <v/>
          </cell>
          <cell r="AB386" t="str">
            <v/>
          </cell>
          <cell r="AC386" t="str">
            <v/>
          </cell>
          <cell r="AD386" t="str">
            <v/>
          </cell>
          <cell r="AE386" t="str">
            <v/>
          </cell>
          <cell r="AF386" t="str">
            <v/>
          </cell>
          <cell r="AG386" t="str">
            <v/>
          </cell>
          <cell r="AH386" t="str">
            <v/>
          </cell>
          <cell r="AI386">
            <v>0</v>
          </cell>
          <cell r="AJ386" t="str">
            <v/>
          </cell>
          <cell r="AK386" t="str">
            <v/>
          </cell>
          <cell r="AL386" t="str">
            <v/>
          </cell>
          <cell r="AM386">
            <v>0</v>
          </cell>
        </row>
        <row r="387">
          <cell r="D387">
            <v>0</v>
          </cell>
          <cell r="E387">
            <v>0</v>
          </cell>
          <cell r="F387">
            <v>0</v>
          </cell>
          <cell r="G387" t="str">
            <v/>
          </cell>
          <cell r="H387">
            <v>0</v>
          </cell>
          <cell r="I387">
            <v>0</v>
          </cell>
          <cell r="J387">
            <v>0</v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/>
          </cell>
          <cell r="Z387" t="str">
            <v/>
          </cell>
          <cell r="AA387" t="str">
            <v/>
          </cell>
          <cell r="AB387" t="str">
            <v/>
          </cell>
          <cell r="AC387" t="str">
            <v/>
          </cell>
          <cell r="AD387" t="str">
            <v/>
          </cell>
          <cell r="AE387" t="str">
            <v/>
          </cell>
          <cell r="AF387" t="str">
            <v/>
          </cell>
          <cell r="AG387" t="str">
            <v/>
          </cell>
          <cell r="AH387" t="str">
            <v/>
          </cell>
          <cell r="AI387">
            <v>0</v>
          </cell>
          <cell r="AJ387" t="str">
            <v/>
          </cell>
          <cell r="AK387" t="str">
            <v/>
          </cell>
          <cell r="AL387" t="str">
            <v/>
          </cell>
          <cell r="AM387">
            <v>0</v>
          </cell>
        </row>
        <row r="388">
          <cell r="D388">
            <v>0</v>
          </cell>
          <cell r="E388">
            <v>0</v>
          </cell>
          <cell r="F388">
            <v>0</v>
          </cell>
          <cell r="G388" t="str">
            <v/>
          </cell>
          <cell r="H388">
            <v>0</v>
          </cell>
          <cell r="I388">
            <v>0</v>
          </cell>
          <cell r="J388">
            <v>0</v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/>
          </cell>
          <cell r="Z388" t="str">
            <v/>
          </cell>
          <cell r="AA388" t="str">
            <v/>
          </cell>
          <cell r="AB388" t="str">
            <v/>
          </cell>
          <cell r="AC388" t="str">
            <v/>
          </cell>
          <cell r="AD388" t="str">
            <v/>
          </cell>
          <cell r="AE388" t="str">
            <v/>
          </cell>
          <cell r="AF388" t="str">
            <v/>
          </cell>
          <cell r="AG388" t="str">
            <v/>
          </cell>
          <cell r="AH388" t="str">
            <v/>
          </cell>
          <cell r="AI388">
            <v>0</v>
          </cell>
          <cell r="AJ388" t="str">
            <v/>
          </cell>
          <cell r="AK388" t="str">
            <v/>
          </cell>
          <cell r="AL388" t="str">
            <v/>
          </cell>
          <cell r="AM388">
            <v>0</v>
          </cell>
        </row>
        <row r="389">
          <cell r="D389">
            <v>0</v>
          </cell>
          <cell r="E389">
            <v>0</v>
          </cell>
          <cell r="F389">
            <v>0</v>
          </cell>
          <cell r="G389" t="str">
            <v/>
          </cell>
          <cell r="H389">
            <v>0</v>
          </cell>
          <cell r="I389">
            <v>0</v>
          </cell>
          <cell r="J389">
            <v>0</v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/>
          </cell>
          <cell r="Z389" t="str">
            <v/>
          </cell>
          <cell r="AA389" t="str">
            <v/>
          </cell>
          <cell r="AB389" t="str">
            <v/>
          </cell>
          <cell r="AC389" t="str">
            <v/>
          </cell>
          <cell r="AD389" t="str">
            <v/>
          </cell>
          <cell r="AE389" t="str">
            <v/>
          </cell>
          <cell r="AF389" t="str">
            <v/>
          </cell>
          <cell r="AG389" t="str">
            <v/>
          </cell>
          <cell r="AH389" t="str">
            <v/>
          </cell>
          <cell r="AI389">
            <v>0</v>
          </cell>
          <cell r="AJ389" t="str">
            <v/>
          </cell>
          <cell r="AK389" t="str">
            <v/>
          </cell>
          <cell r="AL389" t="str">
            <v/>
          </cell>
          <cell r="AM389">
            <v>0</v>
          </cell>
        </row>
        <row r="390">
          <cell r="D390">
            <v>0</v>
          </cell>
          <cell r="E390">
            <v>0</v>
          </cell>
          <cell r="F390">
            <v>0</v>
          </cell>
          <cell r="G390" t="str">
            <v/>
          </cell>
          <cell r="H390">
            <v>0</v>
          </cell>
          <cell r="I390">
            <v>0</v>
          </cell>
          <cell r="J390">
            <v>0</v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/>
          </cell>
          <cell r="Z390" t="str">
            <v/>
          </cell>
          <cell r="AA390" t="str">
            <v/>
          </cell>
          <cell r="AB390" t="str">
            <v/>
          </cell>
          <cell r="AC390" t="str">
            <v/>
          </cell>
          <cell r="AD390" t="str">
            <v/>
          </cell>
          <cell r="AE390" t="str">
            <v/>
          </cell>
          <cell r="AF390" t="str">
            <v/>
          </cell>
          <cell r="AG390" t="str">
            <v/>
          </cell>
          <cell r="AH390" t="str">
            <v/>
          </cell>
          <cell r="AI390">
            <v>0</v>
          </cell>
          <cell r="AJ390" t="str">
            <v/>
          </cell>
          <cell r="AK390" t="str">
            <v/>
          </cell>
          <cell r="AL390" t="str">
            <v/>
          </cell>
          <cell r="AM390">
            <v>0</v>
          </cell>
        </row>
        <row r="391">
          <cell r="D391">
            <v>0</v>
          </cell>
          <cell r="E391">
            <v>0</v>
          </cell>
          <cell r="F391">
            <v>0</v>
          </cell>
          <cell r="G391" t="str">
            <v/>
          </cell>
          <cell r="H391">
            <v>0</v>
          </cell>
          <cell r="I391">
            <v>0</v>
          </cell>
          <cell r="J391">
            <v>0</v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/>
          </cell>
          <cell r="Z391" t="str">
            <v/>
          </cell>
          <cell r="AA391" t="str">
            <v/>
          </cell>
          <cell r="AB391" t="str">
            <v/>
          </cell>
          <cell r="AC391" t="str">
            <v/>
          </cell>
          <cell r="AD391" t="str">
            <v/>
          </cell>
          <cell r="AE391" t="str">
            <v/>
          </cell>
          <cell r="AF391" t="str">
            <v/>
          </cell>
          <cell r="AG391" t="str">
            <v/>
          </cell>
          <cell r="AH391" t="str">
            <v/>
          </cell>
          <cell r="AI391">
            <v>0</v>
          </cell>
          <cell r="AJ391" t="str">
            <v/>
          </cell>
          <cell r="AK391" t="str">
            <v/>
          </cell>
          <cell r="AL391" t="str">
            <v/>
          </cell>
          <cell r="AM391">
            <v>0</v>
          </cell>
        </row>
        <row r="392">
          <cell r="D392">
            <v>0</v>
          </cell>
          <cell r="E392">
            <v>0</v>
          </cell>
          <cell r="F392">
            <v>1.0000000000000002</v>
          </cell>
          <cell r="G392">
            <v>1</v>
          </cell>
          <cell r="H392">
            <v>1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0.99999999999999989</v>
          </cell>
          <cell r="AJ392">
            <v>0</v>
          </cell>
          <cell r="AK392">
            <v>0</v>
          </cell>
          <cell r="AL392">
            <v>0</v>
          </cell>
          <cell r="AM392">
            <v>0.99999999999999989</v>
          </cell>
        </row>
        <row r="393">
          <cell r="D393" t="str">
            <v/>
          </cell>
          <cell r="E393" t="str">
            <v/>
          </cell>
          <cell r="F393">
            <v>0</v>
          </cell>
          <cell r="G393">
            <v>0</v>
          </cell>
          <cell r="H393">
            <v>0</v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/>
          </cell>
          <cell r="Z393" t="str">
            <v/>
          </cell>
          <cell r="AA393" t="str">
            <v/>
          </cell>
          <cell r="AB393" t="str">
            <v/>
          </cell>
          <cell r="AC393" t="str">
            <v/>
          </cell>
          <cell r="AD393" t="str">
            <v/>
          </cell>
          <cell r="AE393" t="str">
            <v/>
          </cell>
          <cell r="AF393" t="str">
            <v/>
          </cell>
          <cell r="AG393" t="str">
            <v/>
          </cell>
          <cell r="AH393" t="str">
            <v/>
          </cell>
          <cell r="AI393">
            <v>0</v>
          </cell>
          <cell r="AJ393" t="str">
            <v/>
          </cell>
          <cell r="AK393" t="str">
            <v/>
          </cell>
          <cell r="AL393" t="str">
            <v/>
          </cell>
          <cell r="AM393">
            <v>0</v>
          </cell>
        </row>
        <row r="394">
          <cell r="D394" t="str">
            <v/>
          </cell>
          <cell r="E394" t="str">
            <v/>
          </cell>
          <cell r="F394">
            <v>0</v>
          </cell>
          <cell r="G394">
            <v>0</v>
          </cell>
          <cell r="H394">
            <v>0</v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/>
          </cell>
          <cell r="Z394" t="str">
            <v/>
          </cell>
          <cell r="AA394" t="str">
            <v/>
          </cell>
          <cell r="AB394" t="str">
            <v/>
          </cell>
          <cell r="AC394" t="str">
            <v/>
          </cell>
          <cell r="AD394" t="str">
            <v/>
          </cell>
          <cell r="AE394" t="str">
            <v/>
          </cell>
          <cell r="AF394" t="str">
            <v/>
          </cell>
          <cell r="AG394" t="str">
            <v/>
          </cell>
          <cell r="AH394" t="str">
            <v/>
          </cell>
          <cell r="AI394">
            <v>0</v>
          </cell>
          <cell r="AJ394" t="str">
            <v/>
          </cell>
          <cell r="AK394" t="str">
            <v/>
          </cell>
          <cell r="AL394" t="str">
            <v/>
          </cell>
          <cell r="AM394">
            <v>0</v>
          </cell>
        </row>
        <row r="395">
          <cell r="D395" t="str">
            <v/>
          </cell>
          <cell r="E395" t="str">
            <v/>
          </cell>
          <cell r="F395">
            <v>0</v>
          </cell>
          <cell r="G395">
            <v>0</v>
          </cell>
          <cell r="H395">
            <v>0</v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/>
          </cell>
          <cell r="Z395" t="str">
            <v/>
          </cell>
          <cell r="AA395" t="str">
            <v/>
          </cell>
          <cell r="AB395" t="str">
            <v/>
          </cell>
          <cell r="AC395" t="str">
            <v/>
          </cell>
          <cell r="AD395" t="str">
            <v/>
          </cell>
          <cell r="AE395" t="str">
            <v/>
          </cell>
          <cell r="AF395" t="str">
            <v/>
          </cell>
          <cell r="AG395" t="str">
            <v/>
          </cell>
          <cell r="AH395" t="str">
            <v/>
          </cell>
          <cell r="AI395">
            <v>0</v>
          </cell>
          <cell r="AJ395" t="str">
            <v/>
          </cell>
          <cell r="AK395" t="str">
            <v/>
          </cell>
          <cell r="AL395" t="str">
            <v/>
          </cell>
          <cell r="AM395">
            <v>0</v>
          </cell>
        </row>
        <row r="396">
          <cell r="D396" t="str">
            <v/>
          </cell>
          <cell r="E396" t="str">
            <v/>
          </cell>
          <cell r="F396">
            <v>0.98104145193609171</v>
          </cell>
          <cell r="G396">
            <v>1</v>
          </cell>
          <cell r="H396">
            <v>1</v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/>
          </cell>
          <cell r="Z396" t="str">
            <v/>
          </cell>
          <cell r="AA396" t="str">
            <v/>
          </cell>
          <cell r="AB396" t="str">
            <v/>
          </cell>
          <cell r="AC396" t="str">
            <v/>
          </cell>
          <cell r="AD396" t="str">
            <v/>
          </cell>
          <cell r="AE396" t="str">
            <v/>
          </cell>
          <cell r="AF396" t="str">
            <v/>
          </cell>
          <cell r="AG396" t="str">
            <v/>
          </cell>
          <cell r="AH396" t="str">
            <v/>
          </cell>
          <cell r="AI396">
            <v>0.99368048397869713</v>
          </cell>
          <cell r="AJ396" t="str">
            <v/>
          </cell>
          <cell r="AK396" t="str">
            <v/>
          </cell>
          <cell r="AL396" t="str">
            <v/>
          </cell>
          <cell r="AM396">
            <v>0.99368048397869713</v>
          </cell>
        </row>
        <row r="397">
          <cell r="D397" t="str">
            <v/>
          </cell>
          <cell r="E397" t="str">
            <v/>
          </cell>
          <cell r="F397">
            <v>0</v>
          </cell>
          <cell r="G397">
            <v>0</v>
          </cell>
          <cell r="H397">
            <v>0</v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str">
            <v/>
          </cell>
          <cell r="Z397" t="str">
            <v/>
          </cell>
          <cell r="AA397" t="str">
            <v/>
          </cell>
          <cell r="AB397" t="str">
            <v/>
          </cell>
          <cell r="AC397" t="str">
            <v/>
          </cell>
          <cell r="AD397" t="str">
            <v/>
          </cell>
          <cell r="AE397" t="str">
            <v/>
          </cell>
          <cell r="AF397" t="str">
            <v/>
          </cell>
          <cell r="AG397" t="str">
            <v/>
          </cell>
          <cell r="AH397" t="str">
            <v/>
          </cell>
          <cell r="AI397">
            <v>0</v>
          </cell>
          <cell r="AJ397" t="str">
            <v/>
          </cell>
          <cell r="AK397" t="str">
            <v/>
          </cell>
          <cell r="AL397" t="str">
            <v/>
          </cell>
          <cell r="AM397">
            <v>0</v>
          </cell>
        </row>
        <row r="398">
          <cell r="D398" t="str">
            <v/>
          </cell>
          <cell r="E398" t="str">
            <v/>
          </cell>
          <cell r="F398">
            <v>0</v>
          </cell>
          <cell r="G398">
            <v>0</v>
          </cell>
          <cell r="H398">
            <v>0</v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/>
          </cell>
          <cell r="Z398" t="str">
            <v/>
          </cell>
          <cell r="AA398" t="str">
            <v/>
          </cell>
          <cell r="AB398" t="str">
            <v/>
          </cell>
          <cell r="AC398" t="str">
            <v/>
          </cell>
          <cell r="AD398" t="str">
            <v/>
          </cell>
          <cell r="AE398" t="str">
            <v/>
          </cell>
          <cell r="AF398" t="str">
            <v/>
          </cell>
          <cell r="AG398" t="str">
            <v/>
          </cell>
          <cell r="AH398" t="str">
            <v/>
          </cell>
          <cell r="AI398">
            <v>0</v>
          </cell>
          <cell r="AJ398" t="str">
            <v/>
          </cell>
          <cell r="AK398" t="str">
            <v/>
          </cell>
          <cell r="AL398" t="str">
            <v/>
          </cell>
          <cell r="AM398">
            <v>0</v>
          </cell>
        </row>
        <row r="399">
          <cell r="D399" t="str">
            <v/>
          </cell>
          <cell r="E399" t="str">
            <v/>
          </cell>
          <cell r="F399">
            <v>0</v>
          </cell>
          <cell r="G399">
            <v>0</v>
          </cell>
          <cell r="H399">
            <v>0</v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/>
          </cell>
          <cell r="Z399" t="str">
            <v/>
          </cell>
          <cell r="AA399" t="str">
            <v/>
          </cell>
          <cell r="AB399" t="str">
            <v/>
          </cell>
          <cell r="AC399" t="str">
            <v/>
          </cell>
          <cell r="AD399" t="str">
            <v/>
          </cell>
          <cell r="AE399" t="str">
            <v/>
          </cell>
          <cell r="AF399" t="str">
            <v/>
          </cell>
          <cell r="AG399" t="str">
            <v/>
          </cell>
          <cell r="AH399" t="str">
            <v/>
          </cell>
          <cell r="AI399">
            <v>0</v>
          </cell>
          <cell r="AJ399" t="str">
            <v/>
          </cell>
          <cell r="AK399" t="str">
            <v/>
          </cell>
          <cell r="AL399" t="str">
            <v/>
          </cell>
          <cell r="AM399">
            <v>0</v>
          </cell>
        </row>
        <row r="400">
          <cell r="D400" t="str">
            <v/>
          </cell>
          <cell r="E400" t="str">
            <v/>
          </cell>
          <cell r="F400">
            <v>1.8958548063908433E-2</v>
          </cell>
          <cell r="G400">
            <v>0</v>
          </cell>
          <cell r="H400">
            <v>0</v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/>
          </cell>
          <cell r="Z400" t="str">
            <v/>
          </cell>
          <cell r="AA400" t="str">
            <v/>
          </cell>
          <cell r="AB400" t="str">
            <v/>
          </cell>
          <cell r="AC400" t="str">
            <v/>
          </cell>
          <cell r="AD400" t="str">
            <v/>
          </cell>
          <cell r="AE400" t="str">
            <v/>
          </cell>
          <cell r="AF400" t="str">
            <v/>
          </cell>
          <cell r="AG400" t="str">
            <v/>
          </cell>
          <cell r="AH400" t="str">
            <v/>
          </cell>
          <cell r="AI400">
            <v>6.3195160213028109E-3</v>
          </cell>
          <cell r="AJ400" t="str">
            <v/>
          </cell>
          <cell r="AK400" t="str">
            <v/>
          </cell>
          <cell r="AL400" t="str">
            <v/>
          </cell>
          <cell r="AM400">
            <v>6.3195160213028109E-3</v>
          </cell>
        </row>
        <row r="401">
          <cell r="D401" t="str">
            <v/>
          </cell>
          <cell r="E401" t="str">
            <v/>
          </cell>
          <cell r="F401">
            <v>0</v>
          </cell>
          <cell r="G401">
            <v>0</v>
          </cell>
          <cell r="H401">
            <v>0</v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/>
          </cell>
          <cell r="Z401" t="str">
            <v/>
          </cell>
          <cell r="AA401" t="str">
            <v/>
          </cell>
          <cell r="AB401" t="str">
            <v/>
          </cell>
          <cell r="AC401" t="str">
            <v/>
          </cell>
          <cell r="AD401" t="str">
            <v/>
          </cell>
          <cell r="AE401" t="str">
            <v/>
          </cell>
          <cell r="AF401" t="str">
            <v/>
          </cell>
          <cell r="AG401" t="str">
            <v/>
          </cell>
          <cell r="AH401" t="str">
            <v/>
          </cell>
          <cell r="AI401">
            <v>0</v>
          </cell>
          <cell r="AJ401" t="str">
            <v/>
          </cell>
          <cell r="AK401" t="str">
            <v/>
          </cell>
          <cell r="AL401" t="str">
            <v/>
          </cell>
          <cell r="AM401">
            <v>0</v>
          </cell>
        </row>
        <row r="402">
          <cell r="D402" t="str">
            <v/>
          </cell>
          <cell r="E402" t="str">
            <v/>
          </cell>
          <cell r="F402">
            <v>0</v>
          </cell>
          <cell r="G402">
            <v>0</v>
          </cell>
          <cell r="H402">
            <v>0</v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/>
          </cell>
          <cell r="Z402" t="str">
            <v/>
          </cell>
          <cell r="AA402" t="str">
            <v/>
          </cell>
          <cell r="AB402" t="str">
            <v/>
          </cell>
          <cell r="AC402" t="str">
            <v/>
          </cell>
          <cell r="AD402" t="str">
            <v/>
          </cell>
          <cell r="AE402" t="str">
            <v/>
          </cell>
          <cell r="AF402" t="str">
            <v/>
          </cell>
          <cell r="AG402" t="str">
            <v/>
          </cell>
          <cell r="AH402" t="str">
            <v/>
          </cell>
          <cell r="AI402">
            <v>0</v>
          </cell>
          <cell r="AJ402" t="str">
            <v/>
          </cell>
          <cell r="AK402" t="str">
            <v/>
          </cell>
          <cell r="AL402" t="str">
            <v/>
          </cell>
          <cell r="AM402">
            <v>0</v>
          </cell>
        </row>
        <row r="403">
          <cell r="D403" t="str">
            <v/>
          </cell>
          <cell r="E403" t="str">
            <v/>
          </cell>
          <cell r="F403">
            <v>0</v>
          </cell>
          <cell r="G403">
            <v>0</v>
          </cell>
          <cell r="H403">
            <v>0</v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/>
          </cell>
          <cell r="Z403" t="str">
            <v/>
          </cell>
          <cell r="AA403" t="str">
            <v/>
          </cell>
          <cell r="AB403" t="str">
            <v/>
          </cell>
          <cell r="AC403" t="str">
            <v/>
          </cell>
          <cell r="AD403" t="str">
            <v/>
          </cell>
          <cell r="AE403" t="str">
            <v/>
          </cell>
          <cell r="AF403" t="str">
            <v/>
          </cell>
          <cell r="AG403" t="str">
            <v/>
          </cell>
          <cell r="AH403" t="str">
            <v/>
          </cell>
          <cell r="AI403">
            <v>0</v>
          </cell>
          <cell r="AJ403" t="str">
            <v/>
          </cell>
          <cell r="AK403" t="str">
            <v/>
          </cell>
          <cell r="AL403" t="str">
            <v/>
          </cell>
          <cell r="AM403">
            <v>0</v>
          </cell>
        </row>
        <row r="404">
          <cell r="D404" t="str">
            <v/>
          </cell>
          <cell r="E404" t="str">
            <v/>
          </cell>
          <cell r="F404">
            <v>0</v>
          </cell>
          <cell r="G404">
            <v>0</v>
          </cell>
          <cell r="H404">
            <v>0</v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/>
          </cell>
          <cell r="Z404" t="str">
            <v/>
          </cell>
          <cell r="AA404" t="str">
            <v/>
          </cell>
          <cell r="AB404" t="str">
            <v/>
          </cell>
          <cell r="AC404" t="str">
            <v/>
          </cell>
          <cell r="AD404" t="str">
            <v/>
          </cell>
          <cell r="AE404" t="str">
            <v/>
          </cell>
          <cell r="AF404" t="str">
            <v/>
          </cell>
          <cell r="AG404" t="str">
            <v/>
          </cell>
          <cell r="AH404" t="str">
            <v/>
          </cell>
          <cell r="AI404">
            <v>0</v>
          </cell>
          <cell r="AJ404" t="str">
            <v/>
          </cell>
          <cell r="AK404" t="str">
            <v/>
          </cell>
          <cell r="AL404" t="str">
            <v/>
          </cell>
          <cell r="AM404">
            <v>0</v>
          </cell>
        </row>
        <row r="405">
          <cell r="D405" t="str">
            <v/>
          </cell>
          <cell r="E405" t="str">
            <v/>
          </cell>
          <cell r="F405">
            <v>0</v>
          </cell>
          <cell r="G405">
            <v>0</v>
          </cell>
          <cell r="H405">
            <v>0</v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/>
          </cell>
          <cell r="Z405" t="str">
            <v/>
          </cell>
          <cell r="AA405" t="str">
            <v/>
          </cell>
          <cell r="AB405" t="str">
            <v/>
          </cell>
          <cell r="AC405" t="str">
            <v/>
          </cell>
          <cell r="AD405" t="str">
            <v/>
          </cell>
          <cell r="AE405" t="str">
            <v/>
          </cell>
          <cell r="AF405" t="str">
            <v/>
          </cell>
          <cell r="AG405" t="str">
            <v/>
          </cell>
          <cell r="AH405" t="str">
            <v/>
          </cell>
          <cell r="AI405">
            <v>0</v>
          </cell>
          <cell r="AJ405" t="str">
            <v/>
          </cell>
          <cell r="AK405" t="str">
            <v/>
          </cell>
          <cell r="AL405" t="str">
            <v/>
          </cell>
          <cell r="AM405">
            <v>0</v>
          </cell>
        </row>
        <row r="406">
          <cell r="D406" t="str">
            <v/>
          </cell>
          <cell r="E406" t="str">
            <v/>
          </cell>
          <cell r="F406">
            <v>0</v>
          </cell>
          <cell r="G406">
            <v>0</v>
          </cell>
          <cell r="H406">
            <v>0</v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/>
          </cell>
          <cell r="Z406" t="str">
            <v/>
          </cell>
          <cell r="AA406" t="str">
            <v/>
          </cell>
          <cell r="AB406" t="str">
            <v/>
          </cell>
          <cell r="AC406" t="str">
            <v/>
          </cell>
          <cell r="AD406" t="str">
            <v/>
          </cell>
          <cell r="AE406" t="str">
            <v/>
          </cell>
          <cell r="AF406" t="str">
            <v/>
          </cell>
          <cell r="AG406" t="str">
            <v/>
          </cell>
          <cell r="AH406" t="str">
            <v/>
          </cell>
          <cell r="AI406">
            <v>0</v>
          </cell>
          <cell r="AJ406" t="str">
            <v/>
          </cell>
          <cell r="AK406" t="str">
            <v/>
          </cell>
          <cell r="AL406" t="str">
            <v/>
          </cell>
          <cell r="AM406">
            <v>0</v>
          </cell>
        </row>
        <row r="407">
          <cell r="D407" t="str">
            <v/>
          </cell>
          <cell r="E407" t="str">
            <v/>
          </cell>
          <cell r="F407">
            <v>0</v>
          </cell>
          <cell r="G407">
            <v>0</v>
          </cell>
          <cell r="H407">
            <v>0</v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/>
          </cell>
          <cell r="Z407" t="str">
            <v/>
          </cell>
          <cell r="AA407" t="str">
            <v/>
          </cell>
          <cell r="AB407" t="str">
            <v/>
          </cell>
          <cell r="AC407" t="str">
            <v/>
          </cell>
          <cell r="AD407" t="str">
            <v/>
          </cell>
          <cell r="AE407" t="str">
            <v/>
          </cell>
          <cell r="AF407" t="str">
            <v/>
          </cell>
          <cell r="AG407" t="str">
            <v/>
          </cell>
          <cell r="AH407" t="str">
            <v/>
          </cell>
          <cell r="AI407">
            <v>0</v>
          </cell>
          <cell r="AJ407" t="str">
            <v/>
          </cell>
          <cell r="AK407" t="str">
            <v/>
          </cell>
          <cell r="AL407" t="str">
            <v/>
          </cell>
          <cell r="AM407">
            <v>0</v>
          </cell>
        </row>
        <row r="408">
          <cell r="D408" t="str">
            <v/>
          </cell>
          <cell r="E408" t="str">
            <v/>
          </cell>
          <cell r="F408">
            <v>0</v>
          </cell>
          <cell r="G408">
            <v>0</v>
          </cell>
          <cell r="H408">
            <v>0</v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/>
          </cell>
          <cell r="Z408" t="str">
            <v/>
          </cell>
          <cell r="AA408" t="str">
            <v/>
          </cell>
          <cell r="AB408" t="str">
            <v/>
          </cell>
          <cell r="AC408" t="str">
            <v/>
          </cell>
          <cell r="AD408" t="str">
            <v/>
          </cell>
          <cell r="AE408" t="str">
            <v/>
          </cell>
          <cell r="AF408" t="str">
            <v/>
          </cell>
          <cell r="AG408" t="str">
            <v/>
          </cell>
          <cell r="AH408" t="str">
            <v/>
          </cell>
          <cell r="AI408">
            <v>0</v>
          </cell>
          <cell r="AJ408" t="str">
            <v/>
          </cell>
          <cell r="AK408" t="str">
            <v/>
          </cell>
          <cell r="AL408" t="str">
            <v/>
          </cell>
          <cell r="AM408">
            <v>0</v>
          </cell>
        </row>
        <row r="409">
          <cell r="D409" t="str">
            <v/>
          </cell>
          <cell r="E409" t="str">
            <v/>
          </cell>
          <cell r="F409">
            <v>0</v>
          </cell>
          <cell r="G409">
            <v>0</v>
          </cell>
          <cell r="H409">
            <v>0</v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/>
          </cell>
          <cell r="Z409" t="str">
            <v/>
          </cell>
          <cell r="AA409" t="str">
            <v/>
          </cell>
          <cell r="AB409" t="str">
            <v/>
          </cell>
          <cell r="AC409" t="str">
            <v/>
          </cell>
          <cell r="AD409" t="str">
            <v/>
          </cell>
          <cell r="AE409" t="str">
            <v/>
          </cell>
          <cell r="AF409" t="str">
            <v/>
          </cell>
          <cell r="AG409" t="str">
            <v/>
          </cell>
          <cell r="AH409" t="str">
            <v/>
          </cell>
          <cell r="AI409">
            <v>0</v>
          </cell>
          <cell r="AJ409" t="str">
            <v/>
          </cell>
          <cell r="AK409" t="str">
            <v/>
          </cell>
          <cell r="AL409" t="str">
            <v/>
          </cell>
          <cell r="AM409">
            <v>0</v>
          </cell>
        </row>
        <row r="410">
          <cell r="D410" t="str">
            <v/>
          </cell>
          <cell r="E410" t="str">
            <v/>
          </cell>
          <cell r="F410">
            <v>0</v>
          </cell>
          <cell r="G410">
            <v>0</v>
          </cell>
          <cell r="H410">
            <v>0</v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/>
          </cell>
          <cell r="Z410" t="str">
            <v/>
          </cell>
          <cell r="AA410" t="str">
            <v/>
          </cell>
          <cell r="AB410" t="str">
            <v/>
          </cell>
          <cell r="AC410" t="str">
            <v/>
          </cell>
          <cell r="AD410" t="str">
            <v/>
          </cell>
          <cell r="AE410" t="str">
            <v/>
          </cell>
          <cell r="AF410" t="str">
            <v/>
          </cell>
          <cell r="AG410" t="str">
            <v/>
          </cell>
          <cell r="AH410" t="str">
            <v/>
          </cell>
          <cell r="AI410">
            <v>0</v>
          </cell>
          <cell r="AJ410" t="str">
            <v/>
          </cell>
          <cell r="AK410" t="str">
            <v/>
          </cell>
          <cell r="AL410" t="str">
            <v/>
          </cell>
          <cell r="AM410">
            <v>0</v>
          </cell>
        </row>
        <row r="411">
          <cell r="D411" t="str">
            <v/>
          </cell>
          <cell r="E411" t="str">
            <v/>
          </cell>
          <cell r="F411">
            <v>0</v>
          </cell>
          <cell r="G411">
            <v>0</v>
          </cell>
          <cell r="H411">
            <v>0</v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/>
          </cell>
          <cell r="Z411" t="str">
            <v/>
          </cell>
          <cell r="AA411" t="str">
            <v/>
          </cell>
          <cell r="AB411" t="str">
            <v/>
          </cell>
          <cell r="AC411" t="str">
            <v/>
          </cell>
          <cell r="AD411" t="str">
            <v/>
          </cell>
          <cell r="AE411" t="str">
            <v/>
          </cell>
          <cell r="AF411" t="str">
            <v/>
          </cell>
          <cell r="AG411" t="str">
            <v/>
          </cell>
          <cell r="AH411" t="str">
            <v/>
          </cell>
          <cell r="AI411">
            <v>0</v>
          </cell>
          <cell r="AJ411" t="str">
            <v/>
          </cell>
          <cell r="AK411" t="str">
            <v/>
          </cell>
          <cell r="AL411" t="str">
            <v/>
          </cell>
          <cell r="AM411">
            <v>0</v>
          </cell>
        </row>
        <row r="412">
          <cell r="D412" t="str">
            <v/>
          </cell>
          <cell r="E412" t="str">
            <v/>
          </cell>
          <cell r="F412">
            <v>0</v>
          </cell>
          <cell r="G412">
            <v>0</v>
          </cell>
          <cell r="H412">
            <v>0</v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/>
          </cell>
          <cell r="Z412" t="str">
            <v/>
          </cell>
          <cell r="AA412" t="str">
            <v/>
          </cell>
          <cell r="AB412" t="str">
            <v/>
          </cell>
          <cell r="AC412" t="str">
            <v/>
          </cell>
          <cell r="AD412" t="str">
            <v/>
          </cell>
          <cell r="AE412" t="str">
            <v/>
          </cell>
          <cell r="AF412" t="str">
            <v/>
          </cell>
          <cell r="AG412" t="str">
            <v/>
          </cell>
          <cell r="AH412" t="str">
            <v/>
          </cell>
          <cell r="AI412">
            <v>0</v>
          </cell>
          <cell r="AJ412" t="str">
            <v/>
          </cell>
          <cell r="AK412" t="str">
            <v/>
          </cell>
          <cell r="AL412" t="str">
            <v/>
          </cell>
          <cell r="AM412">
            <v>0</v>
          </cell>
        </row>
        <row r="413">
          <cell r="D413" t="str">
            <v/>
          </cell>
          <cell r="E413" t="str">
            <v/>
          </cell>
          <cell r="F413">
            <v>0</v>
          </cell>
          <cell r="G413">
            <v>0</v>
          </cell>
          <cell r="H413">
            <v>0</v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/>
          </cell>
          <cell r="Z413" t="str">
            <v/>
          </cell>
          <cell r="AA413" t="str">
            <v/>
          </cell>
          <cell r="AB413" t="str">
            <v/>
          </cell>
          <cell r="AC413" t="str">
            <v/>
          </cell>
          <cell r="AD413" t="str">
            <v/>
          </cell>
          <cell r="AE413" t="str">
            <v/>
          </cell>
          <cell r="AF413" t="str">
            <v/>
          </cell>
          <cell r="AG413" t="str">
            <v/>
          </cell>
          <cell r="AH413" t="str">
            <v/>
          </cell>
          <cell r="AI413">
            <v>0</v>
          </cell>
          <cell r="AJ413" t="str">
            <v/>
          </cell>
          <cell r="AK413" t="str">
            <v/>
          </cell>
          <cell r="AL413" t="str">
            <v/>
          </cell>
          <cell r="AM413">
            <v>0</v>
          </cell>
        </row>
        <row r="415">
          <cell r="D415">
            <v>9.412980000000001</v>
          </cell>
          <cell r="E415">
            <v>22.779609999999998</v>
          </cell>
          <cell r="F415">
            <v>24.031120000000001</v>
          </cell>
          <cell r="G415">
            <v>23.466470000000001</v>
          </cell>
          <cell r="H415">
            <v>20.855289999999997</v>
          </cell>
          <cell r="I415">
            <v>18.641289999999998</v>
          </cell>
          <cell r="J415">
            <v>25.248230000000003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144.43499</v>
          </cell>
          <cell r="AJ415">
            <v>0</v>
          </cell>
          <cell r="AK415">
            <v>0</v>
          </cell>
          <cell r="AL415">
            <v>0</v>
          </cell>
          <cell r="AM415">
            <v>144.43499</v>
          </cell>
        </row>
        <row r="416"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9.6070499999999992</v>
          </cell>
          <cell r="J416">
            <v>11.700300000000002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21.307350000000003</v>
          </cell>
          <cell r="AJ416">
            <v>0</v>
          </cell>
          <cell r="AK416">
            <v>0</v>
          </cell>
          <cell r="AL416">
            <v>0</v>
          </cell>
          <cell r="AM416">
            <v>21.307350000000003</v>
          </cell>
        </row>
        <row r="417"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</row>
        <row r="418"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4.2434500000000002</v>
          </cell>
          <cell r="J418">
            <v>5.1670500000000006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9.4105000000000008</v>
          </cell>
          <cell r="AJ418">
            <v>0</v>
          </cell>
          <cell r="AK418">
            <v>0</v>
          </cell>
          <cell r="AL418">
            <v>0</v>
          </cell>
          <cell r="AM418">
            <v>9.4105000000000008</v>
          </cell>
        </row>
        <row r="419"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4.8102499999999999</v>
          </cell>
          <cell r="J419">
            <v>6.5332500000000007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11.343500000000001</v>
          </cell>
          <cell r="AJ419">
            <v>0</v>
          </cell>
          <cell r="AK419">
            <v>0</v>
          </cell>
          <cell r="AL419">
            <v>0</v>
          </cell>
          <cell r="AM419">
            <v>11.343500000000001</v>
          </cell>
        </row>
        <row r="420"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</row>
        <row r="421"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</row>
        <row r="422"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</row>
        <row r="423"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</row>
        <row r="424"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0.15905000000000002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0.15905000000000002</v>
          </cell>
          <cell r="AJ424">
            <v>0</v>
          </cell>
          <cell r="AK424">
            <v>0</v>
          </cell>
          <cell r="AL424">
            <v>0</v>
          </cell>
          <cell r="AM424">
            <v>0.15905000000000002</v>
          </cell>
        </row>
        <row r="425"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0.39429999999999998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0.39429999999999998</v>
          </cell>
          <cell r="AJ425">
            <v>0</v>
          </cell>
          <cell r="AK425">
            <v>0</v>
          </cell>
          <cell r="AL425">
            <v>0</v>
          </cell>
          <cell r="AM425">
            <v>0.39429999999999998</v>
          </cell>
        </row>
        <row r="426"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</row>
        <row r="427"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</row>
        <row r="428"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</row>
        <row r="429"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</row>
        <row r="430"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</row>
        <row r="431"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</row>
        <row r="432"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</row>
        <row r="433"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</row>
        <row r="434"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</row>
        <row r="435">
          <cell r="D435">
            <v>9.412980000000001</v>
          </cell>
          <cell r="E435">
            <v>22.779609999999998</v>
          </cell>
          <cell r="F435">
            <v>11.020630000000001</v>
          </cell>
          <cell r="G435">
            <v>0</v>
          </cell>
          <cell r="H435">
            <v>8.1435300000000002</v>
          </cell>
          <cell r="I435">
            <v>9.0342400000000005</v>
          </cell>
          <cell r="J435">
            <v>13.547930000000001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73.938919999999996</v>
          </cell>
          <cell r="AJ435">
            <v>0</v>
          </cell>
          <cell r="AK435">
            <v>0</v>
          </cell>
          <cell r="AL435">
            <v>0</v>
          </cell>
          <cell r="AM435">
            <v>73.938919999999996</v>
          </cell>
        </row>
        <row r="436"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</row>
        <row r="437"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0.1641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0.1641</v>
          </cell>
          <cell r="AJ437">
            <v>0</v>
          </cell>
          <cell r="AK437">
            <v>0</v>
          </cell>
          <cell r="AL437">
            <v>0</v>
          </cell>
          <cell r="AM437">
            <v>0.1641</v>
          </cell>
        </row>
        <row r="438"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0.56125000000000003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0.56125000000000003</v>
          </cell>
          <cell r="AJ438">
            <v>0</v>
          </cell>
          <cell r="AK438">
            <v>0</v>
          </cell>
          <cell r="AL438">
            <v>0</v>
          </cell>
          <cell r="AM438">
            <v>0.56125000000000003</v>
          </cell>
        </row>
        <row r="439"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0.40179999999999999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0.40179999999999999</v>
          </cell>
          <cell r="AJ439">
            <v>0</v>
          </cell>
          <cell r="AK439">
            <v>0</v>
          </cell>
          <cell r="AL439">
            <v>0</v>
          </cell>
          <cell r="AM439">
            <v>0.40179999999999999</v>
          </cell>
        </row>
        <row r="440"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</row>
        <row r="441"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</row>
        <row r="442"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</row>
        <row r="443">
          <cell r="D443">
            <v>5.1200999999999999</v>
          </cell>
          <cell r="E443">
            <v>9.8789399999999983</v>
          </cell>
          <cell r="F443">
            <v>6.7291699999999999</v>
          </cell>
          <cell r="G443">
            <v>0</v>
          </cell>
          <cell r="H443">
            <v>4.3289499999999999</v>
          </cell>
          <cell r="I443">
            <v>5.6265500000000008</v>
          </cell>
          <cell r="J443">
            <v>6.4504800000000007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38.134189999999997</v>
          </cell>
          <cell r="AJ443">
            <v>0</v>
          </cell>
          <cell r="AK443">
            <v>0</v>
          </cell>
          <cell r="AL443">
            <v>0</v>
          </cell>
          <cell r="AM443">
            <v>38.134189999999997</v>
          </cell>
        </row>
        <row r="444">
          <cell r="D444">
            <v>4.2928800000000003</v>
          </cell>
          <cell r="E444">
            <v>12.900669999999998</v>
          </cell>
          <cell r="F444">
            <v>4.2914599999999998</v>
          </cell>
          <cell r="G444">
            <v>0</v>
          </cell>
          <cell r="H444">
            <v>3.4127800000000001</v>
          </cell>
          <cell r="I444">
            <v>3.4076900000000001</v>
          </cell>
          <cell r="J444">
            <v>6.3721000000000005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34.677579999999999</v>
          </cell>
          <cell r="AJ444">
            <v>0</v>
          </cell>
          <cell r="AK444">
            <v>0</v>
          </cell>
          <cell r="AL444">
            <v>0</v>
          </cell>
          <cell r="AM444">
            <v>34.677579999999999</v>
          </cell>
        </row>
        <row r="445"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</row>
        <row r="446"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</row>
        <row r="447"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</row>
        <row r="448"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</row>
        <row r="449"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</row>
        <row r="450"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</row>
        <row r="451"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</row>
        <row r="452"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</row>
        <row r="453"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</row>
        <row r="454">
          <cell r="D454">
            <v>0</v>
          </cell>
          <cell r="E454">
            <v>0</v>
          </cell>
          <cell r="F454">
            <v>13.010489999999999</v>
          </cell>
          <cell r="G454">
            <v>23.466470000000001</v>
          </cell>
          <cell r="H454">
            <v>12.711759999999996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49.188719999999996</v>
          </cell>
          <cell r="AJ454">
            <v>0</v>
          </cell>
          <cell r="AK454">
            <v>0</v>
          </cell>
          <cell r="AL454">
            <v>0</v>
          </cell>
          <cell r="AM454">
            <v>49.188719999999996</v>
          </cell>
        </row>
        <row r="455"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</row>
        <row r="456"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</row>
        <row r="457"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</row>
        <row r="458">
          <cell r="D458">
            <v>0</v>
          </cell>
          <cell r="E458">
            <v>0</v>
          </cell>
          <cell r="F458">
            <v>12.763829999999999</v>
          </cell>
          <cell r="G458">
            <v>23.466470000000001</v>
          </cell>
          <cell r="H458">
            <v>12.711759999999996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48.942059999999998</v>
          </cell>
          <cell r="AJ458">
            <v>0</v>
          </cell>
          <cell r="AK458">
            <v>0</v>
          </cell>
          <cell r="AL458">
            <v>0</v>
          </cell>
          <cell r="AM458">
            <v>48.942059999999998</v>
          </cell>
        </row>
        <row r="459"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</row>
        <row r="460"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</row>
        <row r="461"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</row>
        <row r="462">
          <cell r="D462">
            <v>0</v>
          </cell>
          <cell r="E462">
            <v>0</v>
          </cell>
          <cell r="F462">
            <v>0.24665999999999999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0.24665999999999999</v>
          </cell>
          <cell r="AJ462">
            <v>0</v>
          </cell>
          <cell r="AK462">
            <v>0</v>
          </cell>
          <cell r="AL462">
            <v>0</v>
          </cell>
          <cell r="AM462">
            <v>0.24665999999999999</v>
          </cell>
        </row>
        <row r="463"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</row>
        <row r="464"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</row>
        <row r="465"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</row>
        <row r="466"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</row>
        <row r="467"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</row>
        <row r="468"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</row>
        <row r="469"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</row>
        <row r="470"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</row>
        <row r="471"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</row>
        <row r="472"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</row>
        <row r="474"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</row>
        <row r="475"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7"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</row>
        <row r="478"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79"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</row>
        <row r="480"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3"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</row>
        <row r="484"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7">
          <cell r="D487" t="str">
            <v>PM</v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>PM</v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>PM</v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  <cell r="Z487" t="str">
            <v/>
          </cell>
          <cell r="AA487" t="str">
            <v>PM</v>
          </cell>
          <cell r="AB487" t="str">
            <v/>
          </cell>
          <cell r="AC487" t="str">
            <v/>
          </cell>
          <cell r="AD487" t="str">
            <v/>
          </cell>
          <cell r="AE487" t="str">
            <v/>
          </cell>
          <cell r="AF487" t="str">
            <v/>
          </cell>
          <cell r="AG487" t="str">
            <v/>
          </cell>
          <cell r="AH487" t="str">
            <v/>
          </cell>
        </row>
        <row r="488">
          <cell r="D488">
            <v>9.4129799999999992</v>
          </cell>
          <cell r="E488">
            <v>22.779610000000002</v>
          </cell>
          <cell r="F488">
            <v>24.031119999999998</v>
          </cell>
          <cell r="G488">
            <v>23.466470000000001</v>
          </cell>
          <cell r="H488">
            <v>20.855289999999997</v>
          </cell>
          <cell r="I488">
            <v>18.641290000000005</v>
          </cell>
          <cell r="J488">
            <v>25.248230000000003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144.43499</v>
          </cell>
          <cell r="AJ488">
            <v>0</v>
          </cell>
          <cell r="AK488">
            <v>0</v>
          </cell>
          <cell r="AL488">
            <v>0</v>
          </cell>
          <cell r="AM488">
            <v>144.43499</v>
          </cell>
        </row>
        <row r="489"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9.607050000000001</v>
          </cell>
          <cell r="J489">
            <v>11.7003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21.30735</v>
          </cell>
          <cell r="AJ489">
            <v>0</v>
          </cell>
          <cell r="AK489">
            <v>0</v>
          </cell>
          <cell r="AL489">
            <v>0</v>
          </cell>
          <cell r="AM489">
            <v>21.30735</v>
          </cell>
        </row>
        <row r="490"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6817.5105564578171</v>
          </cell>
          <cell r="J490">
            <v>6641.5834559094201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6720.9054012157803</v>
          </cell>
          <cell r="AJ490">
            <v>0</v>
          </cell>
          <cell r="AK490">
            <v>0</v>
          </cell>
          <cell r="AL490">
            <v>0</v>
          </cell>
          <cell r="AM490">
            <v>6720.9054012157803</v>
          </cell>
        </row>
        <row r="491"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0.67572613043849894</v>
          </cell>
          <cell r="J491">
            <v>0.59953359280718244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0.63388725568177462</v>
          </cell>
          <cell r="AJ491">
            <v>0</v>
          </cell>
          <cell r="AK491">
            <v>0</v>
          </cell>
          <cell r="AL491">
            <v>0</v>
          </cell>
          <cell r="AM491">
            <v>0.63388725568177462</v>
          </cell>
        </row>
        <row r="492"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3.205145738952047</v>
          </cell>
          <cell r="J492">
            <v>3.7441152097636117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3.5011048563146736</v>
          </cell>
          <cell r="AJ492">
            <v>0</v>
          </cell>
          <cell r="AK492">
            <v>0</v>
          </cell>
          <cell r="AL492">
            <v>0</v>
          </cell>
          <cell r="AM492">
            <v>3.5011048563146736</v>
          </cell>
        </row>
        <row r="493"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9.3020326523634491</v>
          </cell>
          <cell r="J493">
            <v>9.8094616036610454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9.5806722278558141</v>
          </cell>
          <cell r="AJ493">
            <v>0</v>
          </cell>
          <cell r="AK493">
            <v>0</v>
          </cell>
          <cell r="AL493">
            <v>0</v>
          </cell>
          <cell r="AM493">
            <v>9.5806722278558141</v>
          </cell>
        </row>
        <row r="494"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12.223044506368065</v>
          </cell>
          <cell r="J494">
            <v>13.544143682794367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12.948486980159535</v>
          </cell>
          <cell r="AJ494">
            <v>0</v>
          </cell>
          <cell r="AK494">
            <v>0</v>
          </cell>
          <cell r="AL494">
            <v>0</v>
          </cell>
          <cell r="AM494">
            <v>12.948486980159535</v>
          </cell>
        </row>
        <row r="495">
          <cell r="D495">
            <v>9.4129799999999992</v>
          </cell>
          <cell r="E495">
            <v>22.779610000000002</v>
          </cell>
          <cell r="F495">
            <v>11.020630000000001</v>
          </cell>
          <cell r="G495">
            <v>0</v>
          </cell>
          <cell r="H495">
            <v>8.1435300000000002</v>
          </cell>
          <cell r="I495">
            <v>9.0342400000000023</v>
          </cell>
          <cell r="J495">
            <v>13.547930000000003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73.93892000000001</v>
          </cell>
          <cell r="AJ495">
            <v>0</v>
          </cell>
          <cell r="AK495">
            <v>0</v>
          </cell>
          <cell r="AL495">
            <v>0</v>
          </cell>
          <cell r="AM495">
            <v>73.93892000000001</v>
          </cell>
        </row>
        <row r="496">
          <cell r="D496">
            <v>6472.9031107146839</v>
          </cell>
          <cell r="E496">
            <v>6694.3557481792595</v>
          </cell>
          <cell r="F496">
            <v>6885.8347611057143</v>
          </cell>
          <cell r="G496">
            <v>0</v>
          </cell>
          <cell r="H496">
            <v>6595.8398121575792</v>
          </cell>
          <cell r="I496">
            <v>6544.7741067047646</v>
          </cell>
          <cell r="J496">
            <v>6535.7809127884111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6636.5202456867219</v>
          </cell>
          <cell r="AJ496">
            <v>0</v>
          </cell>
          <cell r="AK496">
            <v>0</v>
          </cell>
          <cell r="AL496">
            <v>0</v>
          </cell>
          <cell r="AM496">
            <v>6636.5202456867219</v>
          </cell>
        </row>
        <row r="497">
          <cell r="D497">
            <v>1.6821262125097558</v>
          </cell>
          <cell r="E497">
            <v>1.6383718332514188</v>
          </cell>
          <cell r="F497">
            <v>1.5523368365274222</v>
          </cell>
          <cell r="G497">
            <v>0</v>
          </cell>
          <cell r="H497">
            <v>1.3275971823636838</v>
          </cell>
          <cell r="I497">
            <v>1.6646056740693653</v>
          </cell>
          <cell r="J497">
            <v>1.7265979097663267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1.6162614218611888</v>
          </cell>
          <cell r="AJ497">
            <v>0</v>
          </cell>
          <cell r="AK497">
            <v>0</v>
          </cell>
          <cell r="AL497">
            <v>0</v>
          </cell>
          <cell r="AM497">
            <v>1.6162614218611888</v>
          </cell>
        </row>
        <row r="498">
          <cell r="D498">
            <v>6.5410291002341401</v>
          </cell>
          <cell r="E498">
            <v>4.8258522854206687</v>
          </cell>
          <cell r="F498">
            <v>3.835068444758456</v>
          </cell>
          <cell r="G498">
            <v>0</v>
          </cell>
          <cell r="H498">
            <v>5.4372501956691899</v>
          </cell>
          <cell r="I498">
            <v>4.6333774157290284</v>
          </cell>
          <cell r="J498">
            <v>4.5874576369894982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4.8966699547124124</v>
          </cell>
          <cell r="AJ498">
            <v>0</v>
          </cell>
          <cell r="AK498">
            <v>0</v>
          </cell>
          <cell r="AL498">
            <v>0</v>
          </cell>
          <cell r="AM498">
            <v>4.8966699547124124</v>
          </cell>
        </row>
        <row r="499">
          <cell r="D499">
            <v>9.2209766975136578</v>
          </cell>
          <cell r="E499">
            <v>8.3551780528126525</v>
          </cell>
          <cell r="F499">
            <v>8.1643998940210185</v>
          </cell>
          <cell r="G499">
            <v>0</v>
          </cell>
          <cell r="H499">
            <v>9.7452517610226987</v>
          </cell>
          <cell r="I499">
            <v>9.9628687250346513</v>
          </cell>
          <cell r="J499">
            <v>10.059427264233477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9.0987738365892206</v>
          </cell>
          <cell r="AJ499">
            <v>0</v>
          </cell>
          <cell r="AK499">
            <v>0</v>
          </cell>
          <cell r="AL499">
            <v>0</v>
          </cell>
          <cell r="AM499">
            <v>9.0987738365892206</v>
          </cell>
        </row>
        <row r="500">
          <cell r="D500">
            <v>12.851780352993645</v>
          </cell>
          <cell r="E500">
            <v>11.300848349403511</v>
          </cell>
          <cell r="F500">
            <v>11.660360655303366</v>
          </cell>
          <cell r="G500">
            <v>0</v>
          </cell>
          <cell r="H500">
            <v>13.372057978085051</v>
          </cell>
          <cell r="I500">
            <v>13.506115719878837</v>
          </cell>
          <cell r="J500">
            <v>13.608447300436046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12.47227478527903</v>
          </cell>
          <cell r="AJ500">
            <v>0</v>
          </cell>
          <cell r="AK500">
            <v>0</v>
          </cell>
          <cell r="AL500">
            <v>0</v>
          </cell>
          <cell r="AM500">
            <v>12.47227478527903</v>
          </cell>
        </row>
        <row r="501">
          <cell r="D501">
            <v>0</v>
          </cell>
          <cell r="E501">
            <v>0</v>
          </cell>
          <cell r="F501">
            <v>13.010489999999997</v>
          </cell>
          <cell r="G501">
            <v>23.466470000000001</v>
          </cell>
          <cell r="H501">
            <v>12.711759999999996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49.188719999999996</v>
          </cell>
          <cell r="AJ501">
            <v>0</v>
          </cell>
          <cell r="AK501">
            <v>0</v>
          </cell>
          <cell r="AL501">
            <v>0</v>
          </cell>
          <cell r="AM501">
            <v>49.188719999999996</v>
          </cell>
        </row>
        <row r="502">
          <cell r="D502">
            <v>0</v>
          </cell>
          <cell r="E502">
            <v>0</v>
          </cell>
          <cell r="F502">
            <v>6255.7896013339396</v>
          </cell>
          <cell r="G502">
            <v>6149.0760793871868</v>
          </cell>
          <cell r="H502">
            <v>6267.6067372324806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6207.9336484665309</v>
          </cell>
          <cell r="AJ502">
            <v>0</v>
          </cell>
          <cell r="AK502">
            <v>0</v>
          </cell>
          <cell r="AL502">
            <v>0</v>
          </cell>
          <cell r="AM502">
            <v>6207.9336484665309</v>
          </cell>
        </row>
        <row r="503">
          <cell r="D503">
            <v>0</v>
          </cell>
          <cell r="E503">
            <v>0</v>
          </cell>
          <cell r="F503">
            <v>0.24652720933757769</v>
          </cell>
          <cell r="G503">
            <v>0.24627741991643456</v>
          </cell>
          <cell r="H503">
            <v>0.20104458008189754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0.23465404119608593</v>
          </cell>
          <cell r="AJ503">
            <v>0</v>
          </cell>
          <cell r="AK503">
            <v>0</v>
          </cell>
          <cell r="AL503">
            <v>0</v>
          </cell>
          <cell r="AM503">
            <v>0.23465404119608593</v>
          </cell>
        </row>
        <row r="504">
          <cell r="D504">
            <v>0</v>
          </cell>
          <cell r="E504">
            <v>0</v>
          </cell>
          <cell r="F504">
            <v>4.2078838866151278</v>
          </cell>
          <cell r="G504">
            <v>5.8102829038997212</v>
          </cell>
          <cell r="H504">
            <v>4.7091933863864641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5.1018932146470766</v>
          </cell>
          <cell r="AJ504">
            <v>0</v>
          </cell>
          <cell r="AK504">
            <v>0</v>
          </cell>
          <cell r="AL504">
            <v>0</v>
          </cell>
          <cell r="AM504">
            <v>5.1018932146470766</v>
          </cell>
        </row>
        <row r="505">
          <cell r="D505">
            <v>0</v>
          </cell>
          <cell r="E505">
            <v>0</v>
          </cell>
          <cell r="F505">
            <v>11.415666211914505</v>
          </cell>
          <cell r="G505">
            <v>11.633526288300837</v>
          </cell>
          <cell r="H505">
            <v>11.659908831028355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11.582719969415496</v>
          </cell>
          <cell r="AJ505">
            <v>0</v>
          </cell>
          <cell r="AK505">
            <v>0</v>
          </cell>
          <cell r="AL505">
            <v>0</v>
          </cell>
          <cell r="AM505">
            <v>11.582719969415496</v>
          </cell>
        </row>
        <row r="506">
          <cell r="D506">
            <v>0</v>
          </cell>
          <cell r="E506">
            <v>0</v>
          </cell>
          <cell r="F506">
            <v>16.513326029255722</v>
          </cell>
          <cell r="G506">
            <v>15.279542565285514</v>
          </cell>
          <cell r="H506">
            <v>16.727091675809319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15.979967872171766</v>
          </cell>
          <cell r="AJ506">
            <v>0</v>
          </cell>
          <cell r="AK506">
            <v>0</v>
          </cell>
          <cell r="AL506">
            <v>0</v>
          </cell>
          <cell r="AM506">
            <v>15.979967872171766</v>
          </cell>
        </row>
        <row r="508">
          <cell r="B508" t="str">
            <v>FC Stock</v>
          </cell>
          <cell r="C508">
            <v>289.14632518129486</v>
          </cell>
          <cell r="D508">
            <v>287.34735518129492</v>
          </cell>
          <cell r="E508">
            <v>310.12696518129491</v>
          </cell>
          <cell r="F508">
            <v>323.11329518129492</v>
          </cell>
          <cell r="G508">
            <v>336.01123518129486</v>
          </cell>
          <cell r="H508">
            <v>356.86652518129483</v>
          </cell>
          <cell r="I508">
            <v>361.72275518129487</v>
          </cell>
          <cell r="J508">
            <v>386.97098518129485</v>
          </cell>
          <cell r="K508">
            <v>386.97098518129485</v>
          </cell>
          <cell r="L508">
            <v>386.97098518129485</v>
          </cell>
          <cell r="M508">
            <v>386.97098518129485</v>
          </cell>
          <cell r="N508">
            <v>386.97098518129485</v>
          </cell>
          <cell r="O508">
            <v>386.97098518129485</v>
          </cell>
          <cell r="P508">
            <v>386.97098518129485</v>
          </cell>
          <cell r="Q508">
            <v>386.97098518129485</v>
          </cell>
          <cell r="R508">
            <v>386.97098518129485</v>
          </cell>
          <cell r="S508">
            <v>386.97098518129485</v>
          </cell>
          <cell r="T508">
            <v>386.97098518129485</v>
          </cell>
          <cell r="U508">
            <v>386.97098518129485</v>
          </cell>
          <cell r="V508">
            <v>386.97098518129485</v>
          </cell>
          <cell r="W508">
            <v>386.97098518129485</v>
          </cell>
          <cell r="X508">
            <v>386.97098518129485</v>
          </cell>
          <cell r="Y508">
            <v>386.97098518129485</v>
          </cell>
          <cell r="Z508">
            <v>386.97098518129485</v>
          </cell>
          <cell r="AA508">
            <v>386.97098518129485</v>
          </cell>
          <cell r="AB508">
            <v>386.97098518129485</v>
          </cell>
          <cell r="AC508">
            <v>386.97098518129485</v>
          </cell>
          <cell r="AD508">
            <v>386.97098518129485</v>
          </cell>
          <cell r="AE508">
            <v>386.97098518129485</v>
          </cell>
          <cell r="AF508">
            <v>386.97098518129485</v>
          </cell>
          <cell r="AG508">
            <v>386.97098518129485</v>
          </cell>
          <cell r="AH508">
            <v>386.97098518129485</v>
          </cell>
          <cell r="AI508">
            <v>386.97098518129485</v>
          </cell>
          <cell r="AJ508">
            <v>386.97098518129485</v>
          </cell>
          <cell r="AK508">
            <v>386.97098518129485</v>
          </cell>
          <cell r="AL508">
            <v>386.97098518129485</v>
          </cell>
          <cell r="AM508">
            <v>386.97098518129485</v>
          </cell>
          <cell r="AS508">
            <v>504</v>
          </cell>
        </row>
        <row r="509">
          <cell r="B509" t="str">
            <v>BEK.HCV.LS</v>
          </cell>
          <cell r="C509">
            <v>199.88735048553531</v>
          </cell>
          <cell r="D509">
            <v>188.67540048553531</v>
          </cell>
          <cell r="E509">
            <v>188.67540048553531</v>
          </cell>
          <cell r="F509">
            <v>177.6306104855353</v>
          </cell>
          <cell r="G509">
            <v>167.06208048553529</v>
          </cell>
          <cell r="H509">
            <v>167.06208048553529</v>
          </cell>
          <cell r="I509">
            <v>171.18111048553527</v>
          </cell>
          <cell r="J509">
            <v>182.88141048553527</v>
          </cell>
          <cell r="K509">
            <v>182.88141048553527</v>
          </cell>
          <cell r="L509">
            <v>182.88141048553527</v>
          </cell>
          <cell r="M509">
            <v>182.88141048553527</v>
          </cell>
          <cell r="N509">
            <v>182.88141048553527</v>
          </cell>
          <cell r="O509">
            <v>182.88141048553527</v>
          </cell>
          <cell r="P509">
            <v>182.88141048553527</v>
          </cell>
          <cell r="Q509">
            <v>182.88141048553527</v>
          </cell>
          <cell r="R509">
            <v>182.88141048553527</v>
          </cell>
          <cell r="S509">
            <v>182.88141048553527</v>
          </cell>
          <cell r="T509">
            <v>182.88141048553527</v>
          </cell>
          <cell r="U509">
            <v>182.88141048553527</v>
          </cell>
          <cell r="V509">
            <v>182.88141048553527</v>
          </cell>
          <cell r="W509">
            <v>182.88141048553527</v>
          </cell>
          <cell r="X509">
            <v>182.88141048553527</v>
          </cell>
          <cell r="Y509">
            <v>182.88141048553527</v>
          </cell>
          <cell r="Z509">
            <v>182.88141048553527</v>
          </cell>
          <cell r="AA509">
            <v>182.88141048553527</v>
          </cell>
          <cell r="AB509">
            <v>182.88141048553527</v>
          </cell>
          <cell r="AC509">
            <v>182.88141048553527</v>
          </cell>
          <cell r="AD509">
            <v>182.88141048553527</v>
          </cell>
          <cell r="AE509">
            <v>182.88141048553527</v>
          </cell>
          <cell r="AF509">
            <v>182.88141048553527</v>
          </cell>
          <cell r="AG509">
            <v>182.88141048553527</v>
          </cell>
          <cell r="AH509">
            <v>182.88141048553527</v>
          </cell>
          <cell r="AI509">
            <v>182.88141048553527</v>
          </cell>
          <cell r="AJ509">
            <v>182.88141048553527</v>
          </cell>
          <cell r="AK509">
            <v>182.88141048553527</v>
          </cell>
          <cell r="AL509">
            <v>182.88141048553527</v>
          </cell>
          <cell r="AM509">
            <v>182.88141048553527</v>
          </cell>
          <cell r="AS509">
            <v>505</v>
          </cell>
        </row>
        <row r="510">
          <cell r="B510" t="str">
            <v>CV</v>
          </cell>
          <cell r="C510">
            <v>6658.6725320875939</v>
          </cell>
          <cell r="D510">
            <v>6658.6725320875939</v>
          </cell>
          <cell r="E510">
            <v>6658.6725320875939</v>
          </cell>
          <cell r="F510">
            <v>6658.6725320875939</v>
          </cell>
          <cell r="G510">
            <v>6658.672532087593</v>
          </cell>
          <cell r="H510">
            <v>6658.6725320875921</v>
          </cell>
          <cell r="I510">
            <v>6667.3099484705917</v>
          </cell>
          <cell r="J510">
            <v>6665.6640311511965</v>
          </cell>
          <cell r="K510">
            <v>6665.6640311511965</v>
          </cell>
          <cell r="L510">
            <v>6665.6640311511965</v>
          </cell>
          <cell r="M510">
            <v>6665.6640311511965</v>
          </cell>
          <cell r="N510">
            <v>6665.6640311511965</v>
          </cell>
          <cell r="O510">
            <v>6665.6640311511965</v>
          </cell>
          <cell r="P510">
            <v>6665.6640311511965</v>
          </cell>
          <cell r="Q510">
            <v>6665.6640311511965</v>
          </cell>
          <cell r="R510">
            <v>6665.6640311511965</v>
          </cell>
          <cell r="S510">
            <v>6665.6640311511965</v>
          </cell>
          <cell r="T510">
            <v>6665.6640311511965</v>
          </cell>
          <cell r="U510">
            <v>6665.6640311511965</v>
          </cell>
          <cell r="V510">
            <v>6665.6640311511965</v>
          </cell>
          <cell r="W510">
            <v>6665.6640311511965</v>
          </cell>
          <cell r="X510">
            <v>6665.6640311511965</v>
          </cell>
          <cell r="Y510">
            <v>6665.6640311511965</v>
          </cell>
          <cell r="Z510">
            <v>6665.6640311511965</v>
          </cell>
          <cell r="AA510">
            <v>6665.6640311511965</v>
          </cell>
          <cell r="AB510">
            <v>6665.6640311511965</v>
          </cell>
          <cell r="AC510">
            <v>6665.6640311511965</v>
          </cell>
          <cell r="AD510">
            <v>6665.6640311511965</v>
          </cell>
          <cell r="AE510">
            <v>6665.6640311511965</v>
          </cell>
          <cell r="AF510">
            <v>6665.6640311511965</v>
          </cell>
          <cell r="AG510">
            <v>6665.6640311511965</v>
          </cell>
          <cell r="AH510">
            <v>6665.6640311511965</v>
          </cell>
          <cell r="AI510">
            <v>6665.6640311511965</v>
          </cell>
          <cell r="AJ510">
            <v>6665.6640311511965</v>
          </cell>
          <cell r="AK510">
            <v>6665.6640311511965</v>
          </cell>
          <cell r="AL510">
            <v>6665.6640311511965</v>
          </cell>
          <cell r="AM510">
            <v>6665.6640311511965</v>
          </cell>
          <cell r="AS510">
            <v>506</v>
          </cell>
        </row>
        <row r="511">
          <cell r="B511" t="str">
            <v>TS</v>
          </cell>
          <cell r="C511">
            <v>0.52804148222206782</v>
          </cell>
          <cell r="D511">
            <v>0.52804148222206782</v>
          </cell>
          <cell r="E511">
            <v>0.52804148222206782</v>
          </cell>
          <cell r="F511">
            <v>0.52804148222206782</v>
          </cell>
          <cell r="G511">
            <v>0.52804148222206782</v>
          </cell>
          <cell r="H511">
            <v>0.52804148222206782</v>
          </cell>
          <cell r="I511">
            <v>0.53607239172928267</v>
          </cell>
          <cell r="J511">
            <v>0.54013248230382727</v>
          </cell>
          <cell r="K511">
            <v>0.54013248230382727</v>
          </cell>
          <cell r="L511">
            <v>0.54013248230382727</v>
          </cell>
          <cell r="M511">
            <v>0.54013248230382727</v>
          </cell>
          <cell r="N511">
            <v>0.54013248230382727</v>
          </cell>
          <cell r="O511">
            <v>0.54013248230382727</v>
          </cell>
          <cell r="P511">
            <v>0.54013248230382727</v>
          </cell>
          <cell r="Q511">
            <v>0.54013248230382727</v>
          </cell>
          <cell r="R511">
            <v>0.54013248230382727</v>
          </cell>
          <cell r="S511">
            <v>0.54013248230382727</v>
          </cell>
          <cell r="T511">
            <v>0.54013248230382727</v>
          </cell>
          <cell r="U511">
            <v>0.54013248230382727</v>
          </cell>
          <cell r="V511">
            <v>0.54013248230382727</v>
          </cell>
          <cell r="W511">
            <v>0.54013248230382727</v>
          </cell>
          <cell r="X511">
            <v>0.54013248230382727</v>
          </cell>
          <cell r="Y511">
            <v>0.54013248230382727</v>
          </cell>
          <cell r="Z511">
            <v>0.54013248230382727</v>
          </cell>
          <cell r="AA511">
            <v>0.54013248230382727</v>
          </cell>
          <cell r="AB511">
            <v>0.54013248230382727</v>
          </cell>
          <cell r="AC511">
            <v>0.54013248230382727</v>
          </cell>
          <cell r="AD511">
            <v>0.54013248230382727</v>
          </cell>
          <cell r="AE511">
            <v>0.54013248230382727</v>
          </cell>
          <cell r="AF511">
            <v>0.54013248230382727</v>
          </cell>
          <cell r="AG511">
            <v>0.54013248230382727</v>
          </cell>
          <cell r="AH511">
            <v>0.54013248230382727</v>
          </cell>
          <cell r="AI511">
            <v>0.54013248230382727</v>
          </cell>
          <cell r="AJ511">
            <v>0.54013248230382727</v>
          </cell>
          <cell r="AK511">
            <v>0.54013248230382727</v>
          </cell>
          <cell r="AL511">
            <v>0.54013248230382727</v>
          </cell>
          <cell r="AM511">
            <v>0.54013248230382727</v>
          </cell>
          <cell r="AS511">
            <v>507</v>
          </cell>
        </row>
        <row r="512">
          <cell r="B512" t="str">
            <v>ASH</v>
          </cell>
          <cell r="C512">
            <v>4.4521779562131742</v>
          </cell>
          <cell r="D512">
            <v>4.4521779562131742</v>
          </cell>
          <cell r="E512">
            <v>4.4521779562131742</v>
          </cell>
          <cell r="F512">
            <v>4.4521779562131742</v>
          </cell>
          <cell r="G512">
            <v>4.4521779562131742</v>
          </cell>
          <cell r="H512">
            <v>4.4521779562131742</v>
          </cell>
          <cell r="I512">
            <v>4.3843658781783006</v>
          </cell>
          <cell r="J512">
            <v>4.3434042250733507</v>
          </cell>
          <cell r="K512">
            <v>4.3434042250733507</v>
          </cell>
          <cell r="L512">
            <v>4.3434042250733507</v>
          </cell>
          <cell r="M512">
            <v>4.3434042250733507</v>
          </cell>
          <cell r="N512">
            <v>4.3434042250733507</v>
          </cell>
          <cell r="O512">
            <v>4.3434042250733507</v>
          </cell>
          <cell r="P512">
            <v>4.3434042250733507</v>
          </cell>
          <cell r="Q512">
            <v>4.3434042250733507</v>
          </cell>
          <cell r="R512">
            <v>4.3434042250733507</v>
          </cell>
          <cell r="S512">
            <v>4.3434042250733507</v>
          </cell>
          <cell r="T512">
            <v>4.3434042250733507</v>
          </cell>
          <cell r="U512">
            <v>4.3434042250733507</v>
          </cell>
          <cell r="V512">
            <v>4.3434042250733507</v>
          </cell>
          <cell r="W512">
            <v>4.3434042250733507</v>
          </cell>
          <cell r="X512">
            <v>4.3434042250733507</v>
          </cell>
          <cell r="Y512">
            <v>4.3434042250733507</v>
          </cell>
          <cell r="Z512">
            <v>4.3434042250733507</v>
          </cell>
          <cell r="AA512">
            <v>4.3434042250733507</v>
          </cell>
          <cell r="AB512">
            <v>4.3434042250733507</v>
          </cell>
          <cell r="AC512">
            <v>4.3434042250733507</v>
          </cell>
          <cell r="AD512">
            <v>4.3434042250733507</v>
          </cell>
          <cell r="AE512">
            <v>4.3434042250733507</v>
          </cell>
          <cell r="AF512">
            <v>4.3434042250733507</v>
          </cell>
          <cell r="AG512">
            <v>4.3434042250733507</v>
          </cell>
          <cell r="AH512">
            <v>4.3434042250733507</v>
          </cell>
          <cell r="AI512">
            <v>4.3434042250733507</v>
          </cell>
          <cell r="AJ512">
            <v>4.3434042250733507</v>
          </cell>
          <cell r="AK512">
            <v>4.3434042250733507</v>
          </cell>
          <cell r="AL512">
            <v>4.3434042250733507</v>
          </cell>
          <cell r="AM512">
            <v>4.3434042250733507</v>
          </cell>
          <cell r="AS512">
            <v>508</v>
          </cell>
        </row>
        <row r="513">
          <cell r="B513" t="str">
            <v>IM</v>
          </cell>
          <cell r="C513">
            <v>9.0093211804203346</v>
          </cell>
          <cell r="D513">
            <v>9.0093211804203346</v>
          </cell>
          <cell r="E513">
            <v>9.0093211804203346</v>
          </cell>
          <cell r="F513">
            <v>9.0093211804203346</v>
          </cell>
          <cell r="G513">
            <v>9.0093211804203346</v>
          </cell>
          <cell r="H513">
            <v>9.0093211804203346</v>
          </cell>
          <cell r="I513">
            <v>9.0252384702083273</v>
          </cell>
          <cell r="J513">
            <v>9.0754111252856049</v>
          </cell>
          <cell r="K513">
            <v>9.0754111252856049</v>
          </cell>
          <cell r="L513">
            <v>9.0754111252856049</v>
          </cell>
          <cell r="M513">
            <v>9.0754111252856049</v>
          </cell>
          <cell r="N513">
            <v>9.0754111252856049</v>
          </cell>
          <cell r="O513">
            <v>9.0754111252856049</v>
          </cell>
          <cell r="P513">
            <v>9.0754111252856049</v>
          </cell>
          <cell r="Q513">
            <v>9.0754111252856049</v>
          </cell>
          <cell r="R513">
            <v>9.0754111252856049</v>
          </cell>
          <cell r="S513">
            <v>9.0754111252856049</v>
          </cell>
          <cell r="T513">
            <v>9.0754111252856049</v>
          </cell>
          <cell r="U513">
            <v>9.0754111252856049</v>
          </cell>
          <cell r="V513">
            <v>9.0754111252856049</v>
          </cell>
          <cell r="W513">
            <v>9.0754111252856049</v>
          </cell>
          <cell r="X513">
            <v>9.0754111252856049</v>
          </cell>
          <cell r="Y513">
            <v>9.0754111252856049</v>
          </cell>
          <cell r="Z513">
            <v>9.0754111252856049</v>
          </cell>
          <cell r="AA513">
            <v>9.0754111252856049</v>
          </cell>
          <cell r="AB513">
            <v>9.0754111252856049</v>
          </cell>
          <cell r="AC513">
            <v>9.0754111252856049</v>
          </cell>
          <cell r="AD513">
            <v>9.0754111252856049</v>
          </cell>
          <cell r="AE513">
            <v>9.0754111252856049</v>
          </cell>
          <cell r="AF513">
            <v>9.0754111252856049</v>
          </cell>
          <cell r="AG513">
            <v>9.0754111252856049</v>
          </cell>
          <cell r="AH513">
            <v>9.0754111252856049</v>
          </cell>
          <cell r="AI513">
            <v>9.0754111252856049</v>
          </cell>
          <cell r="AJ513">
            <v>9.0754111252856049</v>
          </cell>
          <cell r="AK513">
            <v>9.0754111252856049</v>
          </cell>
          <cell r="AL513">
            <v>9.0754111252856049</v>
          </cell>
          <cell r="AM513">
            <v>9.0754111252856049</v>
          </cell>
          <cell r="AS513">
            <v>509</v>
          </cell>
        </row>
        <row r="514">
          <cell r="B514" t="str">
            <v>TM</v>
          </cell>
          <cell r="C514">
            <v>12.79185084256631</v>
          </cell>
          <cell r="D514">
            <v>12.79185084256631</v>
          </cell>
          <cell r="E514">
            <v>12.79185084256631</v>
          </cell>
          <cell r="F514">
            <v>12.79185084256631</v>
          </cell>
          <cell r="G514">
            <v>12.79185084256631</v>
          </cell>
          <cell r="H514">
            <v>12.791850842566312</v>
          </cell>
          <cell r="I514">
            <v>12.76091985367677</v>
          </cell>
          <cell r="J514">
            <v>12.811028575736028</v>
          </cell>
          <cell r="K514">
            <v>12.811028575736028</v>
          </cell>
          <cell r="L514">
            <v>12.811028575736028</v>
          </cell>
          <cell r="M514">
            <v>12.811028575736028</v>
          </cell>
          <cell r="N514">
            <v>12.811028575736028</v>
          </cell>
          <cell r="O514">
            <v>12.811028575736028</v>
          </cell>
          <cell r="P514">
            <v>12.811028575736028</v>
          </cell>
          <cell r="Q514">
            <v>12.811028575736028</v>
          </cell>
          <cell r="R514">
            <v>12.811028575736028</v>
          </cell>
          <cell r="S514">
            <v>12.811028575736028</v>
          </cell>
          <cell r="T514">
            <v>12.811028575736028</v>
          </cell>
          <cell r="U514">
            <v>12.811028575736028</v>
          </cell>
          <cell r="V514">
            <v>12.811028575736028</v>
          </cell>
          <cell r="W514">
            <v>12.811028575736028</v>
          </cell>
          <cell r="X514">
            <v>12.811028575736028</v>
          </cell>
          <cell r="Y514">
            <v>12.811028575736028</v>
          </cell>
          <cell r="Z514">
            <v>12.811028575736028</v>
          </cell>
          <cell r="AA514">
            <v>12.811028575736028</v>
          </cell>
          <cell r="AB514">
            <v>12.811028575736028</v>
          </cell>
          <cell r="AC514">
            <v>12.811028575736028</v>
          </cell>
          <cell r="AD514">
            <v>12.811028575736028</v>
          </cell>
          <cell r="AE514">
            <v>12.811028575736028</v>
          </cell>
          <cell r="AF514">
            <v>12.811028575736028</v>
          </cell>
          <cell r="AG514">
            <v>12.811028575736028</v>
          </cell>
          <cell r="AH514">
            <v>12.811028575736028</v>
          </cell>
          <cell r="AI514">
            <v>12.811028575736028</v>
          </cell>
          <cell r="AJ514">
            <v>12.811028575736028</v>
          </cell>
          <cell r="AK514">
            <v>12.811028575736028</v>
          </cell>
          <cell r="AL514">
            <v>12.811028575736028</v>
          </cell>
          <cell r="AM514">
            <v>12.811028575736028</v>
          </cell>
          <cell r="AS514">
            <v>510</v>
          </cell>
        </row>
        <row r="515">
          <cell r="B515" t="str">
            <v>BEK.HCV.HS</v>
          </cell>
          <cell r="C515">
            <v>74.273103456485188</v>
          </cell>
          <cell r="D515">
            <v>83.686083456485193</v>
          </cell>
          <cell r="E515">
            <v>106.4656934564852</v>
          </cell>
          <cell r="F515">
            <v>117.4863234564852</v>
          </cell>
          <cell r="G515">
            <v>117.4863234564852</v>
          </cell>
          <cell r="H515">
            <v>125.62985345648519</v>
          </cell>
          <cell r="I515">
            <v>126.36705345648521</v>
          </cell>
          <cell r="J515">
            <v>139.9149834564852</v>
          </cell>
          <cell r="K515">
            <v>139.9149834564852</v>
          </cell>
          <cell r="L515">
            <v>139.9149834564852</v>
          </cell>
          <cell r="M515">
            <v>139.9149834564852</v>
          </cell>
          <cell r="N515">
            <v>139.9149834564852</v>
          </cell>
          <cell r="O515">
            <v>139.9149834564852</v>
          </cell>
          <cell r="P515">
            <v>139.9149834564852</v>
          </cell>
          <cell r="Q515">
            <v>139.9149834564852</v>
          </cell>
          <cell r="R515">
            <v>139.9149834564852</v>
          </cell>
          <cell r="S515">
            <v>139.9149834564852</v>
          </cell>
          <cell r="T515">
            <v>139.9149834564852</v>
          </cell>
          <cell r="U515">
            <v>139.9149834564852</v>
          </cell>
          <cell r="V515">
            <v>139.9149834564852</v>
          </cell>
          <cell r="W515">
            <v>139.9149834564852</v>
          </cell>
          <cell r="X515">
            <v>139.9149834564852</v>
          </cell>
          <cell r="Y515">
            <v>139.9149834564852</v>
          </cell>
          <cell r="Z515">
            <v>139.9149834564852</v>
          </cell>
          <cell r="AA515">
            <v>139.9149834564852</v>
          </cell>
          <cell r="AB515">
            <v>139.9149834564852</v>
          </cell>
          <cell r="AC515">
            <v>139.9149834564852</v>
          </cell>
          <cell r="AD515">
            <v>139.9149834564852</v>
          </cell>
          <cell r="AE515">
            <v>139.9149834564852</v>
          </cell>
          <cell r="AF515">
            <v>139.9149834564852</v>
          </cell>
          <cell r="AG515">
            <v>139.9149834564852</v>
          </cell>
          <cell r="AH515">
            <v>139.9149834564852</v>
          </cell>
          <cell r="AI515">
            <v>139.9149834564852</v>
          </cell>
          <cell r="AJ515">
            <v>139.9149834564852</v>
          </cell>
          <cell r="AK515">
            <v>139.9149834564852</v>
          </cell>
          <cell r="AL515">
            <v>139.9149834564852</v>
          </cell>
          <cell r="AM515">
            <v>139.9149834564852</v>
          </cell>
          <cell r="AS515">
            <v>511</v>
          </cell>
        </row>
        <row r="516">
          <cell r="B516" t="str">
            <v>CV</v>
          </cell>
          <cell r="C516">
            <v>6560.0537627650947</v>
          </cell>
          <cell r="D516">
            <v>6550.251089359258</v>
          </cell>
          <cell r="E516">
            <v>6581.0840067106519</v>
          </cell>
          <cell r="F516">
            <v>6609.6706984003677</v>
          </cell>
          <cell r="G516">
            <v>6609.6706984003677</v>
          </cell>
          <cell r="H516">
            <v>6608.7741580164875</v>
          </cell>
          <cell r="I516">
            <v>6604.4805723343525</v>
          </cell>
          <cell r="J516">
            <v>6597.8284028843109</v>
          </cell>
          <cell r="K516">
            <v>6597.8284028843109</v>
          </cell>
          <cell r="L516">
            <v>6597.8284028843109</v>
          </cell>
          <cell r="M516">
            <v>6597.8284028843109</v>
          </cell>
          <cell r="N516">
            <v>6597.8284028843109</v>
          </cell>
          <cell r="O516">
            <v>6597.8284028843109</v>
          </cell>
          <cell r="P516">
            <v>6597.8284028843109</v>
          </cell>
          <cell r="Q516">
            <v>6597.8284028843109</v>
          </cell>
          <cell r="R516">
            <v>6597.8284028843109</v>
          </cell>
          <cell r="S516">
            <v>6597.8284028843109</v>
          </cell>
          <cell r="T516">
            <v>6597.8284028843109</v>
          </cell>
          <cell r="U516">
            <v>6597.8284028843109</v>
          </cell>
          <cell r="V516">
            <v>6597.8284028843109</v>
          </cell>
          <cell r="W516">
            <v>6597.8284028843109</v>
          </cell>
          <cell r="X516">
            <v>6597.8284028843109</v>
          </cell>
          <cell r="Y516">
            <v>6597.8284028843109</v>
          </cell>
          <cell r="Z516">
            <v>6597.8284028843109</v>
          </cell>
          <cell r="AA516">
            <v>6597.8284028843109</v>
          </cell>
          <cell r="AB516">
            <v>6597.8284028843109</v>
          </cell>
          <cell r="AC516">
            <v>6597.8284028843109</v>
          </cell>
          <cell r="AD516">
            <v>6597.8284028843109</v>
          </cell>
          <cell r="AE516">
            <v>6597.8284028843109</v>
          </cell>
          <cell r="AF516">
            <v>6597.8284028843109</v>
          </cell>
          <cell r="AG516">
            <v>6597.8284028843109</v>
          </cell>
          <cell r="AH516">
            <v>6597.8284028843109</v>
          </cell>
          <cell r="AI516">
            <v>6597.8284028843109</v>
          </cell>
          <cell r="AJ516">
            <v>6597.8284028843109</v>
          </cell>
          <cell r="AK516">
            <v>6597.8284028843109</v>
          </cell>
          <cell r="AL516">
            <v>6597.8284028843109</v>
          </cell>
          <cell r="AM516">
            <v>6597.8284028843109</v>
          </cell>
          <cell r="AS516">
            <v>512</v>
          </cell>
        </row>
        <row r="517">
          <cell r="B517" t="str">
            <v>TS</v>
          </cell>
          <cell r="C517">
            <v>1.6289199745413443</v>
          </cell>
          <cell r="D517">
            <v>1.6349045926903381</v>
          </cell>
          <cell r="E517">
            <v>1.635646450327229</v>
          </cell>
          <cell r="F517">
            <v>1.6278317157937188</v>
          </cell>
          <cell r="G517">
            <v>1.6278317157937188</v>
          </cell>
          <cell r="H517">
            <v>1.6083700284419113</v>
          </cell>
          <cell r="I517">
            <v>1.6121427217123527</v>
          </cell>
          <cell r="J517">
            <v>1.6232253866106003</v>
          </cell>
          <cell r="K517">
            <v>1.6232253866106003</v>
          </cell>
          <cell r="L517">
            <v>1.6232253866106003</v>
          </cell>
          <cell r="M517">
            <v>1.6232253866106003</v>
          </cell>
          <cell r="N517">
            <v>1.6232253866106003</v>
          </cell>
          <cell r="O517">
            <v>1.6232253866106003</v>
          </cell>
          <cell r="P517">
            <v>1.6232253866106003</v>
          </cell>
          <cell r="Q517">
            <v>1.6232253866106003</v>
          </cell>
          <cell r="R517">
            <v>1.6232253866106003</v>
          </cell>
          <cell r="S517">
            <v>1.6232253866106003</v>
          </cell>
          <cell r="T517">
            <v>1.6232253866106003</v>
          </cell>
          <cell r="U517">
            <v>1.6232253866106003</v>
          </cell>
          <cell r="V517">
            <v>1.6232253866106003</v>
          </cell>
          <cell r="W517">
            <v>1.6232253866106003</v>
          </cell>
          <cell r="X517">
            <v>1.6232253866106003</v>
          </cell>
          <cell r="Y517">
            <v>1.6232253866106003</v>
          </cell>
          <cell r="Z517">
            <v>1.6232253866106003</v>
          </cell>
          <cell r="AA517">
            <v>1.6232253866106003</v>
          </cell>
          <cell r="AB517">
            <v>1.6232253866106003</v>
          </cell>
          <cell r="AC517">
            <v>1.6232253866106003</v>
          </cell>
          <cell r="AD517">
            <v>1.6232253866106003</v>
          </cell>
          <cell r="AE517">
            <v>1.6232253866106003</v>
          </cell>
          <cell r="AF517">
            <v>1.6232253866106003</v>
          </cell>
          <cell r="AG517">
            <v>1.6232253866106003</v>
          </cell>
          <cell r="AH517">
            <v>1.6232253866106003</v>
          </cell>
          <cell r="AI517">
            <v>1.6232253866106003</v>
          </cell>
          <cell r="AJ517">
            <v>1.6232253866106003</v>
          </cell>
          <cell r="AK517">
            <v>1.6232253866106003</v>
          </cell>
          <cell r="AL517">
            <v>1.6232253866106003</v>
          </cell>
          <cell r="AM517">
            <v>1.6232253866106003</v>
          </cell>
          <cell r="AS517">
            <v>513</v>
          </cell>
        </row>
        <row r="518">
          <cell r="B518" t="str">
            <v>ASH</v>
          </cell>
          <cell r="C518">
            <v>5.2848908657204126</v>
          </cell>
          <cell r="D518">
            <v>5.4261808340203537</v>
          </cell>
          <cell r="E518">
            <v>5.2977333523481827</v>
          </cell>
          <cell r="F518">
            <v>5.1605302440519152</v>
          </cell>
          <cell r="G518">
            <v>5.1605302440519152</v>
          </cell>
          <cell r="H518">
            <v>5.178467678233309</v>
          </cell>
          <cell r="I518">
            <v>5.1418990865120273</v>
          </cell>
          <cell r="J518">
            <v>5.0882126709354862</v>
          </cell>
          <cell r="K518">
            <v>5.0882126709354862</v>
          </cell>
          <cell r="L518">
            <v>5.0882126709354862</v>
          </cell>
          <cell r="M518">
            <v>5.0882126709354862</v>
          </cell>
          <cell r="N518">
            <v>5.0882126709354862</v>
          </cell>
          <cell r="O518">
            <v>5.0882126709354862</v>
          </cell>
          <cell r="P518">
            <v>5.0882126709354862</v>
          </cell>
          <cell r="Q518">
            <v>5.0882126709354862</v>
          </cell>
          <cell r="R518">
            <v>5.0882126709354862</v>
          </cell>
          <cell r="S518">
            <v>5.0882126709354862</v>
          </cell>
          <cell r="T518">
            <v>5.0882126709354862</v>
          </cell>
          <cell r="U518">
            <v>5.0882126709354862</v>
          </cell>
          <cell r="V518">
            <v>5.0882126709354862</v>
          </cell>
          <cell r="W518">
            <v>5.0882126709354862</v>
          </cell>
          <cell r="X518">
            <v>5.0882126709354862</v>
          </cell>
          <cell r="Y518">
            <v>5.0882126709354862</v>
          </cell>
          <cell r="Z518">
            <v>5.0882126709354862</v>
          </cell>
          <cell r="AA518">
            <v>5.0882126709354862</v>
          </cell>
          <cell r="AB518">
            <v>5.0882126709354862</v>
          </cell>
          <cell r="AC518">
            <v>5.0882126709354862</v>
          </cell>
          <cell r="AD518">
            <v>5.0882126709354862</v>
          </cell>
          <cell r="AE518">
            <v>5.0882126709354862</v>
          </cell>
          <cell r="AF518">
            <v>5.0882126709354862</v>
          </cell>
          <cell r="AG518">
            <v>5.0882126709354862</v>
          </cell>
          <cell r="AH518">
            <v>5.0882126709354862</v>
          </cell>
          <cell r="AI518">
            <v>5.0882126709354862</v>
          </cell>
          <cell r="AJ518">
            <v>5.0882126709354862</v>
          </cell>
          <cell r="AK518">
            <v>5.0882126709354862</v>
          </cell>
          <cell r="AL518">
            <v>5.0882126709354862</v>
          </cell>
          <cell r="AM518">
            <v>5.0882126709354862</v>
          </cell>
          <cell r="AS518">
            <v>514</v>
          </cell>
        </row>
        <row r="519">
          <cell r="B519" t="str">
            <v>IM</v>
          </cell>
          <cell r="C519">
            <v>9.0916769870612217</v>
          </cell>
          <cell r="D519">
            <v>9.1062205711103825</v>
          </cell>
          <cell r="E519">
            <v>8.9455260308805506</v>
          </cell>
          <cell r="F519">
            <v>8.8722536542805077</v>
          </cell>
          <cell r="G519">
            <v>8.8722536542805077</v>
          </cell>
          <cell r="H519">
            <v>8.9288428014982948</v>
          </cell>
          <cell r="I519">
            <v>8.9982127286976912</v>
          </cell>
          <cell r="J519">
            <v>9.1009698451068335</v>
          </cell>
          <cell r="K519">
            <v>9.1009698451068335</v>
          </cell>
          <cell r="L519">
            <v>9.1009698451068335</v>
          </cell>
          <cell r="M519">
            <v>9.1009698451068335</v>
          </cell>
          <cell r="N519">
            <v>9.1009698451068335</v>
          </cell>
          <cell r="O519">
            <v>9.1009698451068335</v>
          </cell>
          <cell r="P519">
            <v>9.1009698451068335</v>
          </cell>
          <cell r="Q519">
            <v>9.1009698451068335</v>
          </cell>
          <cell r="R519">
            <v>9.1009698451068335</v>
          </cell>
          <cell r="S519">
            <v>9.1009698451068335</v>
          </cell>
          <cell r="T519">
            <v>9.1009698451068335</v>
          </cell>
          <cell r="U519">
            <v>9.1009698451068335</v>
          </cell>
          <cell r="V519">
            <v>9.1009698451068335</v>
          </cell>
          <cell r="W519">
            <v>9.1009698451068335</v>
          </cell>
          <cell r="X519">
            <v>9.1009698451068335</v>
          </cell>
          <cell r="Y519">
            <v>9.1009698451068335</v>
          </cell>
          <cell r="Z519">
            <v>9.1009698451068335</v>
          </cell>
          <cell r="AA519">
            <v>9.1009698451068335</v>
          </cell>
          <cell r="AB519">
            <v>9.1009698451068335</v>
          </cell>
          <cell r="AC519">
            <v>9.1009698451068335</v>
          </cell>
          <cell r="AD519">
            <v>9.1009698451068335</v>
          </cell>
          <cell r="AE519">
            <v>9.1009698451068335</v>
          </cell>
          <cell r="AF519">
            <v>9.1009698451068335</v>
          </cell>
          <cell r="AG519">
            <v>9.1009698451068335</v>
          </cell>
          <cell r="AH519">
            <v>9.1009698451068335</v>
          </cell>
          <cell r="AI519">
            <v>9.1009698451068335</v>
          </cell>
          <cell r="AJ519">
            <v>9.1009698451068335</v>
          </cell>
          <cell r="AK519">
            <v>9.1009698451068335</v>
          </cell>
          <cell r="AL519">
            <v>9.1009698451068335</v>
          </cell>
          <cell r="AM519">
            <v>9.1009698451068335</v>
          </cell>
          <cell r="AS519">
            <v>515</v>
          </cell>
        </row>
        <row r="520">
          <cell r="B520" t="str">
            <v>TM</v>
          </cell>
          <cell r="C520">
            <v>13.412066652580844</v>
          </cell>
          <cell r="D520">
            <v>13.349045854923002</v>
          </cell>
          <cell r="E520">
            <v>12.910809472254094</v>
          </cell>
          <cell r="F520">
            <v>12.793512979010302</v>
          </cell>
          <cell r="G520">
            <v>12.793512979010302</v>
          </cell>
          <cell r="H520">
            <v>12.831015200231526</v>
          </cell>
          <cell r="I520">
            <v>12.876305819000583</v>
          </cell>
          <cell r="J520">
            <v>12.947198880598014</v>
          </cell>
          <cell r="K520">
            <v>12.947198880598014</v>
          </cell>
          <cell r="L520">
            <v>12.947198880598014</v>
          </cell>
          <cell r="M520">
            <v>12.947198880598014</v>
          </cell>
          <cell r="N520">
            <v>12.947198880598014</v>
          </cell>
          <cell r="O520">
            <v>12.947198880598014</v>
          </cell>
          <cell r="P520">
            <v>12.947198880598014</v>
          </cell>
          <cell r="Q520">
            <v>12.947198880598014</v>
          </cell>
          <cell r="R520">
            <v>12.947198880598014</v>
          </cell>
          <cell r="S520">
            <v>12.947198880598014</v>
          </cell>
          <cell r="T520">
            <v>12.947198880598014</v>
          </cell>
          <cell r="U520">
            <v>12.947198880598014</v>
          </cell>
          <cell r="V520">
            <v>12.947198880598014</v>
          </cell>
          <cell r="W520">
            <v>12.947198880598014</v>
          </cell>
          <cell r="X520">
            <v>12.947198880598014</v>
          </cell>
          <cell r="Y520">
            <v>12.947198880598014</v>
          </cell>
          <cell r="Z520">
            <v>12.947198880598014</v>
          </cell>
          <cell r="AA520">
            <v>12.947198880598014</v>
          </cell>
          <cell r="AB520">
            <v>12.947198880598014</v>
          </cell>
          <cell r="AC520">
            <v>12.947198880598014</v>
          </cell>
          <cell r="AD520">
            <v>12.947198880598014</v>
          </cell>
          <cell r="AE520">
            <v>12.947198880598014</v>
          </cell>
          <cell r="AF520">
            <v>12.947198880598014</v>
          </cell>
          <cell r="AG520">
            <v>12.947198880598014</v>
          </cell>
          <cell r="AH520">
            <v>12.947198880598014</v>
          </cell>
          <cell r="AI520">
            <v>12.947198880598014</v>
          </cell>
          <cell r="AJ520">
            <v>12.947198880598014</v>
          </cell>
          <cell r="AK520">
            <v>12.947198880598014</v>
          </cell>
          <cell r="AL520">
            <v>12.947198880598014</v>
          </cell>
          <cell r="AM520">
            <v>12.947198880598014</v>
          </cell>
          <cell r="AS520">
            <v>516</v>
          </cell>
        </row>
        <row r="521">
          <cell r="B521" t="str">
            <v>BEK.MCV.LS</v>
          </cell>
          <cell r="C521">
            <v>14.985871239274379</v>
          </cell>
          <cell r="D521">
            <v>14.985871239274379</v>
          </cell>
          <cell r="E521">
            <v>14.985871239274379</v>
          </cell>
          <cell r="F521">
            <v>27.996361239274378</v>
          </cell>
          <cell r="G521">
            <v>51.462831239274379</v>
          </cell>
          <cell r="H521">
            <v>64.174591239274378</v>
          </cell>
          <cell r="I521">
            <v>64.174591239274378</v>
          </cell>
          <cell r="J521">
            <v>64.174591239274378</v>
          </cell>
          <cell r="K521">
            <v>64.174591239274378</v>
          </cell>
          <cell r="L521">
            <v>64.174591239274378</v>
          </cell>
          <cell r="M521">
            <v>64.174591239274378</v>
          </cell>
          <cell r="N521">
            <v>64.174591239274378</v>
          </cell>
          <cell r="O521">
            <v>64.174591239274378</v>
          </cell>
          <cell r="P521">
            <v>64.174591239274378</v>
          </cell>
          <cell r="Q521">
            <v>64.174591239274378</v>
          </cell>
          <cell r="R521">
            <v>64.174591239274378</v>
          </cell>
          <cell r="S521">
            <v>64.174591239274378</v>
          </cell>
          <cell r="T521">
            <v>64.174591239274378</v>
          </cell>
          <cell r="U521">
            <v>64.174591239274378</v>
          </cell>
          <cell r="V521">
            <v>64.174591239274378</v>
          </cell>
          <cell r="W521">
            <v>64.174591239274378</v>
          </cell>
          <cell r="X521">
            <v>64.174591239274378</v>
          </cell>
          <cell r="Y521">
            <v>64.174591239274378</v>
          </cell>
          <cell r="Z521">
            <v>64.174591239274378</v>
          </cell>
          <cell r="AA521">
            <v>64.174591239274378</v>
          </cell>
          <cell r="AB521">
            <v>64.174591239274378</v>
          </cell>
          <cell r="AC521">
            <v>64.174591239274378</v>
          </cell>
          <cell r="AD521">
            <v>64.174591239274378</v>
          </cell>
          <cell r="AE521">
            <v>64.174591239274378</v>
          </cell>
          <cell r="AF521">
            <v>64.174591239274378</v>
          </cell>
          <cell r="AG521">
            <v>64.174591239274378</v>
          </cell>
          <cell r="AH521">
            <v>64.174591239274378</v>
          </cell>
          <cell r="AI521">
            <v>64.174591239274378</v>
          </cell>
          <cell r="AJ521">
            <v>64.174591239274378</v>
          </cell>
          <cell r="AK521">
            <v>64.174591239274378</v>
          </cell>
          <cell r="AL521">
            <v>64.174591239274378</v>
          </cell>
          <cell r="AM521">
            <v>64.174591239274378</v>
          </cell>
          <cell r="AS521">
            <v>517</v>
          </cell>
        </row>
        <row r="522">
          <cell r="B522" t="str">
            <v>CV</v>
          </cell>
          <cell r="C522">
            <v>6326.6198475879974</v>
          </cell>
          <cell r="D522">
            <v>6326.6198475879974</v>
          </cell>
          <cell r="E522">
            <v>6326.6198475879974</v>
          </cell>
          <cell r="F522">
            <v>6293.7035624068649</v>
          </cell>
          <cell r="G522">
            <v>6227.7550630777669</v>
          </cell>
          <cell r="H522">
            <v>6235.6489180703775</v>
          </cell>
          <cell r="I522">
            <v>6235.6489180703775</v>
          </cell>
          <cell r="J522">
            <v>6235.6489180703775</v>
          </cell>
          <cell r="K522">
            <v>6235.6489180703775</v>
          </cell>
          <cell r="L522">
            <v>6235.6489180703775</v>
          </cell>
          <cell r="M522">
            <v>6235.6489180703775</v>
          </cell>
          <cell r="N522">
            <v>6235.6489180703775</v>
          </cell>
          <cell r="O522">
            <v>6235.6489180703775</v>
          </cell>
          <cell r="P522">
            <v>6235.6489180703775</v>
          </cell>
          <cell r="Q522">
            <v>6235.6489180703775</v>
          </cell>
          <cell r="R522">
            <v>6235.6489180703775</v>
          </cell>
          <cell r="S522">
            <v>6235.6489180703775</v>
          </cell>
          <cell r="T522">
            <v>6235.6489180703775</v>
          </cell>
          <cell r="U522">
            <v>6235.6489180703775</v>
          </cell>
          <cell r="V522">
            <v>6235.6489180703775</v>
          </cell>
          <cell r="W522">
            <v>6235.6489180703775</v>
          </cell>
          <cell r="X522">
            <v>6235.6489180703775</v>
          </cell>
          <cell r="Y522">
            <v>6235.6489180703775</v>
          </cell>
          <cell r="Z522">
            <v>6235.6489180703775</v>
          </cell>
          <cell r="AA522">
            <v>6235.6489180703775</v>
          </cell>
          <cell r="AB522">
            <v>6235.6489180703775</v>
          </cell>
          <cell r="AC522">
            <v>6235.6489180703775</v>
          </cell>
          <cell r="AD522">
            <v>6235.6489180703775</v>
          </cell>
          <cell r="AE522">
            <v>6235.6489180703775</v>
          </cell>
          <cell r="AF522">
            <v>6235.6489180703775</v>
          </cell>
          <cell r="AG522">
            <v>6235.6489180703775</v>
          </cell>
          <cell r="AH522">
            <v>6235.6489180703775</v>
          </cell>
          <cell r="AI522">
            <v>6235.6489180703775</v>
          </cell>
          <cell r="AJ522">
            <v>6235.6489180703775</v>
          </cell>
          <cell r="AK522">
            <v>6235.6489180703775</v>
          </cell>
          <cell r="AL522">
            <v>6235.6489180703775</v>
          </cell>
          <cell r="AM522">
            <v>6235.6489180703775</v>
          </cell>
          <cell r="AS522">
            <v>518</v>
          </cell>
        </row>
        <row r="523">
          <cell r="B523" t="str">
            <v>TS</v>
          </cell>
          <cell r="C523">
            <v>0.19076173731904769</v>
          </cell>
          <cell r="D523">
            <v>0.19076173731904769</v>
          </cell>
          <cell r="E523">
            <v>0.19076173731904769</v>
          </cell>
          <cell r="F523">
            <v>0.21667710931476813</v>
          </cell>
          <cell r="G523">
            <v>0.23017451674451295</v>
          </cell>
          <cell r="H523">
            <v>0.22440443303194615</v>
          </cell>
          <cell r="I523">
            <v>0.22440443303194615</v>
          </cell>
          <cell r="J523">
            <v>0.22440443303194615</v>
          </cell>
          <cell r="K523">
            <v>0.22440443303194615</v>
          </cell>
          <cell r="L523">
            <v>0.22440443303194615</v>
          </cell>
          <cell r="M523">
            <v>0.22440443303194615</v>
          </cell>
          <cell r="N523">
            <v>0.22440443303194615</v>
          </cell>
          <cell r="O523">
            <v>0.22440443303194615</v>
          </cell>
          <cell r="P523">
            <v>0.22440443303194615</v>
          </cell>
          <cell r="Q523">
            <v>0.22440443303194615</v>
          </cell>
          <cell r="R523">
            <v>0.22440443303194615</v>
          </cell>
          <cell r="S523">
            <v>0.22440443303194615</v>
          </cell>
          <cell r="T523">
            <v>0.22440443303194615</v>
          </cell>
          <cell r="U523">
            <v>0.22440443303194615</v>
          </cell>
          <cell r="V523">
            <v>0.22440443303194615</v>
          </cell>
          <cell r="W523">
            <v>0.22440443303194615</v>
          </cell>
          <cell r="X523">
            <v>0.22440443303194615</v>
          </cell>
          <cell r="Y523">
            <v>0.22440443303194615</v>
          </cell>
          <cell r="Z523">
            <v>0.22440443303194615</v>
          </cell>
          <cell r="AA523">
            <v>0.22440443303194615</v>
          </cell>
          <cell r="AB523">
            <v>0.22440443303194615</v>
          </cell>
          <cell r="AC523">
            <v>0.22440443303194615</v>
          </cell>
          <cell r="AD523">
            <v>0.22440443303194615</v>
          </cell>
          <cell r="AE523">
            <v>0.22440443303194615</v>
          </cell>
          <cell r="AF523">
            <v>0.22440443303194615</v>
          </cell>
          <cell r="AG523">
            <v>0.22440443303194615</v>
          </cell>
          <cell r="AH523">
            <v>0.22440443303194615</v>
          </cell>
          <cell r="AI523">
            <v>0.22440443303194615</v>
          </cell>
          <cell r="AJ523">
            <v>0.22440443303194615</v>
          </cell>
          <cell r="AK523">
            <v>0.22440443303194615</v>
          </cell>
          <cell r="AL523">
            <v>0.22440443303194615</v>
          </cell>
          <cell r="AM523">
            <v>0.22440443303194615</v>
          </cell>
          <cell r="AS523">
            <v>519</v>
          </cell>
        </row>
        <row r="524">
          <cell r="B524" t="str">
            <v>ASH</v>
          </cell>
          <cell r="C524">
            <v>5.1024935262024531</v>
          </cell>
          <cell r="D524">
            <v>5.1024935262024531</v>
          </cell>
          <cell r="E524">
            <v>5.1024935262024531</v>
          </cell>
          <cell r="F524">
            <v>4.686749863292917</v>
          </cell>
          <cell r="G524">
            <v>5.1990682444722127</v>
          </cell>
          <cell r="H524">
            <v>5.1020333977241883</v>
          </cell>
          <cell r="I524">
            <v>5.1020333977241883</v>
          </cell>
          <cell r="J524">
            <v>5.1020333977241883</v>
          </cell>
          <cell r="K524">
            <v>5.1020333977241883</v>
          </cell>
          <cell r="L524">
            <v>5.1020333977241883</v>
          </cell>
          <cell r="M524">
            <v>5.1020333977241883</v>
          </cell>
          <cell r="N524">
            <v>5.1020333977241883</v>
          </cell>
          <cell r="O524">
            <v>5.1020333977241883</v>
          </cell>
          <cell r="P524">
            <v>5.1020333977241883</v>
          </cell>
          <cell r="Q524">
            <v>5.1020333977241883</v>
          </cell>
          <cell r="R524">
            <v>5.1020333977241883</v>
          </cell>
          <cell r="S524">
            <v>5.1020333977241883</v>
          </cell>
          <cell r="T524">
            <v>5.1020333977241883</v>
          </cell>
          <cell r="U524">
            <v>5.1020333977241883</v>
          </cell>
          <cell r="V524">
            <v>5.1020333977241883</v>
          </cell>
          <cell r="W524">
            <v>5.1020333977241883</v>
          </cell>
          <cell r="X524">
            <v>5.1020333977241883</v>
          </cell>
          <cell r="Y524">
            <v>5.1020333977241883</v>
          </cell>
          <cell r="Z524">
            <v>5.1020333977241883</v>
          </cell>
          <cell r="AA524">
            <v>5.1020333977241883</v>
          </cell>
          <cell r="AB524">
            <v>5.1020333977241883</v>
          </cell>
          <cell r="AC524">
            <v>5.1020333977241883</v>
          </cell>
          <cell r="AD524">
            <v>5.1020333977241883</v>
          </cell>
          <cell r="AE524">
            <v>5.1020333977241883</v>
          </cell>
          <cell r="AF524">
            <v>5.1020333977241883</v>
          </cell>
          <cell r="AG524">
            <v>5.1020333977241883</v>
          </cell>
          <cell r="AH524">
            <v>5.1020333977241883</v>
          </cell>
          <cell r="AI524">
            <v>5.1020333977241883</v>
          </cell>
          <cell r="AJ524">
            <v>5.1020333977241883</v>
          </cell>
          <cell r="AK524">
            <v>5.1020333977241883</v>
          </cell>
          <cell r="AL524">
            <v>5.1020333977241883</v>
          </cell>
          <cell r="AM524">
            <v>5.1020333977241883</v>
          </cell>
          <cell r="AS524">
            <v>520</v>
          </cell>
        </row>
        <row r="525">
          <cell r="B525" t="str">
            <v>IM</v>
          </cell>
          <cell r="C525">
            <v>11.273920275706004</v>
          </cell>
          <cell r="D525">
            <v>11.273920275706004</v>
          </cell>
          <cell r="E525">
            <v>11.273920275706004</v>
          </cell>
          <cell r="F525">
            <v>11.339792553528818</v>
          </cell>
          <cell r="G525">
            <v>11.473731820161222</v>
          </cell>
          <cell r="H525">
            <v>11.510609927741781</v>
          </cell>
          <cell r="I525">
            <v>11.510609927741781</v>
          </cell>
          <cell r="J525">
            <v>11.510609927741781</v>
          </cell>
          <cell r="K525">
            <v>11.510609927741781</v>
          </cell>
          <cell r="L525">
            <v>11.510609927741781</v>
          </cell>
          <cell r="M525">
            <v>11.510609927741781</v>
          </cell>
          <cell r="N525">
            <v>11.510609927741781</v>
          </cell>
          <cell r="O525">
            <v>11.510609927741781</v>
          </cell>
          <cell r="P525">
            <v>11.510609927741781</v>
          </cell>
          <cell r="Q525">
            <v>11.510609927741781</v>
          </cell>
          <cell r="R525">
            <v>11.510609927741781</v>
          </cell>
          <cell r="S525">
            <v>11.510609927741781</v>
          </cell>
          <cell r="T525">
            <v>11.510609927741781</v>
          </cell>
          <cell r="U525">
            <v>11.510609927741781</v>
          </cell>
          <cell r="V525">
            <v>11.510609927741781</v>
          </cell>
          <cell r="W525">
            <v>11.510609927741781</v>
          </cell>
          <cell r="X525">
            <v>11.510609927741781</v>
          </cell>
          <cell r="Y525">
            <v>11.510609927741781</v>
          </cell>
          <cell r="Z525">
            <v>11.510609927741781</v>
          </cell>
          <cell r="AA525">
            <v>11.510609927741781</v>
          </cell>
          <cell r="AB525">
            <v>11.510609927741781</v>
          </cell>
          <cell r="AC525">
            <v>11.510609927741781</v>
          </cell>
          <cell r="AD525">
            <v>11.510609927741781</v>
          </cell>
          <cell r="AE525">
            <v>11.510609927741781</v>
          </cell>
          <cell r="AF525">
            <v>11.510609927741781</v>
          </cell>
          <cell r="AG525">
            <v>11.510609927741781</v>
          </cell>
          <cell r="AH525">
            <v>11.510609927741781</v>
          </cell>
          <cell r="AI525">
            <v>11.510609927741781</v>
          </cell>
          <cell r="AJ525">
            <v>11.510609927741781</v>
          </cell>
          <cell r="AK525">
            <v>11.510609927741781</v>
          </cell>
          <cell r="AL525">
            <v>11.510609927741781</v>
          </cell>
          <cell r="AM525">
            <v>11.510609927741781</v>
          </cell>
          <cell r="AS525">
            <v>521</v>
          </cell>
        </row>
        <row r="526">
          <cell r="B526" t="str">
            <v>TM</v>
          </cell>
          <cell r="C526">
            <v>16.577330907879787</v>
          </cell>
          <cell r="D526">
            <v>16.577330907879787</v>
          </cell>
          <cell r="E526">
            <v>16.577330907879787</v>
          </cell>
          <cell r="F526">
            <v>16.547586512664545</v>
          </cell>
          <cell r="G526">
            <v>15.969372789608775</v>
          </cell>
          <cell r="H526">
            <v>16.119462419209</v>
          </cell>
          <cell r="I526">
            <v>16.119462419209</v>
          </cell>
          <cell r="J526">
            <v>16.119462419209</v>
          </cell>
          <cell r="K526">
            <v>16.119462419209</v>
          </cell>
          <cell r="L526">
            <v>16.119462419209</v>
          </cell>
          <cell r="M526">
            <v>16.119462419209</v>
          </cell>
          <cell r="N526">
            <v>16.119462419209</v>
          </cell>
          <cell r="O526">
            <v>16.119462419209</v>
          </cell>
          <cell r="P526">
            <v>16.119462419209</v>
          </cell>
          <cell r="Q526">
            <v>16.119462419209</v>
          </cell>
          <cell r="R526">
            <v>16.119462419209</v>
          </cell>
          <cell r="S526">
            <v>16.119462419209</v>
          </cell>
          <cell r="T526">
            <v>16.119462419209</v>
          </cell>
          <cell r="U526">
            <v>16.119462419209</v>
          </cell>
          <cell r="V526">
            <v>16.119462419209</v>
          </cell>
          <cell r="W526">
            <v>16.119462419209</v>
          </cell>
          <cell r="X526">
            <v>16.119462419209</v>
          </cell>
          <cell r="Y526">
            <v>16.119462419209</v>
          </cell>
          <cell r="Z526">
            <v>16.119462419209</v>
          </cell>
          <cell r="AA526">
            <v>16.119462419209</v>
          </cell>
          <cell r="AB526">
            <v>16.119462419209</v>
          </cell>
          <cell r="AC526">
            <v>16.119462419209</v>
          </cell>
          <cell r="AD526">
            <v>16.119462419209</v>
          </cell>
          <cell r="AE526">
            <v>16.119462419209</v>
          </cell>
          <cell r="AF526">
            <v>16.119462419209</v>
          </cell>
          <cell r="AG526">
            <v>16.119462419209</v>
          </cell>
          <cell r="AH526">
            <v>16.119462419209</v>
          </cell>
          <cell r="AI526">
            <v>16.119462419209</v>
          </cell>
          <cell r="AJ526">
            <v>16.119462419209</v>
          </cell>
          <cell r="AK526">
            <v>16.119462419209</v>
          </cell>
          <cell r="AL526">
            <v>16.119462419209</v>
          </cell>
          <cell r="AM526">
            <v>16.119462419209</v>
          </cell>
          <cell r="AS526">
            <v>522</v>
          </cell>
        </row>
        <row r="529">
          <cell r="D529">
            <v>0</v>
          </cell>
          <cell r="E529" t="str">
            <v/>
          </cell>
          <cell r="F529">
            <v>0</v>
          </cell>
          <cell r="G529">
            <v>0</v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  <cell r="Z529" t="str">
            <v/>
          </cell>
          <cell r="AA529" t="str">
            <v/>
          </cell>
          <cell r="AB529" t="str">
            <v/>
          </cell>
          <cell r="AC529" t="str">
            <v/>
          </cell>
          <cell r="AD529" t="str">
            <v/>
          </cell>
          <cell r="AE529" t="str">
            <v/>
          </cell>
          <cell r="AF529" t="str">
            <v/>
          </cell>
          <cell r="AG529" t="str">
            <v/>
          </cell>
          <cell r="AH529" t="str">
            <v/>
          </cell>
          <cell r="AI529">
            <v>1</v>
          </cell>
          <cell r="AJ529">
            <v>0</v>
          </cell>
          <cell r="AK529">
            <v>0</v>
          </cell>
          <cell r="AL529">
            <v>0</v>
          </cell>
          <cell r="AM529">
            <v>1</v>
          </cell>
        </row>
        <row r="530">
          <cell r="D530">
            <v>1</v>
          </cell>
          <cell r="E530" t="str">
            <v/>
          </cell>
          <cell r="F530">
            <v>1</v>
          </cell>
          <cell r="G530">
            <v>1</v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  <cell r="Z530" t="str">
            <v/>
          </cell>
          <cell r="AA530" t="str">
            <v/>
          </cell>
          <cell r="AB530" t="str">
            <v/>
          </cell>
          <cell r="AC530" t="str">
            <v/>
          </cell>
          <cell r="AD530" t="str">
            <v/>
          </cell>
          <cell r="AE530" t="str">
            <v/>
          </cell>
          <cell r="AF530" t="str">
            <v/>
          </cell>
          <cell r="AG530" t="str">
            <v/>
          </cell>
          <cell r="AH530" t="str">
            <v/>
          </cell>
          <cell r="AI530">
            <v>1</v>
          </cell>
          <cell r="AJ530" t="str">
            <v/>
          </cell>
          <cell r="AK530" t="str">
            <v/>
          </cell>
          <cell r="AL530" t="str">
            <v/>
          </cell>
          <cell r="AM530">
            <v>1</v>
          </cell>
        </row>
        <row r="531">
          <cell r="D531">
            <v>0</v>
          </cell>
          <cell r="E531" t="str">
            <v/>
          </cell>
          <cell r="F531">
            <v>0</v>
          </cell>
          <cell r="G531">
            <v>0</v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  <cell r="Z531" t="str">
            <v/>
          </cell>
          <cell r="AA531" t="str">
            <v/>
          </cell>
          <cell r="AB531" t="str">
            <v/>
          </cell>
          <cell r="AC531" t="str">
            <v/>
          </cell>
          <cell r="AD531" t="str">
            <v/>
          </cell>
          <cell r="AE531" t="str">
            <v/>
          </cell>
          <cell r="AF531" t="str">
            <v/>
          </cell>
          <cell r="AG531" t="str">
            <v/>
          </cell>
          <cell r="AH531" t="str">
            <v/>
          </cell>
          <cell r="AI531">
            <v>0</v>
          </cell>
          <cell r="AJ531" t="str">
            <v/>
          </cell>
          <cell r="AK531" t="str">
            <v/>
          </cell>
          <cell r="AL531" t="str">
            <v/>
          </cell>
          <cell r="AM531">
            <v>0</v>
          </cell>
        </row>
        <row r="532">
          <cell r="D532">
            <v>0</v>
          </cell>
          <cell r="E532" t="str">
            <v/>
          </cell>
          <cell r="F532">
            <v>0</v>
          </cell>
          <cell r="G532">
            <v>0</v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  <cell r="Z532" t="str">
            <v/>
          </cell>
          <cell r="AA532" t="str">
            <v/>
          </cell>
          <cell r="AB532" t="str">
            <v/>
          </cell>
          <cell r="AC532" t="str">
            <v/>
          </cell>
          <cell r="AD532" t="str">
            <v/>
          </cell>
          <cell r="AE532" t="str">
            <v/>
          </cell>
          <cell r="AF532" t="str">
            <v/>
          </cell>
          <cell r="AG532" t="str">
            <v/>
          </cell>
          <cell r="AH532" t="str">
            <v/>
          </cell>
          <cell r="AI532">
            <v>0</v>
          </cell>
          <cell r="AJ532" t="str">
            <v/>
          </cell>
          <cell r="AK532" t="str">
            <v/>
          </cell>
          <cell r="AL532" t="str">
            <v/>
          </cell>
          <cell r="AM532">
            <v>0</v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>
            <v>0</v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  <cell r="Z533" t="str">
            <v/>
          </cell>
          <cell r="AA533" t="str">
            <v/>
          </cell>
          <cell r="AB533" t="str">
            <v/>
          </cell>
          <cell r="AC533" t="str">
            <v/>
          </cell>
          <cell r="AD533" t="str">
            <v/>
          </cell>
          <cell r="AE533" t="str">
            <v/>
          </cell>
          <cell r="AF533" t="str">
            <v/>
          </cell>
          <cell r="AG533" t="str">
            <v/>
          </cell>
          <cell r="AH533" t="str">
            <v/>
          </cell>
          <cell r="AI533">
            <v>1</v>
          </cell>
          <cell r="AJ533">
            <v>0</v>
          </cell>
          <cell r="AK533">
            <v>0</v>
          </cell>
          <cell r="AL533">
            <v>0</v>
          </cell>
          <cell r="AM533">
            <v>1</v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>
            <v>0.3981136099516433</v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  <cell r="Z534" t="str">
            <v/>
          </cell>
          <cell r="AA534" t="str">
            <v/>
          </cell>
          <cell r="AB534" t="str">
            <v/>
          </cell>
          <cell r="AC534" t="str">
            <v/>
          </cell>
          <cell r="AD534" t="str">
            <v/>
          </cell>
          <cell r="AE534" t="str">
            <v/>
          </cell>
          <cell r="AF534" t="str">
            <v/>
          </cell>
          <cell r="AG534" t="str">
            <v/>
          </cell>
          <cell r="AH534" t="str">
            <v/>
          </cell>
          <cell r="AI534">
            <v>0.3981136099516433</v>
          </cell>
          <cell r="AJ534" t="str">
            <v/>
          </cell>
          <cell r="AK534" t="str">
            <v/>
          </cell>
          <cell r="AL534" t="str">
            <v/>
          </cell>
          <cell r="AM534">
            <v>0.3981136099516433</v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>
            <v>0.60188639004835676</v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  <cell r="Z535" t="str">
            <v/>
          </cell>
          <cell r="AA535" t="str">
            <v/>
          </cell>
          <cell r="AB535" t="str">
            <v/>
          </cell>
          <cell r="AC535" t="str">
            <v/>
          </cell>
          <cell r="AD535" t="str">
            <v/>
          </cell>
          <cell r="AE535" t="str">
            <v/>
          </cell>
          <cell r="AF535" t="str">
            <v/>
          </cell>
          <cell r="AG535" t="str">
            <v/>
          </cell>
          <cell r="AH535" t="str">
            <v/>
          </cell>
          <cell r="AI535">
            <v>0.60188639004835676</v>
          </cell>
          <cell r="AJ535" t="str">
            <v/>
          </cell>
          <cell r="AK535" t="str">
            <v/>
          </cell>
          <cell r="AL535" t="str">
            <v/>
          </cell>
          <cell r="AM535">
            <v>0.60188639004835676</v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>
            <v>0</v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  <cell r="Z536" t="str">
            <v/>
          </cell>
          <cell r="AA536" t="str">
            <v/>
          </cell>
          <cell r="AB536" t="str">
            <v/>
          </cell>
          <cell r="AC536" t="str">
            <v/>
          </cell>
          <cell r="AD536" t="str">
            <v/>
          </cell>
          <cell r="AE536" t="str">
            <v/>
          </cell>
          <cell r="AF536" t="str">
            <v/>
          </cell>
          <cell r="AG536" t="str">
            <v/>
          </cell>
          <cell r="AH536" t="str">
            <v/>
          </cell>
          <cell r="AI536">
            <v>0</v>
          </cell>
          <cell r="AJ536" t="str">
            <v/>
          </cell>
          <cell r="AK536" t="str">
            <v/>
          </cell>
          <cell r="AL536" t="str">
            <v/>
          </cell>
          <cell r="AM536">
            <v>0</v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  <cell r="Z537" t="str">
            <v/>
          </cell>
          <cell r="AA537" t="str">
            <v/>
          </cell>
          <cell r="AB537" t="str">
            <v/>
          </cell>
          <cell r="AC537" t="str">
            <v/>
          </cell>
          <cell r="AD537" t="str">
            <v/>
          </cell>
          <cell r="AE537" t="str">
            <v/>
          </cell>
          <cell r="AF537" t="str">
            <v/>
          </cell>
          <cell r="AG537" t="str">
            <v/>
          </cell>
          <cell r="AH537" t="str">
            <v/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  <cell r="Z538" t="str">
            <v/>
          </cell>
          <cell r="AA538" t="str">
            <v/>
          </cell>
          <cell r="AB538" t="str">
            <v/>
          </cell>
          <cell r="AC538" t="str">
            <v/>
          </cell>
          <cell r="AD538" t="str">
            <v/>
          </cell>
          <cell r="AE538" t="str">
            <v/>
          </cell>
          <cell r="AF538" t="str">
            <v/>
          </cell>
          <cell r="AG538" t="str">
            <v/>
          </cell>
          <cell r="AH538" t="str">
            <v/>
          </cell>
          <cell r="AI538" t="str">
            <v/>
          </cell>
          <cell r="AJ538" t="str">
            <v/>
          </cell>
          <cell r="AK538" t="str">
            <v/>
          </cell>
          <cell r="AL538" t="str">
            <v/>
          </cell>
          <cell r="AM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  <cell r="Z539" t="str">
            <v/>
          </cell>
          <cell r="AA539" t="str">
            <v/>
          </cell>
          <cell r="AB539" t="str">
            <v/>
          </cell>
          <cell r="AC539" t="str">
            <v/>
          </cell>
          <cell r="AD539" t="str">
            <v/>
          </cell>
          <cell r="AE539" t="str">
            <v/>
          </cell>
          <cell r="AF539" t="str">
            <v/>
          </cell>
          <cell r="AG539" t="str">
            <v/>
          </cell>
          <cell r="AH539" t="str">
            <v/>
          </cell>
          <cell r="AI539" t="str">
            <v/>
          </cell>
          <cell r="AJ539" t="str">
            <v/>
          </cell>
          <cell r="AK539" t="str">
            <v/>
          </cell>
          <cell r="AL539" t="str">
            <v/>
          </cell>
          <cell r="AM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  <cell r="Z540" t="str">
            <v/>
          </cell>
          <cell r="AA540" t="str">
            <v/>
          </cell>
          <cell r="AB540" t="str">
            <v/>
          </cell>
          <cell r="AC540" t="str">
            <v/>
          </cell>
          <cell r="AD540" t="str">
            <v/>
          </cell>
          <cell r="AE540" t="str">
            <v/>
          </cell>
          <cell r="AF540" t="str">
            <v/>
          </cell>
          <cell r="AG540" t="str">
            <v/>
          </cell>
          <cell r="AH540" t="str">
            <v/>
          </cell>
          <cell r="AI540" t="str">
            <v/>
          </cell>
          <cell r="AJ540" t="str">
            <v/>
          </cell>
          <cell r="AK540" t="str">
            <v/>
          </cell>
          <cell r="AL540" t="str">
            <v/>
          </cell>
          <cell r="AM540" t="str">
            <v/>
          </cell>
        </row>
        <row r="542">
          <cell r="D542">
            <v>11.21195</v>
          </cell>
          <cell r="E542">
            <v>0</v>
          </cell>
          <cell r="F542">
            <v>11.044790000000001</v>
          </cell>
          <cell r="G542">
            <v>10.568529999999999</v>
          </cell>
          <cell r="H542">
            <v>0</v>
          </cell>
          <cell r="I542">
            <v>13.78506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32.825270000000003</v>
          </cell>
          <cell r="AJ542">
            <v>0</v>
          </cell>
          <cell r="AK542">
            <v>0</v>
          </cell>
          <cell r="AL542">
            <v>0</v>
          </cell>
          <cell r="AM542">
            <v>32.825270000000003</v>
          </cell>
        </row>
        <row r="543">
          <cell r="D543">
            <v>11.21195</v>
          </cell>
          <cell r="E543">
            <v>0</v>
          </cell>
          <cell r="F543">
            <v>11.044790000000001</v>
          </cell>
          <cell r="G543">
            <v>10.568529999999999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32.825270000000003</v>
          </cell>
          <cell r="AJ543">
            <v>0</v>
          </cell>
          <cell r="AK543">
            <v>0</v>
          </cell>
          <cell r="AL543">
            <v>0</v>
          </cell>
          <cell r="AM543">
            <v>32.825270000000003</v>
          </cell>
        </row>
        <row r="544">
          <cell r="D544">
            <v>6710.1692301517578</v>
          </cell>
          <cell r="E544">
            <v>0</v>
          </cell>
          <cell r="F544">
            <v>6672.8338076142691</v>
          </cell>
          <cell r="G544">
            <v>6608.5236925097452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6664.8807735625633</v>
          </cell>
          <cell r="AJ544">
            <v>0</v>
          </cell>
          <cell r="AK544">
            <v>0</v>
          </cell>
          <cell r="AL544">
            <v>0</v>
          </cell>
          <cell r="AM544">
            <v>6664.8807735625633</v>
          </cell>
        </row>
        <row r="545">
          <cell r="D545">
            <v>0.59085912798398132</v>
          </cell>
          <cell r="E545">
            <v>0</v>
          </cell>
          <cell r="F545">
            <v>0.66863685955097396</v>
          </cell>
          <cell r="G545">
            <v>0.66552507302340069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0.64106885944883318</v>
          </cell>
          <cell r="AJ545">
            <v>0</v>
          </cell>
          <cell r="AK545">
            <v>0</v>
          </cell>
          <cell r="AL545">
            <v>0</v>
          </cell>
          <cell r="AM545">
            <v>0.64106885944883318</v>
          </cell>
        </row>
        <row r="546">
          <cell r="D546">
            <v>4.4952072119479656</v>
          </cell>
          <cell r="E546">
            <v>0</v>
          </cell>
          <cell r="F546">
            <v>4.1209123487182646</v>
          </cell>
          <cell r="G546">
            <v>4.2242362182820141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4.2820247084030081</v>
          </cell>
          <cell r="AJ546">
            <v>0</v>
          </cell>
          <cell r="AK546">
            <v>0</v>
          </cell>
          <cell r="AL546">
            <v>0</v>
          </cell>
          <cell r="AM546">
            <v>4.2820247084030081</v>
          </cell>
        </row>
        <row r="547">
          <cell r="D547">
            <v>8.4015593630010823</v>
          </cell>
          <cell r="E547">
            <v>0</v>
          </cell>
          <cell r="F547">
            <v>8.5397637166483022</v>
          </cell>
          <cell r="G547">
            <v>9.0074633842171075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8.6431400990761063</v>
          </cell>
          <cell r="AJ547">
            <v>0</v>
          </cell>
          <cell r="AK547">
            <v>0</v>
          </cell>
          <cell r="AL547">
            <v>0</v>
          </cell>
          <cell r="AM547">
            <v>8.6431400990761063</v>
          </cell>
        </row>
        <row r="548">
          <cell r="D548">
            <v>12.783724876783253</v>
          </cell>
          <cell r="E548">
            <v>0</v>
          </cell>
          <cell r="F548">
            <v>11.613473356112701</v>
          </cell>
          <cell r="G548">
            <v>13.761992679190012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12.704934064850342</v>
          </cell>
          <cell r="AJ548">
            <v>0</v>
          </cell>
          <cell r="AK548">
            <v>0</v>
          </cell>
          <cell r="AL548">
            <v>0</v>
          </cell>
          <cell r="AM548">
            <v>12.704934064850342</v>
          </cell>
        </row>
        <row r="549"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13.78506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13.78506</v>
          </cell>
          <cell r="AJ549">
            <v>0</v>
          </cell>
          <cell r="AK549">
            <v>0</v>
          </cell>
          <cell r="AL549">
            <v>0</v>
          </cell>
          <cell r="AM549">
            <v>13.78506</v>
          </cell>
        </row>
        <row r="550"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6625.5293634431055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6625.5293634431064</v>
          </cell>
          <cell r="AJ550">
            <v>0</v>
          </cell>
          <cell r="AK550">
            <v>0</v>
          </cell>
          <cell r="AL550">
            <v>0</v>
          </cell>
          <cell r="AM550">
            <v>6625.5293634431064</v>
          </cell>
        </row>
        <row r="551"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1.1831993393100968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1.1831993393100968</v>
          </cell>
          <cell r="AJ551">
            <v>0</v>
          </cell>
          <cell r="AK551">
            <v>0</v>
          </cell>
          <cell r="AL551">
            <v>0</v>
          </cell>
          <cell r="AM551">
            <v>1.1831993393100968</v>
          </cell>
        </row>
        <row r="552"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4.8529108434842589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4.8529108434842589</v>
          </cell>
          <cell r="AJ552">
            <v>0</v>
          </cell>
          <cell r="AK552">
            <v>0</v>
          </cell>
          <cell r="AL552">
            <v>0</v>
          </cell>
          <cell r="AM552">
            <v>4.8529108434842589</v>
          </cell>
        </row>
        <row r="553"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9.0204705794672009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9.0204705794672009</v>
          </cell>
          <cell r="AJ553">
            <v>0</v>
          </cell>
          <cell r="AK553">
            <v>0</v>
          </cell>
          <cell r="AL553">
            <v>0</v>
          </cell>
          <cell r="AM553">
            <v>9.0204705794672009</v>
          </cell>
        </row>
        <row r="554"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12.85853534949651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12.85853534949651</v>
          </cell>
          <cell r="AJ554">
            <v>0</v>
          </cell>
          <cell r="AK554">
            <v>0</v>
          </cell>
          <cell r="AL554">
            <v>0</v>
          </cell>
          <cell r="AM554">
            <v>12.85853534949651</v>
          </cell>
        </row>
        <row r="555"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</row>
        <row r="556"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</row>
        <row r="557"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</row>
        <row r="558"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</row>
        <row r="559"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</row>
        <row r="560"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</row>
      </sheetData>
      <sheetData sheetId="15"/>
      <sheetData sheetId="16">
        <row r="19">
          <cell r="H19">
            <v>0</v>
          </cell>
          <cell r="J19">
            <v>0</v>
          </cell>
        </row>
        <row r="21">
          <cell r="H21">
            <v>0</v>
          </cell>
          <cell r="J21">
            <v>0</v>
          </cell>
        </row>
        <row r="25">
          <cell r="H25">
            <v>0.67015290426349317</v>
          </cell>
          <cell r="J25">
            <v>342654.36692000006</v>
          </cell>
        </row>
        <row r="27">
          <cell r="H27">
            <v>0.32984709573650683</v>
          </cell>
          <cell r="J27">
            <v>168653.37306000001</v>
          </cell>
        </row>
        <row r="31">
          <cell r="H31">
            <v>0</v>
          </cell>
          <cell r="J31">
            <v>0</v>
          </cell>
        </row>
        <row r="33">
          <cell r="H33">
            <v>0</v>
          </cell>
          <cell r="J33">
            <v>0</v>
          </cell>
        </row>
        <row r="49">
          <cell r="C49" t="str">
            <v>HCV LS</v>
          </cell>
          <cell r="D49">
            <v>182881.41048553528</v>
          </cell>
        </row>
        <row r="51">
          <cell r="C51" t="str">
            <v>MCV LS</v>
          </cell>
          <cell r="D51">
            <v>64174.591239274378</v>
          </cell>
        </row>
      </sheetData>
      <sheetData sheetId="17">
        <row r="19">
          <cell r="AK19">
            <v>1</v>
          </cell>
          <cell r="AM19">
            <v>27928.300000000003</v>
          </cell>
        </row>
        <row r="20">
          <cell r="AM20">
            <v>25556.699999999997</v>
          </cell>
        </row>
        <row r="21">
          <cell r="AK21">
            <v>3</v>
          </cell>
          <cell r="AM21">
            <v>25148</v>
          </cell>
        </row>
        <row r="22">
          <cell r="AM22">
            <v>25643.100000000002</v>
          </cell>
        </row>
        <row r="23">
          <cell r="AK23">
            <v>5</v>
          </cell>
          <cell r="AM23">
            <v>20851.96</v>
          </cell>
        </row>
        <row r="24">
          <cell r="AM24">
            <v>26806.32</v>
          </cell>
        </row>
        <row r="25">
          <cell r="AK25">
            <v>7</v>
          </cell>
          <cell r="AM25">
            <v>22160.839999999997</v>
          </cell>
        </row>
        <row r="26">
          <cell r="AM26" t="str">
            <v/>
          </cell>
        </row>
        <row r="27">
          <cell r="AK27">
            <v>9</v>
          </cell>
          <cell r="AM27" t="str">
            <v/>
          </cell>
        </row>
        <row r="28">
          <cell r="AM28" t="str">
            <v/>
          </cell>
        </row>
        <row r="29">
          <cell r="AK29">
            <v>11</v>
          </cell>
          <cell r="AM29" t="str">
            <v/>
          </cell>
        </row>
        <row r="30">
          <cell r="AM30" t="str">
            <v/>
          </cell>
        </row>
        <row r="31">
          <cell r="AK31">
            <v>13</v>
          </cell>
          <cell r="AM31" t="str">
            <v/>
          </cell>
        </row>
        <row r="32">
          <cell r="AM32" t="str">
            <v/>
          </cell>
        </row>
        <row r="33">
          <cell r="AK33">
            <v>15</v>
          </cell>
          <cell r="AM33" t="str">
            <v/>
          </cell>
        </row>
        <row r="34">
          <cell r="AM34" t="str">
            <v/>
          </cell>
        </row>
        <row r="35">
          <cell r="AK35">
            <v>17</v>
          </cell>
          <cell r="AM35" t="str">
            <v/>
          </cell>
        </row>
        <row r="36">
          <cell r="AM36" t="str">
            <v/>
          </cell>
        </row>
        <row r="37">
          <cell r="AK37">
            <v>19</v>
          </cell>
          <cell r="AM37" t="str">
            <v/>
          </cell>
        </row>
        <row r="38">
          <cell r="AM38" t="str">
            <v/>
          </cell>
        </row>
        <row r="39">
          <cell r="AK39">
            <v>21</v>
          </cell>
          <cell r="AM39" t="str">
            <v/>
          </cell>
        </row>
        <row r="40">
          <cell r="AM40" t="str">
            <v/>
          </cell>
        </row>
        <row r="41">
          <cell r="AK41">
            <v>23</v>
          </cell>
          <cell r="AM41" t="str">
            <v/>
          </cell>
        </row>
        <row r="42">
          <cell r="AM42" t="str">
            <v/>
          </cell>
        </row>
        <row r="43">
          <cell r="AK43">
            <v>25</v>
          </cell>
          <cell r="AM43" t="str">
            <v/>
          </cell>
        </row>
        <row r="44">
          <cell r="AM44" t="str">
            <v/>
          </cell>
        </row>
        <row r="45">
          <cell r="AK45">
            <v>27</v>
          </cell>
          <cell r="AM45" t="str">
            <v/>
          </cell>
        </row>
        <row r="46">
          <cell r="AM46" t="str">
            <v/>
          </cell>
        </row>
        <row r="47">
          <cell r="AK47">
            <v>29</v>
          </cell>
          <cell r="AM47" t="str">
            <v/>
          </cell>
        </row>
        <row r="48">
          <cell r="AM48" t="str">
            <v/>
          </cell>
        </row>
        <row r="49">
          <cell r="AK49">
            <v>31</v>
          </cell>
          <cell r="AM49" t="str">
            <v/>
          </cell>
        </row>
        <row r="52">
          <cell r="AH52" t="str">
            <v>Coal Winning</v>
          </cell>
        </row>
      </sheetData>
      <sheetData sheetId="18"/>
      <sheetData sheetId="19"/>
      <sheetData sheetId="20">
        <row r="8">
          <cell r="D8" t="str">
            <v>ROM STOCK BIANGAN</v>
          </cell>
        </row>
        <row r="10">
          <cell r="D10" t="str">
            <v>ROM 1.U1</v>
          </cell>
          <cell r="F10">
            <v>0</v>
          </cell>
        </row>
        <row r="11">
          <cell r="D11" t="str">
            <v>ROM 1.B1</v>
          </cell>
          <cell r="F11">
            <v>65338.776409999991</v>
          </cell>
          <cell r="AA11">
            <v>60271.684607499992</v>
          </cell>
        </row>
        <row r="12">
          <cell r="D12" t="str">
            <v>ROM 1.B2</v>
          </cell>
          <cell r="F12">
            <v>202567.31015000003</v>
          </cell>
          <cell r="AA12">
            <v>185360.85278190003</v>
          </cell>
        </row>
        <row r="13">
          <cell r="D13" t="str">
            <v>ROM 1.B3</v>
          </cell>
          <cell r="F13">
            <v>74748.28035999999</v>
          </cell>
          <cell r="AA13">
            <v>69962.517778399982</v>
          </cell>
        </row>
        <row r="14">
          <cell r="D14" t="str">
            <v>ROM 1.B4</v>
          </cell>
          <cell r="F14">
            <v>0</v>
          </cell>
        </row>
        <row r="15">
          <cell r="F15">
            <v>0</v>
          </cell>
        </row>
        <row r="17">
          <cell r="D17" t="str">
            <v>ROM 4.U1</v>
          </cell>
          <cell r="F17">
            <v>0</v>
          </cell>
        </row>
        <row r="18">
          <cell r="D18" t="str">
            <v>ROM 4.B1</v>
          </cell>
          <cell r="F18">
            <v>97100.432849999997</v>
          </cell>
          <cell r="AA18">
            <v>86425.306201450003</v>
          </cell>
        </row>
        <row r="19">
          <cell r="D19" t="str">
            <v>ROM 4.B2</v>
          </cell>
          <cell r="F19">
            <v>71552.940210000001</v>
          </cell>
          <cell r="AA19">
            <v>66428.422447999998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35">
          <cell r="D35" t="str">
            <v>BEK.HCV.LS</v>
          </cell>
          <cell r="F35">
            <v>182881.41048553528</v>
          </cell>
        </row>
        <row r="36">
          <cell r="D36" t="str">
            <v>BEK.HCV.HS</v>
          </cell>
          <cell r="F36">
            <v>139914.98345648521</v>
          </cell>
        </row>
        <row r="37">
          <cell r="D37" t="str">
            <v>BEK.MCV.LS</v>
          </cell>
          <cell r="F37">
            <v>64174.591239274378</v>
          </cell>
        </row>
        <row r="66">
          <cell r="H66" t="str">
            <v>TOTAL ROM STOCK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D665"/>
  <sheetViews>
    <sheetView showGridLines="0" zoomScale="70" zoomScaleNormal="70" workbookViewId="0">
      <pane xSplit="2" ySplit="4" topLeftCell="C28" activePane="bottomRight" state="frozen"/>
      <selection activeCell="O19" sqref="O19"/>
      <selection pane="topRight" activeCell="O19" sqref="O19"/>
      <selection pane="bottomLeft" activeCell="O19" sqref="O19"/>
      <selection pane="bottomRight" activeCell="BH40" sqref="BH40"/>
    </sheetView>
  </sheetViews>
  <sheetFormatPr defaultColWidth="8.90625" defaultRowHeight="13"/>
  <cols>
    <col min="1" max="1" width="7.90625" style="1" customWidth="1"/>
    <col min="2" max="2" width="7.36328125" style="65" bestFit="1" customWidth="1"/>
    <col min="3" max="10" width="8.6328125" style="65" customWidth="1"/>
    <col min="11" max="11" width="18.6328125" style="33" bestFit="1" customWidth="1"/>
    <col min="12" max="12" width="5.90625" style="33" customWidth="1"/>
    <col min="13" max="13" width="9" style="33" bestFit="1" customWidth="1"/>
    <col min="14" max="14" width="12" style="9" customWidth="1"/>
    <col min="15" max="15" width="12.453125" style="10" bestFit="1" customWidth="1"/>
    <col min="16" max="16" width="8.90625" style="10" customWidth="1"/>
    <col min="17" max="17" width="12.453125" style="10" bestFit="1" customWidth="1"/>
    <col min="18" max="18" width="9.453125" style="10" hidden="1" customWidth="1"/>
    <col min="19" max="21" width="8.90625" style="9" hidden="1" customWidth="1"/>
    <col min="22" max="22" width="13.1796875" style="9" hidden="1" customWidth="1"/>
    <col min="23" max="31" width="8.90625" style="9" hidden="1" customWidth="1"/>
    <col min="32" max="42" width="8.90625" style="10" hidden="1" customWidth="1"/>
    <col min="43" max="46" width="8.90625" style="9" hidden="1" customWidth="1"/>
    <col min="47" max="55" width="8.90625" style="10" hidden="1" customWidth="1"/>
    <col min="56" max="56" width="8.90625" style="10" customWidth="1"/>
    <col min="57" max="16384" width="8.90625" style="10"/>
  </cols>
  <sheetData>
    <row r="2" spans="1:19" ht="15" customHeight="1">
      <c r="B2" s="2">
        <f>'[1]base ob inpit'!G2</f>
        <v>46266</v>
      </c>
      <c r="C2" s="3" t="s">
        <v>0</v>
      </c>
      <c r="D2" s="4"/>
      <c r="E2" s="5" t="s">
        <v>1</v>
      </c>
      <c r="F2" s="6"/>
      <c r="G2" s="6"/>
      <c r="H2" s="6"/>
      <c r="I2" s="6"/>
      <c r="J2" s="7"/>
      <c r="K2" s="8" t="s">
        <v>2</v>
      </c>
      <c r="L2" s="9"/>
      <c r="M2" s="9"/>
    </row>
    <row r="3" spans="1:19" ht="15" customHeight="1">
      <c r="B3" s="2"/>
      <c r="C3" s="11" t="s">
        <v>3</v>
      </c>
      <c r="D3" s="12" t="s">
        <v>4</v>
      </c>
      <c r="E3" s="5" t="s">
        <v>3</v>
      </c>
      <c r="F3" s="6"/>
      <c r="G3" s="6"/>
      <c r="H3" s="13" t="s">
        <v>4</v>
      </c>
      <c r="I3" s="6"/>
      <c r="J3" s="7"/>
      <c r="K3" s="8"/>
      <c r="L3" s="9"/>
      <c r="M3" s="9"/>
    </row>
    <row r="4" spans="1:19">
      <c r="B4" s="2"/>
      <c r="C4" s="14"/>
      <c r="D4" s="15"/>
      <c r="E4" s="12" t="s">
        <v>5</v>
      </c>
      <c r="F4" s="12" t="s">
        <v>6</v>
      </c>
      <c r="G4" s="12" t="s">
        <v>7</v>
      </c>
      <c r="H4" s="12" t="s">
        <v>5</v>
      </c>
      <c r="I4" s="12" t="s">
        <v>6</v>
      </c>
      <c r="J4" s="12" t="s">
        <v>7</v>
      </c>
      <c r="K4" s="8"/>
      <c r="L4" s="16"/>
      <c r="M4" s="16"/>
      <c r="N4" s="16"/>
      <c r="O4" s="17"/>
      <c r="Q4" s="17"/>
    </row>
    <row r="5" spans="1:19">
      <c r="A5" s="1">
        <f>+B2</f>
        <v>46266</v>
      </c>
      <c r="B5" s="18">
        <v>1</v>
      </c>
      <c r="C5" s="19" t="s">
        <v>8</v>
      </c>
      <c r="D5" s="20">
        <v>0</v>
      </c>
      <c r="E5" s="21">
        <v>0</v>
      </c>
      <c r="F5" s="21">
        <v>0</v>
      </c>
      <c r="G5" s="22">
        <f t="shared" ref="G5:G35" si="0">E5+F5</f>
        <v>0</v>
      </c>
      <c r="H5" s="21">
        <v>0</v>
      </c>
      <c r="I5" s="21">
        <v>0</v>
      </c>
      <c r="J5" s="23">
        <f t="shared" ref="J5:J34" si="1">H5+I5</f>
        <v>0</v>
      </c>
      <c r="K5" s="24" t="str">
        <f>IF(D5="",0,FIXED(D5,0)&amp;" mm "&amp;" / "&amp;FIXED(J5,2)&amp;" hr")</f>
        <v>0 mm  / 0.00 hr</v>
      </c>
      <c r="L5" s="25">
        <f>J5/24</f>
        <v>0</v>
      </c>
      <c r="M5" s="26">
        <f>SUM(D5:D7)</f>
        <v>0</v>
      </c>
      <c r="N5" s="27"/>
      <c r="O5" s="28"/>
      <c r="P5" s="29"/>
      <c r="Q5" s="28"/>
    </row>
    <row r="6" spans="1:19">
      <c r="A6" s="1">
        <f>+A5+1</f>
        <v>46267</v>
      </c>
      <c r="B6" s="30">
        <v>2</v>
      </c>
      <c r="C6" s="19" t="s">
        <v>8</v>
      </c>
      <c r="D6" s="20">
        <v>0</v>
      </c>
      <c r="E6" s="21">
        <v>0</v>
      </c>
      <c r="F6" s="21">
        <v>0</v>
      </c>
      <c r="G6" s="20">
        <f t="shared" si="0"/>
        <v>0</v>
      </c>
      <c r="H6" s="21">
        <v>0</v>
      </c>
      <c r="I6" s="21">
        <v>0</v>
      </c>
      <c r="J6" s="21">
        <f t="shared" si="1"/>
        <v>0</v>
      </c>
      <c r="K6" s="31" t="str">
        <f t="shared" ref="K6:K40" si="2">IF(D6="",0,FIXED(D6,0)&amp;" mm "&amp;" / "&amp;FIXED(J6,2)&amp;" hr")</f>
        <v>0 mm  / 0.00 hr</v>
      </c>
      <c r="L6" s="25">
        <f t="shared" ref="L6:L34" si="3">J6/24</f>
        <v>0</v>
      </c>
      <c r="M6" s="26">
        <f t="shared" ref="M6:M32" si="4">SUM(D6:D8)</f>
        <v>3</v>
      </c>
      <c r="N6" s="27"/>
      <c r="O6" s="28"/>
      <c r="P6" s="29"/>
      <c r="Q6" s="28"/>
    </row>
    <row r="7" spans="1:19">
      <c r="A7" s="1">
        <f t="shared" ref="A7:A35" si="5">+A6+1</f>
        <v>46268</v>
      </c>
      <c r="B7" s="32">
        <v>3</v>
      </c>
      <c r="C7" s="19" t="s">
        <v>8</v>
      </c>
      <c r="D7" s="20">
        <v>0</v>
      </c>
      <c r="E7" s="21">
        <v>0</v>
      </c>
      <c r="F7" s="21">
        <v>0</v>
      </c>
      <c r="G7" s="20">
        <f t="shared" si="0"/>
        <v>0</v>
      </c>
      <c r="H7" s="21">
        <v>0</v>
      </c>
      <c r="I7" s="21">
        <v>0</v>
      </c>
      <c r="J7" s="21">
        <f t="shared" si="1"/>
        <v>0</v>
      </c>
      <c r="K7" s="31" t="str">
        <f t="shared" si="2"/>
        <v>0 mm  / 0.00 hr</v>
      </c>
      <c r="L7" s="25">
        <f t="shared" si="3"/>
        <v>0</v>
      </c>
      <c r="M7" s="26">
        <f t="shared" si="4"/>
        <v>29</v>
      </c>
      <c r="N7" s="27"/>
      <c r="P7" s="29"/>
      <c r="Q7" s="28"/>
    </row>
    <row r="8" spans="1:19">
      <c r="A8" s="1">
        <f t="shared" si="5"/>
        <v>46269</v>
      </c>
      <c r="B8" s="32">
        <v>4</v>
      </c>
      <c r="C8" s="19" t="s">
        <v>8</v>
      </c>
      <c r="D8" s="20">
        <v>3</v>
      </c>
      <c r="E8" s="21">
        <v>0</v>
      </c>
      <c r="F8" s="21">
        <v>0</v>
      </c>
      <c r="G8" s="20">
        <f t="shared" si="0"/>
        <v>0</v>
      </c>
      <c r="H8" s="21">
        <v>0.66666666726814583</v>
      </c>
      <c r="I8" s="21">
        <v>0</v>
      </c>
      <c r="J8" s="21">
        <f t="shared" si="1"/>
        <v>0.66666666726814583</v>
      </c>
      <c r="K8" s="31" t="str">
        <f t="shared" si="2"/>
        <v>3 mm  / 0.67 hr</v>
      </c>
      <c r="L8" s="25">
        <f t="shared" si="3"/>
        <v>2.777777780283941E-2</v>
      </c>
      <c r="M8" s="26">
        <f t="shared" si="4"/>
        <v>30</v>
      </c>
      <c r="N8" s="27"/>
      <c r="P8" s="29"/>
      <c r="Q8" s="28"/>
    </row>
    <row r="9" spans="1:19">
      <c r="A9" s="1">
        <f t="shared" si="5"/>
        <v>46270</v>
      </c>
      <c r="B9" s="32">
        <v>5</v>
      </c>
      <c r="C9" s="19">
        <v>14.713694472250452</v>
      </c>
      <c r="D9" s="20">
        <v>26</v>
      </c>
      <c r="E9" s="21">
        <v>4.3180363009458391</v>
      </c>
      <c r="F9" s="21">
        <v>1.8505869861196453</v>
      </c>
      <c r="G9" s="20">
        <f t="shared" si="0"/>
        <v>6.1686232870654845</v>
      </c>
      <c r="H9" s="21">
        <v>1.5</v>
      </c>
      <c r="I9" s="21">
        <v>2.5833333335467614</v>
      </c>
      <c r="J9" s="21">
        <f t="shared" si="1"/>
        <v>4.0833333335467614</v>
      </c>
      <c r="K9" s="31" t="str">
        <f t="shared" si="2"/>
        <v>26 mm  / 4.08 hr</v>
      </c>
      <c r="L9" s="25">
        <f t="shared" si="3"/>
        <v>0.17013888889778173</v>
      </c>
      <c r="M9" s="26">
        <f>SUM(D9:D11)</f>
        <v>37.6</v>
      </c>
      <c r="N9" s="27"/>
      <c r="P9" s="29"/>
      <c r="Q9" s="28"/>
      <c r="R9" s="33"/>
      <c r="S9" s="33"/>
    </row>
    <row r="10" spans="1:19">
      <c r="A10" s="1">
        <f t="shared" si="5"/>
        <v>46271</v>
      </c>
      <c r="B10" s="32">
        <v>6</v>
      </c>
      <c r="C10" s="19">
        <v>53.950213064918337</v>
      </c>
      <c r="D10" s="20">
        <v>1</v>
      </c>
      <c r="E10" s="21">
        <v>15.832799770134745</v>
      </c>
      <c r="F10" s="21">
        <v>6.7854856157720356</v>
      </c>
      <c r="G10" s="20">
        <f t="shared" si="0"/>
        <v>22.618285385906781</v>
      </c>
      <c r="H10" s="21">
        <v>1.3666666679782793</v>
      </c>
      <c r="I10" s="21">
        <v>0</v>
      </c>
      <c r="J10" s="21">
        <f t="shared" si="1"/>
        <v>1.3666666679782793</v>
      </c>
      <c r="K10" s="31" t="str">
        <f t="shared" si="2"/>
        <v>1 mm  / 1.37 hr</v>
      </c>
      <c r="L10" s="25">
        <f t="shared" si="3"/>
        <v>5.6944444499094971E-2</v>
      </c>
      <c r="M10" s="26">
        <f t="shared" si="4"/>
        <v>11.6</v>
      </c>
      <c r="N10" s="27"/>
      <c r="P10" s="29"/>
      <c r="Q10" s="28"/>
      <c r="R10" s="33"/>
      <c r="S10" s="33"/>
    </row>
    <row r="11" spans="1:19">
      <c r="A11" s="1">
        <f t="shared" si="5"/>
        <v>46272</v>
      </c>
      <c r="B11" s="32">
        <v>7</v>
      </c>
      <c r="C11" s="19">
        <v>3.0653530150521782</v>
      </c>
      <c r="D11" s="20">
        <v>10.6</v>
      </c>
      <c r="E11" s="21">
        <v>0.89959089603038334</v>
      </c>
      <c r="F11" s="21">
        <v>0.38553895544159289</v>
      </c>
      <c r="G11" s="20">
        <f t="shared" si="0"/>
        <v>1.2851298514719762</v>
      </c>
      <c r="H11" s="21">
        <v>2.8000000007450581</v>
      </c>
      <c r="I11" s="21">
        <v>1.0833333337213844</v>
      </c>
      <c r="J11" s="21">
        <f t="shared" si="1"/>
        <v>3.8833333344664425</v>
      </c>
      <c r="K11" s="31" t="str">
        <f t="shared" si="2"/>
        <v>11 mm  / 3.88 hr</v>
      </c>
      <c r="L11" s="25">
        <f t="shared" si="3"/>
        <v>0.16180555560276844</v>
      </c>
      <c r="M11" s="26">
        <f t="shared" si="4"/>
        <v>10.6</v>
      </c>
      <c r="N11" s="27"/>
      <c r="P11" s="29"/>
      <c r="Q11" s="28"/>
      <c r="R11" s="33"/>
      <c r="S11" s="33"/>
    </row>
    <row r="12" spans="1:19">
      <c r="A12" s="1">
        <f t="shared" si="5"/>
        <v>46273</v>
      </c>
      <c r="B12" s="32">
        <v>8</v>
      </c>
      <c r="C12" s="19">
        <v>8.5829884421460978</v>
      </c>
      <c r="D12" s="20"/>
      <c r="E12" s="21">
        <v>2.5188545088850729</v>
      </c>
      <c r="F12" s="21">
        <v>1.07950907523646</v>
      </c>
      <c r="G12" s="20">
        <f t="shared" si="0"/>
        <v>3.5983635841215329</v>
      </c>
      <c r="H12" s="21"/>
      <c r="I12" s="21"/>
      <c r="J12" s="21">
        <f t="shared" si="1"/>
        <v>0</v>
      </c>
      <c r="K12" s="31">
        <f t="shared" si="2"/>
        <v>0</v>
      </c>
      <c r="L12" s="25">
        <f t="shared" si="3"/>
        <v>0</v>
      </c>
      <c r="M12" s="26">
        <f t="shared" si="4"/>
        <v>0</v>
      </c>
      <c r="N12" s="27"/>
      <c r="P12" s="29"/>
      <c r="Q12" s="28"/>
      <c r="R12" s="33"/>
      <c r="S12" s="33"/>
    </row>
    <row r="13" spans="1:19">
      <c r="A13" s="1">
        <f t="shared" si="5"/>
        <v>46274</v>
      </c>
      <c r="B13" s="32">
        <v>9</v>
      </c>
      <c r="C13" s="19">
        <v>2.4522824120417424</v>
      </c>
      <c r="D13" s="20"/>
      <c r="E13" s="21">
        <v>0.71967271682430656</v>
      </c>
      <c r="F13" s="21">
        <v>0.30843116435327433</v>
      </c>
      <c r="G13" s="20">
        <f t="shared" si="0"/>
        <v>1.0281038811775809</v>
      </c>
      <c r="H13" s="21"/>
      <c r="I13" s="21"/>
      <c r="J13" s="21">
        <f t="shared" si="1"/>
        <v>0</v>
      </c>
      <c r="K13" s="31">
        <f t="shared" si="2"/>
        <v>0</v>
      </c>
      <c r="L13" s="25">
        <f t="shared" si="3"/>
        <v>0</v>
      </c>
      <c r="M13" s="26">
        <f t="shared" si="4"/>
        <v>0</v>
      </c>
      <c r="N13" s="27"/>
      <c r="P13" s="29"/>
      <c r="Q13" s="28"/>
      <c r="R13" s="33"/>
      <c r="S13" s="33"/>
    </row>
    <row r="14" spans="1:19">
      <c r="A14" s="1">
        <f t="shared" si="5"/>
        <v>46275</v>
      </c>
      <c r="B14" s="30">
        <v>10</v>
      </c>
      <c r="C14" s="19">
        <v>7.3568472361252262</v>
      </c>
      <c r="D14" s="20"/>
      <c r="E14" s="21">
        <v>2.1590181504729196</v>
      </c>
      <c r="F14" s="21">
        <v>0.92529349305982267</v>
      </c>
      <c r="G14" s="20">
        <f t="shared" si="0"/>
        <v>3.0843116435327422</v>
      </c>
      <c r="H14" s="21"/>
      <c r="I14" s="21"/>
      <c r="J14" s="21">
        <f t="shared" si="1"/>
        <v>0</v>
      </c>
      <c r="K14" s="31">
        <f t="shared" si="2"/>
        <v>0</v>
      </c>
      <c r="L14" s="25">
        <f t="shared" si="3"/>
        <v>0</v>
      </c>
      <c r="M14" s="26">
        <f t="shared" si="4"/>
        <v>0</v>
      </c>
      <c r="N14" s="27"/>
      <c r="O14" s="28"/>
      <c r="P14" s="29"/>
      <c r="Q14" s="28"/>
      <c r="R14" s="33"/>
      <c r="S14" s="33"/>
    </row>
    <row r="15" spans="1:19">
      <c r="A15" s="1">
        <f t="shared" si="5"/>
        <v>46276</v>
      </c>
      <c r="B15" s="30">
        <v>11</v>
      </c>
      <c r="C15" s="19">
        <v>2.4522824120417424</v>
      </c>
      <c r="D15" s="20"/>
      <c r="E15" s="21">
        <v>0.71967271682430656</v>
      </c>
      <c r="F15" s="21">
        <v>0.30843116435327433</v>
      </c>
      <c r="G15" s="20">
        <f t="shared" si="0"/>
        <v>1.0281038811775809</v>
      </c>
      <c r="H15" s="21"/>
      <c r="I15" s="21"/>
      <c r="J15" s="21">
        <f t="shared" si="1"/>
        <v>0</v>
      </c>
      <c r="K15" s="31">
        <f t="shared" si="2"/>
        <v>0</v>
      </c>
      <c r="L15" s="25">
        <f t="shared" si="3"/>
        <v>0</v>
      </c>
      <c r="M15" s="26">
        <f t="shared" si="4"/>
        <v>0</v>
      </c>
      <c r="N15" s="27"/>
      <c r="O15" s="28"/>
      <c r="P15" s="29"/>
      <c r="Q15" s="28"/>
    </row>
    <row r="16" spans="1:19">
      <c r="A16" s="1">
        <f t="shared" si="5"/>
        <v>46277</v>
      </c>
      <c r="B16" s="30">
        <v>12</v>
      </c>
      <c r="C16" s="19">
        <v>4.7819507034813968</v>
      </c>
      <c r="D16" s="20"/>
      <c r="E16" s="34">
        <v>1.4033617978073978</v>
      </c>
      <c r="F16" s="21">
        <v>0.60144077048888489</v>
      </c>
      <c r="G16" s="20">
        <f t="shared" si="0"/>
        <v>2.0048025682962827</v>
      </c>
      <c r="H16" s="21"/>
      <c r="I16" s="21"/>
      <c r="J16" s="21">
        <f t="shared" si="1"/>
        <v>0</v>
      </c>
      <c r="K16" s="31">
        <f t="shared" si="2"/>
        <v>0</v>
      </c>
      <c r="L16" s="25">
        <f t="shared" si="3"/>
        <v>0</v>
      </c>
      <c r="M16" s="26">
        <f>SUM(D16:D18)</f>
        <v>0</v>
      </c>
      <c r="N16" s="27"/>
      <c r="O16" s="28"/>
      <c r="P16" s="29"/>
      <c r="Q16" s="28"/>
    </row>
    <row r="17" spans="1:46">
      <c r="A17" s="1">
        <f t="shared" si="5"/>
        <v>46278</v>
      </c>
      <c r="B17" s="30">
        <v>13</v>
      </c>
      <c r="C17" s="19" t="s">
        <v>8</v>
      </c>
      <c r="D17" s="20"/>
      <c r="E17" s="34">
        <v>0</v>
      </c>
      <c r="F17" s="21">
        <v>0</v>
      </c>
      <c r="G17" s="20">
        <f t="shared" si="0"/>
        <v>0</v>
      </c>
      <c r="H17" s="21"/>
      <c r="I17" s="21"/>
      <c r="J17" s="21">
        <f t="shared" si="1"/>
        <v>0</v>
      </c>
      <c r="K17" s="31">
        <f t="shared" si="2"/>
        <v>0</v>
      </c>
      <c r="L17" s="25">
        <f t="shared" si="3"/>
        <v>0</v>
      </c>
      <c r="M17" s="26">
        <f t="shared" si="4"/>
        <v>0</v>
      </c>
      <c r="N17" s="27"/>
      <c r="O17" s="28"/>
      <c r="P17" s="29"/>
      <c r="Q17" s="28"/>
    </row>
    <row r="18" spans="1:46">
      <c r="A18" s="1">
        <f t="shared" si="5"/>
        <v>46279</v>
      </c>
      <c r="B18" s="30">
        <v>14</v>
      </c>
      <c r="C18" s="19" t="s">
        <v>8</v>
      </c>
      <c r="D18" s="20"/>
      <c r="E18" s="34">
        <v>0</v>
      </c>
      <c r="F18" s="21">
        <v>0</v>
      </c>
      <c r="G18" s="20">
        <f t="shared" si="0"/>
        <v>0</v>
      </c>
      <c r="H18" s="21"/>
      <c r="I18" s="21"/>
      <c r="J18" s="21">
        <f t="shared" si="1"/>
        <v>0</v>
      </c>
      <c r="K18" s="31">
        <f t="shared" si="2"/>
        <v>0</v>
      </c>
      <c r="L18" s="25">
        <f t="shared" si="3"/>
        <v>0</v>
      </c>
      <c r="M18" s="26">
        <f>SUM(D18:D20)</f>
        <v>0</v>
      </c>
      <c r="N18" s="27"/>
      <c r="O18" s="35"/>
      <c r="P18" s="29"/>
      <c r="Q18" s="28"/>
    </row>
    <row r="19" spans="1:46">
      <c r="A19" s="1">
        <f t="shared" si="5"/>
        <v>46280</v>
      </c>
      <c r="B19" s="30">
        <v>15</v>
      </c>
      <c r="C19" s="19">
        <v>0.36784236180626134</v>
      </c>
      <c r="D19" s="20"/>
      <c r="E19" s="34">
        <v>0.10795090752364597</v>
      </c>
      <c r="F19" s="34">
        <v>4.6264674652991139E-2</v>
      </c>
      <c r="G19" s="20">
        <f t="shared" si="0"/>
        <v>0.15421558217663711</v>
      </c>
      <c r="H19" s="21"/>
      <c r="I19" s="21"/>
      <c r="J19" s="21">
        <f t="shared" si="1"/>
        <v>0</v>
      </c>
      <c r="K19" s="31">
        <f t="shared" si="2"/>
        <v>0</v>
      </c>
      <c r="L19" s="25">
        <f>J19/24</f>
        <v>0</v>
      </c>
      <c r="M19" s="26">
        <f t="shared" si="4"/>
        <v>0</v>
      </c>
      <c r="N19" s="27"/>
      <c r="O19" s="28"/>
      <c r="P19" s="29"/>
      <c r="Q19" s="28"/>
    </row>
    <row r="20" spans="1:46">
      <c r="A20" s="1">
        <f t="shared" si="5"/>
        <v>46281</v>
      </c>
      <c r="B20" s="30">
        <v>16</v>
      </c>
      <c r="C20" s="19">
        <v>22.193155828977769</v>
      </c>
      <c r="D20" s="20"/>
      <c r="E20" s="34">
        <v>6.5130380872599751</v>
      </c>
      <c r="F20" s="34">
        <v>2.7913020373971325</v>
      </c>
      <c r="G20" s="20">
        <f t="shared" si="0"/>
        <v>9.3043401246571076</v>
      </c>
      <c r="H20" s="21"/>
      <c r="I20" s="21"/>
      <c r="J20" s="21">
        <f t="shared" si="1"/>
        <v>0</v>
      </c>
      <c r="K20" s="31">
        <f t="shared" si="2"/>
        <v>0</v>
      </c>
      <c r="L20" s="25">
        <f t="shared" si="3"/>
        <v>0</v>
      </c>
      <c r="M20" s="26">
        <f t="shared" si="4"/>
        <v>0</v>
      </c>
      <c r="N20" s="27"/>
      <c r="O20" s="28"/>
      <c r="P20" s="29"/>
      <c r="Q20" s="28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Q20" s="10"/>
      <c r="AR20" s="10"/>
      <c r="AS20" s="10"/>
      <c r="AT20" s="10"/>
    </row>
    <row r="21" spans="1:46">
      <c r="A21" s="1">
        <f t="shared" si="5"/>
        <v>46282</v>
      </c>
      <c r="B21" s="30">
        <v>17</v>
      </c>
      <c r="C21" s="19">
        <v>33.105812562563521</v>
      </c>
      <c r="D21" s="20"/>
      <c r="E21" s="34">
        <v>9.7155816771281369</v>
      </c>
      <c r="F21" s="34">
        <v>4.1638207187692036</v>
      </c>
      <c r="G21" s="20">
        <f t="shared" si="0"/>
        <v>13.87940239589734</v>
      </c>
      <c r="H21" s="21"/>
      <c r="I21" s="21"/>
      <c r="J21" s="21">
        <f t="shared" si="1"/>
        <v>0</v>
      </c>
      <c r="K21" s="31">
        <f t="shared" si="2"/>
        <v>0</v>
      </c>
      <c r="L21" s="25">
        <f t="shared" si="3"/>
        <v>0</v>
      </c>
      <c r="M21" s="26">
        <f t="shared" si="4"/>
        <v>0</v>
      </c>
      <c r="N21" s="27"/>
      <c r="O21" s="28"/>
      <c r="P21" s="29"/>
      <c r="Q21" s="28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Q21" s="37"/>
      <c r="AR21" s="37"/>
      <c r="AS21" s="37"/>
      <c r="AT21" s="37"/>
    </row>
    <row r="22" spans="1:46">
      <c r="A22" s="1">
        <f t="shared" si="5"/>
        <v>46283</v>
      </c>
      <c r="B22" s="30">
        <v>18</v>
      </c>
      <c r="C22" s="19">
        <v>1.8392118090313065</v>
      </c>
      <c r="D22" s="20"/>
      <c r="E22" s="34">
        <v>0.53975453761822989</v>
      </c>
      <c r="F22" s="34">
        <v>0.23132337326495567</v>
      </c>
      <c r="G22" s="20">
        <f t="shared" si="0"/>
        <v>0.77107791088318556</v>
      </c>
      <c r="H22" s="21"/>
      <c r="I22" s="21"/>
      <c r="J22" s="21">
        <f t="shared" si="1"/>
        <v>0</v>
      </c>
      <c r="K22" s="31">
        <f t="shared" si="2"/>
        <v>0</v>
      </c>
      <c r="L22" s="25">
        <f t="shared" si="3"/>
        <v>0</v>
      </c>
      <c r="M22" s="26">
        <f>SUM(D22:D24)</f>
        <v>0</v>
      </c>
      <c r="N22" s="27"/>
      <c r="O22" s="28"/>
      <c r="P22" s="29"/>
      <c r="Q22" s="35"/>
      <c r="V22" s="37"/>
      <c r="W22" s="37"/>
      <c r="AF22" s="9"/>
    </row>
    <row r="23" spans="1:46">
      <c r="A23" s="1">
        <f t="shared" si="5"/>
        <v>46284</v>
      </c>
      <c r="B23" s="32">
        <v>19</v>
      </c>
      <c r="C23" s="19" t="s">
        <v>8</v>
      </c>
      <c r="D23" s="20"/>
      <c r="E23" s="34">
        <v>0</v>
      </c>
      <c r="F23" s="34">
        <v>0</v>
      </c>
      <c r="G23" s="20">
        <f t="shared" si="0"/>
        <v>0</v>
      </c>
      <c r="H23" s="21"/>
      <c r="I23" s="21"/>
      <c r="J23" s="21">
        <f>H23+I23</f>
        <v>0</v>
      </c>
      <c r="K23" s="38">
        <f t="shared" si="2"/>
        <v>0</v>
      </c>
      <c r="L23" s="25">
        <f>J23/24</f>
        <v>0</v>
      </c>
      <c r="M23" s="26">
        <f t="shared" si="4"/>
        <v>0</v>
      </c>
      <c r="N23" s="27"/>
      <c r="O23" s="28"/>
      <c r="P23" s="29"/>
      <c r="Q23" s="28"/>
      <c r="R23" s="39"/>
      <c r="V23" s="37"/>
      <c r="W23" s="37"/>
      <c r="AF23" s="9"/>
    </row>
    <row r="24" spans="1:46">
      <c r="A24" s="1">
        <f t="shared" si="5"/>
        <v>46285</v>
      </c>
      <c r="B24" s="30">
        <v>20</v>
      </c>
      <c r="C24" s="19">
        <v>4.9045648240834847</v>
      </c>
      <c r="D24" s="20"/>
      <c r="E24" s="34">
        <v>1.4393454336486131</v>
      </c>
      <c r="F24" s="34">
        <v>0.61686232870654867</v>
      </c>
      <c r="G24" s="20">
        <f t="shared" si="0"/>
        <v>2.0562077623551618</v>
      </c>
      <c r="H24" s="21"/>
      <c r="I24" s="21"/>
      <c r="J24" s="21">
        <f t="shared" si="1"/>
        <v>0</v>
      </c>
      <c r="K24" s="31">
        <f t="shared" si="2"/>
        <v>0</v>
      </c>
      <c r="L24" s="25">
        <f t="shared" si="3"/>
        <v>0</v>
      </c>
      <c r="M24" s="26">
        <f t="shared" si="4"/>
        <v>0</v>
      </c>
      <c r="N24" s="27"/>
      <c r="O24" s="28"/>
      <c r="P24" s="29"/>
      <c r="Q24" s="28"/>
      <c r="V24" s="37"/>
      <c r="W24" s="37"/>
      <c r="AF24" s="9"/>
    </row>
    <row r="25" spans="1:46" ht="14.4" customHeight="1">
      <c r="A25" s="1">
        <f t="shared" si="5"/>
        <v>46286</v>
      </c>
      <c r="B25" s="30">
        <v>21</v>
      </c>
      <c r="C25" s="19" t="s">
        <v>8</v>
      </c>
      <c r="D25" s="40"/>
      <c r="E25" s="34">
        <v>0</v>
      </c>
      <c r="F25" s="34">
        <v>0</v>
      </c>
      <c r="G25" s="20">
        <f t="shared" si="0"/>
        <v>0</v>
      </c>
      <c r="H25" s="21"/>
      <c r="I25" s="21"/>
      <c r="J25" s="21">
        <f t="shared" si="1"/>
        <v>0</v>
      </c>
      <c r="K25" s="41">
        <f t="shared" si="2"/>
        <v>0</v>
      </c>
      <c r="L25" s="25">
        <f>J25/24</f>
        <v>0</v>
      </c>
      <c r="M25" s="26">
        <f>SUM(D25:D27)</f>
        <v>0</v>
      </c>
      <c r="N25" s="27"/>
      <c r="O25" s="28"/>
      <c r="P25" s="29"/>
      <c r="Q25" s="28"/>
      <c r="R25" s="42" t="s">
        <v>9</v>
      </c>
      <c r="S25" s="43" t="s">
        <v>0</v>
      </c>
      <c r="T25" s="43"/>
      <c r="U25" s="44" t="s">
        <v>10</v>
      </c>
      <c r="V25" s="45" t="s">
        <v>11</v>
      </c>
      <c r="W25" s="37"/>
      <c r="AF25" s="9"/>
    </row>
    <row r="26" spans="1:46">
      <c r="A26" s="1">
        <f t="shared" si="5"/>
        <v>46287</v>
      </c>
      <c r="B26" s="30">
        <v>22</v>
      </c>
      <c r="C26" s="19">
        <v>26.36203592944873</v>
      </c>
      <c r="D26" s="40"/>
      <c r="E26" s="34">
        <v>7.7364817058612951</v>
      </c>
      <c r="F26" s="34">
        <v>3.3156350167976987</v>
      </c>
      <c r="G26" s="20">
        <f t="shared" si="0"/>
        <v>11.052116722658994</v>
      </c>
      <c r="H26" s="21"/>
      <c r="I26" s="21"/>
      <c r="J26" s="21">
        <f t="shared" si="1"/>
        <v>0</v>
      </c>
      <c r="K26" s="31">
        <f t="shared" si="2"/>
        <v>0</v>
      </c>
      <c r="L26" s="25">
        <f t="shared" si="3"/>
        <v>0</v>
      </c>
      <c r="M26" s="26">
        <f>SUM(D26:D28)</f>
        <v>0</v>
      </c>
      <c r="N26" s="27"/>
      <c r="O26" s="28"/>
      <c r="P26" s="29"/>
      <c r="Q26" s="28"/>
      <c r="R26" s="42"/>
      <c r="S26" s="46" t="s">
        <v>3</v>
      </c>
      <c r="T26" s="47" t="s">
        <v>4</v>
      </c>
      <c r="U26" s="44" t="s">
        <v>4</v>
      </c>
      <c r="V26" s="45" t="s">
        <v>4</v>
      </c>
      <c r="W26" s="37"/>
      <c r="AF26" s="9"/>
    </row>
    <row r="27" spans="1:46">
      <c r="A27" s="1">
        <f t="shared" si="5"/>
        <v>46288</v>
      </c>
      <c r="B27" s="30">
        <v>23</v>
      </c>
      <c r="C27" s="19" t="s">
        <v>8</v>
      </c>
      <c r="D27" s="40"/>
      <c r="E27" s="34">
        <v>0</v>
      </c>
      <c r="F27" s="34">
        <v>0</v>
      </c>
      <c r="G27" s="20">
        <f t="shared" si="0"/>
        <v>0</v>
      </c>
      <c r="H27" s="21"/>
      <c r="I27" s="21"/>
      <c r="J27" s="21">
        <f t="shared" si="1"/>
        <v>0</v>
      </c>
      <c r="K27" s="31">
        <f>IF(D27="",0,FIXED(D27,0)&amp;" mm "&amp;" / "&amp;FIXED(J27,2)&amp;" hr")</f>
        <v>0</v>
      </c>
      <c r="L27" s="25">
        <f t="shared" si="3"/>
        <v>0</v>
      </c>
      <c r="M27" s="26">
        <f>SUM(D27:D29)</f>
        <v>0</v>
      </c>
      <c r="N27" s="27"/>
      <c r="O27" s="28"/>
      <c r="P27" s="29"/>
      <c r="Q27" s="28"/>
      <c r="R27" s="42"/>
      <c r="S27" s="48">
        <f>C40</f>
        <v>357.91061803749227</v>
      </c>
      <c r="T27" s="49">
        <f>D40</f>
        <v>40.6</v>
      </c>
      <c r="U27" s="50">
        <f>COUNTIF(D5:D35,"&gt;0")</f>
        <v>4</v>
      </c>
      <c r="V27" s="50">
        <f>COUNTIF(J5:J35,"&gt;6,45")</f>
        <v>0</v>
      </c>
      <c r="W27" s="51"/>
      <c r="AF27" s="9"/>
    </row>
    <row r="28" spans="1:46">
      <c r="A28" s="1">
        <f t="shared" si="5"/>
        <v>46289</v>
      </c>
      <c r="B28" s="30">
        <v>24</v>
      </c>
      <c r="C28" s="19">
        <v>12.261412060208713</v>
      </c>
      <c r="D28" s="40"/>
      <c r="E28" s="34">
        <v>3.5983635841215333</v>
      </c>
      <c r="F28" s="34">
        <v>1.5421558217663716</v>
      </c>
      <c r="G28" s="20">
        <f t="shared" si="0"/>
        <v>5.1405194058879049</v>
      </c>
      <c r="H28" s="21"/>
      <c r="I28" s="21"/>
      <c r="J28" s="21">
        <f t="shared" si="1"/>
        <v>0</v>
      </c>
      <c r="K28" s="31">
        <f>IF(D28="",0,FIXED(D28,0)&amp;" mm "&amp;" / "&amp;FIXED(J28,2)&amp;" hr")</f>
        <v>0</v>
      </c>
      <c r="L28" s="25">
        <f t="shared" si="3"/>
        <v>0</v>
      </c>
      <c r="M28" s="26">
        <f>SUM(D28:D30)</f>
        <v>0</v>
      </c>
      <c r="N28" s="27"/>
      <c r="O28" s="28"/>
      <c r="P28" s="29"/>
      <c r="Q28" s="28"/>
      <c r="V28" s="37"/>
      <c r="AF28" s="9"/>
    </row>
    <row r="29" spans="1:46">
      <c r="A29" s="1">
        <f t="shared" si="5"/>
        <v>46290</v>
      </c>
      <c r="B29" s="30">
        <v>25</v>
      </c>
      <c r="C29" s="19" t="s">
        <v>8</v>
      </c>
      <c r="D29" s="52"/>
      <c r="E29" s="34">
        <v>0</v>
      </c>
      <c r="F29" s="34">
        <v>0</v>
      </c>
      <c r="G29" s="22">
        <f t="shared" si="0"/>
        <v>0</v>
      </c>
      <c r="H29" s="53"/>
      <c r="I29" s="53"/>
      <c r="J29" s="23">
        <f t="shared" si="1"/>
        <v>0</v>
      </c>
      <c r="K29" s="31">
        <f t="shared" si="2"/>
        <v>0</v>
      </c>
      <c r="L29" s="25">
        <f t="shared" si="3"/>
        <v>0</v>
      </c>
      <c r="M29" s="26">
        <f t="shared" si="4"/>
        <v>0</v>
      </c>
      <c r="N29" s="27"/>
      <c r="O29" s="28"/>
      <c r="P29" s="29"/>
      <c r="Q29" s="28"/>
      <c r="V29" s="37"/>
      <c r="W29" s="37"/>
      <c r="AF29" s="9"/>
    </row>
    <row r="30" spans="1:46">
      <c r="A30" s="1">
        <f t="shared" si="5"/>
        <v>46291</v>
      </c>
      <c r="B30" s="30">
        <v>26</v>
      </c>
      <c r="C30" s="19">
        <v>76.020754773294016</v>
      </c>
      <c r="D30" s="52"/>
      <c r="E30" s="34">
        <v>16.799999999999997</v>
      </c>
      <c r="F30" s="34">
        <v>7.1999999999999993</v>
      </c>
      <c r="G30" s="22">
        <f t="shared" si="0"/>
        <v>23.999999999999996</v>
      </c>
      <c r="H30" s="53"/>
      <c r="I30" s="53"/>
      <c r="J30" s="23">
        <f t="shared" si="1"/>
        <v>0</v>
      </c>
      <c r="K30" s="31">
        <f t="shared" si="2"/>
        <v>0</v>
      </c>
      <c r="L30" s="25">
        <f t="shared" si="3"/>
        <v>0</v>
      </c>
      <c r="M30" s="26">
        <f t="shared" si="4"/>
        <v>0</v>
      </c>
      <c r="N30" s="27"/>
      <c r="O30" s="28"/>
      <c r="P30" s="29"/>
      <c r="Q30" s="28"/>
      <c r="V30" s="37"/>
      <c r="W30" s="37"/>
      <c r="AF30" s="9"/>
    </row>
    <row r="31" spans="1:46">
      <c r="A31" s="1">
        <f t="shared" si="5"/>
        <v>46292</v>
      </c>
      <c r="B31" s="30">
        <v>27</v>
      </c>
      <c r="C31" s="19" t="s">
        <v>8</v>
      </c>
      <c r="D31" s="52"/>
      <c r="E31" s="34">
        <v>5.5098542215535069</v>
      </c>
      <c r="F31" s="34">
        <v>2.361366094951503</v>
      </c>
      <c r="G31" s="22">
        <f t="shared" si="0"/>
        <v>7.8712203165050099</v>
      </c>
      <c r="H31" s="53"/>
      <c r="I31" s="53"/>
      <c r="J31" s="23">
        <f t="shared" si="1"/>
        <v>0</v>
      </c>
      <c r="K31" s="31">
        <f t="shared" si="2"/>
        <v>0</v>
      </c>
      <c r="L31" s="25">
        <f t="shared" si="3"/>
        <v>0</v>
      </c>
      <c r="M31" s="26">
        <f t="shared" si="4"/>
        <v>0</v>
      </c>
      <c r="N31" s="27"/>
      <c r="O31" s="28"/>
      <c r="P31" s="54"/>
      <c r="Q31" s="55"/>
      <c r="AF31" s="9"/>
    </row>
    <row r="32" spans="1:46">
      <c r="A32" s="1">
        <f t="shared" si="5"/>
        <v>46293</v>
      </c>
      <c r="B32" s="30">
        <v>28</v>
      </c>
      <c r="C32" s="19">
        <v>3.0653530150521782</v>
      </c>
      <c r="D32" s="52"/>
      <c r="E32" s="34">
        <v>0.89959089603038334</v>
      </c>
      <c r="F32" s="34">
        <v>0.38553895544159289</v>
      </c>
      <c r="G32" s="22">
        <f t="shared" si="0"/>
        <v>1.2851298514719762</v>
      </c>
      <c r="H32" s="53"/>
      <c r="I32" s="53"/>
      <c r="J32" s="23">
        <f t="shared" si="1"/>
        <v>0</v>
      </c>
      <c r="K32" s="31">
        <f t="shared" si="2"/>
        <v>0</v>
      </c>
      <c r="L32" s="25">
        <f t="shared" si="3"/>
        <v>0</v>
      </c>
      <c r="M32" s="26">
        <f t="shared" si="4"/>
        <v>0</v>
      </c>
      <c r="N32" s="27"/>
      <c r="O32" s="28"/>
      <c r="P32" s="54"/>
      <c r="Q32" s="28"/>
      <c r="AF32" s="9"/>
    </row>
    <row r="33" spans="1:56">
      <c r="A33" s="1">
        <f t="shared" si="5"/>
        <v>46294</v>
      </c>
      <c r="B33" s="30">
        <v>29</v>
      </c>
      <c r="C33" s="19">
        <v>62.042745024656078</v>
      </c>
      <c r="D33" s="52"/>
      <c r="E33" s="34">
        <v>16.799999999999997</v>
      </c>
      <c r="F33" s="34">
        <v>7.1999999999999993</v>
      </c>
      <c r="G33" s="22">
        <f t="shared" si="0"/>
        <v>23.999999999999996</v>
      </c>
      <c r="H33" s="53"/>
      <c r="I33" s="53"/>
      <c r="J33" s="23">
        <f t="shared" si="1"/>
        <v>0</v>
      </c>
      <c r="K33" s="31">
        <f t="shared" si="2"/>
        <v>0</v>
      </c>
      <c r="L33" s="25">
        <f t="shared" si="3"/>
        <v>0</v>
      </c>
      <c r="M33" s="26">
        <f>SUM(D33:D35)</f>
        <v>0</v>
      </c>
      <c r="N33" s="27"/>
      <c r="O33" s="28"/>
      <c r="P33" s="29"/>
      <c r="Q33" s="35"/>
      <c r="AF33" s="9"/>
    </row>
    <row r="34" spans="1:56">
      <c r="A34" s="1">
        <f t="shared" si="5"/>
        <v>46295</v>
      </c>
      <c r="B34" s="30">
        <v>30</v>
      </c>
      <c r="C34" s="19">
        <v>18.392118090313065</v>
      </c>
      <c r="D34" s="52"/>
      <c r="E34" s="34">
        <v>6.8052651118372562</v>
      </c>
      <c r="F34" s="34">
        <v>2.9165421907873954</v>
      </c>
      <c r="G34" s="22">
        <f t="shared" si="0"/>
        <v>9.7218073026246508</v>
      </c>
      <c r="H34" s="53"/>
      <c r="I34" s="53"/>
      <c r="J34" s="23">
        <f t="shared" si="1"/>
        <v>0</v>
      </c>
      <c r="K34" s="31">
        <f t="shared" si="2"/>
        <v>0</v>
      </c>
      <c r="L34" s="25">
        <f t="shared" si="3"/>
        <v>0</v>
      </c>
      <c r="M34" s="26"/>
      <c r="N34" s="27"/>
      <c r="O34" s="35"/>
      <c r="P34" s="29"/>
      <c r="Q34" s="28"/>
      <c r="AF34" s="9"/>
    </row>
    <row r="35" spans="1:56">
      <c r="A35" s="1">
        <f t="shared" si="5"/>
        <v>46296</v>
      </c>
      <c r="B35" s="30">
        <v>31</v>
      </c>
      <c r="C35" s="19" t="s">
        <v>8</v>
      </c>
      <c r="D35" s="52"/>
      <c r="E35" s="56">
        <v>0</v>
      </c>
      <c r="F35" s="56">
        <v>0</v>
      </c>
      <c r="G35" s="22">
        <f t="shared" si="0"/>
        <v>0</v>
      </c>
      <c r="H35" s="53"/>
      <c r="I35" s="53"/>
      <c r="J35" s="23">
        <f>H35+I35</f>
        <v>0</v>
      </c>
      <c r="K35" s="31">
        <f>IF(D35="",0,FIXED(D35,0)&amp;" mm "&amp;" / "&amp;FIXED(J35,2)&amp;" hr")</f>
        <v>0</v>
      </c>
      <c r="L35" s="25">
        <f>J35/24</f>
        <v>0</v>
      </c>
      <c r="M35" s="26"/>
      <c r="N35" s="27"/>
      <c r="O35" s="35"/>
      <c r="P35" s="29"/>
      <c r="Q35" s="28"/>
      <c r="AF35" s="9"/>
    </row>
    <row r="36" spans="1:56" ht="14.4" customHeight="1">
      <c r="B36" s="57" t="s">
        <v>12</v>
      </c>
      <c r="C36" s="49">
        <f>+SUMIF('[1]base coal'!$AM$6:$AM$36,weather!$B36,weather!C$5:C$35)</f>
        <v>71.729260552220978</v>
      </c>
      <c r="D36" s="49">
        <f>+SUMIF('[1]base coal'!$AM$6:$AM$36,weather!$B36,weather!D$5:D$35)</f>
        <v>40.6</v>
      </c>
      <c r="E36" s="49">
        <f>+SUMIF('[1]base coal'!$AM$6:$AM$36,weather!$B36,weather!E$5:E$35)</f>
        <v>21.050426967110965</v>
      </c>
      <c r="F36" s="49">
        <f>+SUMIF('[1]base coal'!$AM$6:$AM$36,weather!$B36,weather!F$5:F$35)</f>
        <v>9.0216115573332729</v>
      </c>
      <c r="G36" s="49">
        <f>+SUMIF('[1]base coal'!$AM$6:$AM$36,weather!$B36,weather!G$5:G$35)</f>
        <v>30.072038524444242</v>
      </c>
      <c r="H36" s="49">
        <f>+SUMIF('[1]base coal'!$AM$6:$AM$36,weather!$B36,weather!H$5:H$35)</f>
        <v>6.3333333359914832</v>
      </c>
      <c r="I36" s="49">
        <f>+SUMIF('[1]base coal'!$AM$6:$AM$36,weather!$B36,weather!I$5:I$35)</f>
        <v>3.6666666672681458</v>
      </c>
      <c r="J36" s="49">
        <f>+SUMIF('[1]base coal'!$AM$6:$AM$36,weather!$B36,weather!J$5:J$35)</f>
        <v>10.000000003259629</v>
      </c>
      <c r="K36" s="58" t="str">
        <f t="shared" si="2"/>
        <v>41 mm  / 10.00 hr</v>
      </c>
      <c r="L36" s="26"/>
      <c r="M36" s="26"/>
      <c r="N36" s="16">
        <f>31+28+31+30+31+30+31+31</f>
        <v>243</v>
      </c>
      <c r="O36" s="28"/>
      <c r="P36" s="33"/>
      <c r="Q36" s="28"/>
      <c r="T36" s="39"/>
      <c r="AF36" s="9"/>
    </row>
    <row r="37" spans="1:56" ht="14.4" customHeight="1">
      <c r="B37" s="59" t="s">
        <v>13</v>
      </c>
      <c r="C37" s="60">
        <f>+SUMIF('[1]base coal'!$AM$6:$AM$36,weather!$B37,weather!C$5:C$35)</f>
        <v>25.626351205836205</v>
      </c>
      <c r="D37" s="60">
        <f>+SUMIF('[1]base coal'!$AM$6:$AM$36,weather!$B37,weather!D$5:D$35)</f>
        <v>0</v>
      </c>
      <c r="E37" s="60">
        <f>+SUMIF('[1]base coal'!$AM$6:$AM$36,weather!$B37,weather!E$5:E$35)</f>
        <v>7.5205798908140036</v>
      </c>
      <c r="F37" s="60">
        <f>+SUMIF('[1]base coal'!$AM$6:$AM$36,weather!$B37,weather!F$5:F$35)</f>
        <v>3.223105667491716</v>
      </c>
      <c r="G37" s="60">
        <f>+SUMIF('[1]base coal'!$AM$6:$AM$36,weather!$B37,weather!G$5:G$35)</f>
        <v>10.743685558305719</v>
      </c>
      <c r="H37" s="60">
        <f>+SUMIF('[1]base coal'!$AM$6:$AM$36,weather!$B37,weather!H$5:H$35)</f>
        <v>0</v>
      </c>
      <c r="I37" s="60">
        <f>+SUMIF('[1]base coal'!$AM$6:$AM$36,weather!$B37,weather!I$5:I$35)</f>
        <v>0</v>
      </c>
      <c r="J37" s="60">
        <f>+SUMIF('[1]base coal'!$AM$6:$AM$36,weather!$B37,weather!J$5:J$35)</f>
        <v>0</v>
      </c>
      <c r="K37" s="61" t="str">
        <f t="shared" si="2"/>
        <v>0 mm  / 0.00 hr</v>
      </c>
      <c r="L37" s="26"/>
      <c r="M37" s="26"/>
      <c r="O37" s="28"/>
      <c r="T37" s="39"/>
      <c r="V37" s="62"/>
      <c r="W37" s="37"/>
      <c r="AF37" s="9"/>
      <c r="AG37" s="9"/>
      <c r="AH37" s="9"/>
      <c r="AI37" s="9"/>
      <c r="AJ37" s="9"/>
      <c r="AK37" s="9"/>
      <c r="AL37" s="9"/>
      <c r="AM37" s="9"/>
      <c r="AN37" s="9"/>
      <c r="AV37" s="9"/>
    </row>
    <row r="38" spans="1:56" ht="14.4" customHeight="1">
      <c r="B38" s="59" t="s">
        <v>14</v>
      </c>
      <c r="C38" s="60">
        <f>+SUMIF('[1]base coal'!$AM$6:$AM$36,weather!$B38,weather!C$5:C$35)</f>
        <v>62.410587386462339</v>
      </c>
      <c r="D38" s="60">
        <f>+SUMIF('[1]base coal'!$AM$6:$AM$36,weather!$B38,weather!D$5:D$35)</f>
        <v>0</v>
      </c>
      <c r="E38" s="60">
        <f>+SUMIF('[1]base coal'!$AM$6:$AM$36,weather!$B38,weather!E$5:E$35)</f>
        <v>18.315670643178599</v>
      </c>
      <c r="F38" s="60">
        <f>+SUMIF('[1]base coal'!$AM$6:$AM$36,weather!$B38,weather!F$5:F$35)</f>
        <v>7.8495731327908311</v>
      </c>
      <c r="G38" s="60">
        <f>+SUMIF('[1]base coal'!$AM$6:$AM$36,weather!$B38,weather!G$5:G$35)</f>
        <v>26.165243775969433</v>
      </c>
      <c r="H38" s="60">
        <f>+SUMIF('[1]base coal'!$AM$6:$AM$36,weather!$B38,weather!H$5:H$35)</f>
        <v>0</v>
      </c>
      <c r="I38" s="60">
        <f>+SUMIF('[1]base coal'!$AM$6:$AM$36,weather!$B38,weather!I$5:I$35)</f>
        <v>0</v>
      </c>
      <c r="J38" s="60">
        <f>+SUMIF('[1]base coal'!$AM$6:$AM$36,weather!$B38,weather!J$5:J$35)</f>
        <v>0</v>
      </c>
      <c r="K38" s="61" t="str">
        <f t="shared" si="2"/>
        <v>0 mm  / 0.00 hr</v>
      </c>
      <c r="L38" s="26"/>
      <c r="M38" s="26"/>
      <c r="O38" s="35"/>
      <c r="P38" s="63"/>
      <c r="V38" s="62"/>
      <c r="W38" s="37"/>
      <c r="AF38" s="9"/>
      <c r="AG38" s="9"/>
      <c r="AH38" s="9"/>
      <c r="AI38" s="9"/>
      <c r="AJ38" s="9"/>
      <c r="AK38" s="9"/>
      <c r="AL38" s="9"/>
      <c r="AM38" s="9"/>
      <c r="AN38" s="9"/>
      <c r="AV38" s="9"/>
    </row>
    <row r="39" spans="1:56" ht="14.4" customHeight="1">
      <c r="B39" s="59" t="s">
        <v>15</v>
      </c>
      <c r="C39" s="60">
        <f>+SUMIF('[1]base coal'!$AM$6:$AM$36,weather!$B39,weather!C$5:C$35)</f>
        <v>198.14441889297279</v>
      </c>
      <c r="D39" s="60">
        <f>+SUMIF('[1]base coal'!$AM$6:$AM$36,weather!$B39,weather!D$5:D$35)</f>
        <v>0</v>
      </c>
      <c r="E39" s="60">
        <f>+SUMIF('[1]base coal'!$AM$6:$AM$36,weather!$B39,weather!E$5:E$35)</f>
        <v>58.149555519403968</v>
      </c>
      <c r="F39" s="60">
        <f>+SUMIF('[1]base coal'!$AM$6:$AM$36,weather!$B39,weather!F$5:F$35)</f>
        <v>24.921238079744562</v>
      </c>
      <c r="G39" s="60">
        <f>+SUMIF('[1]base coal'!$AM$6:$AM$36,weather!$B39,weather!G$5:G$35)</f>
        <v>83.07079359914853</v>
      </c>
      <c r="H39" s="60">
        <f>+SUMIF('[1]base coal'!$AM$6:$AM$36,weather!$B39,weather!H$5:H$35)</f>
        <v>0</v>
      </c>
      <c r="I39" s="60">
        <f>+SUMIF('[1]base coal'!$AM$6:$AM$36,weather!$B39,weather!I$5:I$35)</f>
        <v>0</v>
      </c>
      <c r="J39" s="60">
        <f>+SUMIF('[1]base coal'!$AM$6:$AM$36,weather!$B39,weather!J$5:J$35)</f>
        <v>0</v>
      </c>
      <c r="K39" s="61" t="str">
        <f t="shared" si="2"/>
        <v>0 mm  / 0.00 hr</v>
      </c>
      <c r="L39" s="26"/>
      <c r="M39" s="26"/>
      <c r="N39" s="39"/>
      <c r="O39" s="39">
        <f>Dashboard!T34/(24*27)</f>
        <v>3.68111964016394E-2</v>
      </c>
      <c r="P39" s="63"/>
      <c r="R39" s="33"/>
      <c r="V39" s="62"/>
      <c r="W39" s="37"/>
      <c r="AF39" s="9"/>
      <c r="AG39" s="9"/>
      <c r="AH39" s="9"/>
      <c r="AI39" s="9"/>
      <c r="AJ39" s="9"/>
      <c r="AK39" s="9"/>
      <c r="AL39" s="9"/>
      <c r="AM39" s="9"/>
      <c r="AN39" s="9"/>
      <c r="AV39" s="9"/>
    </row>
    <row r="40" spans="1:56">
      <c r="B40" s="57" t="s">
        <v>9</v>
      </c>
      <c r="C40" s="49">
        <f>SUM(C5:C35)</f>
        <v>357.91061803749227</v>
      </c>
      <c r="D40" s="49">
        <f t="shared" ref="D40:J40" si="6">SUM(D5:D35)</f>
        <v>40.6</v>
      </c>
      <c r="E40" s="49">
        <f t="shared" si="6"/>
        <v>105.03623302050755</v>
      </c>
      <c r="F40" s="49">
        <f t="shared" si="6"/>
        <v>45.015528437360388</v>
      </c>
      <c r="G40" s="49">
        <f t="shared" si="6"/>
        <v>150.05176145786791</v>
      </c>
      <c r="H40" s="49">
        <f t="shared" si="6"/>
        <v>6.3333333359914832</v>
      </c>
      <c r="I40" s="49">
        <f t="shared" si="6"/>
        <v>3.6666666672681458</v>
      </c>
      <c r="J40" s="49">
        <f t="shared" si="6"/>
        <v>10.000000003259629</v>
      </c>
      <c r="K40" s="58" t="str">
        <f t="shared" si="2"/>
        <v>41 mm  / 10.00 hr</v>
      </c>
      <c r="L40" s="25">
        <f>G40/24/31</f>
        <v>0.20168247507777945</v>
      </c>
      <c r="M40" s="26"/>
      <c r="N40" s="39"/>
      <c r="O40" s="39"/>
      <c r="Q40" s="64"/>
      <c r="R40" s="64"/>
      <c r="V40" s="62"/>
      <c r="W40" s="37"/>
      <c r="AF40" s="9"/>
      <c r="AG40" s="9"/>
      <c r="AH40" s="9"/>
      <c r="AI40" s="9"/>
      <c r="AJ40" s="9"/>
      <c r="AK40" s="9"/>
      <c r="AL40" s="9"/>
      <c r="AM40" s="9"/>
      <c r="AN40" s="9"/>
      <c r="AV40" s="9"/>
    </row>
    <row r="41" spans="1:56" ht="14.5">
      <c r="D41" s="66"/>
      <c r="F41" s="67"/>
      <c r="G41" s="68">
        <f>+G40/(24*31)</f>
        <v>0.20168247507777945</v>
      </c>
      <c r="H41" s="67"/>
      <c r="I41" s="67"/>
      <c r="J41" s="68">
        <f>+J40/(24*COUNT('Summary Sep26'!B19:B49))</f>
        <v>5.9523809543212076E-2</v>
      </c>
      <c r="K41" s="58" t="str">
        <f>IF(C40="",0,FIXED(C40,0)&amp;" mm "&amp;" / "&amp;FIXED(G40,2)&amp;" hr")</f>
        <v>358 mm  / 150.05 hr</v>
      </c>
      <c r="L41" s="26"/>
      <c r="M41" s="26"/>
      <c r="N41" s="69"/>
      <c r="O41" s="69"/>
      <c r="P41" s="39"/>
      <c r="V41" s="70"/>
      <c r="W41" s="71" t="s">
        <v>16</v>
      </c>
      <c r="X41" s="71"/>
      <c r="Y41" s="71"/>
      <c r="Z41" s="71"/>
      <c r="AA41" s="71"/>
      <c r="AB41" s="71" t="s">
        <v>17</v>
      </c>
      <c r="AC41" s="71"/>
      <c r="AD41" s="71"/>
      <c r="AE41" s="71"/>
      <c r="AF41" s="71"/>
      <c r="AG41" s="71" t="s">
        <v>18</v>
      </c>
      <c r="AH41" s="71"/>
      <c r="AI41" s="71"/>
      <c r="AJ41" s="72"/>
      <c r="AK41" s="72"/>
      <c r="AL41" s="71" t="s">
        <v>19</v>
      </c>
      <c r="AM41" s="71"/>
      <c r="AN41" s="71"/>
      <c r="AO41" s="72"/>
      <c r="AP41" s="72"/>
      <c r="AQ41" s="71" t="s">
        <v>20</v>
      </c>
      <c r="AR41" s="71"/>
      <c r="AS41" s="71"/>
      <c r="AT41" s="71"/>
      <c r="AU41" s="72"/>
      <c r="AW41" s="9"/>
    </row>
    <row r="42" spans="1:56">
      <c r="D42" s="68">
        <f>D40/C40</f>
        <v>0.11343614286331964</v>
      </c>
      <c r="E42" s="67"/>
      <c r="J42" s="67"/>
      <c r="N42" s="39"/>
      <c r="O42" s="69"/>
      <c r="P42" s="39"/>
      <c r="Q42" s="69"/>
      <c r="V42" s="70" t="s">
        <v>21</v>
      </c>
      <c r="W42" s="71" t="s">
        <v>0</v>
      </c>
      <c r="X42" s="71" t="s">
        <v>22</v>
      </c>
      <c r="Y42" s="71" t="s">
        <v>23</v>
      </c>
      <c r="Z42" s="71" t="s">
        <v>24</v>
      </c>
      <c r="AA42" s="71"/>
      <c r="AB42" s="71" t="s">
        <v>0</v>
      </c>
      <c r="AC42" s="71" t="s">
        <v>22</v>
      </c>
      <c r="AD42" s="71" t="s">
        <v>23</v>
      </c>
      <c r="AE42" s="71" t="s">
        <v>24</v>
      </c>
      <c r="AF42" s="71"/>
      <c r="AG42" s="71" t="s">
        <v>0</v>
      </c>
      <c r="AH42" s="71" t="s">
        <v>22</v>
      </c>
      <c r="AI42" s="71" t="s">
        <v>23</v>
      </c>
      <c r="AJ42" s="73" t="s">
        <v>24</v>
      </c>
      <c r="AK42" s="73"/>
      <c r="AL42" s="71" t="s">
        <v>0</v>
      </c>
      <c r="AM42" s="71" t="s">
        <v>22</v>
      </c>
      <c r="AN42" s="71" t="s">
        <v>23</v>
      </c>
      <c r="AO42" s="73" t="s">
        <v>24</v>
      </c>
      <c r="AP42" s="73"/>
      <c r="AQ42" s="71" t="s">
        <v>0</v>
      </c>
      <c r="AR42" s="71" t="s">
        <v>22</v>
      </c>
      <c r="AS42" s="71" t="s">
        <v>23</v>
      </c>
      <c r="AT42" s="71" t="s">
        <v>24</v>
      </c>
      <c r="AU42" s="73"/>
      <c r="AV42" s="10" t="s">
        <v>25</v>
      </c>
      <c r="AW42" s="9"/>
      <c r="AX42" s="10" t="s">
        <v>26</v>
      </c>
      <c r="AZ42" s="10" t="s">
        <v>27</v>
      </c>
      <c r="BA42" s="10" t="s">
        <v>28</v>
      </c>
      <c r="BC42" s="10" t="s">
        <v>29</v>
      </c>
    </row>
    <row r="43" spans="1:56" ht="14.5">
      <c r="C43" s="67"/>
      <c r="E43" s="74"/>
      <c r="F43" s="74"/>
      <c r="G43" s="67"/>
      <c r="H43" s="75"/>
      <c r="J43" s="67"/>
      <c r="N43" s="9" t="s">
        <v>30</v>
      </c>
      <c r="O43" s="69" t="s">
        <v>31</v>
      </c>
      <c r="Q43" s="33"/>
      <c r="R43" s="33"/>
      <c r="V43" s="76">
        <v>1</v>
      </c>
      <c r="W43" s="71"/>
      <c r="X43" s="71"/>
      <c r="Y43" s="71"/>
      <c r="Z43" s="71">
        <f>SUM(X43+Y43)</f>
        <v>0</v>
      </c>
      <c r="AA43" s="71"/>
      <c r="AB43" s="71">
        <v>1</v>
      </c>
      <c r="AC43" s="71">
        <v>1.7999999999301508</v>
      </c>
      <c r="AD43" s="71">
        <v>1.2000000000698492</v>
      </c>
      <c r="AE43" s="71">
        <f>SUM(AC43+AD43)</f>
        <v>3</v>
      </c>
      <c r="AF43" s="71"/>
      <c r="AG43" s="71">
        <v>3</v>
      </c>
      <c r="AH43" s="72">
        <v>1.4166666672681458</v>
      </c>
      <c r="AI43" s="72">
        <v>1.0166666663135402</v>
      </c>
      <c r="AJ43" s="72">
        <f>SUM(AH43+AI43)</f>
        <v>2.433333333581686</v>
      </c>
      <c r="AK43" s="72"/>
      <c r="AL43" s="72"/>
      <c r="AM43" s="72"/>
      <c r="AN43" s="72"/>
      <c r="AO43" s="77">
        <f>SUM(AM43:AN43)</f>
        <v>0</v>
      </c>
      <c r="AP43" s="77"/>
      <c r="AQ43" s="71">
        <v>1</v>
      </c>
      <c r="AR43" s="71">
        <v>1.3333333319169469</v>
      </c>
      <c r="AS43" s="71">
        <v>1.3333333345362917</v>
      </c>
      <c r="AT43" s="71">
        <f>SUM(AR43+AS43)</f>
        <v>2.6666666664532386</v>
      </c>
      <c r="AU43" s="9"/>
      <c r="AV43" s="71">
        <f>MAX(W43,AB43,AG43,AL43,AQ43)</f>
        <v>3</v>
      </c>
      <c r="AW43" s="71"/>
      <c r="AX43" s="71">
        <f>MAX(Z43,AE43,AJ43,AO43,AT43)</f>
        <v>3</v>
      </c>
      <c r="AZ43" s="71"/>
      <c r="BA43" s="71"/>
      <c r="BB43" s="10" t="b">
        <f>IF(AX43=SUM(AZ43:BA43),"ok")</f>
        <v>0</v>
      </c>
      <c r="BC43" s="78">
        <v>1</v>
      </c>
      <c r="BD43" s="79"/>
    </row>
    <row r="44" spans="1:56" ht="14.5">
      <c r="C44" s="65" t="s">
        <v>32</v>
      </c>
      <c r="D44" s="80">
        <f>D40+2301.8</f>
        <v>2342.4</v>
      </c>
      <c r="E44" s="81"/>
      <c r="F44" s="81"/>
      <c r="G44" s="81"/>
      <c r="H44" s="82"/>
      <c r="I44" s="82"/>
      <c r="J44" s="83">
        <f>J40+992.033333354803</f>
        <v>1002.0333333580626</v>
      </c>
      <c r="K44" s="33" t="str">
        <f>IF(D44="",0,FIXED(D44,0)&amp;" mm "&amp;" / "&amp;FIXED(J44,2)&amp;" hr")</f>
        <v>2,342 mm  / 1,002.03 hr</v>
      </c>
      <c r="L44" s="84">
        <f>+J44/(24*(243+(('Summary Sep26'!C52))))</f>
        <v>0.16700555555967708</v>
      </c>
      <c r="N44" s="84">
        <f>+Dashboard!U33/(24*(243+(('Summary Sep26'!C52))))</f>
        <v>0.22087368951275033</v>
      </c>
      <c r="O44" s="84">
        <f>+Dashboard!T34/(24*(7+(('Summary Sep26'!E52))))</f>
        <v>0.14198604326346626</v>
      </c>
      <c r="Q44" s="69"/>
      <c r="R44" s="33"/>
      <c r="V44" s="76">
        <v>2</v>
      </c>
      <c r="W44" s="71"/>
      <c r="X44" s="71"/>
      <c r="Y44" s="71"/>
      <c r="Z44" s="71">
        <f t="shared" ref="Z44:Z73" si="7">SUM(X44+Y44)</f>
        <v>0</v>
      </c>
      <c r="AA44" s="71"/>
      <c r="AB44" s="71">
        <v>67</v>
      </c>
      <c r="AC44" s="71">
        <v>4.5333333336166106</v>
      </c>
      <c r="AD44" s="71">
        <v>3.7666666654986329</v>
      </c>
      <c r="AE44" s="71">
        <f t="shared" ref="AE44:AE73" si="8">SUM(AC44+AD44)</f>
        <v>8.2999999991152436</v>
      </c>
      <c r="AF44" s="71"/>
      <c r="AG44" s="71">
        <v>20</v>
      </c>
      <c r="AH44" s="72">
        <v>1.9000000007799827</v>
      </c>
      <c r="AI44" s="72">
        <v>2.2166666663833894</v>
      </c>
      <c r="AJ44" s="72">
        <f t="shared" ref="AJ44:AJ73" si="9">SUM(AH44+AI44)</f>
        <v>4.116666667163372</v>
      </c>
      <c r="AK44" s="72"/>
      <c r="AL44" s="72"/>
      <c r="AM44" s="72"/>
      <c r="AN44" s="72"/>
      <c r="AO44" s="79">
        <f t="shared" ref="AO44:AO73" si="10">SUM(AM44:AN44)</f>
        <v>0</v>
      </c>
      <c r="AP44" s="79"/>
      <c r="AQ44" s="71">
        <v>31.5</v>
      </c>
      <c r="AR44" s="71">
        <v>2.0500000007450581</v>
      </c>
      <c r="AS44" s="71">
        <v>1.9999999991850927</v>
      </c>
      <c r="AT44" s="71">
        <f t="shared" ref="AT44:AT73" si="11">SUM(AR44+AS44)</f>
        <v>4.0499999999301508</v>
      </c>
      <c r="AU44" s="9"/>
      <c r="AV44" s="71">
        <f t="shared" ref="AV44:AV73" si="12">MAX(W44,AB44,AG44,AL44,AQ44)</f>
        <v>67</v>
      </c>
      <c r="AW44" s="71"/>
      <c r="AX44" s="71">
        <f t="shared" ref="AX44:AX73" si="13">MAX(Z44,AE44,AJ44,AO44,AT44)</f>
        <v>8.2999999991152436</v>
      </c>
      <c r="AZ44" s="71"/>
      <c r="BA44" s="71"/>
      <c r="BB44" s="10" t="b">
        <f t="shared" ref="BB44:BB73" si="14">IF(AX44=SUM(AZ44:BA44),"ok")</f>
        <v>0</v>
      </c>
      <c r="BC44" s="78">
        <v>2</v>
      </c>
      <c r="BD44" s="79"/>
    </row>
    <row r="45" spans="1:56" ht="14.5">
      <c r="E45" s="85"/>
      <c r="F45" s="85"/>
      <c r="G45" s="81"/>
      <c r="N45" s="84">
        <f>+Dashboard!U34/(24*(243+(('Summary Sep26'!C52))))</f>
        <v>0.17631183252865268</v>
      </c>
      <c r="O45" s="86"/>
      <c r="V45" s="76">
        <v>3</v>
      </c>
      <c r="W45" s="71"/>
      <c r="X45" s="71"/>
      <c r="Y45" s="71"/>
      <c r="Z45" s="71">
        <f t="shared" si="7"/>
        <v>0</v>
      </c>
      <c r="AA45" s="71"/>
      <c r="AB45" s="71"/>
      <c r="AC45" s="71"/>
      <c r="AD45" s="71"/>
      <c r="AE45" s="71">
        <f t="shared" si="8"/>
        <v>0</v>
      </c>
      <c r="AF45" s="71"/>
      <c r="AG45" s="71"/>
      <c r="AH45" s="72"/>
      <c r="AI45" s="72"/>
      <c r="AJ45" s="72">
        <f t="shared" si="9"/>
        <v>0</v>
      </c>
      <c r="AK45" s="72"/>
      <c r="AL45" s="72"/>
      <c r="AM45" s="72"/>
      <c r="AN45" s="72"/>
      <c r="AO45" s="79">
        <f t="shared" si="10"/>
        <v>0</v>
      </c>
      <c r="AP45" s="79"/>
      <c r="AQ45" s="71"/>
      <c r="AR45" s="71"/>
      <c r="AS45" s="71"/>
      <c r="AT45" s="71">
        <f t="shared" si="11"/>
        <v>0</v>
      </c>
      <c r="AU45" s="9"/>
      <c r="AV45" s="71">
        <f t="shared" si="12"/>
        <v>0</v>
      </c>
      <c r="AW45" s="71"/>
      <c r="AX45" s="71">
        <f t="shared" si="13"/>
        <v>0</v>
      </c>
      <c r="AZ45" s="71">
        <v>7.3333333343616687</v>
      </c>
      <c r="BA45" s="71">
        <v>0.75</v>
      </c>
      <c r="BB45" s="10" t="b">
        <f t="shared" si="14"/>
        <v>0</v>
      </c>
      <c r="BC45" s="78">
        <v>3</v>
      </c>
      <c r="BD45" s="79"/>
    </row>
    <row r="46" spans="1:56" ht="14.5">
      <c r="C46" s="74">
        <f>J36/(7*24)</f>
        <v>5.9523809543212076E-2</v>
      </c>
      <c r="D46" s="65" t="s">
        <v>33</v>
      </c>
      <c r="E46" s="81"/>
      <c r="F46" s="85"/>
      <c r="G46" s="85"/>
      <c r="H46" s="67"/>
      <c r="I46" s="67"/>
      <c r="J46" s="82"/>
      <c r="N46" s="87"/>
      <c r="O46" s="87"/>
      <c r="P46" s="88"/>
      <c r="V46" s="76">
        <v>4</v>
      </c>
      <c r="W46" s="71"/>
      <c r="X46" s="71"/>
      <c r="Y46" s="71"/>
      <c r="Z46" s="71">
        <f t="shared" si="7"/>
        <v>0</v>
      </c>
      <c r="AA46" s="71"/>
      <c r="AB46" s="71"/>
      <c r="AC46" s="71"/>
      <c r="AD46" s="71"/>
      <c r="AE46" s="71">
        <f t="shared" si="8"/>
        <v>0</v>
      </c>
      <c r="AF46" s="71"/>
      <c r="AG46" s="71"/>
      <c r="AH46" s="72"/>
      <c r="AI46" s="72"/>
      <c r="AJ46" s="72">
        <f t="shared" si="9"/>
        <v>0</v>
      </c>
      <c r="AK46" s="72"/>
      <c r="AL46" s="72"/>
      <c r="AM46" s="72"/>
      <c r="AN46" s="72"/>
      <c r="AO46" s="79">
        <f t="shared" si="10"/>
        <v>0</v>
      </c>
      <c r="AP46" s="79"/>
      <c r="AQ46" s="71"/>
      <c r="AR46" s="71"/>
      <c r="AS46" s="71"/>
      <c r="AT46" s="71">
        <f t="shared" si="11"/>
        <v>0</v>
      </c>
      <c r="AU46" s="9"/>
      <c r="AV46" s="71">
        <f t="shared" si="12"/>
        <v>0</v>
      </c>
      <c r="AW46" s="71"/>
      <c r="AX46" s="71">
        <f t="shared" si="13"/>
        <v>0</v>
      </c>
      <c r="AZ46" s="71">
        <v>1.6333333344664425</v>
      </c>
      <c r="BA46" s="71">
        <v>0.8999999999650754</v>
      </c>
      <c r="BB46" s="10" t="b">
        <f t="shared" si="14"/>
        <v>0</v>
      </c>
      <c r="BC46" s="78">
        <v>4</v>
      </c>
      <c r="BD46" s="79"/>
    </row>
    <row r="47" spans="1:56" ht="14.5">
      <c r="C47" s="67">
        <f>J37/(7*24)</f>
        <v>0</v>
      </c>
      <c r="D47" s="65" t="s">
        <v>34</v>
      </c>
      <c r="E47" s="85"/>
      <c r="F47" s="85"/>
      <c r="G47" s="85"/>
      <c r="J47" s="82"/>
      <c r="K47" s="39"/>
      <c r="N47" s="87"/>
      <c r="O47" s="87"/>
      <c r="R47" s="9"/>
      <c r="V47" s="76">
        <v>5</v>
      </c>
      <c r="W47" s="72"/>
      <c r="X47" s="72"/>
      <c r="Y47" s="72"/>
      <c r="Z47" s="71">
        <f t="shared" si="7"/>
        <v>0</v>
      </c>
      <c r="AA47" s="72"/>
      <c r="AB47" s="72"/>
      <c r="AC47" s="72"/>
      <c r="AD47" s="72"/>
      <c r="AE47" s="71">
        <f t="shared" si="8"/>
        <v>0</v>
      </c>
      <c r="AF47" s="72"/>
      <c r="AG47" s="72"/>
      <c r="AH47" s="72"/>
      <c r="AI47" s="72"/>
      <c r="AJ47" s="72">
        <f t="shared" si="9"/>
        <v>0</v>
      </c>
      <c r="AK47" s="72"/>
      <c r="AL47" s="72"/>
      <c r="AM47" s="72"/>
      <c r="AN47" s="72"/>
      <c r="AO47" s="79">
        <f t="shared" si="10"/>
        <v>0</v>
      </c>
      <c r="AP47" s="79"/>
      <c r="AQ47" s="72"/>
      <c r="AR47" s="72"/>
      <c r="AS47" s="72"/>
      <c r="AT47" s="71">
        <f t="shared" si="11"/>
        <v>0</v>
      </c>
      <c r="AU47" s="9"/>
      <c r="AV47" s="71">
        <f t="shared" si="12"/>
        <v>0</v>
      </c>
      <c r="AW47" s="71"/>
      <c r="AX47" s="71">
        <f t="shared" si="13"/>
        <v>0</v>
      </c>
      <c r="AZ47" s="71">
        <v>1.8499999992200173</v>
      </c>
      <c r="BA47" s="71">
        <v>0</v>
      </c>
      <c r="BB47" s="10" t="b">
        <f t="shared" si="14"/>
        <v>0</v>
      </c>
      <c r="BC47" s="78">
        <v>5</v>
      </c>
      <c r="BD47" s="79"/>
    </row>
    <row r="48" spans="1:56" ht="14.5">
      <c r="C48" s="67">
        <f>J38/(7*24)</f>
        <v>0</v>
      </c>
      <c r="D48" s="65" t="s">
        <v>35</v>
      </c>
      <c r="E48" s="85"/>
      <c r="F48" s="85"/>
      <c r="G48" s="81"/>
      <c r="H48" s="89"/>
      <c r="I48" s="89"/>
      <c r="V48" s="76">
        <v>6</v>
      </c>
      <c r="W48" s="72"/>
      <c r="X48" s="72"/>
      <c r="Y48" s="72"/>
      <c r="Z48" s="71">
        <f t="shared" si="7"/>
        <v>0</v>
      </c>
      <c r="AA48" s="72"/>
      <c r="AB48" s="72"/>
      <c r="AC48" s="72"/>
      <c r="AD48" s="72"/>
      <c r="AE48" s="71">
        <f t="shared" si="8"/>
        <v>0</v>
      </c>
      <c r="AF48" s="72"/>
      <c r="AG48" s="72"/>
      <c r="AH48" s="72"/>
      <c r="AI48" s="72"/>
      <c r="AJ48" s="72">
        <f t="shared" si="9"/>
        <v>0</v>
      </c>
      <c r="AK48" s="72"/>
      <c r="AL48" s="72"/>
      <c r="AM48" s="72"/>
      <c r="AN48" s="72"/>
      <c r="AO48" s="79">
        <f t="shared" si="10"/>
        <v>0</v>
      </c>
      <c r="AP48" s="79"/>
      <c r="AQ48" s="72"/>
      <c r="AR48" s="72"/>
      <c r="AS48" s="72"/>
      <c r="AT48" s="71">
        <f t="shared" si="11"/>
        <v>0</v>
      </c>
      <c r="AU48" s="9"/>
      <c r="AV48" s="71">
        <f t="shared" si="12"/>
        <v>0</v>
      </c>
      <c r="AW48" s="71"/>
      <c r="AX48" s="71">
        <f t="shared" si="13"/>
        <v>0</v>
      </c>
      <c r="AZ48" s="71">
        <v>1.0833333335467614</v>
      </c>
      <c r="BA48" s="71">
        <v>1.7499999983701855</v>
      </c>
      <c r="BB48" s="10" t="b">
        <f t="shared" si="14"/>
        <v>0</v>
      </c>
      <c r="BC48" s="78">
        <v>6</v>
      </c>
      <c r="BD48" s="79"/>
    </row>
    <row r="49" spans="3:56" ht="14.5">
      <c r="C49" s="67">
        <f>J39/(24*10)</f>
        <v>0</v>
      </c>
      <c r="D49" s="65" t="s">
        <v>36</v>
      </c>
      <c r="E49" s="85"/>
      <c r="F49" s="85"/>
      <c r="G49" s="85"/>
      <c r="V49" s="76">
        <v>7</v>
      </c>
      <c r="W49" s="72"/>
      <c r="X49" s="72"/>
      <c r="Y49" s="72"/>
      <c r="Z49" s="71">
        <f t="shared" si="7"/>
        <v>0</v>
      </c>
      <c r="AA49" s="72"/>
      <c r="AB49" s="72"/>
      <c r="AC49" s="72"/>
      <c r="AD49" s="72"/>
      <c r="AE49" s="71">
        <f t="shared" si="8"/>
        <v>0</v>
      </c>
      <c r="AF49" s="72"/>
      <c r="AG49" s="72"/>
      <c r="AH49" s="72"/>
      <c r="AI49" s="72"/>
      <c r="AJ49" s="72">
        <f t="shared" si="9"/>
        <v>0</v>
      </c>
      <c r="AK49" s="72"/>
      <c r="AL49" s="72"/>
      <c r="AM49" s="72"/>
      <c r="AN49" s="72"/>
      <c r="AO49" s="79">
        <f t="shared" si="10"/>
        <v>0</v>
      </c>
      <c r="AP49" s="79"/>
      <c r="AQ49" s="72"/>
      <c r="AR49" s="72"/>
      <c r="AS49" s="72"/>
      <c r="AT49" s="71">
        <f t="shared" si="11"/>
        <v>0</v>
      </c>
      <c r="AU49" s="9"/>
      <c r="AV49" s="71">
        <f t="shared" si="12"/>
        <v>0</v>
      </c>
      <c r="AW49" s="71"/>
      <c r="AX49" s="71">
        <f t="shared" si="13"/>
        <v>0</v>
      </c>
      <c r="AZ49" s="71">
        <v>7.0499999999301508</v>
      </c>
      <c r="BA49" s="71">
        <v>0.9500000016996637</v>
      </c>
      <c r="BB49" s="10" t="b">
        <f t="shared" si="14"/>
        <v>0</v>
      </c>
      <c r="BC49" s="78">
        <v>7</v>
      </c>
      <c r="BD49" s="79"/>
    </row>
    <row r="50" spans="3:56" ht="14.5">
      <c r="E50" s="85"/>
      <c r="F50" s="85"/>
      <c r="G50" s="85"/>
      <c r="M50" s="39"/>
      <c r="V50" s="76">
        <v>8</v>
      </c>
      <c r="W50" s="72"/>
      <c r="X50" s="72"/>
      <c r="Y50" s="72"/>
      <c r="Z50" s="71">
        <f t="shared" si="7"/>
        <v>0</v>
      </c>
      <c r="AA50" s="72"/>
      <c r="AB50" s="72"/>
      <c r="AC50" s="72"/>
      <c r="AD50" s="72"/>
      <c r="AE50" s="71">
        <f t="shared" si="8"/>
        <v>0</v>
      </c>
      <c r="AF50" s="72"/>
      <c r="AG50" s="72"/>
      <c r="AH50" s="72"/>
      <c r="AI50" s="72"/>
      <c r="AJ50" s="72">
        <f t="shared" si="9"/>
        <v>0</v>
      </c>
      <c r="AK50" s="72"/>
      <c r="AL50" s="72"/>
      <c r="AM50" s="72"/>
      <c r="AN50" s="72"/>
      <c r="AO50" s="79">
        <f t="shared" si="10"/>
        <v>0</v>
      </c>
      <c r="AP50" s="79"/>
      <c r="AQ50" s="72"/>
      <c r="AR50" s="72"/>
      <c r="AS50" s="72"/>
      <c r="AT50" s="71">
        <f t="shared" si="11"/>
        <v>0</v>
      </c>
      <c r="AU50" s="9"/>
      <c r="AV50" s="71">
        <f t="shared" si="12"/>
        <v>0</v>
      </c>
      <c r="AW50" s="71"/>
      <c r="AX50" s="71">
        <f t="shared" si="13"/>
        <v>0</v>
      </c>
      <c r="AZ50" s="71">
        <v>4.4499999984400347</v>
      </c>
      <c r="BA50" s="71">
        <v>1.0666666680481285</v>
      </c>
      <c r="BB50" s="10" t="b">
        <f t="shared" si="14"/>
        <v>0</v>
      </c>
      <c r="BC50" s="78">
        <v>8</v>
      </c>
      <c r="BD50" s="79"/>
    </row>
    <row r="51" spans="3:56" ht="14.5">
      <c r="M51" s="39"/>
      <c r="R51" s="9"/>
      <c r="V51" s="76">
        <v>9</v>
      </c>
      <c r="W51" s="72"/>
      <c r="X51" s="72"/>
      <c r="Y51" s="72"/>
      <c r="Z51" s="71">
        <f t="shared" si="7"/>
        <v>0</v>
      </c>
      <c r="AA51" s="72"/>
      <c r="AB51" s="72"/>
      <c r="AC51" s="72"/>
      <c r="AD51" s="72"/>
      <c r="AE51" s="71">
        <f t="shared" si="8"/>
        <v>0</v>
      </c>
      <c r="AF51" s="72"/>
      <c r="AG51" s="72"/>
      <c r="AH51" s="72"/>
      <c r="AI51" s="72"/>
      <c r="AJ51" s="72">
        <f t="shared" si="9"/>
        <v>0</v>
      </c>
      <c r="AK51" s="72"/>
      <c r="AL51" s="72"/>
      <c r="AM51" s="72"/>
      <c r="AN51" s="72"/>
      <c r="AO51" s="79">
        <f t="shared" si="10"/>
        <v>0</v>
      </c>
      <c r="AP51" s="79"/>
      <c r="AQ51" s="72"/>
      <c r="AR51" s="72"/>
      <c r="AS51" s="72"/>
      <c r="AT51" s="71">
        <f t="shared" si="11"/>
        <v>0</v>
      </c>
      <c r="AU51" s="9"/>
      <c r="AV51" s="71">
        <f t="shared" si="12"/>
        <v>0</v>
      </c>
      <c r="AW51" s="71"/>
      <c r="AX51" s="71">
        <f t="shared" si="13"/>
        <v>0</v>
      </c>
      <c r="AZ51" s="71">
        <v>2.6500000007799827</v>
      </c>
      <c r="BA51" s="71">
        <v>0.5499999983003363</v>
      </c>
      <c r="BB51" s="10" t="b">
        <f t="shared" si="14"/>
        <v>0</v>
      </c>
      <c r="BC51" s="78">
        <v>9</v>
      </c>
      <c r="BD51" s="79"/>
    </row>
    <row r="52" spans="3:56" ht="14.5">
      <c r="L52" s="39"/>
      <c r="M52" s="39"/>
      <c r="V52" s="76">
        <v>10</v>
      </c>
      <c r="W52" s="72"/>
      <c r="X52" s="72"/>
      <c r="Y52" s="72"/>
      <c r="Z52" s="71">
        <f t="shared" si="7"/>
        <v>0</v>
      </c>
      <c r="AA52" s="72"/>
      <c r="AB52" s="72"/>
      <c r="AC52" s="72"/>
      <c r="AD52" s="72"/>
      <c r="AE52" s="71">
        <f t="shared" si="8"/>
        <v>0</v>
      </c>
      <c r="AF52" s="72"/>
      <c r="AG52" s="72"/>
      <c r="AH52" s="72"/>
      <c r="AI52" s="72"/>
      <c r="AJ52" s="72">
        <f t="shared" si="9"/>
        <v>0</v>
      </c>
      <c r="AK52" s="72"/>
      <c r="AL52" s="72"/>
      <c r="AM52" s="72"/>
      <c r="AN52" s="72"/>
      <c r="AO52" s="79">
        <f t="shared" si="10"/>
        <v>0</v>
      </c>
      <c r="AP52" s="79"/>
      <c r="AQ52" s="72"/>
      <c r="AR52" s="72"/>
      <c r="AS52" s="72"/>
      <c r="AT52" s="71">
        <f t="shared" si="11"/>
        <v>0</v>
      </c>
      <c r="AU52" s="9"/>
      <c r="AV52" s="71">
        <f t="shared" si="12"/>
        <v>0</v>
      </c>
      <c r="AW52" s="71"/>
      <c r="AX52" s="71">
        <f t="shared" si="13"/>
        <v>0</v>
      </c>
      <c r="AZ52" s="71">
        <v>2.6666666662786156</v>
      </c>
      <c r="BA52" s="71">
        <v>3.8333333327318542</v>
      </c>
      <c r="BB52" s="10" t="b">
        <f t="shared" si="14"/>
        <v>0</v>
      </c>
      <c r="BC52" s="78">
        <v>10</v>
      </c>
      <c r="BD52" s="79"/>
    </row>
    <row r="53" spans="3:56" ht="14.5">
      <c r="O53" s="33"/>
      <c r="R53" s="33"/>
      <c r="V53" s="76">
        <v>11</v>
      </c>
      <c r="W53" s="72"/>
      <c r="X53" s="72"/>
      <c r="Y53" s="72"/>
      <c r="Z53" s="71">
        <f t="shared" si="7"/>
        <v>0</v>
      </c>
      <c r="AA53" s="72"/>
      <c r="AB53" s="72"/>
      <c r="AC53" s="72"/>
      <c r="AD53" s="72"/>
      <c r="AE53" s="71">
        <f t="shared" si="8"/>
        <v>0</v>
      </c>
      <c r="AF53" s="72"/>
      <c r="AG53" s="72"/>
      <c r="AH53" s="72"/>
      <c r="AI53" s="72"/>
      <c r="AJ53" s="72">
        <f t="shared" si="9"/>
        <v>0</v>
      </c>
      <c r="AK53" s="72"/>
      <c r="AL53" s="72"/>
      <c r="AM53" s="72"/>
      <c r="AN53" s="72"/>
      <c r="AO53" s="79">
        <f t="shared" si="10"/>
        <v>0</v>
      </c>
      <c r="AP53" s="79"/>
      <c r="AQ53" s="72"/>
      <c r="AR53" s="72"/>
      <c r="AS53" s="72"/>
      <c r="AT53" s="71">
        <f t="shared" si="11"/>
        <v>0</v>
      </c>
      <c r="AU53" s="9"/>
      <c r="AV53" s="71">
        <f t="shared" si="12"/>
        <v>0</v>
      </c>
      <c r="AW53" s="71"/>
      <c r="AX53" s="71">
        <f t="shared" si="13"/>
        <v>0</v>
      </c>
      <c r="AZ53" s="71">
        <v>1.1666666664532386</v>
      </c>
      <c r="BA53" s="71">
        <v>0</v>
      </c>
      <c r="BB53" s="10" t="b">
        <f t="shared" si="14"/>
        <v>0</v>
      </c>
      <c r="BC53" s="78">
        <v>11</v>
      </c>
      <c r="BD53" s="79"/>
    </row>
    <row r="54" spans="3:56" ht="14.5">
      <c r="R54" s="33"/>
      <c r="V54" s="76">
        <v>12</v>
      </c>
      <c r="W54" s="72"/>
      <c r="X54" s="72"/>
      <c r="Y54" s="72"/>
      <c r="Z54" s="71">
        <f t="shared" si="7"/>
        <v>0</v>
      </c>
      <c r="AA54" s="72"/>
      <c r="AB54" s="72"/>
      <c r="AC54" s="72"/>
      <c r="AD54" s="72"/>
      <c r="AE54" s="71">
        <f t="shared" si="8"/>
        <v>0</v>
      </c>
      <c r="AF54" s="72"/>
      <c r="AG54" s="72"/>
      <c r="AH54" s="72"/>
      <c r="AI54" s="72"/>
      <c r="AJ54" s="72">
        <f t="shared" si="9"/>
        <v>0</v>
      </c>
      <c r="AK54" s="72"/>
      <c r="AL54" s="72"/>
      <c r="AM54" s="72"/>
      <c r="AN54" s="72"/>
      <c r="AO54" s="79">
        <f t="shared" si="10"/>
        <v>0</v>
      </c>
      <c r="AP54" s="79"/>
      <c r="AQ54" s="72"/>
      <c r="AR54" s="72"/>
      <c r="AS54" s="72"/>
      <c r="AT54" s="71">
        <f t="shared" si="11"/>
        <v>0</v>
      </c>
      <c r="AU54" s="9"/>
      <c r="AV54" s="71">
        <f t="shared" si="12"/>
        <v>0</v>
      </c>
      <c r="AW54" s="71"/>
      <c r="AX54" s="71">
        <f t="shared" si="13"/>
        <v>0</v>
      </c>
      <c r="AZ54" s="71">
        <v>8.3833333344664425</v>
      </c>
      <c r="BA54" s="71">
        <v>1.0000000008149073</v>
      </c>
      <c r="BB54" s="10" t="b">
        <f t="shared" si="14"/>
        <v>0</v>
      </c>
      <c r="BC54" s="78">
        <v>12</v>
      </c>
      <c r="BD54" s="79"/>
    </row>
    <row r="55" spans="3:56" ht="14.5">
      <c r="V55" s="76">
        <v>13</v>
      </c>
      <c r="W55" s="72"/>
      <c r="X55" s="72"/>
      <c r="Y55" s="72"/>
      <c r="Z55" s="71">
        <f t="shared" si="7"/>
        <v>0</v>
      </c>
      <c r="AA55" s="72"/>
      <c r="AB55" s="72"/>
      <c r="AC55" s="72"/>
      <c r="AD55" s="72"/>
      <c r="AE55" s="71">
        <f t="shared" si="8"/>
        <v>0</v>
      </c>
      <c r="AF55" s="72"/>
      <c r="AG55" s="72"/>
      <c r="AH55" s="72"/>
      <c r="AI55" s="72"/>
      <c r="AJ55" s="72">
        <f t="shared" si="9"/>
        <v>0</v>
      </c>
      <c r="AK55" s="72"/>
      <c r="AL55" s="72"/>
      <c r="AM55" s="72"/>
      <c r="AN55" s="72"/>
      <c r="AO55" s="79">
        <f t="shared" si="10"/>
        <v>0</v>
      </c>
      <c r="AP55" s="79"/>
      <c r="AQ55" s="72"/>
      <c r="AR55" s="72"/>
      <c r="AS55" s="72"/>
      <c r="AT55" s="71">
        <f t="shared" si="11"/>
        <v>0</v>
      </c>
      <c r="AU55" s="9"/>
      <c r="AV55" s="71">
        <f t="shared" si="12"/>
        <v>0</v>
      </c>
      <c r="AW55" s="71"/>
      <c r="AX55" s="71">
        <f t="shared" si="13"/>
        <v>0</v>
      </c>
      <c r="AZ55" s="71">
        <v>4.1833333319518715</v>
      </c>
      <c r="BA55" s="71">
        <v>3.1000000008498318</v>
      </c>
      <c r="BB55" s="10" t="b">
        <f t="shared" si="14"/>
        <v>0</v>
      </c>
      <c r="BC55" s="78">
        <v>13</v>
      </c>
      <c r="BD55" s="79"/>
    </row>
    <row r="56" spans="3:56" ht="14.5">
      <c r="V56" s="76">
        <v>14</v>
      </c>
      <c r="W56" s="72"/>
      <c r="X56" s="72"/>
      <c r="Y56" s="72"/>
      <c r="Z56" s="71">
        <f t="shared" si="7"/>
        <v>0</v>
      </c>
      <c r="AA56" s="72"/>
      <c r="AB56" s="72"/>
      <c r="AC56" s="72"/>
      <c r="AD56" s="72"/>
      <c r="AE56" s="71">
        <f t="shared" si="8"/>
        <v>0</v>
      </c>
      <c r="AF56" s="72"/>
      <c r="AG56" s="72"/>
      <c r="AH56" s="72"/>
      <c r="AI56" s="72"/>
      <c r="AJ56" s="72">
        <f t="shared" si="9"/>
        <v>0</v>
      </c>
      <c r="AK56" s="72"/>
      <c r="AL56" s="72"/>
      <c r="AM56" s="72"/>
      <c r="AN56" s="72"/>
      <c r="AO56" s="79">
        <f t="shared" si="10"/>
        <v>0</v>
      </c>
      <c r="AP56" s="79"/>
      <c r="AQ56" s="72"/>
      <c r="AR56" s="72"/>
      <c r="AS56" s="72"/>
      <c r="AT56" s="71">
        <f t="shared" si="11"/>
        <v>0</v>
      </c>
      <c r="AU56" s="9"/>
      <c r="AV56" s="71">
        <f t="shared" si="12"/>
        <v>0</v>
      </c>
      <c r="AW56" s="71"/>
      <c r="AX56" s="71">
        <f t="shared" si="13"/>
        <v>0</v>
      </c>
      <c r="AZ56" s="71">
        <v>6.2500000008149073</v>
      </c>
      <c r="BA56" s="71">
        <v>0.88333333202172071</v>
      </c>
      <c r="BB56" s="10" t="b">
        <f t="shared" si="14"/>
        <v>0</v>
      </c>
      <c r="BC56" s="78">
        <v>14</v>
      </c>
      <c r="BD56" s="79"/>
    </row>
    <row r="57" spans="3:56" ht="14.5">
      <c r="V57" s="76">
        <v>15</v>
      </c>
      <c r="W57" s="73"/>
      <c r="X57" s="73"/>
      <c r="Y57" s="73"/>
      <c r="Z57" s="71">
        <f t="shared" si="7"/>
        <v>0</v>
      </c>
      <c r="AA57" s="73"/>
      <c r="AB57" s="73"/>
      <c r="AC57" s="73"/>
      <c r="AD57" s="72"/>
      <c r="AE57" s="71">
        <f t="shared" si="8"/>
        <v>0</v>
      </c>
      <c r="AF57" s="72"/>
      <c r="AG57" s="72"/>
      <c r="AH57" s="72"/>
      <c r="AI57" s="72"/>
      <c r="AJ57" s="72">
        <f t="shared" si="9"/>
        <v>0</v>
      </c>
      <c r="AK57" s="72"/>
      <c r="AL57" s="72"/>
      <c r="AM57" s="72"/>
      <c r="AN57" s="72"/>
      <c r="AO57" s="79">
        <f t="shared" si="10"/>
        <v>0</v>
      </c>
      <c r="AP57" s="79"/>
      <c r="AQ57" s="73"/>
      <c r="AR57" s="73"/>
      <c r="AS57" s="72"/>
      <c r="AT57" s="71">
        <f t="shared" si="11"/>
        <v>0</v>
      </c>
      <c r="AU57" s="9"/>
      <c r="AV57" s="71">
        <f t="shared" si="12"/>
        <v>0</v>
      </c>
      <c r="AW57" s="71"/>
      <c r="AX57" s="71">
        <f t="shared" si="13"/>
        <v>0</v>
      </c>
      <c r="AZ57" s="71">
        <v>3.7833333336166106</v>
      </c>
      <c r="BA57" s="71">
        <v>0</v>
      </c>
      <c r="BB57" s="10" t="b">
        <f t="shared" si="14"/>
        <v>0</v>
      </c>
      <c r="BC57" s="78">
        <v>15</v>
      </c>
      <c r="BD57" s="79"/>
    </row>
    <row r="58" spans="3:56" ht="14.5">
      <c r="V58" s="76">
        <v>16</v>
      </c>
      <c r="W58" s="71"/>
      <c r="X58" s="71"/>
      <c r="Y58" s="71"/>
      <c r="Z58" s="71">
        <f t="shared" si="7"/>
        <v>0</v>
      </c>
      <c r="AA58" s="71"/>
      <c r="AB58" s="71"/>
      <c r="AC58" s="71"/>
      <c r="AD58" s="72"/>
      <c r="AE58" s="71">
        <f t="shared" si="8"/>
        <v>0</v>
      </c>
      <c r="AF58" s="72"/>
      <c r="AG58" s="72"/>
      <c r="AH58" s="72"/>
      <c r="AI58" s="72"/>
      <c r="AJ58" s="72">
        <f t="shared" si="9"/>
        <v>0</v>
      </c>
      <c r="AK58" s="72"/>
      <c r="AL58" s="72"/>
      <c r="AM58" s="72"/>
      <c r="AN58" s="72"/>
      <c r="AO58" s="79">
        <f t="shared" si="10"/>
        <v>0</v>
      </c>
      <c r="AP58" s="79"/>
      <c r="AQ58" s="71"/>
      <c r="AR58" s="71"/>
      <c r="AS58" s="72"/>
      <c r="AT58" s="71">
        <f t="shared" si="11"/>
        <v>0</v>
      </c>
      <c r="AU58" s="9"/>
      <c r="AV58" s="71">
        <f t="shared" si="12"/>
        <v>0</v>
      </c>
      <c r="AW58" s="71"/>
      <c r="AX58" s="71">
        <f t="shared" si="13"/>
        <v>0</v>
      </c>
      <c r="AZ58" s="71">
        <v>6.5333333328017034</v>
      </c>
      <c r="BA58" s="71">
        <v>1.7666666687582619</v>
      </c>
      <c r="BB58" s="10" t="b">
        <f t="shared" si="14"/>
        <v>0</v>
      </c>
      <c r="BC58" s="78">
        <v>16</v>
      </c>
      <c r="BD58" s="79"/>
    </row>
    <row r="59" spans="3:56" ht="14.5">
      <c r="V59" s="76">
        <v>17</v>
      </c>
      <c r="W59" s="71"/>
      <c r="X59" s="71"/>
      <c r="Y59" s="71"/>
      <c r="Z59" s="71">
        <f t="shared" si="7"/>
        <v>0</v>
      </c>
      <c r="AA59" s="71"/>
      <c r="AB59" s="71"/>
      <c r="AC59" s="71"/>
      <c r="AD59" s="90"/>
      <c r="AE59" s="71">
        <f t="shared" si="8"/>
        <v>0</v>
      </c>
      <c r="AF59" s="91"/>
      <c r="AG59" s="91"/>
      <c r="AH59" s="90"/>
      <c r="AI59" s="90"/>
      <c r="AJ59" s="72">
        <f t="shared" si="9"/>
        <v>0</v>
      </c>
      <c r="AK59" s="72"/>
      <c r="AL59" s="72"/>
      <c r="AM59" s="72"/>
      <c r="AN59" s="72"/>
      <c r="AO59" s="79">
        <f t="shared" si="10"/>
        <v>0</v>
      </c>
      <c r="AP59" s="79"/>
      <c r="AQ59" s="71"/>
      <c r="AR59" s="71"/>
      <c r="AS59" s="90"/>
      <c r="AT59" s="71">
        <f t="shared" si="11"/>
        <v>0</v>
      </c>
      <c r="AU59" s="9"/>
      <c r="AV59" s="71">
        <f t="shared" si="12"/>
        <v>0</v>
      </c>
      <c r="AW59" s="71"/>
      <c r="AX59" s="71">
        <f t="shared" si="13"/>
        <v>0</v>
      </c>
      <c r="AZ59" s="71">
        <v>4.6999999992549419</v>
      </c>
      <c r="BA59" s="71">
        <v>3.7666666679433547</v>
      </c>
      <c r="BB59" s="10" t="b">
        <f t="shared" si="14"/>
        <v>0</v>
      </c>
      <c r="BC59" s="78">
        <v>17</v>
      </c>
      <c r="BD59" s="79"/>
    </row>
    <row r="60" spans="3:56" ht="14.5">
      <c r="V60" s="76">
        <v>18</v>
      </c>
      <c r="W60" s="71"/>
      <c r="X60" s="71"/>
      <c r="Y60" s="71"/>
      <c r="Z60" s="71">
        <f t="shared" si="7"/>
        <v>0</v>
      </c>
      <c r="AA60" s="71"/>
      <c r="AB60" s="71">
        <v>2</v>
      </c>
      <c r="AC60" s="71">
        <v>0.91666666546370834</v>
      </c>
      <c r="AD60" s="72">
        <v>1.0833333361661062</v>
      </c>
      <c r="AE60" s="71">
        <f t="shared" si="8"/>
        <v>2.0000000016298145</v>
      </c>
      <c r="AF60" s="72"/>
      <c r="AG60" s="72"/>
      <c r="AH60" s="72"/>
      <c r="AI60" s="72"/>
      <c r="AJ60" s="72">
        <f t="shared" si="9"/>
        <v>0</v>
      </c>
      <c r="AK60" s="72"/>
      <c r="AL60" s="72"/>
      <c r="AM60" s="72"/>
      <c r="AN60" s="72"/>
      <c r="AO60" s="79">
        <f t="shared" si="10"/>
        <v>0</v>
      </c>
      <c r="AP60" s="79"/>
      <c r="AQ60" s="71"/>
      <c r="AR60" s="71"/>
      <c r="AS60" s="72"/>
      <c r="AT60" s="71">
        <f t="shared" si="11"/>
        <v>0</v>
      </c>
      <c r="AU60" s="9"/>
      <c r="AV60" s="71">
        <f t="shared" si="12"/>
        <v>2</v>
      </c>
      <c r="AW60" s="71"/>
      <c r="AX60" s="71">
        <f t="shared" si="13"/>
        <v>2.0000000016298145</v>
      </c>
      <c r="AZ60" s="71">
        <v>12.800000001559965</v>
      </c>
      <c r="BA60" s="71">
        <v>1.9500000000698492</v>
      </c>
      <c r="BB60" s="10" t="b">
        <f t="shared" si="14"/>
        <v>0</v>
      </c>
      <c r="BC60" s="78">
        <v>18</v>
      </c>
      <c r="BD60" s="79"/>
    </row>
    <row r="61" spans="3:56" ht="14.5">
      <c r="V61" s="76">
        <v>19</v>
      </c>
      <c r="W61" s="71"/>
      <c r="X61" s="71"/>
      <c r="Y61" s="71"/>
      <c r="Z61" s="71">
        <f t="shared" si="7"/>
        <v>0</v>
      </c>
      <c r="AA61" s="71"/>
      <c r="AB61" s="71"/>
      <c r="AC61" s="71"/>
      <c r="AD61" s="72"/>
      <c r="AE61" s="71">
        <f t="shared" si="8"/>
        <v>0</v>
      </c>
      <c r="AF61" s="72"/>
      <c r="AG61" s="72"/>
      <c r="AH61" s="72"/>
      <c r="AI61" s="72"/>
      <c r="AJ61" s="72">
        <f t="shared" si="9"/>
        <v>0</v>
      </c>
      <c r="AK61" s="72"/>
      <c r="AL61" s="72"/>
      <c r="AM61" s="72"/>
      <c r="AN61" s="72"/>
      <c r="AO61" s="79">
        <f t="shared" si="10"/>
        <v>0</v>
      </c>
      <c r="AP61" s="79"/>
      <c r="AQ61" s="71"/>
      <c r="AR61" s="71"/>
      <c r="AS61" s="72"/>
      <c r="AT61" s="71">
        <f t="shared" si="11"/>
        <v>0</v>
      </c>
      <c r="AU61" s="9"/>
      <c r="AV61" s="71">
        <f t="shared" si="12"/>
        <v>0</v>
      </c>
      <c r="AW61" s="71"/>
      <c r="AX61" s="71">
        <f t="shared" si="13"/>
        <v>0</v>
      </c>
      <c r="AZ61" s="71">
        <v>9.5000000016298145</v>
      </c>
      <c r="BA61" s="71">
        <v>0</v>
      </c>
      <c r="BB61" s="10" t="b">
        <f t="shared" si="14"/>
        <v>0</v>
      </c>
      <c r="BC61" s="78">
        <v>19</v>
      </c>
      <c r="BD61" s="79"/>
    </row>
    <row r="62" spans="3:56" ht="14.5">
      <c r="V62" s="76">
        <v>20</v>
      </c>
      <c r="W62" s="71"/>
      <c r="X62" s="71"/>
      <c r="Y62" s="71"/>
      <c r="Z62" s="71">
        <f t="shared" si="7"/>
        <v>0</v>
      </c>
      <c r="AA62" s="71"/>
      <c r="AB62" s="71"/>
      <c r="AC62" s="71"/>
      <c r="AD62" s="72"/>
      <c r="AE62" s="71">
        <f t="shared" si="8"/>
        <v>0</v>
      </c>
      <c r="AF62" s="72"/>
      <c r="AG62" s="72">
        <v>2</v>
      </c>
      <c r="AH62" s="72">
        <v>0.33333333354676142</v>
      </c>
      <c r="AI62" s="72">
        <v>0.41666666645323858</v>
      </c>
      <c r="AJ62" s="72">
        <f t="shared" si="9"/>
        <v>0.75</v>
      </c>
      <c r="AK62" s="72"/>
      <c r="AL62" s="72">
        <v>0</v>
      </c>
      <c r="AM62" s="72">
        <v>0.13333333202172071</v>
      </c>
      <c r="AN62" s="72">
        <v>0.83333333517657593</v>
      </c>
      <c r="AO62" s="79">
        <f t="shared" si="10"/>
        <v>0.96666666719829664</v>
      </c>
      <c r="AP62" s="79"/>
      <c r="AQ62" s="71">
        <v>0</v>
      </c>
      <c r="AR62" s="71">
        <v>0.75</v>
      </c>
      <c r="AS62" s="72">
        <v>0.24999999837018549</v>
      </c>
      <c r="AT62" s="71">
        <f t="shared" si="11"/>
        <v>0.99999999837018549</v>
      </c>
      <c r="AU62" s="9"/>
      <c r="AV62" s="71">
        <f t="shared" si="12"/>
        <v>2</v>
      </c>
      <c r="AW62" s="71"/>
      <c r="AX62" s="71">
        <f t="shared" si="13"/>
        <v>0.99999999837018549</v>
      </c>
      <c r="AZ62" s="71">
        <v>7.7999999999301508</v>
      </c>
      <c r="BA62" s="71">
        <v>1.0333333344315179</v>
      </c>
      <c r="BB62" s="10" t="b">
        <f t="shared" si="14"/>
        <v>0</v>
      </c>
      <c r="BC62" s="78">
        <v>20</v>
      </c>
      <c r="BD62" s="79"/>
    </row>
    <row r="63" spans="3:56" ht="14.5">
      <c r="V63" s="76">
        <v>21</v>
      </c>
      <c r="W63" s="71"/>
      <c r="X63" s="71"/>
      <c r="Y63" s="71"/>
      <c r="Z63" s="71">
        <f t="shared" si="7"/>
        <v>0</v>
      </c>
      <c r="AA63" s="71"/>
      <c r="AB63" s="71">
        <v>0.5</v>
      </c>
      <c r="AC63" s="71">
        <v>0.66666666482342407</v>
      </c>
      <c r="AD63" s="71">
        <v>0.9500000016996637</v>
      </c>
      <c r="AE63" s="71">
        <f t="shared" si="8"/>
        <v>1.6166666665230878</v>
      </c>
      <c r="AF63" s="71"/>
      <c r="AG63" s="71">
        <v>0.5</v>
      </c>
      <c r="AH63" s="72">
        <v>0.38333333283662796</v>
      </c>
      <c r="AI63" s="72">
        <v>0.29999999993015081</v>
      </c>
      <c r="AJ63" s="72">
        <f t="shared" si="9"/>
        <v>0.68333333276677877</v>
      </c>
      <c r="AK63" s="72"/>
      <c r="AL63" s="72"/>
      <c r="AM63" s="72"/>
      <c r="AN63" s="72"/>
      <c r="AO63" s="79">
        <f t="shared" si="10"/>
        <v>0</v>
      </c>
      <c r="AP63" s="79"/>
      <c r="AQ63" s="71"/>
      <c r="AR63" s="71"/>
      <c r="AS63" s="71"/>
      <c r="AT63" s="71">
        <f t="shared" si="11"/>
        <v>0</v>
      </c>
      <c r="AU63" s="9"/>
      <c r="AV63" s="71">
        <f t="shared" si="12"/>
        <v>0.5</v>
      </c>
      <c r="AW63" s="71"/>
      <c r="AX63" s="71">
        <f t="shared" si="13"/>
        <v>1.6166666665230878</v>
      </c>
      <c r="AZ63" s="71"/>
      <c r="BA63" s="71"/>
      <c r="BB63" s="10" t="b">
        <f t="shared" si="14"/>
        <v>0</v>
      </c>
      <c r="BC63" s="78">
        <v>21</v>
      </c>
      <c r="BD63" s="79"/>
    </row>
    <row r="64" spans="3:56" ht="14.5">
      <c r="V64" s="76">
        <v>22</v>
      </c>
      <c r="W64" s="71"/>
      <c r="X64" s="71"/>
      <c r="Y64" s="71"/>
      <c r="Z64" s="71">
        <f t="shared" si="7"/>
        <v>0</v>
      </c>
      <c r="AA64" s="71"/>
      <c r="AB64" s="71">
        <v>1</v>
      </c>
      <c r="AC64" s="71">
        <v>3.0333333336166106</v>
      </c>
      <c r="AD64" s="71">
        <v>1.8499999992200173</v>
      </c>
      <c r="AE64" s="71">
        <f t="shared" si="8"/>
        <v>4.883333332836628</v>
      </c>
      <c r="AF64" s="71"/>
      <c r="AG64" s="71">
        <v>0.5</v>
      </c>
      <c r="AH64" s="72">
        <v>0.78333333361661062</v>
      </c>
      <c r="AI64" s="72">
        <v>0.73333333188202232</v>
      </c>
      <c r="AJ64" s="72">
        <f t="shared" si="9"/>
        <v>1.5166666654986329</v>
      </c>
      <c r="AK64" s="72"/>
      <c r="AL64" s="72">
        <v>0</v>
      </c>
      <c r="AM64" s="72">
        <v>0</v>
      </c>
      <c r="AN64" s="72">
        <v>0</v>
      </c>
      <c r="AO64" s="79">
        <f t="shared" si="10"/>
        <v>0</v>
      </c>
      <c r="AP64" s="79"/>
      <c r="AQ64" s="71">
        <v>0</v>
      </c>
      <c r="AR64" s="71">
        <v>1.0000000008149073</v>
      </c>
      <c r="AS64" s="71">
        <v>0.16666666808305308</v>
      </c>
      <c r="AT64" s="71">
        <f t="shared" si="11"/>
        <v>1.1666666688979603</v>
      </c>
      <c r="AU64" s="9"/>
      <c r="AV64" s="71">
        <f t="shared" si="12"/>
        <v>1</v>
      </c>
      <c r="AW64" s="71"/>
      <c r="AX64" s="71">
        <f t="shared" si="13"/>
        <v>4.883333332836628</v>
      </c>
      <c r="AZ64" s="71">
        <v>10.5</v>
      </c>
      <c r="BA64" s="71">
        <v>5.3333333351765759</v>
      </c>
      <c r="BB64" s="10" t="b">
        <f t="shared" si="14"/>
        <v>0</v>
      </c>
      <c r="BC64" s="78">
        <v>22</v>
      </c>
      <c r="BD64" s="79"/>
    </row>
    <row r="65" spans="22:56" ht="14.5">
      <c r="V65" s="76">
        <v>23</v>
      </c>
      <c r="W65" s="71"/>
      <c r="X65" s="71"/>
      <c r="Y65" s="71"/>
      <c r="Z65" s="71">
        <f t="shared" si="7"/>
        <v>0</v>
      </c>
      <c r="AA65" s="71"/>
      <c r="AB65" s="71"/>
      <c r="AC65" s="71"/>
      <c r="AD65" s="73"/>
      <c r="AE65" s="71">
        <f t="shared" si="8"/>
        <v>0</v>
      </c>
      <c r="AF65" s="73"/>
      <c r="AG65" s="73"/>
      <c r="AH65" s="72"/>
      <c r="AI65" s="72"/>
      <c r="AJ65" s="72">
        <f t="shared" si="9"/>
        <v>0</v>
      </c>
      <c r="AK65" s="72"/>
      <c r="AL65" s="72"/>
      <c r="AM65" s="72"/>
      <c r="AN65" s="72"/>
      <c r="AO65" s="79">
        <f t="shared" si="10"/>
        <v>0</v>
      </c>
      <c r="AP65" s="79"/>
      <c r="AQ65" s="71"/>
      <c r="AR65" s="71"/>
      <c r="AS65" s="73"/>
      <c r="AT65" s="71">
        <f t="shared" si="11"/>
        <v>0</v>
      </c>
      <c r="AU65" s="9"/>
      <c r="AV65" s="71">
        <f t="shared" si="12"/>
        <v>0</v>
      </c>
      <c r="AW65" s="71"/>
      <c r="AX65" s="71">
        <f t="shared" si="13"/>
        <v>0</v>
      </c>
      <c r="AZ65" s="71">
        <v>9.2666666664881632</v>
      </c>
      <c r="BA65" s="71">
        <v>0.98333333514165133</v>
      </c>
      <c r="BB65" s="10" t="b">
        <f t="shared" si="14"/>
        <v>0</v>
      </c>
      <c r="BC65" s="78">
        <v>23</v>
      </c>
      <c r="BD65" s="79"/>
    </row>
    <row r="66" spans="22:56" ht="14.5">
      <c r="V66" s="76">
        <v>24</v>
      </c>
      <c r="W66" s="71"/>
      <c r="X66" s="71"/>
      <c r="Y66" s="71"/>
      <c r="Z66" s="71">
        <f t="shared" si="7"/>
        <v>0</v>
      </c>
      <c r="AA66" s="71"/>
      <c r="AB66" s="71"/>
      <c r="AC66" s="71"/>
      <c r="AD66" s="71"/>
      <c r="AE66" s="71">
        <f t="shared" si="8"/>
        <v>0</v>
      </c>
      <c r="AF66" s="71"/>
      <c r="AG66" s="71"/>
      <c r="AH66" s="72"/>
      <c r="AI66" s="72"/>
      <c r="AJ66" s="72">
        <f t="shared" si="9"/>
        <v>0</v>
      </c>
      <c r="AK66" s="72"/>
      <c r="AL66" s="72"/>
      <c r="AM66" s="72"/>
      <c r="AN66" s="72"/>
      <c r="AO66" s="79">
        <f t="shared" si="10"/>
        <v>0</v>
      </c>
      <c r="AP66" s="79"/>
      <c r="AQ66" s="71"/>
      <c r="AR66" s="71"/>
      <c r="AS66" s="71"/>
      <c r="AT66" s="71">
        <f t="shared" si="11"/>
        <v>0</v>
      </c>
      <c r="AU66" s="9"/>
      <c r="AV66" s="71">
        <f t="shared" si="12"/>
        <v>0</v>
      </c>
      <c r="AW66" s="71"/>
      <c r="AX66" s="71">
        <f t="shared" si="13"/>
        <v>0</v>
      </c>
      <c r="AZ66" s="71">
        <v>1.2499999991850927</v>
      </c>
      <c r="BA66" s="71">
        <v>1.1333333352813497</v>
      </c>
      <c r="BB66" s="10" t="b">
        <f t="shared" si="14"/>
        <v>0</v>
      </c>
      <c r="BC66" s="78">
        <v>24</v>
      </c>
      <c r="BD66" s="79"/>
    </row>
    <row r="67" spans="22:56" ht="14.5">
      <c r="V67" s="76">
        <v>25</v>
      </c>
      <c r="W67" s="71"/>
      <c r="X67" s="71"/>
      <c r="Y67" s="71"/>
      <c r="Z67" s="71">
        <f t="shared" si="7"/>
        <v>0</v>
      </c>
      <c r="AA67" s="71"/>
      <c r="AB67" s="71">
        <v>8.5</v>
      </c>
      <c r="AC67" s="71">
        <v>2.5666666680481285</v>
      </c>
      <c r="AD67" s="71">
        <v>1.5</v>
      </c>
      <c r="AE67" s="71">
        <f t="shared" si="8"/>
        <v>4.0666666680481285</v>
      </c>
      <c r="AF67" s="71"/>
      <c r="AG67" s="71">
        <v>8</v>
      </c>
      <c r="AH67" s="72">
        <v>0.65000000159488991</v>
      </c>
      <c r="AI67" s="72">
        <v>0.69999999844003469</v>
      </c>
      <c r="AJ67" s="72">
        <f t="shared" si="9"/>
        <v>1.3500000000349246</v>
      </c>
      <c r="AK67" s="72"/>
      <c r="AL67" s="72">
        <v>5.5</v>
      </c>
      <c r="AM67" s="72">
        <v>1.3333333343616687</v>
      </c>
      <c r="AN67" s="72">
        <v>2.3333333327318542</v>
      </c>
      <c r="AO67" s="79">
        <f t="shared" si="10"/>
        <v>3.6666666670935228</v>
      </c>
      <c r="AP67" s="79"/>
      <c r="AQ67" s="71">
        <v>5.5</v>
      </c>
      <c r="AR67" s="71">
        <v>1.3333333343616687</v>
      </c>
      <c r="AS67" s="71">
        <v>2.3333333327318542</v>
      </c>
      <c r="AT67" s="71">
        <f t="shared" si="11"/>
        <v>3.6666666670935228</v>
      </c>
      <c r="AV67" s="71">
        <f t="shared" si="12"/>
        <v>8.5</v>
      </c>
      <c r="AW67" s="71"/>
      <c r="AX67" s="71">
        <f t="shared" si="13"/>
        <v>4.0666666680481285</v>
      </c>
      <c r="AZ67" s="71"/>
      <c r="BA67" s="71"/>
      <c r="BB67" s="10" t="b">
        <f t="shared" si="14"/>
        <v>0</v>
      </c>
      <c r="BC67" s="78">
        <v>25</v>
      </c>
      <c r="BD67" s="79"/>
    </row>
    <row r="68" spans="22:56" ht="14.5">
      <c r="V68" s="76">
        <v>26</v>
      </c>
      <c r="W68" s="71"/>
      <c r="X68" s="71"/>
      <c r="Y68" s="71"/>
      <c r="Z68" s="71">
        <f t="shared" si="7"/>
        <v>0</v>
      </c>
      <c r="AA68" s="71"/>
      <c r="AB68" s="71">
        <v>1</v>
      </c>
      <c r="AC68" s="71">
        <v>0.29999999993015081</v>
      </c>
      <c r="AD68" s="71">
        <v>0.56666666641831398</v>
      </c>
      <c r="AE68" s="71">
        <f t="shared" si="8"/>
        <v>0.86666666634846479</v>
      </c>
      <c r="AF68" s="71"/>
      <c r="AG68" s="71">
        <v>1</v>
      </c>
      <c r="AH68" s="92">
        <v>0.29999999993015081</v>
      </c>
      <c r="AI68" s="92">
        <v>0.61666666570818052</v>
      </c>
      <c r="AJ68" s="92">
        <f t="shared" si="9"/>
        <v>0.91666666563833132</v>
      </c>
      <c r="AK68" s="72"/>
      <c r="AL68" s="72"/>
      <c r="AM68" s="72"/>
      <c r="AN68" s="72"/>
      <c r="AO68" s="79">
        <f t="shared" si="10"/>
        <v>0</v>
      </c>
      <c r="AP68" s="79"/>
      <c r="AQ68" s="71"/>
      <c r="AR68" s="71"/>
      <c r="AS68" s="71"/>
      <c r="AT68" s="71">
        <f t="shared" si="11"/>
        <v>0</v>
      </c>
      <c r="AV68" s="71">
        <f t="shared" si="12"/>
        <v>1</v>
      </c>
      <c r="AW68" s="71"/>
      <c r="AX68" s="71">
        <f t="shared" si="13"/>
        <v>0.91666666563833132</v>
      </c>
      <c r="AZ68" s="71">
        <v>5.4999999983701855</v>
      </c>
      <c r="BA68" s="71">
        <v>0</v>
      </c>
      <c r="BB68" s="10" t="b">
        <f t="shared" si="14"/>
        <v>0</v>
      </c>
      <c r="BC68" s="78">
        <v>26</v>
      </c>
      <c r="BD68" s="79"/>
    </row>
    <row r="69" spans="22:56" ht="14.5">
      <c r="V69" s="76">
        <v>27</v>
      </c>
      <c r="W69" s="71"/>
      <c r="X69" s="71"/>
      <c r="Y69" s="71"/>
      <c r="Z69" s="71">
        <f t="shared" si="7"/>
        <v>0</v>
      </c>
      <c r="AA69" s="71"/>
      <c r="AB69" s="71">
        <v>1</v>
      </c>
      <c r="AC69" s="71">
        <v>1.0999999992200173</v>
      </c>
      <c r="AD69" s="71">
        <v>1.5</v>
      </c>
      <c r="AE69" s="71">
        <f t="shared" si="8"/>
        <v>2.5999999992200173</v>
      </c>
      <c r="AF69" s="71"/>
      <c r="AG69" s="71">
        <v>1</v>
      </c>
      <c r="AH69" s="92">
        <v>2.1666666670935228</v>
      </c>
      <c r="AI69" s="92">
        <v>0.86666666652308777</v>
      </c>
      <c r="AJ69" s="92">
        <f t="shared" si="9"/>
        <v>3.0333333336166106</v>
      </c>
      <c r="AK69" s="72"/>
      <c r="AL69" s="72"/>
      <c r="AM69" s="72"/>
      <c r="AN69" s="72"/>
      <c r="AO69" s="79">
        <f t="shared" si="10"/>
        <v>0</v>
      </c>
      <c r="AP69" s="79"/>
      <c r="AQ69" s="71"/>
      <c r="AR69" s="71"/>
      <c r="AS69" s="71"/>
      <c r="AT69" s="71">
        <f t="shared" si="11"/>
        <v>0</v>
      </c>
      <c r="AV69" s="71">
        <f t="shared" si="12"/>
        <v>1</v>
      </c>
      <c r="AW69" s="71"/>
      <c r="AX69" s="71">
        <f t="shared" si="13"/>
        <v>3.0333333336166106</v>
      </c>
      <c r="AZ69" s="71">
        <v>8.3333335176575929E-2</v>
      </c>
      <c r="BA69" s="71">
        <v>0.88333333202172071</v>
      </c>
      <c r="BB69" s="10" t="b">
        <f t="shared" si="14"/>
        <v>0</v>
      </c>
      <c r="BC69" s="78">
        <v>27</v>
      </c>
      <c r="BD69" s="79"/>
    </row>
    <row r="70" spans="22:56" ht="14.5">
      <c r="V70" s="76">
        <v>28</v>
      </c>
      <c r="W70" s="71"/>
      <c r="X70" s="71"/>
      <c r="Y70" s="71"/>
      <c r="Z70" s="71">
        <f t="shared" si="7"/>
        <v>0</v>
      </c>
      <c r="AA70" s="71"/>
      <c r="AB70" s="71"/>
      <c r="AC70" s="71"/>
      <c r="AD70" s="71"/>
      <c r="AE70" s="71">
        <f t="shared" si="8"/>
        <v>0</v>
      </c>
      <c r="AF70" s="71"/>
      <c r="AG70" s="71"/>
      <c r="AH70" s="72"/>
      <c r="AI70" s="72"/>
      <c r="AJ70" s="72">
        <f t="shared" si="9"/>
        <v>0</v>
      </c>
      <c r="AK70" s="72"/>
      <c r="AL70" s="72"/>
      <c r="AM70" s="72"/>
      <c r="AN70" s="72"/>
      <c r="AO70" s="79">
        <f t="shared" si="10"/>
        <v>0</v>
      </c>
      <c r="AP70" s="79"/>
      <c r="AQ70" s="71"/>
      <c r="AR70" s="71"/>
      <c r="AS70" s="71"/>
      <c r="AT70" s="71">
        <f t="shared" si="11"/>
        <v>0</v>
      </c>
      <c r="AV70" s="71">
        <f t="shared" si="12"/>
        <v>0</v>
      </c>
      <c r="AW70" s="71"/>
      <c r="AX70" s="71">
        <f t="shared" si="13"/>
        <v>0</v>
      </c>
      <c r="AZ70" s="71">
        <v>1.2500000016298145</v>
      </c>
      <c r="BA70" s="71">
        <v>0.41666666645323858</v>
      </c>
      <c r="BB70" s="10" t="b">
        <f t="shared" si="14"/>
        <v>0</v>
      </c>
      <c r="BC70" s="78">
        <v>28</v>
      </c>
      <c r="BD70" s="79"/>
    </row>
    <row r="71" spans="22:56" ht="14.5">
      <c r="V71" s="76">
        <v>29</v>
      </c>
      <c r="W71" s="72"/>
      <c r="X71" s="72"/>
      <c r="Y71" s="72"/>
      <c r="Z71" s="71">
        <f t="shared" si="7"/>
        <v>0</v>
      </c>
      <c r="AA71" s="72"/>
      <c r="AB71" s="71">
        <v>1.5</v>
      </c>
      <c r="AC71" s="71">
        <v>2.8333333319169469</v>
      </c>
      <c r="AD71" s="71">
        <v>1.2499999991850927</v>
      </c>
      <c r="AE71" s="71">
        <f t="shared" si="8"/>
        <v>4.0833333311020397</v>
      </c>
      <c r="AF71" s="71"/>
      <c r="AG71" s="71">
        <v>1</v>
      </c>
      <c r="AH71" s="72">
        <v>1.5</v>
      </c>
      <c r="AI71" s="72">
        <v>0.43333333195187151</v>
      </c>
      <c r="AJ71" s="72">
        <f t="shared" si="9"/>
        <v>1.9333333319518715</v>
      </c>
      <c r="AK71" s="72"/>
      <c r="AL71" s="72"/>
      <c r="AM71" s="72"/>
      <c r="AN71" s="72"/>
      <c r="AO71" s="79">
        <f t="shared" si="10"/>
        <v>0</v>
      </c>
      <c r="AP71" s="79"/>
      <c r="AQ71" s="71">
        <v>0</v>
      </c>
      <c r="AR71" s="71">
        <v>8.3333332731854171E-2</v>
      </c>
      <c r="AS71" s="71">
        <v>0.28333333443151787</v>
      </c>
      <c r="AT71" s="71">
        <f t="shared" si="11"/>
        <v>0.36666666716337204</v>
      </c>
      <c r="AV71" s="71">
        <f t="shared" si="12"/>
        <v>1.5</v>
      </c>
      <c r="AW71" s="71"/>
      <c r="AX71" s="71">
        <f t="shared" si="13"/>
        <v>4.0833333311020397</v>
      </c>
      <c r="AZ71" s="71"/>
      <c r="BA71" s="71"/>
      <c r="BB71" s="10" t="b">
        <f t="shared" si="14"/>
        <v>0</v>
      </c>
      <c r="BC71" s="78">
        <v>29</v>
      </c>
      <c r="BD71" s="79"/>
    </row>
    <row r="72" spans="22:56" ht="14.5">
      <c r="V72" s="76">
        <v>30</v>
      </c>
      <c r="W72" s="72"/>
      <c r="X72" s="72"/>
      <c r="Y72" s="72"/>
      <c r="Z72" s="71">
        <f t="shared" si="7"/>
        <v>0</v>
      </c>
      <c r="AA72" s="72"/>
      <c r="AB72" s="71">
        <v>1</v>
      </c>
      <c r="AC72" s="71">
        <v>1.5500000015599653</v>
      </c>
      <c r="AD72" s="71">
        <v>0.86666666652308777</v>
      </c>
      <c r="AE72" s="71">
        <f t="shared" si="8"/>
        <v>2.4166666680830531</v>
      </c>
      <c r="AF72" s="71"/>
      <c r="AG72" s="71"/>
      <c r="AH72" s="72"/>
      <c r="AI72" s="72"/>
      <c r="AJ72" s="72">
        <f t="shared" si="9"/>
        <v>0</v>
      </c>
      <c r="AK72" s="72"/>
      <c r="AL72" s="72">
        <v>0</v>
      </c>
      <c r="AM72" s="72">
        <v>0.29999999993015081</v>
      </c>
      <c r="AN72" s="72">
        <v>0.19999999925494194</v>
      </c>
      <c r="AO72" s="79">
        <f t="shared" si="10"/>
        <v>0.49999999918509275</v>
      </c>
      <c r="AP72" s="79"/>
      <c r="AQ72" s="71">
        <v>0</v>
      </c>
      <c r="AR72" s="71">
        <v>0.1666666679084301</v>
      </c>
      <c r="AS72" s="71">
        <v>8.3333332906477153E-2</v>
      </c>
      <c r="AT72" s="71">
        <f t="shared" si="11"/>
        <v>0.25000000081490725</v>
      </c>
      <c r="AV72" s="71">
        <f t="shared" si="12"/>
        <v>1</v>
      </c>
      <c r="AW72" s="71"/>
      <c r="AX72" s="71">
        <f t="shared" si="13"/>
        <v>2.4166666680830531</v>
      </c>
      <c r="AZ72" s="71"/>
      <c r="BA72" s="71"/>
      <c r="BB72" s="10" t="b">
        <f t="shared" si="14"/>
        <v>0</v>
      </c>
      <c r="BC72" s="78">
        <v>30</v>
      </c>
      <c r="BD72" s="79"/>
    </row>
    <row r="73" spans="22:56" ht="14.5">
      <c r="V73" s="76">
        <v>31</v>
      </c>
      <c r="W73" s="72"/>
      <c r="X73" s="72"/>
      <c r="Y73" s="72"/>
      <c r="Z73" s="71">
        <f t="shared" si="7"/>
        <v>0</v>
      </c>
      <c r="AB73" s="71"/>
      <c r="AC73" s="71"/>
      <c r="AD73" s="71"/>
      <c r="AE73" s="71">
        <f t="shared" si="8"/>
        <v>0</v>
      </c>
      <c r="AF73" s="9"/>
      <c r="AG73" s="71"/>
      <c r="AH73" s="72"/>
      <c r="AI73" s="72"/>
      <c r="AJ73" s="72">
        <f t="shared" si="9"/>
        <v>0</v>
      </c>
      <c r="AK73" s="72"/>
      <c r="AL73" s="72"/>
      <c r="AM73" s="72"/>
      <c r="AN73" s="72"/>
      <c r="AO73" s="79">
        <f t="shared" si="10"/>
        <v>0</v>
      </c>
      <c r="AP73" s="93"/>
      <c r="AQ73" s="71"/>
      <c r="AR73" s="71"/>
      <c r="AS73" s="71"/>
      <c r="AT73" s="71">
        <f t="shared" si="11"/>
        <v>0</v>
      </c>
      <c r="AV73" s="71">
        <f t="shared" si="12"/>
        <v>0</v>
      </c>
      <c r="AW73" s="71"/>
      <c r="AX73" s="71">
        <f t="shared" si="13"/>
        <v>0</v>
      </c>
      <c r="AZ73" s="71"/>
      <c r="BA73" s="71"/>
      <c r="BB73" s="10" t="str">
        <f t="shared" si="14"/>
        <v>ok</v>
      </c>
      <c r="BC73" s="78">
        <v>31</v>
      </c>
      <c r="BD73" s="93"/>
    </row>
    <row r="74" spans="22:56">
      <c r="V74" s="76"/>
      <c r="AF74" s="9"/>
      <c r="AO74" s="93"/>
      <c r="AP74" s="93"/>
      <c r="AV74" s="71">
        <f>SUM(AV43:AV73)</f>
        <v>88.5</v>
      </c>
      <c r="AW74" s="71"/>
      <c r="AX74" s="71">
        <f>SUM(AX43:AX73)</f>
        <v>35.316666664963122</v>
      </c>
      <c r="AZ74" s="71">
        <f>SUM(AZ43:BA73)</f>
        <v>153.71666667843238</v>
      </c>
    </row>
    <row r="75" spans="22:56">
      <c r="AD75" s="10"/>
      <c r="AE75" s="10"/>
      <c r="AS75" s="10"/>
      <c r="AT75" s="10"/>
    </row>
    <row r="76" spans="22:56">
      <c r="AD76" s="10"/>
      <c r="AE76" s="10"/>
      <c r="AS76" s="10"/>
      <c r="AT76" s="10"/>
    </row>
    <row r="532" spans="4:7">
      <c r="D532" s="65" t="s">
        <v>37</v>
      </c>
      <c r="E532" s="65" t="s">
        <v>37</v>
      </c>
      <c r="F532" s="65" t="s">
        <v>37</v>
      </c>
      <c r="G532" s="65" t="s">
        <v>37</v>
      </c>
    </row>
    <row r="533" spans="4:7">
      <c r="D533" s="65" t="s">
        <v>37</v>
      </c>
      <c r="E533" s="65" t="s">
        <v>37</v>
      </c>
      <c r="F533" s="65" t="s">
        <v>37</v>
      </c>
      <c r="G533" s="65" t="s">
        <v>37</v>
      </c>
    </row>
    <row r="534" spans="4:7">
      <c r="D534" s="65" t="s">
        <v>37</v>
      </c>
      <c r="E534" s="65" t="s">
        <v>37</v>
      </c>
      <c r="F534" s="65" t="s">
        <v>37</v>
      </c>
      <c r="G534" s="65" t="s">
        <v>37</v>
      </c>
    </row>
    <row r="535" spans="4:7">
      <c r="D535" s="65" t="s">
        <v>37</v>
      </c>
      <c r="E535" s="65" t="s">
        <v>37</v>
      </c>
      <c r="F535" s="65" t="s">
        <v>37</v>
      </c>
      <c r="G535" s="65" t="s">
        <v>37</v>
      </c>
    </row>
    <row r="536" spans="4:7">
      <c r="D536" s="65" t="s">
        <v>37</v>
      </c>
      <c r="E536" s="65" t="s">
        <v>37</v>
      </c>
      <c r="F536" s="65" t="s">
        <v>37</v>
      </c>
      <c r="G536" s="65" t="s">
        <v>37</v>
      </c>
    </row>
    <row r="537" spans="4:7">
      <c r="D537" s="65" t="s">
        <v>37</v>
      </c>
      <c r="E537" s="65" t="s">
        <v>37</v>
      </c>
      <c r="F537" s="65" t="s">
        <v>37</v>
      </c>
      <c r="G537" s="65" t="s">
        <v>37</v>
      </c>
    </row>
    <row r="538" spans="4:7">
      <c r="D538" s="65" t="s">
        <v>37</v>
      </c>
      <c r="E538" s="65" t="s">
        <v>37</v>
      </c>
      <c r="F538" s="65" t="s">
        <v>37</v>
      </c>
      <c r="G538" s="65" t="s">
        <v>37</v>
      </c>
    </row>
    <row r="539" spans="4:7">
      <c r="D539" s="65" t="s">
        <v>37</v>
      </c>
      <c r="E539" s="65" t="s">
        <v>37</v>
      </c>
      <c r="F539" s="65" t="s">
        <v>37</v>
      </c>
      <c r="G539" s="65" t="s">
        <v>37</v>
      </c>
    </row>
    <row r="540" spans="4:7">
      <c r="D540" s="65" t="s">
        <v>37</v>
      </c>
      <c r="E540" s="65" t="s">
        <v>37</v>
      </c>
      <c r="F540" s="65" t="s">
        <v>37</v>
      </c>
      <c r="G540" s="65" t="s">
        <v>37</v>
      </c>
    </row>
    <row r="541" spans="4:7">
      <c r="D541" s="65" t="s">
        <v>37</v>
      </c>
      <c r="E541" s="65" t="s">
        <v>37</v>
      </c>
      <c r="F541" s="65" t="s">
        <v>37</v>
      </c>
      <c r="G541" s="65" t="s">
        <v>37</v>
      </c>
    </row>
    <row r="542" spans="4:7">
      <c r="D542" s="65" t="s">
        <v>37</v>
      </c>
      <c r="E542" s="65" t="s">
        <v>37</v>
      </c>
      <c r="F542" s="65" t="s">
        <v>37</v>
      </c>
      <c r="G542" s="65" t="s">
        <v>37</v>
      </c>
    </row>
    <row r="543" spans="4:7">
      <c r="D543" s="65" t="s">
        <v>37</v>
      </c>
      <c r="E543" s="65" t="s">
        <v>37</v>
      </c>
      <c r="F543" s="65" t="s">
        <v>37</v>
      </c>
      <c r="G543" s="65" t="s">
        <v>37</v>
      </c>
    </row>
    <row r="544" spans="4:7">
      <c r="D544" s="65" t="s">
        <v>37</v>
      </c>
      <c r="E544" s="65" t="s">
        <v>37</v>
      </c>
      <c r="F544" s="65" t="s">
        <v>37</v>
      </c>
      <c r="G544" s="65" t="s">
        <v>37</v>
      </c>
    </row>
    <row r="545" spans="4:7">
      <c r="D545" s="65" t="s">
        <v>37</v>
      </c>
      <c r="E545" s="65" t="s">
        <v>37</v>
      </c>
      <c r="F545" s="65" t="s">
        <v>37</v>
      </c>
      <c r="G545" s="65" t="s">
        <v>37</v>
      </c>
    </row>
    <row r="546" spans="4:7">
      <c r="D546" s="65" t="s">
        <v>37</v>
      </c>
      <c r="E546" s="65" t="s">
        <v>37</v>
      </c>
      <c r="F546" s="65" t="s">
        <v>37</v>
      </c>
      <c r="G546" s="65" t="s">
        <v>37</v>
      </c>
    </row>
    <row r="547" spans="4:7">
      <c r="D547" s="65" t="s">
        <v>37</v>
      </c>
      <c r="E547" s="65" t="s">
        <v>37</v>
      </c>
      <c r="F547" s="65" t="s">
        <v>37</v>
      </c>
      <c r="G547" s="65" t="s">
        <v>37</v>
      </c>
    </row>
    <row r="548" spans="4:7">
      <c r="D548" s="65" t="s">
        <v>37</v>
      </c>
      <c r="E548" s="65" t="s">
        <v>37</v>
      </c>
      <c r="F548" s="65" t="s">
        <v>37</v>
      </c>
      <c r="G548" s="65" t="s">
        <v>37</v>
      </c>
    </row>
    <row r="549" spans="4:7">
      <c r="D549" s="65" t="s">
        <v>37</v>
      </c>
      <c r="E549" s="65" t="s">
        <v>37</v>
      </c>
      <c r="F549" s="65" t="s">
        <v>37</v>
      </c>
      <c r="G549" s="65" t="s">
        <v>37</v>
      </c>
    </row>
    <row r="550" spans="4:7">
      <c r="D550" s="65" t="s">
        <v>37</v>
      </c>
      <c r="E550" s="65" t="s">
        <v>37</v>
      </c>
      <c r="F550" s="65" t="s">
        <v>37</v>
      </c>
      <c r="G550" s="65" t="s">
        <v>37</v>
      </c>
    </row>
    <row r="551" spans="4:7">
      <c r="D551" s="65" t="s">
        <v>37</v>
      </c>
      <c r="E551" s="65" t="s">
        <v>37</v>
      </c>
      <c r="F551" s="65" t="s">
        <v>37</v>
      </c>
      <c r="G551" s="65" t="s">
        <v>37</v>
      </c>
    </row>
    <row r="552" spans="4:7">
      <c r="D552" s="65" t="s">
        <v>37</v>
      </c>
      <c r="E552" s="65" t="s">
        <v>37</v>
      </c>
      <c r="F552" s="65" t="s">
        <v>37</v>
      </c>
      <c r="G552" s="65" t="s">
        <v>37</v>
      </c>
    </row>
    <row r="553" spans="4:7">
      <c r="D553" s="65" t="s">
        <v>37</v>
      </c>
      <c r="E553" s="65" t="s">
        <v>37</v>
      </c>
      <c r="F553" s="65" t="s">
        <v>37</v>
      </c>
      <c r="G553" s="65" t="s">
        <v>37</v>
      </c>
    </row>
    <row r="554" spans="4:7">
      <c r="D554" s="65" t="s">
        <v>37</v>
      </c>
      <c r="E554" s="65" t="s">
        <v>37</v>
      </c>
      <c r="F554" s="65" t="s">
        <v>37</v>
      </c>
      <c r="G554" s="65" t="s">
        <v>37</v>
      </c>
    </row>
    <row r="555" spans="4:7">
      <c r="D555" s="65" t="s">
        <v>37</v>
      </c>
      <c r="E555" s="65" t="s">
        <v>37</v>
      </c>
      <c r="F555" s="65" t="s">
        <v>37</v>
      </c>
      <c r="G555" s="65" t="s">
        <v>37</v>
      </c>
    </row>
    <row r="556" spans="4:7">
      <c r="D556" s="65" t="s">
        <v>37</v>
      </c>
      <c r="E556" s="65" t="s">
        <v>37</v>
      </c>
      <c r="F556" s="65" t="s">
        <v>37</v>
      </c>
      <c r="G556" s="65" t="s">
        <v>37</v>
      </c>
    </row>
    <row r="557" spans="4:7">
      <c r="D557" s="65" t="s">
        <v>37</v>
      </c>
      <c r="E557" s="65" t="s">
        <v>37</v>
      </c>
      <c r="F557" s="65" t="s">
        <v>37</v>
      </c>
      <c r="G557" s="65" t="s">
        <v>37</v>
      </c>
    </row>
    <row r="558" spans="4:7">
      <c r="D558" s="65" t="s">
        <v>37</v>
      </c>
      <c r="E558" s="65" t="s">
        <v>37</v>
      </c>
      <c r="F558" s="65" t="s">
        <v>37</v>
      </c>
      <c r="G558" s="65" t="s">
        <v>37</v>
      </c>
    </row>
    <row r="560" spans="4:7">
      <c r="D560" s="65">
        <v>5.1102499999999997</v>
      </c>
      <c r="E560" s="65">
        <v>11.622349999999999</v>
      </c>
      <c r="F560" s="65">
        <v>10.623810000000001</v>
      </c>
      <c r="G560" s="65">
        <v>5.7588000000000008</v>
      </c>
    </row>
    <row r="561" spans="4:7">
      <c r="D561" s="65">
        <v>1.0484</v>
      </c>
      <c r="E561" s="65">
        <v>1.1865000000000001</v>
      </c>
      <c r="F561" s="65">
        <v>1.1836499999999999</v>
      </c>
      <c r="G561" s="65">
        <v>1.52955</v>
      </c>
    </row>
    <row r="562" spans="4:7">
      <c r="D562" s="65">
        <v>0</v>
      </c>
      <c r="E562" s="65">
        <v>0</v>
      </c>
      <c r="F562" s="65">
        <v>0</v>
      </c>
      <c r="G562" s="65">
        <v>0</v>
      </c>
    </row>
    <row r="563" spans="4:7">
      <c r="D563" s="65">
        <v>3.6723499999999998</v>
      </c>
      <c r="E563" s="65">
        <v>4.4518999999999993</v>
      </c>
      <c r="F563" s="65">
        <v>5.9601500000000005</v>
      </c>
      <c r="G563" s="65">
        <v>4.2292500000000004</v>
      </c>
    </row>
    <row r="564" spans="4:7">
      <c r="D564" s="65">
        <v>0</v>
      </c>
      <c r="E564" s="65">
        <v>0</v>
      </c>
      <c r="F564" s="65">
        <v>0</v>
      </c>
      <c r="G564" s="65">
        <v>0</v>
      </c>
    </row>
    <row r="565" spans="4:7">
      <c r="D565" s="65">
        <v>0</v>
      </c>
      <c r="E565" s="65">
        <v>0</v>
      </c>
      <c r="F565" s="65">
        <v>0</v>
      </c>
      <c r="G565" s="65">
        <v>0</v>
      </c>
    </row>
    <row r="566" spans="4:7">
      <c r="D566" s="65">
        <v>0</v>
      </c>
      <c r="E566" s="65">
        <v>0</v>
      </c>
      <c r="F566" s="65">
        <v>0</v>
      </c>
      <c r="G566" s="65">
        <v>0</v>
      </c>
    </row>
    <row r="567" spans="4:7">
      <c r="D567" s="65">
        <v>0</v>
      </c>
      <c r="E567" s="65">
        <v>0</v>
      </c>
      <c r="F567" s="65">
        <v>0</v>
      </c>
      <c r="G567" s="65">
        <v>0</v>
      </c>
    </row>
    <row r="568" spans="4:7">
      <c r="D568" s="65">
        <v>0</v>
      </c>
      <c r="E568" s="65">
        <v>0</v>
      </c>
      <c r="F568" s="65">
        <v>0</v>
      </c>
      <c r="G568" s="65">
        <v>0</v>
      </c>
    </row>
    <row r="569" spans="4:7">
      <c r="D569" s="65">
        <v>0</v>
      </c>
      <c r="E569" s="65">
        <v>0</v>
      </c>
      <c r="F569" s="65">
        <v>0</v>
      </c>
      <c r="G569" s="65">
        <v>0</v>
      </c>
    </row>
    <row r="570" spans="4:7">
      <c r="D570" s="65">
        <v>0</v>
      </c>
      <c r="E570" s="65">
        <v>0</v>
      </c>
      <c r="F570" s="65">
        <v>0</v>
      </c>
      <c r="G570" s="65">
        <v>0</v>
      </c>
    </row>
    <row r="571" spans="4:7">
      <c r="D571" s="65">
        <v>0</v>
      </c>
      <c r="E571" s="65">
        <v>0</v>
      </c>
      <c r="F571" s="65">
        <v>0</v>
      </c>
      <c r="G571" s="65">
        <v>0</v>
      </c>
    </row>
    <row r="572" spans="4:7">
      <c r="D572" s="65">
        <v>0</v>
      </c>
      <c r="E572" s="65">
        <v>0</v>
      </c>
      <c r="F572" s="65">
        <v>0</v>
      </c>
      <c r="G572" s="65">
        <v>0</v>
      </c>
    </row>
    <row r="573" spans="4:7">
      <c r="D573" s="65">
        <v>0</v>
      </c>
      <c r="E573" s="65">
        <v>0</v>
      </c>
      <c r="F573" s="65">
        <v>0</v>
      </c>
      <c r="G573" s="65">
        <v>0</v>
      </c>
    </row>
    <row r="574" spans="4:7">
      <c r="D574" s="65">
        <v>0</v>
      </c>
      <c r="E574" s="65">
        <v>0</v>
      </c>
      <c r="F574" s="65">
        <v>0</v>
      </c>
      <c r="G574" s="65">
        <v>0</v>
      </c>
    </row>
    <row r="575" spans="4:7">
      <c r="D575" s="65">
        <v>0</v>
      </c>
      <c r="E575" s="65">
        <v>0</v>
      </c>
      <c r="F575" s="65">
        <v>0</v>
      </c>
      <c r="G575" s="65">
        <v>0</v>
      </c>
    </row>
    <row r="576" spans="4:7">
      <c r="D576" s="65">
        <v>0</v>
      </c>
      <c r="E576" s="65">
        <v>0</v>
      </c>
      <c r="F576" s="65">
        <v>0</v>
      </c>
      <c r="G576" s="65">
        <v>0</v>
      </c>
    </row>
    <row r="577" spans="4:7">
      <c r="D577" s="65">
        <v>0</v>
      </c>
      <c r="E577" s="65">
        <v>0</v>
      </c>
      <c r="F577" s="65">
        <v>0</v>
      </c>
      <c r="G577" s="65">
        <v>0</v>
      </c>
    </row>
    <row r="578" spans="4:7">
      <c r="D578" s="65">
        <v>0</v>
      </c>
      <c r="E578" s="65">
        <v>0</v>
      </c>
      <c r="F578" s="65">
        <v>0</v>
      </c>
      <c r="G578" s="65">
        <v>0</v>
      </c>
    </row>
    <row r="579" spans="4:7">
      <c r="D579" s="65">
        <v>0</v>
      </c>
      <c r="E579" s="65">
        <v>0</v>
      </c>
      <c r="F579" s="65">
        <v>0</v>
      </c>
      <c r="G579" s="65">
        <v>0</v>
      </c>
    </row>
    <row r="580" spans="4:7">
      <c r="D580" s="65">
        <v>0</v>
      </c>
      <c r="E580" s="65">
        <v>0</v>
      </c>
      <c r="F580" s="65">
        <v>0</v>
      </c>
      <c r="G580" s="65">
        <v>0</v>
      </c>
    </row>
    <row r="581" spans="4:7">
      <c r="D581" s="65">
        <v>0</v>
      </c>
      <c r="E581" s="65">
        <v>0</v>
      </c>
      <c r="F581" s="65">
        <v>0</v>
      </c>
      <c r="G581" s="65">
        <v>0</v>
      </c>
    </row>
    <row r="582" spans="4:7">
      <c r="D582" s="65">
        <v>0.38950000000000001</v>
      </c>
      <c r="E582" s="65">
        <v>0.40435000000000004</v>
      </c>
      <c r="F582" s="65">
        <v>0.26069999999999999</v>
      </c>
      <c r="G582" s="65">
        <v>0</v>
      </c>
    </row>
    <row r="583" spans="4:7">
      <c r="D583" s="65">
        <v>0</v>
      </c>
      <c r="E583" s="65">
        <v>0</v>
      </c>
      <c r="F583" s="65">
        <v>0</v>
      </c>
      <c r="G583" s="65">
        <v>0</v>
      </c>
    </row>
    <row r="584" spans="4:7">
      <c r="D584" s="65">
        <v>0</v>
      </c>
      <c r="E584" s="65">
        <v>0</v>
      </c>
      <c r="F584" s="65">
        <v>0</v>
      </c>
      <c r="G584" s="65">
        <v>0</v>
      </c>
    </row>
    <row r="585" spans="4:7">
      <c r="D585" s="65">
        <v>0</v>
      </c>
      <c r="E585" s="65">
        <v>0</v>
      </c>
      <c r="F585" s="65">
        <v>0</v>
      </c>
      <c r="G585" s="65">
        <v>0</v>
      </c>
    </row>
    <row r="586" spans="4:7">
      <c r="D586" s="65">
        <v>0</v>
      </c>
      <c r="E586" s="65">
        <v>0</v>
      </c>
      <c r="F586" s="65">
        <v>0</v>
      </c>
      <c r="G586" s="65">
        <v>0</v>
      </c>
    </row>
    <row r="587" spans="4:7">
      <c r="D587" s="65">
        <v>0</v>
      </c>
      <c r="E587" s="65">
        <v>5.5796000000000001</v>
      </c>
      <c r="F587" s="65">
        <v>3.2193100000000006</v>
      </c>
      <c r="G587" s="65">
        <v>0</v>
      </c>
    </row>
    <row r="588" spans="4:7">
      <c r="D588" s="65">
        <v>0</v>
      </c>
      <c r="E588" s="65">
        <v>0</v>
      </c>
      <c r="F588" s="65">
        <v>0</v>
      </c>
      <c r="G588" s="65">
        <v>0</v>
      </c>
    </row>
    <row r="589" spans="4:7">
      <c r="D589" s="65">
        <v>0</v>
      </c>
      <c r="E589" s="65">
        <v>0</v>
      </c>
      <c r="F589" s="65">
        <v>0</v>
      </c>
      <c r="G589" s="65">
        <v>0</v>
      </c>
    </row>
    <row r="590" spans="4:7">
      <c r="D590" s="65">
        <v>0</v>
      </c>
      <c r="E590" s="65">
        <v>0</v>
      </c>
      <c r="F590" s="65">
        <v>0</v>
      </c>
      <c r="G590" s="65">
        <v>0</v>
      </c>
    </row>
    <row r="591" spans="4:7">
      <c r="D591" s="65">
        <v>0</v>
      </c>
      <c r="E591" s="65">
        <v>0</v>
      </c>
      <c r="F591" s="65">
        <v>0</v>
      </c>
      <c r="G591" s="65">
        <v>0</v>
      </c>
    </row>
    <row r="592" spans="4:7">
      <c r="D592" s="65" t="s">
        <v>37</v>
      </c>
      <c r="E592" s="65" t="s">
        <v>37</v>
      </c>
      <c r="F592" s="65" t="s">
        <v>37</v>
      </c>
      <c r="G592" s="65" t="s">
        <v>37</v>
      </c>
    </row>
    <row r="593" spans="4:7">
      <c r="D593" s="65">
        <v>5.1102499999999997</v>
      </c>
      <c r="E593" s="65">
        <v>11.622350000000001</v>
      </c>
      <c r="F593" s="65">
        <v>10.623810000000001</v>
      </c>
      <c r="G593" s="65">
        <v>5.7587999999999999</v>
      </c>
    </row>
    <row r="594" spans="4:7">
      <c r="D594" s="65">
        <v>5.1102499999999997</v>
      </c>
      <c r="E594" s="65">
        <v>6.0427499999999998</v>
      </c>
      <c r="F594" s="65">
        <v>7.4044999999999996</v>
      </c>
      <c r="G594" s="65">
        <v>5.7587999999999999</v>
      </c>
    </row>
    <row r="595" spans="4:7">
      <c r="D595" s="65">
        <v>6630</v>
      </c>
      <c r="E595" s="65">
        <v>6584.1571540265832</v>
      </c>
      <c r="F595" s="65">
        <v>6380.3545034541039</v>
      </c>
      <c r="G595" s="65">
        <v>6420.8394694275048</v>
      </c>
    </row>
    <row r="596" spans="4:7">
      <c r="D596" s="65">
        <v>0.44</v>
      </c>
      <c r="E596" s="65">
        <v>0.38090695856137607</v>
      </c>
      <c r="F596" s="65">
        <v>0.39777125396533869</v>
      </c>
      <c r="G596" s="65">
        <v>0.40243694006872255</v>
      </c>
    </row>
    <row r="597" spans="4:7">
      <c r="D597" s="65">
        <v>5.44</v>
      </c>
      <c r="E597" s="65">
        <v>2.9450742767787332</v>
      </c>
      <c r="F597" s="65">
        <v>4.3113695798424452</v>
      </c>
      <c r="G597" s="65">
        <v>4.3357753029088366</v>
      </c>
    </row>
    <row r="598" spans="4:7">
      <c r="D598" s="65">
        <v>9.7200000000000006</v>
      </c>
      <c r="E598" s="65">
        <v>11.207670054730258</v>
      </c>
      <c r="F598" s="65">
        <v>11.421453226634112</v>
      </c>
      <c r="G598" s="65">
        <v>10.907463087859472</v>
      </c>
    </row>
    <row r="599" spans="4:7">
      <c r="D599" s="65">
        <v>14.84</v>
      </c>
      <c r="E599" s="65">
        <v>16.300218921032052</v>
      </c>
      <c r="F599" s="65">
        <v>15.139835839740643</v>
      </c>
      <c r="G599" s="65">
        <v>14.76108032903643</v>
      </c>
    </row>
    <row r="600" spans="4:7">
      <c r="D600" s="65">
        <v>0</v>
      </c>
      <c r="E600" s="65">
        <v>5.5796000000000001</v>
      </c>
      <c r="F600" s="65">
        <v>3.2193100000000006</v>
      </c>
      <c r="G600" s="65">
        <v>0</v>
      </c>
    </row>
    <row r="601" spans="4:7">
      <c r="D601" s="65">
        <v>0</v>
      </c>
      <c r="E601" s="65">
        <v>7075</v>
      </c>
      <c r="F601" s="65">
        <v>7194</v>
      </c>
      <c r="G601" s="65">
        <v>0</v>
      </c>
    </row>
    <row r="602" spans="4:7">
      <c r="D602" s="65">
        <v>0</v>
      </c>
      <c r="E602" s="65">
        <v>2.21</v>
      </c>
      <c r="F602" s="65">
        <v>1.88</v>
      </c>
      <c r="G602" s="65">
        <v>0</v>
      </c>
    </row>
    <row r="603" spans="4:7">
      <c r="D603" s="65">
        <v>0</v>
      </c>
      <c r="E603" s="65">
        <v>2.17</v>
      </c>
      <c r="F603" s="65">
        <v>2.13</v>
      </c>
      <c r="G603" s="65">
        <v>0</v>
      </c>
    </row>
    <row r="604" spans="4:7">
      <c r="D604" s="65">
        <v>0</v>
      </c>
      <c r="E604" s="65">
        <v>6.97</v>
      </c>
      <c r="F604" s="65">
        <v>7.7</v>
      </c>
      <c r="G604" s="65">
        <v>0</v>
      </c>
    </row>
    <row r="605" spans="4:7">
      <c r="D605" s="65">
        <v>0</v>
      </c>
      <c r="E605" s="65">
        <v>8.58</v>
      </c>
      <c r="F605" s="65">
        <v>12.1</v>
      </c>
      <c r="G605" s="65">
        <v>0</v>
      </c>
    </row>
    <row r="606" spans="4:7">
      <c r="D606" s="65">
        <v>0</v>
      </c>
      <c r="E606" s="65">
        <v>0</v>
      </c>
      <c r="F606" s="65">
        <v>0</v>
      </c>
      <c r="G606" s="65">
        <v>0</v>
      </c>
    </row>
    <row r="607" spans="4:7">
      <c r="D607" s="65">
        <v>0</v>
      </c>
      <c r="E607" s="65">
        <v>0</v>
      </c>
      <c r="F607" s="65">
        <v>0</v>
      </c>
      <c r="G607" s="65">
        <v>0</v>
      </c>
    </row>
    <row r="608" spans="4:7">
      <c r="D608" s="65">
        <v>0</v>
      </c>
      <c r="E608" s="65">
        <v>0</v>
      </c>
      <c r="F608" s="65">
        <v>0</v>
      </c>
      <c r="G608" s="65">
        <v>0</v>
      </c>
    </row>
    <row r="609" spans="4:7">
      <c r="D609" s="65">
        <v>0</v>
      </c>
      <c r="E609" s="65">
        <v>0</v>
      </c>
      <c r="F609" s="65">
        <v>0</v>
      </c>
      <c r="G609" s="65">
        <v>0</v>
      </c>
    </row>
    <row r="610" spans="4:7">
      <c r="D610" s="65">
        <v>0</v>
      </c>
      <c r="E610" s="65">
        <v>0</v>
      </c>
      <c r="F610" s="65">
        <v>0</v>
      </c>
      <c r="G610" s="65">
        <v>0</v>
      </c>
    </row>
    <row r="611" spans="4:7">
      <c r="D611" s="65">
        <v>0</v>
      </c>
      <c r="E611" s="65">
        <v>0</v>
      </c>
      <c r="F611" s="65">
        <v>0</v>
      </c>
      <c r="G611" s="65">
        <v>0</v>
      </c>
    </row>
    <row r="613" spans="4:7">
      <c r="D613" s="65">
        <v>42.885450635000005</v>
      </c>
      <c r="E613" s="65">
        <v>39.511864635000002</v>
      </c>
      <c r="F613" s="65">
        <v>50.135674635000001</v>
      </c>
      <c r="G613" s="65">
        <v>47.868299635000007</v>
      </c>
    </row>
    <row r="614" spans="4:7">
      <c r="D614" s="65">
        <v>14.462730320000006</v>
      </c>
      <c r="E614" s="65">
        <v>8.1655511700000041</v>
      </c>
      <c r="F614" s="65">
        <v>15.570051170000003</v>
      </c>
      <c r="G614" s="65">
        <v>17.717072420000004</v>
      </c>
    </row>
    <row r="615" spans="4:7">
      <c r="D615" s="65">
        <v>6626.8913794729906</v>
      </c>
      <c r="E615" s="65">
        <v>6614.2980514072042</v>
      </c>
      <c r="F615" s="65">
        <v>6503.0437605956004</v>
      </c>
      <c r="G615" s="65">
        <v>6480.8485627293094</v>
      </c>
    </row>
    <row r="616" spans="4:7">
      <c r="D616" s="65">
        <v>0.39155090946977483</v>
      </c>
      <c r="E616" s="65">
        <v>0.38841424876502695</v>
      </c>
      <c r="F616" s="65">
        <v>0.39286407004366236</v>
      </c>
      <c r="G616" s="65">
        <v>0.39544874952128262</v>
      </c>
    </row>
    <row r="617" spans="4:7">
      <c r="D617" s="65">
        <v>4.4289811240215791</v>
      </c>
      <c r="E617" s="65">
        <v>3.9916893385455343</v>
      </c>
      <c r="F617" s="65">
        <v>4.1437166068466036</v>
      </c>
      <c r="G617" s="65">
        <v>4.1955725464875941</v>
      </c>
    </row>
    <row r="618" spans="4:7">
      <c r="D618" s="65">
        <v>10.392996989852161</v>
      </c>
      <c r="E618" s="65">
        <v>10.633072598224555</v>
      </c>
      <c r="F618" s="65">
        <v>11.007995217252695</v>
      </c>
      <c r="G618" s="65">
        <v>10.980851494314443</v>
      </c>
    </row>
    <row r="619" spans="4:7">
      <c r="D619" s="65">
        <v>14.611895604378052</v>
      </c>
      <c r="E619" s="65">
        <v>15.109426779581025</v>
      </c>
      <c r="F619" s="65">
        <v>15.123888124858151</v>
      </c>
      <c r="G619" s="65">
        <v>15.025929846752817</v>
      </c>
    </row>
    <row r="620" spans="4:7">
      <c r="D620" s="65">
        <v>28.422720314999999</v>
      </c>
      <c r="E620" s="65">
        <v>31.346313464999998</v>
      </c>
      <c r="F620" s="65">
        <v>34.565623465000002</v>
      </c>
      <c r="G620" s="65">
        <v>30.151227215000002</v>
      </c>
    </row>
    <row r="621" spans="4:7">
      <c r="D621" s="65">
        <v>6900.1009256953039</v>
      </c>
      <c r="E621" s="65">
        <v>6928.8009339873843</v>
      </c>
      <c r="F621" s="65">
        <v>6953.500560946798</v>
      </c>
      <c r="G621" s="65">
        <v>6953.500560946798</v>
      </c>
    </row>
    <row r="622" spans="4:7">
      <c r="D622" s="65">
        <v>1.9681913773871798</v>
      </c>
      <c r="E622" s="65">
        <v>2.0078708868509882</v>
      </c>
      <c r="F622" s="65">
        <v>1.9959614813931323</v>
      </c>
      <c r="G622" s="65">
        <v>1.9959614813931323</v>
      </c>
    </row>
    <row r="623" spans="4:7">
      <c r="D623" s="65">
        <v>3.0954482179976983</v>
      </c>
      <c r="E623" s="65">
        <v>2.9435870853072319</v>
      </c>
      <c r="F623" s="65">
        <v>2.8678126951171476</v>
      </c>
      <c r="G623" s="65">
        <v>2.8678126951171476</v>
      </c>
    </row>
    <row r="624" spans="4:7">
      <c r="D624" s="65">
        <v>8.0725331526779147</v>
      </c>
      <c r="E624" s="65">
        <v>7.8916133236282517</v>
      </c>
      <c r="F624" s="65">
        <v>7.8737671913426786</v>
      </c>
      <c r="G624" s="65">
        <v>7.8737671913426786</v>
      </c>
    </row>
    <row r="625" spans="4:7">
      <c r="D625" s="65">
        <v>11.387670666512079</v>
      </c>
      <c r="E625" s="65">
        <v>10.926946836322175</v>
      </c>
      <c r="F625" s="65">
        <v>11.036200522551313</v>
      </c>
      <c r="G625" s="65">
        <v>11.036200522551313</v>
      </c>
    </row>
    <row r="626" spans="4:7">
      <c r="D626" s="65">
        <v>0</v>
      </c>
      <c r="E626" s="65">
        <v>0</v>
      </c>
      <c r="F626" s="65">
        <v>0</v>
      </c>
      <c r="G626" s="65">
        <v>0</v>
      </c>
    </row>
    <row r="627" spans="4:7">
      <c r="D627" s="65">
        <v>0</v>
      </c>
      <c r="E627" s="65">
        <v>0</v>
      </c>
      <c r="F627" s="65">
        <v>0</v>
      </c>
      <c r="G627" s="65">
        <v>0</v>
      </c>
    </row>
    <row r="628" spans="4:7">
      <c r="D628" s="65">
        <v>0</v>
      </c>
      <c r="E628" s="65">
        <v>0</v>
      </c>
      <c r="F628" s="65">
        <v>0</v>
      </c>
      <c r="G628" s="65">
        <v>0</v>
      </c>
    </row>
    <row r="629" spans="4:7">
      <c r="D629" s="65">
        <v>0</v>
      </c>
      <c r="E629" s="65">
        <v>0</v>
      </c>
      <c r="F629" s="65">
        <v>0</v>
      </c>
      <c r="G629" s="65">
        <v>0</v>
      </c>
    </row>
    <row r="630" spans="4:7">
      <c r="D630" s="65">
        <v>0</v>
      </c>
      <c r="E630" s="65">
        <v>0</v>
      </c>
      <c r="F630" s="65">
        <v>0</v>
      </c>
      <c r="G630" s="65">
        <v>0</v>
      </c>
    </row>
    <row r="631" spans="4:7">
      <c r="D631" s="65">
        <v>0</v>
      </c>
      <c r="E631" s="65">
        <v>0</v>
      </c>
      <c r="F631" s="65">
        <v>0</v>
      </c>
      <c r="G631" s="65">
        <v>0</v>
      </c>
    </row>
    <row r="634" spans="4:7">
      <c r="D634" s="65">
        <v>0</v>
      </c>
      <c r="E634" s="65">
        <v>0</v>
      </c>
      <c r="F634" s="65" t="s">
        <v>37</v>
      </c>
      <c r="G634" s="65">
        <v>0</v>
      </c>
    </row>
    <row r="635" spans="4:7">
      <c r="D635" s="65">
        <v>0.65</v>
      </c>
      <c r="E635" s="65">
        <v>0.82288489027960632</v>
      </c>
      <c r="F635" s="65" t="s">
        <v>37</v>
      </c>
      <c r="G635" s="65">
        <v>0.44999999999999996</v>
      </c>
    </row>
    <row r="636" spans="4:7">
      <c r="D636" s="65">
        <v>0.35000000000000003</v>
      </c>
      <c r="E636" s="65">
        <v>0.17711510972039354</v>
      </c>
      <c r="F636" s="65" t="s">
        <v>37</v>
      </c>
      <c r="G636" s="65">
        <v>0.55000000000000004</v>
      </c>
    </row>
    <row r="637" spans="4:7">
      <c r="D637" s="65">
        <v>0</v>
      </c>
      <c r="E637" s="65">
        <v>0</v>
      </c>
      <c r="F637" s="65" t="s">
        <v>37</v>
      </c>
      <c r="G637" s="65">
        <v>0</v>
      </c>
    </row>
    <row r="638" spans="4:7">
      <c r="D638" s="65" t="s">
        <v>37</v>
      </c>
      <c r="E638" s="65" t="s">
        <v>37</v>
      </c>
      <c r="F638" s="65" t="s">
        <v>37</v>
      </c>
      <c r="G638" s="65" t="s">
        <v>37</v>
      </c>
    </row>
    <row r="639" spans="4:7">
      <c r="D639" s="65" t="s">
        <v>37</v>
      </c>
      <c r="E639" s="65" t="s">
        <v>37</v>
      </c>
      <c r="F639" s="65" t="s">
        <v>37</v>
      </c>
      <c r="G639" s="65" t="s">
        <v>37</v>
      </c>
    </row>
    <row r="640" spans="4:7">
      <c r="D640" s="65" t="s">
        <v>37</v>
      </c>
      <c r="E640" s="65" t="s">
        <v>37</v>
      </c>
      <c r="F640" s="65" t="s">
        <v>37</v>
      </c>
      <c r="G640" s="65" t="s">
        <v>37</v>
      </c>
    </row>
    <row r="641" spans="4:7">
      <c r="D641" s="65" t="s">
        <v>37</v>
      </c>
      <c r="E641" s="65" t="s">
        <v>37</v>
      </c>
      <c r="F641" s="65" t="s">
        <v>37</v>
      </c>
      <c r="G641" s="65" t="s">
        <v>37</v>
      </c>
    </row>
    <row r="642" spans="4:7">
      <c r="D642" s="65" t="s">
        <v>37</v>
      </c>
      <c r="E642" s="65" t="s">
        <v>37</v>
      </c>
      <c r="F642" s="65" t="s">
        <v>37</v>
      </c>
      <c r="G642" s="65" t="s">
        <v>37</v>
      </c>
    </row>
    <row r="643" spans="4:7">
      <c r="D643" s="65" t="s">
        <v>37</v>
      </c>
      <c r="E643" s="65" t="s">
        <v>37</v>
      </c>
      <c r="F643" s="65" t="s">
        <v>37</v>
      </c>
      <c r="G643" s="65" t="s">
        <v>37</v>
      </c>
    </row>
    <row r="644" spans="4:7">
      <c r="D644" s="65" t="s">
        <v>37</v>
      </c>
      <c r="E644" s="65" t="s">
        <v>37</v>
      </c>
      <c r="F644" s="65" t="s">
        <v>37</v>
      </c>
      <c r="G644" s="65" t="s">
        <v>37</v>
      </c>
    </row>
    <row r="645" spans="4:7">
      <c r="D645" s="65" t="s">
        <v>37</v>
      </c>
      <c r="E645" s="65" t="s">
        <v>37</v>
      </c>
      <c r="F645" s="65" t="s">
        <v>37</v>
      </c>
      <c r="G645" s="65" t="s">
        <v>37</v>
      </c>
    </row>
    <row r="647" spans="4:7">
      <c r="D647" s="65">
        <v>7.4346559999999986</v>
      </c>
      <c r="E647" s="65">
        <v>14.995936000000002</v>
      </c>
      <c r="F647" s="65">
        <v>0</v>
      </c>
      <c r="G647" s="65">
        <v>8.0261750000000003</v>
      </c>
    </row>
    <row r="648" spans="4:7">
      <c r="D648" s="65">
        <v>7.4346559999999986</v>
      </c>
      <c r="E648" s="65">
        <v>14.995936000000002</v>
      </c>
      <c r="F648" s="65">
        <v>0</v>
      </c>
      <c r="G648" s="65">
        <v>8.0261750000000003</v>
      </c>
    </row>
    <row r="649" spans="4:7">
      <c r="D649" s="65">
        <v>6680.1429026440501</v>
      </c>
      <c r="E649" s="65">
        <v>6588.4579722132712</v>
      </c>
      <c r="F649" s="65">
        <v>0</v>
      </c>
      <c r="G649" s="65">
        <v>0</v>
      </c>
    </row>
    <row r="650" spans="4:7">
      <c r="D650" s="65">
        <v>0.87663736963754602</v>
      </c>
      <c r="E650" s="65">
        <v>0.6979503133382271</v>
      </c>
      <c r="F650" s="65">
        <v>0</v>
      </c>
      <c r="G650" s="65">
        <v>0</v>
      </c>
    </row>
    <row r="651" spans="4:7">
      <c r="D651" s="65">
        <v>4.9944173234107945</v>
      </c>
      <c r="E651" s="65">
        <v>4.2423197878411862</v>
      </c>
      <c r="F651" s="65">
        <v>0</v>
      </c>
      <c r="G651" s="65">
        <v>0</v>
      </c>
    </row>
    <row r="652" spans="4:7">
      <c r="D652" s="65">
        <v>9.9569010428996325</v>
      </c>
      <c r="E652" s="65">
        <v>10.09463702832554</v>
      </c>
      <c r="F652" s="65">
        <v>0</v>
      </c>
      <c r="G652" s="65">
        <v>0</v>
      </c>
    </row>
    <row r="653" spans="4:7">
      <c r="D653" s="65">
        <v>14.275934240938653</v>
      </c>
      <c r="E653" s="65">
        <v>14.614228945762372</v>
      </c>
      <c r="F653" s="65">
        <v>0</v>
      </c>
      <c r="G653" s="65">
        <v>0</v>
      </c>
    </row>
    <row r="654" spans="4:7">
      <c r="D654" s="65">
        <v>0</v>
      </c>
      <c r="E654" s="65">
        <v>0</v>
      </c>
      <c r="F654" s="65">
        <v>0</v>
      </c>
      <c r="G654" s="65">
        <v>0</v>
      </c>
    </row>
    <row r="655" spans="4:7">
      <c r="D655" s="65">
        <v>0</v>
      </c>
      <c r="E655" s="65">
        <v>0</v>
      </c>
      <c r="F655" s="65">
        <v>0</v>
      </c>
      <c r="G655" s="65">
        <v>0</v>
      </c>
    </row>
    <row r="656" spans="4:7">
      <c r="D656" s="65">
        <v>0</v>
      </c>
      <c r="E656" s="65">
        <v>0</v>
      </c>
      <c r="F656" s="65">
        <v>0</v>
      </c>
      <c r="G656" s="65">
        <v>0</v>
      </c>
    </row>
    <row r="657" spans="4:7">
      <c r="D657" s="65">
        <v>0</v>
      </c>
      <c r="E657" s="65">
        <v>0</v>
      </c>
      <c r="F657" s="65">
        <v>0</v>
      </c>
      <c r="G657" s="65">
        <v>0</v>
      </c>
    </row>
    <row r="658" spans="4:7">
      <c r="D658" s="65">
        <v>0</v>
      </c>
      <c r="E658" s="65">
        <v>0</v>
      </c>
      <c r="F658" s="65">
        <v>0</v>
      </c>
      <c r="G658" s="65">
        <v>0</v>
      </c>
    </row>
    <row r="659" spans="4:7">
      <c r="D659" s="65">
        <v>0</v>
      </c>
      <c r="E659" s="65">
        <v>0</v>
      </c>
      <c r="F659" s="65">
        <v>0</v>
      </c>
      <c r="G659" s="65">
        <v>0</v>
      </c>
    </row>
    <row r="660" spans="4:7">
      <c r="D660" s="65">
        <v>0</v>
      </c>
      <c r="E660" s="65">
        <v>0</v>
      </c>
      <c r="F660" s="65">
        <v>0</v>
      </c>
      <c r="G660" s="65">
        <v>0</v>
      </c>
    </row>
    <row r="661" spans="4:7">
      <c r="D661" s="65">
        <v>0</v>
      </c>
      <c r="E661" s="65">
        <v>0</v>
      </c>
      <c r="F661" s="65">
        <v>0</v>
      </c>
      <c r="G661" s="65">
        <v>0</v>
      </c>
    </row>
    <row r="662" spans="4:7">
      <c r="D662" s="65">
        <v>0</v>
      </c>
      <c r="E662" s="65">
        <v>0</v>
      </c>
      <c r="F662" s="65">
        <v>0</v>
      </c>
      <c r="G662" s="65">
        <v>0</v>
      </c>
    </row>
    <row r="663" spans="4:7">
      <c r="D663" s="65">
        <v>0</v>
      </c>
      <c r="E663" s="65">
        <v>0</v>
      </c>
      <c r="F663" s="65">
        <v>0</v>
      </c>
      <c r="G663" s="65">
        <v>0</v>
      </c>
    </row>
    <row r="664" spans="4:7">
      <c r="D664" s="65">
        <v>0</v>
      </c>
      <c r="E664" s="65">
        <v>0</v>
      </c>
      <c r="F664" s="65">
        <v>0</v>
      </c>
      <c r="G664" s="65">
        <v>0</v>
      </c>
    </row>
    <row r="665" spans="4:7">
      <c r="D665" s="65">
        <v>0</v>
      </c>
      <c r="E665" s="65">
        <v>0</v>
      </c>
      <c r="F665" s="65">
        <v>0</v>
      </c>
      <c r="G665" s="65">
        <v>0</v>
      </c>
    </row>
  </sheetData>
  <mergeCells count="11">
    <mergeCell ref="U20:X20"/>
    <mergeCell ref="Y20:AB20"/>
    <mergeCell ref="AC20:AF20"/>
    <mergeCell ref="R25:R27"/>
    <mergeCell ref="S25:T25"/>
    <mergeCell ref="B2:B4"/>
    <mergeCell ref="C2:D2"/>
    <mergeCell ref="E2:J2"/>
    <mergeCell ref="K2:K4"/>
    <mergeCell ref="E3:G3"/>
    <mergeCell ref="H3:J3"/>
  </mergeCells>
  <conditionalFormatting sqref="C5:J35">
    <cfRule type="containsBlanks" dxfId="5" priority="1">
      <formula>LEN(TRIM(C5))=0</formula>
    </cfRule>
  </conditionalFormatting>
  <pageMargins left="0.7" right="0.7" top="0.75" bottom="0.75" header="0.3" footer="0.3"/>
  <pageSetup orientation="portrait" r:id="rId1"/>
  <ignoredErrors>
    <ignoredError sqref="M5:P4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AM215"/>
  <sheetViews>
    <sheetView showGridLines="0" zoomScale="55" zoomScaleNormal="55" workbookViewId="0">
      <selection activeCell="J20" sqref="J20:S43"/>
    </sheetView>
  </sheetViews>
  <sheetFormatPr defaultColWidth="8.90625" defaultRowHeight="12"/>
  <cols>
    <col min="1" max="1" width="5.81640625" style="97" bestFit="1" customWidth="1"/>
    <col min="2" max="3" width="10.81640625" style="96" customWidth="1"/>
    <col min="4" max="4" width="10.81640625" style="97" customWidth="1"/>
    <col min="5" max="5" width="12.6328125" style="97" bestFit="1" customWidth="1"/>
    <col min="6" max="8" width="10.81640625" style="97" customWidth="1"/>
    <col min="9" max="9" width="14.08984375" style="97" customWidth="1"/>
    <col min="10" max="10" width="16.453125" style="97" customWidth="1"/>
    <col min="11" max="11" width="12" style="97" bestFit="1" customWidth="1"/>
    <col min="12" max="12" width="10.81640625" style="97" customWidth="1"/>
    <col min="13" max="13" width="10.81640625" style="98" customWidth="1"/>
    <col min="14" max="20" width="10.81640625" style="97" customWidth="1"/>
    <col min="21" max="21" width="15.6328125" style="97" customWidth="1"/>
    <col min="22" max="22" width="10.81640625" style="97" customWidth="1"/>
    <col min="23" max="23" width="9.36328125" style="97" customWidth="1"/>
    <col min="24" max="29" width="10.81640625" style="97" customWidth="1"/>
    <col min="30" max="32" width="10.81640625" style="99" customWidth="1"/>
    <col min="33" max="38" width="10.81640625" style="97" customWidth="1"/>
    <col min="39" max="40" width="9.08984375" style="97" customWidth="1"/>
    <col min="41" max="16384" width="8.90625" style="97"/>
  </cols>
  <sheetData>
    <row r="1" spans="1:39" ht="11" customHeight="1" thickBot="1">
      <c r="A1" s="94">
        <f>+VLOOKUP($E$5,'Summary Sep26'!D19:AJ49,'Summary Sep26'!AO3+1,TRUE)</f>
        <v>46272</v>
      </c>
      <c r="B1" s="95" t="str">
        <f>TEXT('Summary Sep26'!I54,"mmmm")</f>
        <v>September</v>
      </c>
    </row>
    <row r="2" spans="1:39" ht="12" customHeight="1">
      <c r="B2" s="100"/>
      <c r="C2" s="101"/>
      <c r="D2" s="102"/>
      <c r="E2" s="102"/>
      <c r="F2" s="102"/>
      <c r="G2" s="102"/>
      <c r="H2" s="102"/>
      <c r="I2" s="102"/>
      <c r="J2" s="102"/>
      <c r="K2" s="102"/>
      <c r="L2" s="102"/>
      <c r="M2" s="103"/>
      <c r="N2" s="102"/>
      <c r="O2" s="102"/>
      <c r="P2" s="102"/>
      <c r="Q2" s="102"/>
      <c r="R2" s="102"/>
      <c r="S2" s="102"/>
      <c r="T2" s="102"/>
      <c r="U2" s="102"/>
      <c r="V2" s="104"/>
    </row>
    <row r="3" spans="1:39" ht="12" customHeight="1">
      <c r="B3" s="105"/>
      <c r="V3" s="106"/>
      <c r="W3" s="107"/>
      <c r="X3" s="108"/>
      <c r="Y3" s="108"/>
    </row>
    <row r="4" spans="1:39" ht="12" customHeight="1">
      <c r="B4" s="105"/>
      <c r="V4" s="106"/>
    </row>
    <row r="5" spans="1:39" ht="12" customHeight="1">
      <c r="B5" s="105"/>
      <c r="C5" s="109" t="s">
        <v>38</v>
      </c>
      <c r="D5" s="109"/>
      <c r="E5" s="110">
        <f>'Summary Sep26'!G54</f>
        <v>46272.439641550925</v>
      </c>
      <c r="F5" s="110"/>
      <c r="G5" s="111"/>
      <c r="H5" s="112"/>
      <c r="I5" s="112"/>
      <c r="J5" s="112"/>
      <c r="K5" s="113"/>
      <c r="L5" s="113"/>
      <c r="V5" s="106"/>
    </row>
    <row r="6" spans="1:39" ht="12" customHeight="1">
      <c r="B6" s="105"/>
      <c r="C6" s="109"/>
      <c r="D6" s="109"/>
      <c r="E6" s="110"/>
      <c r="F6" s="110"/>
      <c r="G6" s="111"/>
      <c r="V6" s="106"/>
    </row>
    <row r="7" spans="1:39" ht="12" customHeight="1">
      <c r="B7" s="105"/>
      <c r="G7" s="111"/>
      <c r="V7" s="106"/>
    </row>
    <row r="8" spans="1:39" ht="12" customHeight="1">
      <c r="B8" s="105"/>
      <c r="C8" s="114" t="s">
        <v>39</v>
      </c>
      <c r="D8" s="114" t="s">
        <v>40</v>
      </c>
      <c r="E8" s="114" t="s">
        <v>9</v>
      </c>
      <c r="F8" s="114" t="s">
        <v>41</v>
      </c>
      <c r="G8" s="111"/>
      <c r="L8" s="115"/>
      <c r="M8" s="116"/>
      <c r="V8" s="106"/>
      <c r="AD8" s="97"/>
      <c r="AF8" s="97"/>
    </row>
    <row r="9" spans="1:39" ht="12" customHeight="1">
      <c r="B9" s="105"/>
      <c r="C9" s="117" t="s">
        <v>42</v>
      </c>
      <c r="D9" s="118">
        <f>VLOOKUP($E$5,todate_plan,12,TRUE)</f>
        <v>23333.333333333332</v>
      </c>
      <c r="E9" s="118">
        <f>HLOOKUP('To Date Summary'!$A$4,budget_plan,14,0)/'To Date Summary'!$A$3*'Summary Sep26'!$C$52</f>
        <v>163333.33333333331</v>
      </c>
      <c r="F9" s="118">
        <f>VLOOKUP(E5,todate_plan,13,1)</f>
        <v>5913333.3333333535</v>
      </c>
      <c r="G9" s="119"/>
      <c r="L9" s="115"/>
      <c r="M9" s="120"/>
      <c r="V9" s="106"/>
    </row>
    <row r="10" spans="1:39" ht="12" customHeight="1">
      <c r="B10" s="105"/>
      <c r="C10" s="117" t="s">
        <v>4</v>
      </c>
      <c r="D10" s="118">
        <f>VLOOKUP($E$5,'Summary Sep26'!$D$19:$AI$50,'Summary Sep26'!W3,TRUE)</f>
        <v>25248.230000000003</v>
      </c>
      <c r="E10" s="118">
        <f>+'Summary Sep26'!W50</f>
        <v>144434.99</v>
      </c>
      <c r="F10" s="118">
        <f>'Summary Sep26'!K63</f>
        <v>5690095.580000001</v>
      </c>
      <c r="G10" s="121"/>
      <c r="L10" s="115"/>
      <c r="V10" s="106"/>
      <c r="AF10" s="97"/>
    </row>
    <row r="11" spans="1:39" ht="12" customHeight="1">
      <c r="B11" s="105"/>
      <c r="C11" s="117" t="s">
        <v>43</v>
      </c>
      <c r="D11" s="122">
        <f>IFERROR(D10/D9,"")</f>
        <v>1.0820670000000001</v>
      </c>
      <c r="E11" s="122">
        <f>IFERROR(E10/E9,"")</f>
        <v>0.88429585714285719</v>
      </c>
      <c r="F11" s="122">
        <f>IFERROR(F10/F9,"")</f>
        <v>0.96224840698985037</v>
      </c>
      <c r="G11" s="123"/>
      <c r="L11" s="115"/>
      <c r="Q11" s="114" t="s">
        <v>44</v>
      </c>
      <c r="R11" s="114" t="s">
        <v>40</v>
      </c>
      <c r="S11" s="114" t="s">
        <v>9</v>
      </c>
      <c r="T11" s="114" t="s">
        <v>41</v>
      </c>
      <c r="U11" s="124">
        <f>U12-T12</f>
        <v>2478500.0000000037</v>
      </c>
      <c r="V11" s="106"/>
      <c r="W11" s="96"/>
      <c r="AF11" s="97"/>
    </row>
    <row r="12" spans="1:39" ht="12" customHeight="1">
      <c r="B12" s="105"/>
      <c r="L12" s="115"/>
      <c r="Q12" s="125" t="s">
        <v>42</v>
      </c>
      <c r="R12" s="126">
        <f>SUM(R13:R15)</f>
        <v>22500</v>
      </c>
      <c r="S12" s="126">
        <f>SUM(S13:S15)</f>
        <v>157500</v>
      </c>
      <c r="T12" s="126">
        <f>SUM(T13:T15)</f>
        <v>5521499.9999999963</v>
      </c>
      <c r="U12" s="124">
        <v>8000000</v>
      </c>
      <c r="V12" s="106"/>
      <c r="W12" s="115"/>
      <c r="AF12" s="97"/>
    </row>
    <row r="13" spans="1:39" ht="12" customHeight="1">
      <c r="B13" s="127"/>
      <c r="K13" s="115"/>
      <c r="L13" s="115"/>
      <c r="Q13" s="128" t="s">
        <v>45</v>
      </c>
      <c r="R13" s="129">
        <f>VLOOKUP($E$5,todate_plan,2,TRUE)</f>
        <v>17166.666666666668</v>
      </c>
      <c r="S13" s="129">
        <f>HLOOKUP('To Date Summary'!$A$4,budget_plan,11,0)/'To Date Summary'!$A$3*'Summary Sep26'!$C$52</f>
        <v>120166.66666666667</v>
      </c>
      <c r="T13" s="129">
        <f>VLOOKUP(E5,todate_plan,3,1)</f>
        <v>4112166.6666666674</v>
      </c>
      <c r="U13" s="124"/>
      <c r="V13" s="106"/>
      <c r="W13" s="115"/>
      <c r="X13" s="130"/>
      <c r="Z13" s="131"/>
      <c r="AA13" s="131"/>
      <c r="AL13" s="115"/>
      <c r="AM13" s="115"/>
    </row>
    <row r="14" spans="1:39" ht="12" customHeight="1">
      <c r="B14" s="127"/>
      <c r="H14" s="132" t="s">
        <v>46</v>
      </c>
      <c r="I14" s="133"/>
      <c r="J14" s="134"/>
      <c r="K14" s="135" t="s">
        <v>47</v>
      </c>
      <c r="L14" s="135" t="s">
        <v>48</v>
      </c>
      <c r="M14" s="135" t="s">
        <v>49</v>
      </c>
      <c r="N14" s="135" t="s">
        <v>50</v>
      </c>
      <c r="O14" s="135" t="s">
        <v>51</v>
      </c>
      <c r="Q14" s="128" t="s">
        <v>52</v>
      </c>
      <c r="R14" s="129">
        <f>VLOOKUP($E$5,todate_plan,4,TRUE)</f>
        <v>5333.333333333333</v>
      </c>
      <c r="S14" s="129">
        <f>HLOOKUP('To Date Summary'!$A$4,budget_plan,12,0)/'To Date Summary'!$A$3*'Summary Sep26'!$C$52</f>
        <v>37333.333333333328</v>
      </c>
      <c r="T14" s="129">
        <f>VLOOKUP(E5,todate_plan,5,1)</f>
        <v>1409333.3333333291</v>
      </c>
      <c r="U14" s="124">
        <f>U12-T16</f>
        <v>2467163.2889999999</v>
      </c>
      <c r="V14" s="106"/>
      <c r="W14" s="124">
        <f>U14-U11</f>
        <v>-11336.711000003852</v>
      </c>
      <c r="X14" s="136"/>
      <c r="AL14" s="115"/>
      <c r="AM14" s="115"/>
    </row>
    <row r="15" spans="1:39" ht="12" customHeight="1">
      <c r="B15" s="127"/>
      <c r="H15" s="137" t="s">
        <v>53</v>
      </c>
      <c r="I15" s="138"/>
      <c r="J15" s="139">
        <f>(HLOOKUP('Summary Sep26'!C52,[1]plan!$D$5:$AH$560,181,0)*1000)+(HLOOKUP('Summary Sep26'!C52,[1]plan!$D$5:$AH$560,291,0)*1000)</f>
        <v>527535.57975028397</v>
      </c>
      <c r="K15" s="140" t="s">
        <v>54</v>
      </c>
      <c r="L15" s="141"/>
      <c r="M15" s="141"/>
      <c r="N15" s="141"/>
      <c r="O15" s="142"/>
      <c r="Q15" s="143"/>
      <c r="R15" s="144"/>
      <c r="S15" s="144"/>
      <c r="T15" s="144"/>
      <c r="U15" s="145"/>
      <c r="V15" s="106"/>
      <c r="W15" s="145"/>
      <c r="X15" s="96"/>
      <c r="AB15" s="146"/>
      <c r="AL15" s="115"/>
      <c r="AM15" s="115"/>
    </row>
    <row r="16" spans="1:39" ht="12" customHeight="1">
      <c r="B16" s="127"/>
      <c r="H16" s="147" t="s">
        <v>9</v>
      </c>
      <c r="I16" s="148"/>
      <c r="J16" s="126">
        <f>J18+J30+J24</f>
        <v>511307.73998000007</v>
      </c>
      <c r="K16" s="149"/>
      <c r="L16" s="150"/>
      <c r="M16" s="150"/>
      <c r="N16" s="150"/>
      <c r="O16" s="151"/>
      <c r="Q16" s="125" t="s">
        <v>4</v>
      </c>
      <c r="R16" s="126">
        <f>SUM(R17:R19)</f>
        <v>22160.84</v>
      </c>
      <c r="S16" s="126">
        <f>SUM(S17:S19)</f>
        <v>174095.21999999997</v>
      </c>
      <c r="T16" s="126">
        <f>SUM(T17:T19)</f>
        <v>5532836.7110000001</v>
      </c>
      <c r="U16" s="124"/>
      <c r="V16" s="106"/>
      <c r="W16" s="145"/>
      <c r="X16" s="136"/>
      <c r="Z16" s="152"/>
      <c r="AA16" s="152"/>
      <c r="AB16" s="153"/>
      <c r="AC16" s="153"/>
      <c r="AD16" s="153"/>
      <c r="AE16" s="153"/>
    </row>
    <row r="17" spans="2:32" ht="12" customHeight="1">
      <c r="B17" s="127"/>
      <c r="H17" s="154" t="str">
        <f>"ROM Ulin "&amp;FIXED(SUM('Stock Information'!F10,'Stock Information'!F17),0,FALSE)&amp;" Ton"</f>
        <v>ROM Ulin 0 Ton</v>
      </c>
      <c r="I17" s="155"/>
      <c r="J17" s="156"/>
      <c r="K17" s="157"/>
      <c r="L17" s="157"/>
      <c r="M17" s="157"/>
      <c r="N17" s="157"/>
      <c r="O17" s="158"/>
      <c r="Q17" s="128" t="str">
        <f>Q13</f>
        <v>ROM LS</v>
      </c>
      <c r="R17" s="129">
        <f>IFERROR(HLOOKUP('Stock Information'!$C$5,base_all,14)+HLOOKUP('Stock Information'!$C$5,base_all,134),"")*1000</f>
        <v>14729.84</v>
      </c>
      <c r="S17" s="129">
        <f>([1]actual!AM18+[1]actual!AM102+[1]actual!AM150+[1]actual!AM162)*1000</f>
        <v>129902.81999999999</v>
      </c>
      <c r="T17" s="129">
        <f>([1]actual!BJ18+[1]actual!BJ92+[1]actual!BJ150+[1]actual!BJ162)*1000</f>
        <v>4432223.818</v>
      </c>
      <c r="U17" s="124">
        <f>U14-U11</f>
        <v>-11336.711000003852</v>
      </c>
      <c r="V17" s="106"/>
      <c r="W17" s="159">
        <f>T16/U12</f>
        <v>0.69160458887499998</v>
      </c>
      <c r="X17" s="96"/>
    </row>
    <row r="18" spans="2:32" ht="12" customHeight="1">
      <c r="B18" s="127"/>
      <c r="H18" s="160" t="s">
        <v>7</v>
      </c>
      <c r="I18" s="161"/>
      <c r="J18" s="162">
        <f>J19+J21</f>
        <v>0</v>
      </c>
      <c r="K18" s="163"/>
      <c r="L18" s="163"/>
      <c r="M18" s="163"/>
      <c r="N18" s="163"/>
      <c r="O18" s="164"/>
      <c r="Q18" s="128" t="str">
        <f>Q14</f>
        <v>ROM HS</v>
      </c>
      <c r="R18" s="129">
        <f>IFERROR(HLOOKUP('Stock Information'!$C$5,base_all,56)+HLOOKUP('Stock Information'!$C$5,base_all,122)+HLOOKUP('Stock Information'!$C$5,base_all,140),"")*1000</f>
        <v>7431</v>
      </c>
      <c r="S18" s="129">
        <f>([1]actual!AM60+[1]actual!AM156)*1000</f>
        <v>44192.399999999994</v>
      </c>
      <c r="T18" s="129">
        <f>([1]actual!BJ60+[1]actual!BJ156)*1000</f>
        <v>1100612.8929999999</v>
      </c>
      <c r="U18" s="165">
        <f>U11-U14</f>
        <v>11336.711000003852</v>
      </c>
      <c r="V18" s="106"/>
      <c r="W18" s="166"/>
      <c r="X18" s="96"/>
      <c r="AB18" s="153"/>
      <c r="AC18" s="153"/>
    </row>
    <row r="19" spans="2:32" ht="12" customHeight="1">
      <c r="B19" s="127"/>
      <c r="H19" s="167">
        <f>IFERROR(J19/J18,0)</f>
        <v>0</v>
      </c>
      <c r="I19" s="168"/>
      <c r="J19" s="169">
        <f>J20</f>
        <v>0</v>
      </c>
      <c r="K19" s="170" t="str">
        <f>IFERROR(SUMPRODUCT($J$20:$J$20,K20:K20)/$J$19,"")</f>
        <v/>
      </c>
      <c r="L19" s="171" t="str">
        <f>IFERROR(SUMPRODUCT($J$20:$J$20,L20:L20)/$J$19,"")</f>
        <v/>
      </c>
      <c r="M19" s="171" t="str">
        <f>IFERROR(SUMPRODUCT($J$20:$J$20,M20:M20)/$J$19,"")</f>
        <v/>
      </c>
      <c r="N19" s="171" t="str">
        <f>IFERROR(SUMPRODUCT($J$20:$J$20,N20:N20)/$J$19,"")</f>
        <v/>
      </c>
      <c r="O19" s="171" t="str">
        <f>IFERROR(SUMPRODUCT($J$20:$J$20,O20:O20)/$J$19,"")</f>
        <v/>
      </c>
      <c r="Q19" s="143"/>
      <c r="R19" s="144"/>
      <c r="S19" s="144"/>
      <c r="T19" s="144"/>
      <c r="U19" s="159"/>
      <c r="V19" s="106"/>
      <c r="W19" s="166"/>
      <c r="X19" s="172"/>
      <c r="Z19" s="153"/>
      <c r="AA19" s="173"/>
      <c r="AE19" s="97"/>
      <c r="AF19" s="97"/>
    </row>
    <row r="20" spans="2:32" ht="12" customHeight="1">
      <c r="B20" s="127"/>
      <c r="H20" s="174" t="s">
        <v>55</v>
      </c>
      <c r="I20" s="175"/>
      <c r="J20" s="176">
        <f>([1]actual!AP198)*1000</f>
        <v>0</v>
      </c>
      <c r="K20" s="177" t="str">
        <f>IFERROR([1]actual!AP199,"")</f>
        <v/>
      </c>
      <c r="L20" s="178" t="str">
        <f>IFERROR([1]actual!AP200,"")</f>
        <v/>
      </c>
      <c r="M20" s="178" t="str">
        <f>IFERROR([1]actual!AP201,"")</f>
        <v/>
      </c>
      <c r="N20" s="178" t="str">
        <f>IFERROR([1]actual!AP202,"")</f>
        <v/>
      </c>
      <c r="O20" s="178" t="str">
        <f>IFERROR([1]actual!AP203,"")</f>
        <v/>
      </c>
      <c r="Q20" s="125" t="s">
        <v>43</v>
      </c>
      <c r="R20" s="179">
        <f t="shared" ref="R20:T23" si="0">IFERROR(R16/R12,"")</f>
        <v>0.98492622222222226</v>
      </c>
      <c r="S20" s="179">
        <f t="shared" si="0"/>
        <v>1.105366476190476</v>
      </c>
      <c r="T20" s="179">
        <f t="shared" si="0"/>
        <v>1.002053194059586</v>
      </c>
      <c r="U20" s="115"/>
      <c r="V20" s="106"/>
      <c r="W20" s="145">
        <f>SUM('Summary Sep26'!P19:P34)</f>
        <v>174095.22</v>
      </c>
      <c r="X20" s="136"/>
    </row>
    <row r="21" spans="2:32" ht="12" customHeight="1">
      <c r="B21" s="127"/>
      <c r="H21" s="180">
        <f>IFERROR(J21/J18,0)</f>
        <v>0</v>
      </c>
      <c r="I21" s="181"/>
      <c r="J21" s="182">
        <f>J22</f>
        <v>0</v>
      </c>
      <c r="K21" s="183" t="str">
        <f>IFERROR(SUMPRODUCT($J$22:$J$22,K22:K22)/$J$21,"")</f>
        <v/>
      </c>
      <c r="L21" s="184" t="str">
        <f>IFERROR(SUMPRODUCT($J$22:$J$22,L22:L22)/$J$21,"")</f>
        <v/>
      </c>
      <c r="M21" s="184" t="str">
        <f>IFERROR(SUMPRODUCT($J$22:$J$22,M22:M22)/$J$21,"")</f>
        <v/>
      </c>
      <c r="N21" s="184" t="str">
        <f>IFERROR(SUMPRODUCT($J$22:$J$22,N22:N22)/$J$21,"")</f>
        <v/>
      </c>
      <c r="O21" s="184" t="str">
        <f>IFERROR(SUMPRODUCT($J$22:$J$22,O22:O22)/$J$21,"")</f>
        <v/>
      </c>
      <c r="Q21" s="128" t="str">
        <f>Q17</f>
        <v>ROM LS</v>
      </c>
      <c r="R21" s="185">
        <f t="shared" si="0"/>
        <v>0.85804893203883492</v>
      </c>
      <c r="S21" s="185">
        <f t="shared" si="0"/>
        <v>1.081022080443828</v>
      </c>
      <c r="T21" s="185">
        <f t="shared" si="0"/>
        <v>1.0778317556843511</v>
      </c>
      <c r="U21" s="115"/>
      <c r="V21" s="106"/>
      <c r="W21" s="166"/>
      <c r="X21" s="136"/>
      <c r="Z21" s="153"/>
      <c r="AA21" s="152"/>
    </row>
    <row r="22" spans="2:32" ht="12" customHeight="1">
      <c r="B22" s="127"/>
      <c r="C22" s="114" t="s">
        <v>56</v>
      </c>
      <c r="D22" s="114" t="s">
        <v>40</v>
      </c>
      <c r="E22" s="114" t="s">
        <v>9</v>
      </c>
      <c r="F22" s="114" t="s">
        <v>41</v>
      </c>
      <c r="H22" s="186" t="s">
        <v>57</v>
      </c>
      <c r="I22" s="187"/>
      <c r="J22" s="188">
        <f>([1]actual!AP240)*1000</f>
        <v>0</v>
      </c>
      <c r="K22" s="189" t="str">
        <f>IFERROR([1]actual!AP241,"")</f>
        <v/>
      </c>
      <c r="L22" s="190" t="str">
        <f>IFERROR([1]actual!AP242,"")</f>
        <v/>
      </c>
      <c r="M22" s="190" t="str">
        <f>IFERROR([1]actual!AP243,"")</f>
        <v/>
      </c>
      <c r="N22" s="178" t="str">
        <f>IFERROR([1]actual!AP244,"")</f>
        <v/>
      </c>
      <c r="O22" s="178" t="str">
        <f>IFERROR([1]actual!AP245,"")</f>
        <v/>
      </c>
      <c r="Q22" s="128" t="str">
        <f>Q18</f>
        <v>ROM HS</v>
      </c>
      <c r="R22" s="185">
        <f t="shared" si="0"/>
        <v>1.3933125000000002</v>
      </c>
      <c r="S22" s="185">
        <f t="shared" si="0"/>
        <v>1.1837249999999999</v>
      </c>
      <c r="T22" s="185">
        <f t="shared" si="0"/>
        <v>0.78094576135288785</v>
      </c>
      <c r="U22" s="115"/>
      <c r="V22" s="106"/>
      <c r="W22" s="166">
        <f>SUM([1]budget!G302:G317)</f>
        <v>334967.74193548399</v>
      </c>
      <c r="X22" s="172"/>
    </row>
    <row r="23" spans="2:32" ht="12" customHeight="1">
      <c r="B23" s="127"/>
      <c r="C23" s="125" t="s">
        <v>42</v>
      </c>
      <c r="D23" s="126">
        <f>SUM(D24:D26)</f>
        <v>23333.333333333332</v>
      </c>
      <c r="E23" s="126">
        <f>SUM(E24:E26)</f>
        <v>163333.33333333334</v>
      </c>
      <c r="F23" s="126">
        <f>SUM(F24:F26)</f>
        <v>5913333.3333333442</v>
      </c>
      <c r="H23" s="154" t="str">
        <f>"ROM Bengkirai "&amp;FIXED(SUM('Stock Information'!F11,'Stock Information'!F12,'Stock Information'!F13,'Stock Information'!F14,'Stock Information'!F18,'Stock Information'!F19))&amp;" Ton"</f>
        <v>ROM Bengkirai 511,307.74 Ton</v>
      </c>
      <c r="I23" s="155"/>
      <c r="J23" s="191"/>
      <c r="K23" s="157"/>
      <c r="L23" s="157"/>
      <c r="M23" s="157"/>
      <c r="N23" s="157"/>
      <c r="O23" s="158"/>
      <c r="Q23" s="143"/>
      <c r="R23" s="192" t="str">
        <f t="shared" si="0"/>
        <v/>
      </c>
      <c r="S23" s="192" t="str">
        <f t="shared" si="0"/>
        <v/>
      </c>
      <c r="T23" s="192" t="str">
        <f t="shared" si="0"/>
        <v/>
      </c>
      <c r="V23" s="106"/>
      <c r="W23" s="166"/>
      <c r="X23" s="96"/>
    </row>
    <row r="24" spans="2:32" ht="12" customHeight="1">
      <c r="B24" s="127"/>
      <c r="C24" s="128" t="str">
        <f>C49</f>
        <v>HCV LS</v>
      </c>
      <c r="D24" s="129">
        <f>VLOOKUP($E$5,todate_plan,8,TRUE)</f>
        <v>20000</v>
      </c>
      <c r="E24" s="129">
        <f>HLOOKUP('To Date Summary'!$A$4,budget_plan,16,0)/'To Date Summary'!$A$3*'Summary Sep26'!$C$52</f>
        <v>140000</v>
      </c>
      <c r="F24" s="129">
        <f>VLOOKUP(E5,todate_plan,9,1)</f>
        <v>4690000.0000000084</v>
      </c>
      <c r="H24" s="160" t="s">
        <v>7</v>
      </c>
      <c r="I24" s="161"/>
      <c r="J24" s="162">
        <f>J25+J27</f>
        <v>511307.73998000007</v>
      </c>
      <c r="K24" s="163"/>
      <c r="L24" s="163"/>
      <c r="M24" s="163"/>
      <c r="N24" s="163"/>
      <c r="O24" s="164"/>
      <c r="V24" s="106"/>
      <c r="W24" s="166"/>
      <c r="X24" s="96"/>
      <c r="AD24" s="97"/>
    </row>
    <row r="25" spans="2:32" ht="12" customHeight="1">
      <c r="B25" s="127"/>
      <c r="C25" s="128" t="str">
        <f>C50</f>
        <v>HCV HS</v>
      </c>
      <c r="D25" s="129">
        <f>VLOOKUP($E$5,todate_plan,10,TRUE)</f>
        <v>3333.3333333333335</v>
      </c>
      <c r="E25" s="129">
        <f>HLOOKUP('To Date Summary'!$A$4,budget_plan,17,0)/'To Date Summary'!$A$3*'Summary Sep26'!$C$52</f>
        <v>23333.333333333336</v>
      </c>
      <c r="F25" s="129">
        <f>VLOOKUP(E5,todate_plan,11,1)</f>
        <v>1223333.3333333356</v>
      </c>
      <c r="H25" s="167">
        <f>IFERROR(J25/J24,0)</f>
        <v>0.67015290426349317</v>
      </c>
      <c r="I25" s="168"/>
      <c r="J25" s="169">
        <f t="shared" ref="J25" si="1">J26</f>
        <v>342654.36692000006</v>
      </c>
      <c r="K25" s="170">
        <f>IFERROR(SUMPRODUCT($J$26:$J$26,K26:K26)/$J$25,"")</f>
        <v>6531.6306320922413</v>
      </c>
      <c r="L25" s="171">
        <f>IFERROR(SUMPRODUCT($J$26:$J$26,L26:L26)/$J$25,"")</f>
        <v>0.56643077644580808</v>
      </c>
      <c r="M25" s="171">
        <f>IFERROR(SUMPRODUCT($J$26:$J$26,M26:M26)/$J$25,"")</f>
        <v>4.2552446095154828</v>
      </c>
      <c r="N25" s="171">
        <f>IFERROR(SUMPRODUCT($J$26:$J$26,N26:N26)/$J$25,"")</f>
        <v>10.499661677741376</v>
      </c>
      <c r="O25" s="171">
        <f>IFERROR(SUMPRODUCT($J$26:$J$26,O26:O26)/$J$25,"")</f>
        <v>14.358423288713196</v>
      </c>
      <c r="Q25" s="114" t="s">
        <v>58</v>
      </c>
      <c r="R25" s="114" t="s">
        <v>40</v>
      </c>
      <c r="S25" s="114" t="s">
        <v>9</v>
      </c>
      <c r="T25" s="114" t="s">
        <v>41</v>
      </c>
      <c r="V25" s="106"/>
      <c r="W25" s="166"/>
      <c r="X25" s="96"/>
      <c r="AD25" s="97"/>
    </row>
    <row r="26" spans="2:32" ht="12" customHeight="1">
      <c r="B26" s="127"/>
      <c r="C26" s="143" t="str">
        <f>C51</f>
        <v>MCV LS</v>
      </c>
      <c r="D26" s="144"/>
      <c r="E26" s="144"/>
      <c r="F26" s="144"/>
      <c r="H26" s="174" t="s">
        <v>55</v>
      </c>
      <c r="I26" s="175"/>
      <c r="J26" s="176">
        <f>[1]actual!AP204*1000</f>
        <v>342654.36692000006</v>
      </c>
      <c r="K26" s="177">
        <f>IFERROR([1]actual!AP205,"")</f>
        <v>6531.6306320922404</v>
      </c>
      <c r="L26" s="178">
        <f>IFERROR([1]actual!AP206,"")</f>
        <v>0.56643077644580808</v>
      </c>
      <c r="M26" s="178">
        <f>IFERROR([1]actual!AP207,"")</f>
        <v>4.2552446095154828</v>
      </c>
      <c r="N26" s="178">
        <f>IFERROR([1]actual!AP208,"")</f>
        <v>10.499661677741376</v>
      </c>
      <c r="O26" s="178">
        <f>IFERROR([1]actual!AP209,"")</f>
        <v>14.358423288713196</v>
      </c>
      <c r="Q26" s="117" t="s">
        <v>59</v>
      </c>
      <c r="R26" s="193">
        <f>+'Summary Sep26'!G83</f>
        <v>9.1801574308555107</v>
      </c>
      <c r="S26" s="193">
        <f>+'Summary Sep26'!I83</f>
        <v>9.2375856155039777</v>
      </c>
      <c r="T26" s="193">
        <f>+'Summary Sep26'!K83</f>
        <v>9.2042773990696212</v>
      </c>
      <c r="V26" s="106"/>
      <c r="W26" s="166"/>
      <c r="X26" s="172"/>
      <c r="AD26" s="97"/>
      <c r="AE26" s="97"/>
      <c r="AF26" s="97"/>
    </row>
    <row r="27" spans="2:32" ht="12" customHeight="1">
      <c r="B27" s="127"/>
      <c r="C27" s="125" t="s">
        <v>4</v>
      </c>
      <c r="D27" s="126">
        <f>SUM(D28:D30)</f>
        <v>25248.230000000003</v>
      </c>
      <c r="E27" s="126">
        <f>SUM(E28:E30)</f>
        <v>144434.99000000002</v>
      </c>
      <c r="F27" s="126">
        <f>SUM(F28:F30)</f>
        <v>5690095.5800000001</v>
      </c>
      <c r="H27" s="194">
        <f>IFERROR(J27/J24,0)</f>
        <v>0.32984709573650683</v>
      </c>
      <c r="I27" s="195"/>
      <c r="J27" s="196">
        <f>J28</f>
        <v>168653.37306000001</v>
      </c>
      <c r="K27" s="197">
        <f>IFERROR(SUMPRODUCT($J$28:$J$28,K28:K28)/$J$27,"")</f>
        <v>6536.1740629493625</v>
      </c>
      <c r="L27" s="198">
        <f>IFERROR(SUMPRODUCT($J$28:$J$28,L28:L28)/$J$27,"")</f>
        <v>1.7362849421618016</v>
      </c>
      <c r="M27" s="198">
        <f>IFERROR(SUMPRODUCT($J$28:$J$28,M28:M28)/$J$27,"")</f>
        <v>4.6292143700910469</v>
      </c>
      <c r="N27" s="198">
        <f>IFERROR(SUMPRODUCT($J$28:$J$28,N28:N28)/$J$27,"")</f>
        <v>10.021299315856254</v>
      </c>
      <c r="O27" s="198">
        <f>IFERROR(SUMPRODUCT($J$28:$J$28,O28:O28)/$J$27,"")</f>
        <v>13.5657948591783</v>
      </c>
      <c r="Q27" s="117" t="s">
        <v>60</v>
      </c>
      <c r="R27" s="193">
        <f>+'Summary Sep26'!G84</f>
        <v>8.0575945323691993</v>
      </c>
      <c r="S27" s="193">
        <f>+'Summary Sep26'!I84</f>
        <v>11.134556107214738</v>
      </c>
      <c r="T27" s="193">
        <f>+'Summary Sep26'!K84</f>
        <v>8.9498960387937796</v>
      </c>
      <c r="V27" s="106"/>
      <c r="W27" s="166"/>
      <c r="X27" s="96"/>
      <c r="AD27" s="97"/>
      <c r="AE27" s="97"/>
      <c r="AF27" s="97"/>
    </row>
    <row r="28" spans="2:32" ht="12" customHeight="1">
      <c r="B28" s="127"/>
      <c r="C28" s="128" t="str">
        <f>C24</f>
        <v>HCV LS</v>
      </c>
      <c r="D28" s="129">
        <f>+'Summary Sep26'!G67</f>
        <v>11700.300000000001</v>
      </c>
      <c r="E28" s="129">
        <f>+'Summary Sep26'!X50</f>
        <v>21307.350000000002</v>
      </c>
      <c r="F28" s="129">
        <f>+'Summary Sep26'!K67</f>
        <v>4113206.32</v>
      </c>
      <c r="H28" s="199" t="s">
        <v>57</v>
      </c>
      <c r="I28" s="200"/>
      <c r="J28" s="201">
        <f>[1]actual!AP246*1000</f>
        <v>168653.37306000001</v>
      </c>
      <c r="K28" s="202">
        <f>IFERROR([1]actual!AP247,"")</f>
        <v>6536.1740629493625</v>
      </c>
      <c r="L28" s="203">
        <f>IFERROR([1]actual!AP248,"")</f>
        <v>1.7362849421618016</v>
      </c>
      <c r="M28" s="203">
        <f>IFERROR([1]actual!AP249,"")</f>
        <v>4.6292143700910469</v>
      </c>
      <c r="N28" s="203">
        <f>IFERROR([1]actual!AP250,"")</f>
        <v>10.021299315856254</v>
      </c>
      <c r="O28" s="204">
        <f>IFERROR([1]actual!AP251,"")</f>
        <v>13.5657948591783</v>
      </c>
      <c r="V28" s="106"/>
      <c r="W28" s="166"/>
      <c r="X28" s="205"/>
      <c r="Y28" s="99"/>
      <c r="Z28" s="99"/>
      <c r="AA28" s="99"/>
      <c r="AB28" s="99"/>
      <c r="AC28" s="99"/>
    </row>
    <row r="29" spans="2:32" ht="12" customHeight="1">
      <c r="B29" s="127"/>
      <c r="C29" s="128" t="str">
        <f>C25</f>
        <v>HCV HS</v>
      </c>
      <c r="D29" s="129">
        <f>+'Summary Sep26'!G68</f>
        <v>13547.930000000002</v>
      </c>
      <c r="E29" s="129">
        <f>+'Summary Sep26'!Y50</f>
        <v>73938.920000000013</v>
      </c>
      <c r="F29" s="129">
        <f>+'Summary Sep26'!K68</f>
        <v>1200453.6600000001</v>
      </c>
      <c r="H29" s="154" t="str">
        <f>"ROM SB1 "&amp;FIXED(SUM('Stock Information'!F31,'Stock Information'!F32),0,FALSE)&amp;" Ton "</f>
        <v xml:space="preserve">ROM SB1 0 Ton </v>
      </c>
      <c r="I29" s="155"/>
      <c r="J29" s="191"/>
      <c r="K29" s="157"/>
      <c r="L29" s="157"/>
      <c r="M29" s="157"/>
      <c r="N29" s="157"/>
      <c r="O29" s="158"/>
      <c r="Q29" s="206" t="s">
        <v>61</v>
      </c>
      <c r="R29" s="207"/>
      <c r="S29" s="208" t="s">
        <v>40</v>
      </c>
      <c r="T29" s="208" t="s">
        <v>9</v>
      </c>
      <c r="U29" s="208" t="s">
        <v>41</v>
      </c>
      <c r="V29" s="106"/>
      <c r="W29" s="209"/>
      <c r="X29" s="99"/>
      <c r="Y29" s="99"/>
      <c r="Z29" s="99"/>
      <c r="AA29" s="99"/>
      <c r="AB29" s="99"/>
      <c r="AC29" s="99"/>
    </row>
    <row r="30" spans="2:32" ht="12" customHeight="1">
      <c r="B30" s="127"/>
      <c r="C30" s="143" t="str">
        <f>C26</f>
        <v>MCV LS</v>
      </c>
      <c r="D30" s="144">
        <f>+'Summary Sep26'!G69</f>
        <v>0</v>
      </c>
      <c r="E30" s="144">
        <f>+'Summary Sep26'!Z50</f>
        <v>49188.719999999994</v>
      </c>
      <c r="F30" s="144">
        <f>+'Summary Sep26'!K69</f>
        <v>376435.6</v>
      </c>
      <c r="H30" s="160" t="s">
        <v>7</v>
      </c>
      <c r="I30" s="161"/>
      <c r="J30" s="162">
        <f>J31+J33</f>
        <v>0</v>
      </c>
      <c r="K30" s="163"/>
      <c r="L30" s="163"/>
      <c r="M30" s="163"/>
      <c r="N30" s="163"/>
      <c r="O30" s="164"/>
      <c r="Q30" s="125" t="s">
        <v>0</v>
      </c>
      <c r="R30" s="210" t="s">
        <v>3</v>
      </c>
      <c r="S30" s="211">
        <f>HLOOKUP($B$1,[1]budget!$C$2:$N$25,23,0)</f>
        <v>11.930353934583078</v>
      </c>
      <c r="T30" s="211">
        <f>+S30*'Summary Sep26'!C52</f>
        <v>83.512477542081541</v>
      </c>
      <c r="U30" s="211">
        <f>VLOOKUP(E5,todate_plan,19,1)</f>
        <v>3831.5753632209153</v>
      </c>
      <c r="V30" s="106"/>
      <c r="W30" s="209"/>
      <c r="X30" s="99"/>
      <c r="Y30" s="99"/>
      <c r="Z30" s="99"/>
      <c r="AA30" s="99"/>
      <c r="AB30" s="99"/>
      <c r="AC30" s="99"/>
    </row>
    <row r="31" spans="2:32" ht="12" customHeight="1">
      <c r="B31" s="127"/>
      <c r="C31" s="125" t="s">
        <v>43</v>
      </c>
      <c r="D31" s="179">
        <f t="shared" ref="D31:F34" si="2">IFERROR(D27/D23,"")</f>
        <v>1.0820670000000001</v>
      </c>
      <c r="E31" s="179">
        <f t="shared" si="2"/>
        <v>0.88429585714285719</v>
      </c>
      <c r="F31" s="179">
        <f t="shared" si="2"/>
        <v>0.9622484069898517</v>
      </c>
      <c r="H31" s="167">
        <f>IFERROR(J31/J30,0)</f>
        <v>0</v>
      </c>
      <c r="I31" s="168"/>
      <c r="J31" s="169">
        <f t="shared" ref="J31" si="3">J32</f>
        <v>0</v>
      </c>
      <c r="K31" s="170" t="str">
        <f>IFERROR(SUMPRODUCT($J$32:$J$32,K32:K32)/$J$31,"")</f>
        <v/>
      </c>
      <c r="L31" s="171" t="str">
        <f t="shared" ref="L31:O31" si="4">IFERROR(SUMPRODUCT($J$32:$J$32,L32:L32)/$J$31,"")</f>
        <v/>
      </c>
      <c r="M31" s="171" t="str">
        <f t="shared" si="4"/>
        <v/>
      </c>
      <c r="N31" s="171" t="str">
        <f t="shared" si="4"/>
        <v/>
      </c>
      <c r="O31" s="171" t="str">
        <f t="shared" si="4"/>
        <v/>
      </c>
      <c r="Q31" s="212"/>
      <c r="R31" s="210" t="s">
        <v>53</v>
      </c>
      <c r="S31" s="211">
        <f>HLOOKUP($B$1,'[1]Rainfall Out26'!$D$1:$O$14,11,0)</f>
        <v>8.461333333333334</v>
      </c>
      <c r="T31" s="211">
        <f>+S31*'Summary Sep26'!$C$52</f>
        <v>59.229333333333336</v>
      </c>
      <c r="U31" s="211">
        <f>VLOOKUP(E5,'[1]Rainfall Out26'!$E$22:$I$389,3,1)</f>
        <v>2970.7647353397692</v>
      </c>
      <c r="V31" s="106"/>
      <c r="W31" s="209"/>
      <c r="X31" s="99"/>
      <c r="Y31" s="99"/>
      <c r="Z31" s="99"/>
      <c r="AA31" s="99"/>
      <c r="AB31" s="99"/>
      <c r="AC31" s="99"/>
    </row>
    <row r="32" spans="2:32" ht="12" customHeight="1">
      <c r="B32" s="127"/>
      <c r="C32" s="128" t="str">
        <f>C24</f>
        <v>HCV LS</v>
      </c>
      <c r="D32" s="185">
        <f t="shared" si="2"/>
        <v>0.58501500000000006</v>
      </c>
      <c r="E32" s="185">
        <f t="shared" si="2"/>
        <v>0.15219535714285715</v>
      </c>
      <c r="F32" s="185">
        <f t="shared" si="2"/>
        <v>0.87701627292110718</v>
      </c>
      <c r="H32" s="174" t="s">
        <v>55</v>
      </c>
      <c r="I32" s="175"/>
      <c r="J32" s="176">
        <f>[1]actual!AM328*1000</f>
        <v>0</v>
      </c>
      <c r="K32" s="177">
        <f>IFERROR([1]actual!AP329,"")</f>
        <v>0</v>
      </c>
      <c r="L32" s="178">
        <f>IFERROR([1]actual!AP330,"")</f>
        <v>0</v>
      </c>
      <c r="M32" s="178">
        <f>IFERROR([1]actual!AP331,"")</f>
        <v>0</v>
      </c>
      <c r="N32" s="178">
        <f>IFERROR([1]actual!AP332,"")</f>
        <v>0</v>
      </c>
      <c r="O32" s="178">
        <f>IFERROR([1]actual!AP333,"")</f>
        <v>0</v>
      </c>
      <c r="Q32" s="117"/>
      <c r="R32" s="213" t="s">
        <v>4</v>
      </c>
      <c r="S32" s="193">
        <f>VLOOKUP('Summary Sep26'!C52,weather!$B$5:$K$35,3,0)</f>
        <v>10.6</v>
      </c>
      <c r="T32" s="193">
        <f>+weather!D40</f>
        <v>40.6</v>
      </c>
      <c r="U32" s="193">
        <f>+weather!D44</f>
        <v>2342.4</v>
      </c>
      <c r="V32" s="106"/>
      <c r="W32" s="209"/>
      <c r="X32" s="99"/>
      <c r="Y32" s="99"/>
      <c r="Z32" s="99"/>
      <c r="AA32" s="99"/>
      <c r="AB32" s="99"/>
      <c r="AC32" s="99"/>
    </row>
    <row r="33" spans="2:24" ht="12" customHeight="1">
      <c r="B33" s="127"/>
      <c r="C33" s="128" t="str">
        <f>C25</f>
        <v>HCV HS</v>
      </c>
      <c r="D33" s="185">
        <f t="shared" si="2"/>
        <v>4.0643790000000006</v>
      </c>
      <c r="E33" s="185">
        <f t="shared" si="2"/>
        <v>3.1688108571428573</v>
      </c>
      <c r="F33" s="185">
        <f t="shared" si="2"/>
        <v>0.98129726975476672</v>
      </c>
      <c r="H33" s="194">
        <f>IFERROR(J33/J30,0)</f>
        <v>0</v>
      </c>
      <c r="I33" s="195"/>
      <c r="J33" s="196">
        <f>J34</f>
        <v>0</v>
      </c>
      <c r="K33" s="197" t="str">
        <f>IFERROR(SUMPRODUCT($J$34:$J$34,K34:K34)/$J$33,"")</f>
        <v/>
      </c>
      <c r="L33" s="198" t="str">
        <f t="shared" ref="L33:O33" si="5">IFERROR(SUMPRODUCT($J$34:$J$34,L34:L34)/$J$33,"")</f>
        <v/>
      </c>
      <c r="M33" s="198" t="str">
        <f t="shared" si="5"/>
        <v/>
      </c>
      <c r="N33" s="198" t="str">
        <f t="shared" si="5"/>
        <v/>
      </c>
      <c r="O33" s="198" t="str">
        <f t="shared" si="5"/>
        <v/>
      </c>
      <c r="Q33" s="125" t="s">
        <v>62</v>
      </c>
      <c r="R33" s="214" t="s">
        <v>3</v>
      </c>
      <c r="S33" s="215">
        <f>HLOOKUP($B$1,[1]budget!$C$2:$N$25,24,0)</f>
        <v>5.0017253819289316</v>
      </c>
      <c r="T33" s="215">
        <f>+S33*'Summary Sep26'!C52</f>
        <v>35.012077673502517</v>
      </c>
      <c r="U33" s="215">
        <f>VLOOKUP(E5,todate_plan,21,1)</f>
        <v>1325.2421370765019</v>
      </c>
      <c r="V33" s="106"/>
      <c r="W33" s="209"/>
    </row>
    <row r="34" spans="2:24" ht="12" customHeight="1">
      <c r="B34" s="127"/>
      <c r="C34" s="143" t="str">
        <f>C26</f>
        <v>MCV LS</v>
      </c>
      <c r="D34" s="192" t="str">
        <f t="shared" si="2"/>
        <v/>
      </c>
      <c r="E34" s="192" t="str">
        <f t="shared" si="2"/>
        <v/>
      </c>
      <c r="F34" s="192" t="str">
        <f t="shared" si="2"/>
        <v/>
      </c>
      <c r="H34" s="199" t="s">
        <v>57</v>
      </c>
      <c r="I34" s="200"/>
      <c r="J34" s="201">
        <f>[1]actual!AM334*1000</f>
        <v>0</v>
      </c>
      <c r="K34" s="202" t="str">
        <f>IFERROR([1]actual!AP335,"")</f>
        <v/>
      </c>
      <c r="L34" s="203" t="str">
        <f>IFERROR([1]actual!AP336,"")</f>
        <v/>
      </c>
      <c r="M34" s="203" t="str">
        <f>IFERROR([1]actual!AP337,"")</f>
        <v/>
      </c>
      <c r="N34" s="203" t="str">
        <f>IFERROR([1]actual!AP338,"")</f>
        <v/>
      </c>
      <c r="O34" s="204" t="str">
        <f>IFERROR([1]actual!AP339,"")</f>
        <v/>
      </c>
      <c r="Q34" s="212" t="s">
        <v>63</v>
      </c>
      <c r="R34" s="210" t="str">
        <f>R31</f>
        <v>Outlook</v>
      </c>
      <c r="S34" s="211">
        <f>HLOOKUP($B$1,'[1]Rainfall Out26'!$D$1:$O$14,14,0)</f>
        <v>3.4076650383231897</v>
      </c>
      <c r="T34" s="211">
        <f>+S34*'Summary Sep26'!C52</f>
        <v>23.85365526826233</v>
      </c>
      <c r="U34" s="211">
        <f>VLOOKUP(E5,'[1]Rainfall Out26'!$E$22:$I$389,5,1)</f>
        <v>1057.8709951719161</v>
      </c>
      <c r="V34" s="106"/>
      <c r="W34" s="209"/>
    </row>
    <row r="35" spans="2:24" ht="12" customHeight="1">
      <c r="B35" s="127"/>
      <c r="Q35" s="216"/>
      <c r="R35" s="217" t="s">
        <v>4</v>
      </c>
      <c r="S35" s="218">
        <f>VLOOKUP('Summary Sep26'!C52,weather!$B$5:$K$35,9,0)</f>
        <v>3.8833333344664425</v>
      </c>
      <c r="T35" s="218">
        <f>+weather!J40</f>
        <v>10.000000003259629</v>
      </c>
      <c r="U35" s="218">
        <f>+weather!J44</f>
        <v>1002.0333333580626</v>
      </c>
      <c r="V35" s="106"/>
      <c r="W35" s="209"/>
    </row>
    <row r="36" spans="2:24" ht="12" customHeight="1">
      <c r="B36" s="127"/>
      <c r="Q36" s="212" t="s">
        <v>62</v>
      </c>
      <c r="R36" s="210" t="s">
        <v>3</v>
      </c>
      <c r="S36" s="185">
        <f>+S33/24</f>
        <v>0.20840522424703881</v>
      </c>
      <c r="T36" s="185">
        <f>+weather!G41</f>
        <v>0.20168247507777945</v>
      </c>
      <c r="U36" s="185">
        <f>weather!N44</f>
        <v>0.22087368951275033</v>
      </c>
      <c r="V36" s="106"/>
      <c r="W36" s="209"/>
    </row>
    <row r="37" spans="2:24" ht="12" customHeight="1">
      <c r="B37" s="127"/>
      <c r="Q37" s="212" t="s">
        <v>64</v>
      </c>
      <c r="R37" s="210" t="str">
        <f>R34</f>
        <v>Outlook</v>
      </c>
      <c r="S37" s="185">
        <f>+S34/24</f>
        <v>0.14198604326346623</v>
      </c>
      <c r="T37" s="185">
        <f>weather!O44</f>
        <v>0.14198604326346626</v>
      </c>
      <c r="U37" s="185">
        <f>weather!N45</f>
        <v>0.17631183252865268</v>
      </c>
      <c r="V37" s="106"/>
      <c r="W37" s="209"/>
    </row>
    <row r="38" spans="2:24" ht="12" customHeight="1">
      <c r="B38" s="127"/>
      <c r="Q38" s="117"/>
      <c r="R38" s="213" t="s">
        <v>4</v>
      </c>
      <c r="S38" s="122">
        <f>+S35/24</f>
        <v>0.16180555560276844</v>
      </c>
      <c r="T38" s="122">
        <f>+weather!J41</f>
        <v>5.9523809543212076E-2</v>
      </c>
      <c r="U38" s="122">
        <f>+weather!L44</f>
        <v>0.16700555555967708</v>
      </c>
      <c r="V38" s="106"/>
      <c r="W38" s="209"/>
    </row>
    <row r="39" spans="2:24" ht="12" customHeight="1">
      <c r="B39" s="127"/>
      <c r="V39" s="106"/>
      <c r="W39" s="209"/>
    </row>
    <row r="40" spans="2:24" ht="12" customHeight="1">
      <c r="B40" s="127"/>
      <c r="O40" s="219" t="s">
        <v>65</v>
      </c>
      <c r="Q40" s="220" t="s">
        <v>66</v>
      </c>
      <c r="R40" s="220" t="s">
        <v>40</v>
      </c>
      <c r="S40" s="220" t="s">
        <v>9</v>
      </c>
      <c r="T40" s="220" t="s">
        <v>41</v>
      </c>
      <c r="V40" s="106"/>
      <c r="W40" s="209"/>
    </row>
    <row r="41" spans="2:24" ht="12" customHeight="1">
      <c r="B41" s="127"/>
      <c r="O41" s="221" t="str">
        <f>'Summary Sep26'!E86</f>
        <v>0,30</v>
      </c>
      <c r="Q41" s="222" t="s">
        <v>42</v>
      </c>
      <c r="R41" s="118">
        <f>VLOOKUP($E$5,todate_plan,16,TRUE)</f>
        <v>214333.33333333334</v>
      </c>
      <c r="S41" s="118">
        <f>HLOOKUP('To Date Summary'!$A$4,budget_plan,3,0)/'To Date Summary'!$A$3*'Summary Sep26'!$C$52</f>
        <v>1500333.3333333335</v>
      </c>
      <c r="T41" s="118">
        <f>VLOOKUP(E5,todate_plan,17,1)</f>
        <v>50875748.079877056</v>
      </c>
      <c r="V41" s="106"/>
    </row>
    <row r="42" spans="2:24" ht="12" customHeight="1">
      <c r="B42" s="127"/>
      <c r="Q42" s="222" t="s">
        <v>4</v>
      </c>
      <c r="R42" s="118">
        <f>+'Summary Sep26'!G74</f>
        <v>203440</v>
      </c>
      <c r="S42" s="118">
        <f>+'Summary Sep26'!I74</f>
        <v>1608219.5</v>
      </c>
      <c r="T42" s="118">
        <f>+'Summary Sep26'!K74</f>
        <v>50925763.891799994</v>
      </c>
      <c r="V42" s="106"/>
    </row>
    <row r="43" spans="2:24" ht="12" customHeight="1">
      <c r="B43" s="127"/>
      <c r="Q43" s="222" t="s">
        <v>43</v>
      </c>
      <c r="R43" s="122">
        <f>IFERROR(R42/R41,"")</f>
        <v>0.94917573872472782</v>
      </c>
      <c r="S43" s="122">
        <f>IFERROR(S42/S41,"")</f>
        <v>1.0719081315263275</v>
      </c>
      <c r="T43" s="122">
        <f>IFERROR(T42/T41,"")</f>
        <v>1.0009830973265379</v>
      </c>
      <c r="V43" s="106"/>
    </row>
    <row r="44" spans="2:24" ht="12" customHeight="1">
      <c r="B44" s="127"/>
      <c r="K44" s="223"/>
      <c r="O44" s="130"/>
      <c r="V44" s="106"/>
      <c r="X44" s="224"/>
    </row>
    <row r="45" spans="2:24" ht="12" customHeight="1">
      <c r="B45" s="127"/>
      <c r="V45" s="106"/>
      <c r="X45" s="224"/>
    </row>
    <row r="46" spans="2:24" ht="12" customHeight="1">
      <c r="B46" s="127"/>
      <c r="C46" s="132" t="s">
        <v>67</v>
      </c>
      <c r="D46" s="134"/>
      <c r="E46" s="225"/>
      <c r="F46" s="226"/>
      <c r="G46" s="227"/>
      <c r="H46" s="227"/>
      <c r="I46" s="228"/>
      <c r="K46" s="223"/>
      <c r="L46" s="114" t="s">
        <v>68</v>
      </c>
      <c r="M46" s="114" t="s">
        <v>40</v>
      </c>
      <c r="N46" s="114" t="s">
        <v>9</v>
      </c>
      <c r="O46" s="114" t="s">
        <v>41</v>
      </c>
      <c r="Q46" s="229" t="s">
        <v>69</v>
      </c>
      <c r="R46" s="230"/>
      <c r="S46" s="230"/>
      <c r="T46" s="230"/>
      <c r="U46" s="230"/>
      <c r="V46" s="106"/>
    </row>
    <row r="47" spans="2:24" ht="12" customHeight="1">
      <c r="B47" s="127"/>
      <c r="C47" s="137" t="s">
        <v>53</v>
      </c>
      <c r="D47" s="139">
        <f>HLOOKUP('Summary Sep26'!C52,[1]plan!$D$5:$AH$560,504,0)*1000</f>
        <v>317646.32518129487</v>
      </c>
      <c r="E47" s="231"/>
      <c r="F47" s="232"/>
      <c r="G47" s="233"/>
      <c r="H47" s="233"/>
      <c r="I47" s="234"/>
      <c r="K47" s="235"/>
      <c r="L47" s="117" t="s">
        <v>42</v>
      </c>
      <c r="M47" s="118">
        <f>VLOOKUP($E$5,todate_plan,14,TRUE)</f>
        <v>23333.333333333332</v>
      </c>
      <c r="N47" s="118">
        <f>HLOOKUP('To Date Summary'!$A$4,budget_plan,18,0)/'To Date Summary'!$A$3*'Summary Sep26'!$C$52</f>
        <v>163333.33333333331</v>
      </c>
      <c r="O47" s="118">
        <f>VLOOKUP(E5,todate_plan,15,1)</f>
        <v>5913333.3333333535</v>
      </c>
      <c r="Q47" s="236"/>
      <c r="R47" s="230"/>
      <c r="S47" s="230"/>
      <c r="T47" s="230"/>
      <c r="U47" s="230"/>
      <c r="V47" s="106"/>
      <c r="X47" s="237"/>
    </row>
    <row r="48" spans="2:24" ht="12" customHeight="1">
      <c r="B48" s="127"/>
      <c r="C48" s="147" t="s">
        <v>9</v>
      </c>
      <c r="D48" s="126">
        <f>'Summary Sep26'!AE50</f>
        <v>386970.98518129485</v>
      </c>
      <c r="E48" s="135" t="s">
        <v>47</v>
      </c>
      <c r="F48" s="135" t="s">
        <v>48</v>
      </c>
      <c r="G48" s="135" t="s">
        <v>49</v>
      </c>
      <c r="H48" s="135" t="s">
        <v>50</v>
      </c>
      <c r="I48" s="135" t="s">
        <v>51</v>
      </c>
      <c r="J48" s="238"/>
      <c r="K48" s="235"/>
      <c r="L48" s="125" t="s">
        <v>4</v>
      </c>
      <c r="M48" s="126">
        <f>+'Summary Sep26'!G70</f>
        <v>0</v>
      </c>
      <c r="N48" s="126">
        <f>+'Summary Sep26'!I70</f>
        <v>46610.33</v>
      </c>
      <c r="O48" s="126">
        <f>+'Summary Sep26'!K70</f>
        <v>5441415.648</v>
      </c>
      <c r="Q48" s="239"/>
      <c r="R48" s="230"/>
      <c r="S48" s="230"/>
      <c r="T48" s="230"/>
      <c r="U48" s="230"/>
      <c r="V48" s="106"/>
    </row>
    <row r="49" spans="1:29" ht="12" customHeight="1">
      <c r="B49" s="127"/>
      <c r="C49" s="240" t="s">
        <v>70</v>
      </c>
      <c r="D49" s="241">
        <f>[1]actual!AM509*1000</f>
        <v>182881.41048553528</v>
      </c>
      <c r="E49" s="242">
        <f>[1]actual!AM510</f>
        <v>6665.6640311511965</v>
      </c>
      <c r="F49" s="243">
        <f>[1]actual!AM511</f>
        <v>0.54013248230382727</v>
      </c>
      <c r="G49" s="243">
        <f>[1]actual!AM512</f>
        <v>4.3434042250733507</v>
      </c>
      <c r="H49" s="243">
        <f>[1]actual!AM513</f>
        <v>9.0754111252856049</v>
      </c>
      <c r="I49" s="243">
        <f>[1]actual!AM514</f>
        <v>12.811028575736028</v>
      </c>
      <c r="J49" s="244"/>
      <c r="K49" s="245"/>
      <c r="L49" s="128" t="str">
        <f>C49</f>
        <v>HCV LS</v>
      </c>
      <c r="M49" s="129">
        <f>+'Summary Sep26'!G71</f>
        <v>0</v>
      </c>
      <c r="N49" s="129">
        <f>+'Summary Sep26'!I71</f>
        <v>32825.270000000004</v>
      </c>
      <c r="O49" s="129">
        <f>+'Summary Sep26'!K71</f>
        <v>4100566.6879999996</v>
      </c>
      <c r="Q49" s="246"/>
      <c r="R49" s="230"/>
      <c r="S49" s="230"/>
      <c r="T49" s="230"/>
      <c r="U49" s="230"/>
      <c r="V49" s="106"/>
    </row>
    <row r="50" spans="1:29" ht="12" customHeight="1">
      <c r="B50" s="127"/>
      <c r="C50" s="247" t="s">
        <v>71</v>
      </c>
      <c r="D50" s="188">
        <f>[1]actual!AM515*1000</f>
        <v>139914.98345648521</v>
      </c>
      <c r="E50" s="242">
        <f>[1]actual!AM516</f>
        <v>6597.8284028843109</v>
      </c>
      <c r="F50" s="243">
        <f>[1]actual!AM517</f>
        <v>1.6232253866106003</v>
      </c>
      <c r="G50" s="243">
        <f>[1]actual!AM518</f>
        <v>5.0882126709354862</v>
      </c>
      <c r="H50" s="243">
        <f>[1]actual!AM519</f>
        <v>9.1009698451068335</v>
      </c>
      <c r="I50" s="243">
        <f>[1]actual!AM520</f>
        <v>12.947198880598014</v>
      </c>
      <c r="J50" s="248"/>
      <c r="K50" s="245"/>
      <c r="L50" s="128" t="str">
        <f>C50</f>
        <v>HCV HS</v>
      </c>
      <c r="M50" s="129">
        <f>+'Summary Sep26'!G72</f>
        <v>0</v>
      </c>
      <c r="N50" s="129">
        <f>+'Summary Sep26'!I72</f>
        <v>13785.06</v>
      </c>
      <c r="O50" s="129">
        <f>+'Summary Sep26'!K72</f>
        <v>1041637.2700000001</v>
      </c>
      <c r="Q50" s="249"/>
      <c r="R50" s="230"/>
      <c r="S50" s="230"/>
      <c r="T50" s="230"/>
      <c r="U50" s="230"/>
      <c r="V50" s="106"/>
    </row>
    <row r="51" spans="1:29" ht="12" customHeight="1">
      <c r="B51" s="127"/>
      <c r="C51" s="247" t="s">
        <v>72</v>
      </c>
      <c r="D51" s="188">
        <f>[1]actual!AM521*1000</f>
        <v>64174.591239274378</v>
      </c>
      <c r="E51" s="242">
        <f>[1]actual!AM522</f>
        <v>6235.6489180703775</v>
      </c>
      <c r="F51" s="243">
        <f>[1]actual!AM523</f>
        <v>0.22440443303194615</v>
      </c>
      <c r="G51" s="243">
        <f>[1]actual!AM524</f>
        <v>5.1020333977241883</v>
      </c>
      <c r="H51" s="243">
        <f>[1]actual!AM525</f>
        <v>11.510609927741781</v>
      </c>
      <c r="I51" s="243">
        <f>[1]actual!AM526</f>
        <v>16.119462419209</v>
      </c>
      <c r="L51" s="143" t="str">
        <f>C51</f>
        <v>MCV LS</v>
      </c>
      <c r="M51" s="144">
        <f>+'Summary Sep26'!G73</f>
        <v>0</v>
      </c>
      <c r="N51" s="144">
        <f>+'Summary Sep26'!I73</f>
        <v>0</v>
      </c>
      <c r="O51" s="144">
        <f>+'Summary Sep26'!K73</f>
        <v>299211.68999999994</v>
      </c>
      <c r="Q51" s="236"/>
      <c r="R51" s="230"/>
      <c r="S51" s="230"/>
      <c r="T51" s="230"/>
      <c r="U51" s="230"/>
      <c r="V51" s="106"/>
    </row>
    <row r="52" spans="1:29" ht="12" customHeight="1">
      <c r="B52" s="127"/>
      <c r="L52" s="117" t="s">
        <v>43</v>
      </c>
      <c r="M52" s="122">
        <f>IFERROR(M48/M47,"")</f>
        <v>0</v>
      </c>
      <c r="N52" s="122">
        <f>IFERROR(N48/N47,"")</f>
        <v>0.2853693673469388</v>
      </c>
      <c r="O52" s="122">
        <f>IFERROR(O48/O47,"")</f>
        <v>0.92019430349492359</v>
      </c>
      <c r="Q52" s="236"/>
      <c r="R52" s="230"/>
      <c r="S52" s="230"/>
      <c r="T52" s="230"/>
      <c r="U52" s="230"/>
      <c r="V52" s="106"/>
    </row>
    <row r="53" spans="1:29" ht="12" customHeight="1">
      <c r="B53" s="127"/>
      <c r="K53" s="250"/>
      <c r="Q53" s="230"/>
      <c r="R53" s="230"/>
      <c r="S53" s="230"/>
      <c r="T53" s="230"/>
      <c r="U53" s="230"/>
      <c r="V53" s="106"/>
    </row>
    <row r="54" spans="1:29" ht="12" customHeight="1" thickBot="1">
      <c r="B54" s="251"/>
      <c r="C54" s="252"/>
      <c r="D54" s="253"/>
      <c r="E54" s="253"/>
      <c r="F54" s="253"/>
      <c r="G54" s="253"/>
      <c r="H54" s="253"/>
      <c r="I54" s="253"/>
      <c r="K54" s="254"/>
      <c r="N54" s="253"/>
      <c r="O54" s="253"/>
      <c r="P54" s="253"/>
      <c r="Q54" s="253"/>
      <c r="R54" s="253"/>
      <c r="S54" s="253"/>
      <c r="T54" s="253"/>
      <c r="U54" s="253"/>
      <c r="V54" s="255"/>
      <c r="W54" s="209"/>
    </row>
    <row r="55" spans="1:29" ht="15.65" customHeight="1">
      <c r="J55" s="256"/>
      <c r="K55" s="107"/>
      <c r="L55" s="102"/>
      <c r="M55" s="103"/>
      <c r="W55" s="209"/>
    </row>
    <row r="56" spans="1:29" ht="15.65" customHeight="1">
      <c r="A56" s="96"/>
      <c r="K56" s="257"/>
    </row>
    <row r="57" spans="1:29" ht="15.65" customHeight="1">
      <c r="A57" s="107"/>
      <c r="B57" s="107"/>
      <c r="J57" s="257"/>
      <c r="K57" s="257"/>
      <c r="L57" s="257"/>
      <c r="U57" s="257"/>
      <c r="V57" s="257"/>
      <c r="W57" s="98"/>
      <c r="X57" s="98"/>
      <c r="Y57" s="258"/>
      <c r="Z57" s="98"/>
      <c r="AA57" s="98"/>
      <c r="AB57" s="98"/>
      <c r="AC57" s="98"/>
    </row>
    <row r="58" spans="1:29" ht="15.65" customHeight="1">
      <c r="A58" s="107"/>
      <c r="B58" s="107"/>
      <c r="G58" s="257"/>
      <c r="H58" s="257"/>
      <c r="I58" s="257"/>
      <c r="J58" s="257"/>
      <c r="K58" s="257"/>
      <c r="L58" s="257"/>
      <c r="T58" s="130"/>
      <c r="U58" s="257"/>
      <c r="V58" s="257"/>
      <c r="W58" s="98"/>
      <c r="X58" s="98"/>
      <c r="Y58" s="258"/>
      <c r="Z58" s="98"/>
      <c r="AA58" s="98"/>
      <c r="AB58" s="98"/>
      <c r="AC58" s="98"/>
    </row>
    <row r="59" spans="1:29" ht="15.65" customHeight="1">
      <c r="A59" s="107"/>
      <c r="B59" s="107"/>
      <c r="G59" s="257"/>
      <c r="H59" s="257"/>
      <c r="I59" s="257"/>
      <c r="J59" s="257"/>
      <c r="K59" s="257"/>
      <c r="L59" s="257"/>
      <c r="T59" s="130"/>
      <c r="U59" s="257"/>
      <c r="V59" s="257"/>
      <c r="Y59" s="130"/>
    </row>
    <row r="60" spans="1:29" ht="15.65" customHeight="1">
      <c r="A60" s="107"/>
      <c r="B60" s="107"/>
      <c r="G60" s="257"/>
      <c r="H60" s="257"/>
      <c r="I60" s="257"/>
      <c r="J60" s="257"/>
      <c r="K60" s="257"/>
      <c r="L60" s="257"/>
      <c r="U60" s="257"/>
      <c r="V60" s="257"/>
      <c r="Y60" s="130"/>
    </row>
    <row r="61" spans="1:29" ht="15.65" customHeight="1">
      <c r="A61" s="107"/>
      <c r="B61" s="10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R61" s="257"/>
      <c r="S61" s="257"/>
      <c r="T61" s="257"/>
      <c r="U61" s="257"/>
      <c r="V61" s="257"/>
      <c r="Y61" s="130"/>
    </row>
    <row r="62" spans="1:29" ht="15.65" customHeight="1">
      <c r="A62" s="107"/>
      <c r="B62" s="10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R62" s="257"/>
      <c r="S62" s="257"/>
      <c r="T62" s="257"/>
      <c r="U62" s="257"/>
      <c r="V62" s="257"/>
      <c r="Y62" s="130"/>
    </row>
    <row r="63" spans="1:29" ht="15.65" customHeight="1">
      <c r="A63" s="107"/>
      <c r="B63" s="107"/>
      <c r="C63" s="257"/>
      <c r="D63" s="257"/>
      <c r="E63" s="257"/>
      <c r="F63" s="257"/>
      <c r="G63" s="257"/>
      <c r="H63" s="257"/>
      <c r="I63" s="257"/>
      <c r="J63" s="257"/>
      <c r="K63" s="257"/>
      <c r="L63" s="257"/>
      <c r="U63" s="257"/>
      <c r="V63" s="257"/>
    </row>
    <row r="64" spans="1:29" ht="15.65" customHeight="1">
      <c r="A64" s="107"/>
      <c r="B64" s="107"/>
      <c r="C64" s="257"/>
      <c r="D64" s="257"/>
      <c r="E64" s="257"/>
      <c r="F64" s="257"/>
      <c r="G64" s="257"/>
      <c r="H64" s="257"/>
      <c r="I64" s="257"/>
      <c r="J64" s="257"/>
      <c r="K64" s="257"/>
      <c r="L64" s="257"/>
      <c r="U64" s="257"/>
      <c r="V64" s="257"/>
    </row>
    <row r="65" spans="1:22" ht="15.65" customHeight="1">
      <c r="A65" s="107"/>
      <c r="B65" s="107"/>
      <c r="C65" s="257"/>
      <c r="D65" s="257"/>
      <c r="E65" s="257"/>
      <c r="F65" s="257"/>
      <c r="G65" s="257"/>
      <c r="H65" s="257"/>
      <c r="I65" s="257"/>
      <c r="J65" s="257"/>
      <c r="K65" s="257"/>
      <c r="L65" s="257"/>
      <c r="U65" s="257"/>
      <c r="V65" s="257"/>
    </row>
    <row r="66" spans="1:22" ht="15.65" customHeight="1">
      <c r="A66" s="107"/>
      <c r="B66" s="107"/>
      <c r="C66" s="257"/>
      <c r="D66" s="257"/>
      <c r="E66" s="257"/>
      <c r="F66" s="257"/>
      <c r="G66" s="257"/>
      <c r="H66" s="257"/>
      <c r="I66" s="257"/>
      <c r="J66" s="257"/>
      <c r="K66" s="257"/>
      <c r="L66" s="257"/>
      <c r="P66" s="257"/>
      <c r="U66" s="257"/>
      <c r="V66" s="257"/>
    </row>
    <row r="67" spans="1:22" ht="15.65" customHeight="1">
      <c r="A67" s="107"/>
      <c r="B67" s="10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N67" s="257"/>
      <c r="O67" s="257"/>
      <c r="P67" s="257"/>
      <c r="U67" s="257"/>
      <c r="V67" s="257"/>
    </row>
    <row r="68" spans="1:22" ht="15.65" customHeight="1">
      <c r="A68" s="107"/>
      <c r="B68" s="107"/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N68" s="257"/>
      <c r="O68" s="257"/>
      <c r="P68" s="257"/>
      <c r="U68" s="257"/>
      <c r="V68" s="257"/>
    </row>
    <row r="69" spans="1:22" ht="15.65" customHeight="1">
      <c r="A69" s="107"/>
      <c r="B69" s="10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N69" s="257"/>
      <c r="O69" s="257"/>
      <c r="P69" s="257"/>
      <c r="R69" s="257"/>
      <c r="S69" s="257"/>
      <c r="T69" s="257"/>
      <c r="U69" s="257"/>
      <c r="V69" s="257"/>
    </row>
    <row r="70" spans="1:22" ht="15.65" customHeight="1">
      <c r="A70" s="107"/>
      <c r="B70" s="10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N70" s="257"/>
      <c r="O70" s="257"/>
      <c r="P70" s="257"/>
      <c r="R70" s="257"/>
      <c r="S70" s="257"/>
      <c r="T70" s="257"/>
      <c r="U70" s="257"/>
      <c r="V70" s="257"/>
    </row>
    <row r="71" spans="1:22" ht="15.65" customHeight="1">
      <c r="A71" s="107"/>
      <c r="B71" s="10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N71" s="257"/>
      <c r="O71" s="257"/>
      <c r="P71" s="257"/>
      <c r="R71" s="257"/>
      <c r="S71" s="257"/>
      <c r="T71" s="257"/>
      <c r="U71" s="257"/>
      <c r="V71" s="257"/>
    </row>
    <row r="72" spans="1:22" ht="15.65" customHeight="1">
      <c r="A72" s="107"/>
      <c r="B72" s="107"/>
      <c r="C72" s="257"/>
      <c r="D72" s="257"/>
      <c r="E72" s="257"/>
      <c r="F72" s="257"/>
      <c r="G72" s="257"/>
      <c r="H72" s="257"/>
      <c r="I72" s="257"/>
      <c r="J72" s="257"/>
      <c r="K72" s="257"/>
      <c r="L72" s="257"/>
      <c r="N72" s="257"/>
      <c r="O72" s="257"/>
      <c r="P72" s="257"/>
      <c r="Q72" s="257"/>
      <c r="R72" s="257"/>
      <c r="S72" s="257"/>
      <c r="T72" s="257"/>
      <c r="U72" s="257"/>
      <c r="V72" s="257"/>
    </row>
    <row r="73" spans="1:22" ht="15.65" customHeight="1">
      <c r="A73" s="107"/>
      <c r="B73" s="10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N73" s="257"/>
      <c r="O73" s="257"/>
      <c r="P73" s="257"/>
      <c r="Q73" s="257"/>
      <c r="R73" s="257"/>
      <c r="S73" s="257"/>
      <c r="T73" s="257"/>
      <c r="U73" s="257"/>
      <c r="V73" s="257"/>
    </row>
    <row r="74" spans="1:22" ht="15.65" customHeight="1">
      <c r="A74" s="107"/>
      <c r="B74" s="10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N74" s="257"/>
      <c r="O74" s="257"/>
      <c r="P74" s="257"/>
      <c r="Q74" s="257"/>
      <c r="R74" s="257"/>
      <c r="S74" s="257"/>
      <c r="T74" s="257"/>
      <c r="U74" s="257"/>
      <c r="V74" s="257"/>
    </row>
    <row r="75" spans="1:22">
      <c r="A75" s="107"/>
      <c r="B75" s="10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N75" s="257"/>
      <c r="O75" s="257"/>
      <c r="P75" s="257"/>
      <c r="Q75" s="257"/>
      <c r="R75" s="257"/>
      <c r="S75" s="257"/>
      <c r="T75" s="257"/>
      <c r="U75" s="257"/>
      <c r="V75" s="257"/>
    </row>
    <row r="76" spans="1:22">
      <c r="A76" s="107"/>
      <c r="B76" s="107"/>
      <c r="C76" s="257"/>
      <c r="D76" s="257"/>
      <c r="E76" s="257"/>
      <c r="F76" s="257"/>
      <c r="G76" s="257"/>
      <c r="H76" s="257"/>
      <c r="I76" s="257"/>
      <c r="J76" s="257"/>
      <c r="K76" s="257"/>
      <c r="L76" s="257"/>
      <c r="N76" s="257"/>
      <c r="O76" s="257"/>
      <c r="P76" s="257"/>
      <c r="Q76" s="257"/>
      <c r="R76" s="257"/>
      <c r="S76" s="257"/>
      <c r="T76" s="257"/>
      <c r="U76" s="257"/>
      <c r="V76" s="257"/>
    </row>
    <row r="77" spans="1:22">
      <c r="A77" s="107"/>
      <c r="B77" s="10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N77" s="257"/>
      <c r="O77" s="257"/>
      <c r="P77" s="257"/>
      <c r="Q77" s="257"/>
      <c r="R77" s="257"/>
      <c r="S77" s="257"/>
      <c r="T77" s="257"/>
      <c r="U77" s="257"/>
      <c r="V77" s="257"/>
    </row>
    <row r="78" spans="1:22">
      <c r="A78" s="107"/>
      <c r="B78" s="10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N78" s="257"/>
      <c r="O78" s="257"/>
      <c r="P78" s="257"/>
      <c r="Q78" s="257"/>
      <c r="R78" s="257"/>
      <c r="S78" s="257"/>
      <c r="T78" s="257"/>
      <c r="U78" s="257"/>
      <c r="V78" s="257"/>
    </row>
    <row r="79" spans="1:22">
      <c r="A79" s="107"/>
      <c r="B79" s="10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N79" s="257"/>
      <c r="O79" s="257"/>
      <c r="P79" s="257"/>
      <c r="Q79" s="257"/>
      <c r="R79" s="257"/>
      <c r="S79" s="257"/>
      <c r="T79" s="257"/>
      <c r="U79" s="257"/>
      <c r="V79" s="257"/>
    </row>
    <row r="80" spans="1:22">
      <c r="A80" s="107"/>
      <c r="B80" s="107"/>
      <c r="C80" s="257"/>
      <c r="D80" s="257"/>
      <c r="E80" s="257"/>
      <c r="F80" s="257"/>
      <c r="G80" s="257"/>
      <c r="H80" s="257"/>
      <c r="I80" s="257"/>
      <c r="J80" s="257"/>
      <c r="K80" s="257"/>
      <c r="L80" s="257"/>
      <c r="N80" s="257"/>
      <c r="O80" s="257"/>
      <c r="P80" s="257"/>
      <c r="Q80" s="257"/>
      <c r="R80" s="257"/>
      <c r="S80" s="257"/>
      <c r="T80" s="257"/>
      <c r="U80" s="257"/>
    </row>
    <row r="81" spans="1:21">
      <c r="A81" s="107"/>
      <c r="B81" s="107"/>
      <c r="C81" s="257"/>
      <c r="D81" s="257"/>
      <c r="E81" s="257"/>
      <c r="F81" s="257"/>
      <c r="G81" s="257"/>
      <c r="H81" s="257"/>
      <c r="I81" s="257"/>
      <c r="J81" s="257"/>
      <c r="K81" s="257"/>
      <c r="L81" s="257"/>
      <c r="N81" s="257"/>
      <c r="O81" s="257"/>
      <c r="P81" s="257"/>
      <c r="Q81" s="257"/>
      <c r="R81" s="257"/>
      <c r="S81" s="257"/>
      <c r="T81" s="257"/>
      <c r="U81" s="257"/>
    </row>
    <row r="82" spans="1:21">
      <c r="A82" s="107"/>
      <c r="B82" s="10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N82" s="257"/>
      <c r="O82" s="257"/>
      <c r="P82" s="257"/>
      <c r="Q82" s="257"/>
      <c r="R82" s="257"/>
      <c r="S82" s="257"/>
      <c r="T82" s="257"/>
      <c r="U82" s="257"/>
    </row>
    <row r="83" spans="1:21">
      <c r="A83" s="107"/>
      <c r="B83" s="107"/>
      <c r="C83" s="257"/>
      <c r="D83" s="257"/>
      <c r="E83" s="257"/>
      <c r="F83" s="257"/>
      <c r="G83" s="257"/>
      <c r="H83" s="257"/>
      <c r="I83" s="257"/>
      <c r="J83" s="257"/>
      <c r="K83" s="257"/>
      <c r="L83" s="257"/>
      <c r="N83" s="257"/>
      <c r="O83" s="257"/>
      <c r="Q83" s="257"/>
      <c r="R83" s="257"/>
      <c r="S83" s="257"/>
      <c r="T83" s="257"/>
    </row>
    <row r="84" spans="1:21">
      <c r="A84" s="107"/>
      <c r="B84" s="107"/>
      <c r="C84" s="257"/>
      <c r="D84" s="257"/>
      <c r="E84" s="257"/>
      <c r="F84" s="257"/>
      <c r="G84" s="257"/>
      <c r="H84" s="257"/>
      <c r="I84" s="257"/>
      <c r="J84" s="257"/>
      <c r="K84" s="257"/>
      <c r="L84" s="257"/>
      <c r="Q84" s="257"/>
      <c r="R84" s="257"/>
      <c r="S84" s="257"/>
      <c r="T84" s="257"/>
    </row>
    <row r="85" spans="1:21">
      <c r="A85" s="107"/>
      <c r="B85" s="107"/>
      <c r="C85" s="257"/>
      <c r="D85" s="257"/>
      <c r="E85" s="257"/>
      <c r="F85" s="257"/>
      <c r="G85" s="257"/>
      <c r="H85" s="257"/>
      <c r="I85" s="257"/>
      <c r="L85" s="257"/>
      <c r="Q85" s="257"/>
      <c r="R85" s="257"/>
      <c r="S85" s="257"/>
      <c r="T85" s="257"/>
    </row>
    <row r="86" spans="1:21">
      <c r="A86" s="107"/>
      <c r="B86" s="107"/>
      <c r="C86" s="257"/>
      <c r="D86" s="257"/>
      <c r="E86" s="257"/>
      <c r="F86" s="257"/>
      <c r="Q86" s="257"/>
      <c r="R86" s="257"/>
      <c r="S86" s="257"/>
      <c r="T86" s="257"/>
    </row>
    <row r="87" spans="1:21">
      <c r="A87" s="107"/>
      <c r="B87" s="107"/>
      <c r="C87" s="257"/>
      <c r="D87" s="257"/>
      <c r="E87" s="257"/>
      <c r="F87" s="257"/>
      <c r="Q87" s="257"/>
      <c r="R87" s="257"/>
      <c r="S87" s="257"/>
      <c r="T87" s="257"/>
    </row>
    <row r="88" spans="1:21">
      <c r="A88" s="107"/>
      <c r="B88" s="107"/>
      <c r="C88" s="257"/>
      <c r="D88" s="257"/>
      <c r="E88" s="257"/>
      <c r="F88" s="257"/>
      <c r="Q88" s="257"/>
      <c r="R88" s="257"/>
      <c r="S88" s="257"/>
      <c r="T88" s="257"/>
    </row>
    <row r="89" spans="1:21">
      <c r="A89" s="107"/>
      <c r="B89" s="107"/>
      <c r="D89" s="257"/>
    </row>
    <row r="90" spans="1:21">
      <c r="A90" s="107"/>
      <c r="B90" s="107"/>
      <c r="D90" s="257"/>
    </row>
    <row r="91" spans="1:21">
      <c r="A91" s="107"/>
      <c r="B91" s="107"/>
      <c r="D91" s="257"/>
    </row>
    <row r="92" spans="1:21">
      <c r="A92" s="107"/>
      <c r="B92" s="107"/>
      <c r="D92" s="257"/>
    </row>
    <row r="93" spans="1:21">
      <c r="A93" s="107"/>
      <c r="B93" s="107"/>
      <c r="D93" s="257"/>
    </row>
    <row r="94" spans="1:21">
      <c r="A94" s="107"/>
      <c r="B94" s="107"/>
      <c r="D94" s="257"/>
    </row>
    <row r="95" spans="1:21">
      <c r="A95" s="107"/>
      <c r="B95" s="107"/>
      <c r="D95" s="257"/>
    </row>
    <row r="96" spans="1:21">
      <c r="A96" s="107"/>
      <c r="B96" s="107"/>
      <c r="D96" s="257"/>
    </row>
    <row r="97" spans="1:32">
      <c r="A97" s="107"/>
      <c r="B97" s="107"/>
      <c r="D97" s="257"/>
    </row>
    <row r="98" spans="1:32">
      <c r="A98" s="107"/>
      <c r="B98" s="107"/>
    </row>
    <row r="99" spans="1:32">
      <c r="A99" s="107"/>
      <c r="B99" s="107"/>
    </row>
    <row r="100" spans="1:32">
      <c r="A100" s="107"/>
      <c r="B100" s="107"/>
    </row>
    <row r="101" spans="1:32">
      <c r="A101" s="107"/>
      <c r="B101" s="107"/>
    </row>
    <row r="102" spans="1:32">
      <c r="A102" s="107"/>
      <c r="B102" s="107"/>
    </row>
    <row r="103" spans="1:32">
      <c r="A103" s="107"/>
      <c r="B103" s="107"/>
    </row>
    <row r="104" spans="1:32">
      <c r="A104" s="107"/>
      <c r="B104" s="107"/>
    </row>
    <row r="105" spans="1:32">
      <c r="A105" s="107"/>
      <c r="B105" s="107"/>
    </row>
    <row r="106" spans="1:32">
      <c r="A106" s="107"/>
      <c r="B106" s="107"/>
      <c r="W106" s="99"/>
      <c r="X106" s="99"/>
      <c r="Y106" s="99"/>
      <c r="AD106" s="97"/>
      <c r="AE106" s="97"/>
      <c r="AF106" s="97"/>
    </row>
    <row r="107" spans="1:32">
      <c r="A107" s="107"/>
      <c r="B107" s="107"/>
      <c r="M107" s="97"/>
      <c r="W107" s="99"/>
      <c r="X107" s="99"/>
      <c r="Y107" s="99"/>
      <c r="AD107" s="97"/>
      <c r="AE107" s="97"/>
      <c r="AF107" s="97"/>
    </row>
    <row r="108" spans="1:32">
      <c r="A108" s="107"/>
      <c r="B108" s="107"/>
      <c r="M108" s="97"/>
      <c r="W108" s="99"/>
      <c r="X108" s="99"/>
      <c r="Y108" s="99"/>
      <c r="AD108" s="97"/>
      <c r="AE108" s="97"/>
      <c r="AF108" s="97"/>
    </row>
    <row r="109" spans="1:32">
      <c r="A109" s="107"/>
      <c r="B109" s="107"/>
      <c r="M109" s="97"/>
      <c r="W109" s="99"/>
      <c r="X109" s="99"/>
      <c r="Y109" s="99"/>
      <c r="AD109" s="97"/>
      <c r="AE109" s="97"/>
      <c r="AF109" s="97"/>
    </row>
    <row r="110" spans="1:32">
      <c r="A110" s="107"/>
      <c r="B110" s="107"/>
      <c r="F110" s="98"/>
      <c r="M110" s="97"/>
      <c r="W110" s="99"/>
      <c r="X110" s="99"/>
      <c r="Y110" s="99"/>
      <c r="AD110" s="97"/>
      <c r="AE110" s="97"/>
      <c r="AF110" s="97"/>
    </row>
    <row r="111" spans="1:32">
      <c r="A111" s="107"/>
      <c r="B111" s="107"/>
      <c r="D111" s="130"/>
      <c r="F111" s="98"/>
      <c r="M111" s="97"/>
      <c r="W111" s="99"/>
      <c r="X111" s="99"/>
      <c r="Y111" s="99"/>
      <c r="AD111" s="97"/>
      <c r="AE111" s="97"/>
      <c r="AF111" s="97"/>
    </row>
    <row r="112" spans="1:32">
      <c r="A112" s="107"/>
      <c r="B112" s="107"/>
      <c r="F112" s="98"/>
      <c r="M112" s="97"/>
      <c r="W112" s="99"/>
      <c r="X112" s="99"/>
      <c r="Y112" s="99"/>
      <c r="AD112" s="97"/>
      <c r="AE112" s="97"/>
      <c r="AF112" s="97"/>
    </row>
    <row r="113" spans="1:32">
      <c r="A113" s="107"/>
      <c r="B113" s="107"/>
      <c r="F113" s="98"/>
      <c r="M113" s="97"/>
      <c r="W113" s="99"/>
      <c r="X113" s="99"/>
      <c r="Y113" s="99"/>
      <c r="AD113" s="97"/>
      <c r="AE113" s="97"/>
      <c r="AF113" s="97"/>
    </row>
    <row r="114" spans="1:32">
      <c r="A114" s="107"/>
      <c r="B114" s="107"/>
      <c r="F114" s="98"/>
      <c r="M114" s="97"/>
      <c r="W114" s="99"/>
      <c r="X114" s="99"/>
      <c r="Y114" s="99"/>
      <c r="AD114" s="97"/>
      <c r="AE114" s="97"/>
      <c r="AF114" s="97"/>
    </row>
    <row r="115" spans="1:32">
      <c r="A115" s="107"/>
      <c r="B115" s="107"/>
      <c r="F115" s="98"/>
      <c r="M115" s="97"/>
      <c r="W115" s="99"/>
      <c r="X115" s="99"/>
      <c r="Y115" s="99"/>
      <c r="AD115" s="97"/>
      <c r="AE115" s="97"/>
      <c r="AF115" s="97"/>
    </row>
    <row r="116" spans="1:32">
      <c r="A116" s="107"/>
      <c r="B116" s="107"/>
      <c r="F116" s="98"/>
      <c r="M116" s="97"/>
      <c r="W116" s="99"/>
      <c r="X116" s="99"/>
      <c r="Y116" s="99"/>
      <c r="AD116" s="97"/>
      <c r="AE116" s="97"/>
      <c r="AF116" s="97"/>
    </row>
    <row r="117" spans="1:32">
      <c r="A117" s="107"/>
      <c r="B117" s="107"/>
      <c r="F117" s="98"/>
      <c r="M117" s="97"/>
      <c r="W117" s="99"/>
      <c r="X117" s="99"/>
      <c r="Y117" s="99"/>
      <c r="AD117" s="97"/>
      <c r="AE117" s="97"/>
      <c r="AF117" s="97"/>
    </row>
    <row r="118" spans="1:32">
      <c r="A118" s="107"/>
      <c r="B118" s="107"/>
      <c r="F118" s="98"/>
      <c r="M118" s="97"/>
      <c r="W118" s="99"/>
      <c r="X118" s="99"/>
      <c r="Y118" s="99"/>
      <c r="AD118" s="97"/>
      <c r="AE118" s="97"/>
      <c r="AF118" s="97"/>
    </row>
    <row r="119" spans="1:32">
      <c r="A119" s="107"/>
      <c r="B119" s="107"/>
      <c r="F119" s="98"/>
      <c r="M119" s="97"/>
      <c r="W119" s="99"/>
      <c r="X119" s="99"/>
      <c r="Y119" s="99"/>
      <c r="AD119" s="97"/>
      <c r="AE119" s="97"/>
      <c r="AF119" s="97"/>
    </row>
    <row r="120" spans="1:32">
      <c r="A120" s="107"/>
      <c r="B120" s="107"/>
      <c r="F120" s="98"/>
      <c r="M120" s="97"/>
      <c r="W120" s="99"/>
      <c r="X120" s="99"/>
      <c r="Y120" s="99"/>
      <c r="AD120" s="97"/>
      <c r="AE120" s="97"/>
      <c r="AF120" s="97"/>
    </row>
    <row r="121" spans="1:32">
      <c r="A121" s="107"/>
      <c r="B121" s="107"/>
      <c r="F121" s="98"/>
      <c r="M121" s="97"/>
      <c r="W121" s="99"/>
      <c r="X121" s="99"/>
      <c r="Y121" s="99"/>
      <c r="AD121" s="97"/>
      <c r="AE121" s="97"/>
      <c r="AF121" s="97"/>
    </row>
    <row r="122" spans="1:32">
      <c r="A122" s="107"/>
      <c r="B122" s="107"/>
      <c r="F122" s="98"/>
      <c r="M122" s="97"/>
      <c r="W122" s="99"/>
      <c r="X122" s="99"/>
      <c r="Y122" s="99"/>
      <c r="AD122" s="97"/>
      <c r="AE122" s="97"/>
      <c r="AF122" s="97"/>
    </row>
    <row r="123" spans="1:32">
      <c r="A123" s="107"/>
      <c r="B123" s="107"/>
      <c r="F123" s="98"/>
      <c r="M123" s="97"/>
      <c r="W123" s="99"/>
      <c r="X123" s="99"/>
      <c r="Y123" s="99"/>
      <c r="AD123" s="97"/>
      <c r="AE123" s="97"/>
      <c r="AF123" s="97"/>
    </row>
    <row r="124" spans="1:32">
      <c r="A124" s="107"/>
      <c r="B124" s="107"/>
      <c r="F124" s="98"/>
      <c r="M124" s="97"/>
      <c r="W124" s="99"/>
      <c r="X124" s="99"/>
      <c r="Y124" s="99"/>
      <c r="AD124" s="97"/>
      <c r="AE124" s="97"/>
      <c r="AF124" s="97"/>
    </row>
    <row r="125" spans="1:32">
      <c r="A125" s="107"/>
      <c r="B125" s="107"/>
      <c r="F125" s="98"/>
      <c r="J125" s="259"/>
      <c r="M125" s="97"/>
    </row>
    <row r="126" spans="1:32" ht="14.5">
      <c r="A126" s="107"/>
      <c r="B126" s="107"/>
      <c r="D126" s="259"/>
      <c r="F126" s="98"/>
      <c r="H126" s="260"/>
      <c r="I126" s="261"/>
    </row>
    <row r="127" spans="1:32">
      <c r="A127" s="107"/>
      <c r="B127" s="107"/>
      <c r="F127" s="98"/>
    </row>
    <row r="128" spans="1:32">
      <c r="A128" s="107"/>
      <c r="B128" s="107"/>
      <c r="F128" s="98"/>
    </row>
    <row r="129" spans="1:2">
      <c r="A129" s="107"/>
      <c r="B129" s="107"/>
    </row>
    <row r="130" spans="1:2">
      <c r="A130" s="107"/>
      <c r="B130" s="107"/>
    </row>
    <row r="131" spans="1:2">
      <c r="A131" s="107"/>
      <c r="B131" s="107"/>
    </row>
    <row r="132" spans="1:2">
      <c r="A132" s="107"/>
      <c r="B132" s="107"/>
    </row>
    <row r="133" spans="1:2">
      <c r="A133" s="107"/>
      <c r="B133" s="107"/>
    </row>
    <row r="134" spans="1:2">
      <c r="A134" s="107"/>
      <c r="B134" s="107"/>
    </row>
    <row r="135" spans="1:2">
      <c r="A135" s="107"/>
      <c r="B135" s="107"/>
    </row>
    <row r="136" spans="1:2">
      <c r="A136" s="107"/>
      <c r="B136" s="107"/>
    </row>
    <row r="137" spans="1:2">
      <c r="A137" s="107"/>
      <c r="B137" s="107"/>
    </row>
    <row r="138" spans="1:2">
      <c r="A138" s="107"/>
      <c r="B138" s="107"/>
    </row>
    <row r="139" spans="1:2">
      <c r="A139" s="107"/>
      <c r="B139" s="107"/>
    </row>
    <row r="140" spans="1:2">
      <c r="A140" s="107"/>
      <c r="B140" s="107"/>
    </row>
    <row r="141" spans="1:2">
      <c r="A141" s="107"/>
      <c r="B141" s="107"/>
    </row>
    <row r="142" spans="1:2">
      <c r="A142" s="107"/>
      <c r="B142" s="107"/>
    </row>
    <row r="143" spans="1:2">
      <c r="A143" s="107"/>
      <c r="B143" s="107"/>
    </row>
    <row r="144" spans="1:2">
      <c r="A144" s="107"/>
      <c r="B144" s="107"/>
    </row>
    <row r="145" spans="1:2">
      <c r="A145" s="107"/>
      <c r="B145" s="107"/>
    </row>
    <row r="146" spans="1:2">
      <c r="A146" s="107"/>
      <c r="B146" s="107"/>
    </row>
    <row r="147" spans="1:2">
      <c r="A147" s="107"/>
      <c r="B147" s="107"/>
    </row>
    <row r="148" spans="1:2">
      <c r="A148" s="107"/>
      <c r="B148" s="107"/>
    </row>
    <row r="149" spans="1:2">
      <c r="A149" s="107"/>
      <c r="B149" s="107"/>
    </row>
    <row r="150" spans="1:2">
      <c r="A150" s="107"/>
      <c r="B150" s="107"/>
    </row>
    <row r="151" spans="1:2">
      <c r="A151" s="107"/>
      <c r="B151" s="107"/>
    </row>
    <row r="152" spans="1:2">
      <c r="A152" s="107"/>
      <c r="B152" s="107"/>
    </row>
    <row r="153" spans="1:2">
      <c r="A153" s="107"/>
      <c r="B153" s="107"/>
    </row>
    <row r="154" spans="1:2">
      <c r="A154" s="107"/>
      <c r="B154" s="107"/>
    </row>
    <row r="155" spans="1:2">
      <c r="A155" s="107"/>
      <c r="B155" s="107"/>
    </row>
    <row r="156" spans="1:2">
      <c r="A156" s="107"/>
      <c r="B156" s="107"/>
    </row>
    <row r="157" spans="1:2">
      <c r="A157" s="107"/>
      <c r="B157" s="107"/>
    </row>
    <row r="158" spans="1:2">
      <c r="A158" s="107"/>
      <c r="B158" s="107"/>
    </row>
    <row r="159" spans="1:2">
      <c r="A159" s="107"/>
      <c r="B159" s="107"/>
    </row>
    <row r="160" spans="1:2">
      <c r="A160" s="107"/>
      <c r="B160" s="107"/>
    </row>
    <row r="161" spans="1:2">
      <c r="A161" s="107"/>
      <c r="B161" s="107"/>
    </row>
    <row r="162" spans="1:2">
      <c r="A162" s="107"/>
      <c r="B162" s="107"/>
    </row>
    <row r="163" spans="1:2">
      <c r="A163" s="107"/>
      <c r="B163" s="107"/>
    </row>
    <row r="164" spans="1:2">
      <c r="A164" s="107"/>
      <c r="B164" s="107"/>
    </row>
    <row r="165" spans="1:2">
      <c r="A165" s="107"/>
      <c r="B165" s="107"/>
    </row>
    <row r="166" spans="1:2">
      <c r="A166" s="107"/>
      <c r="B166" s="107"/>
    </row>
    <row r="167" spans="1:2">
      <c r="A167" s="107"/>
      <c r="B167" s="107"/>
    </row>
    <row r="168" spans="1:2">
      <c r="A168" s="107"/>
      <c r="B168" s="107"/>
    </row>
    <row r="169" spans="1:2">
      <c r="A169" s="107"/>
      <c r="B169" s="107"/>
    </row>
    <row r="170" spans="1:2">
      <c r="A170" s="107"/>
      <c r="B170" s="107"/>
    </row>
    <row r="171" spans="1:2">
      <c r="A171" s="107"/>
      <c r="B171" s="107"/>
    </row>
    <row r="172" spans="1:2">
      <c r="A172" s="107"/>
      <c r="B172" s="107"/>
    </row>
    <row r="173" spans="1:2">
      <c r="A173" s="107"/>
      <c r="B173" s="107"/>
    </row>
    <row r="174" spans="1:2">
      <c r="A174" s="107"/>
      <c r="B174" s="107"/>
    </row>
    <row r="175" spans="1:2">
      <c r="A175" s="107"/>
      <c r="B175" s="107"/>
    </row>
    <row r="176" spans="1:2">
      <c r="A176" s="107"/>
      <c r="B176" s="107"/>
    </row>
    <row r="177" spans="1:2">
      <c r="A177" s="107"/>
      <c r="B177" s="107"/>
    </row>
    <row r="178" spans="1:2">
      <c r="A178" s="107"/>
      <c r="B178" s="107"/>
    </row>
    <row r="179" spans="1:2">
      <c r="A179" s="107"/>
      <c r="B179" s="107"/>
    </row>
    <row r="180" spans="1:2">
      <c r="A180" s="107"/>
      <c r="B180" s="107"/>
    </row>
    <row r="181" spans="1:2">
      <c r="A181" s="107"/>
      <c r="B181" s="107"/>
    </row>
    <row r="182" spans="1:2">
      <c r="A182" s="107"/>
      <c r="B182" s="107"/>
    </row>
    <row r="183" spans="1:2">
      <c r="A183" s="107"/>
      <c r="B183" s="107"/>
    </row>
    <row r="184" spans="1:2">
      <c r="A184" s="107"/>
      <c r="B184" s="107"/>
    </row>
    <row r="185" spans="1:2">
      <c r="A185" s="107"/>
      <c r="B185" s="107"/>
    </row>
    <row r="186" spans="1:2">
      <c r="A186" s="107"/>
      <c r="B186" s="107"/>
    </row>
    <row r="187" spans="1:2">
      <c r="A187" s="107"/>
      <c r="B187" s="107"/>
    </row>
    <row r="188" spans="1:2">
      <c r="A188" s="107"/>
      <c r="B188" s="107"/>
    </row>
    <row r="189" spans="1:2">
      <c r="A189" s="107"/>
      <c r="B189" s="107"/>
    </row>
    <row r="190" spans="1:2">
      <c r="A190" s="107"/>
      <c r="B190" s="107"/>
    </row>
    <row r="191" spans="1:2">
      <c r="A191" s="107"/>
      <c r="B191" s="107"/>
    </row>
    <row r="192" spans="1:2">
      <c r="A192" s="107"/>
      <c r="B192" s="107"/>
    </row>
    <row r="193" spans="1:2">
      <c r="A193" s="107"/>
      <c r="B193" s="107"/>
    </row>
    <row r="194" spans="1:2">
      <c r="A194" s="107"/>
      <c r="B194" s="107"/>
    </row>
    <row r="195" spans="1:2">
      <c r="A195" s="107"/>
      <c r="B195" s="107"/>
    </row>
    <row r="196" spans="1:2">
      <c r="A196" s="107"/>
      <c r="B196" s="107"/>
    </row>
    <row r="197" spans="1:2">
      <c r="A197" s="107"/>
      <c r="B197" s="107"/>
    </row>
    <row r="198" spans="1:2">
      <c r="A198" s="107"/>
      <c r="B198" s="107"/>
    </row>
    <row r="199" spans="1:2">
      <c r="A199" s="107"/>
      <c r="B199" s="107"/>
    </row>
    <row r="200" spans="1:2">
      <c r="A200" s="107"/>
      <c r="B200" s="107"/>
    </row>
    <row r="201" spans="1:2">
      <c r="A201" s="107"/>
      <c r="B201" s="107"/>
    </row>
    <row r="202" spans="1:2">
      <c r="A202" s="107"/>
      <c r="B202" s="107"/>
    </row>
    <row r="203" spans="1:2">
      <c r="A203" s="107"/>
      <c r="B203" s="107"/>
    </row>
    <row r="204" spans="1:2">
      <c r="A204" s="107"/>
      <c r="B204" s="107"/>
    </row>
    <row r="205" spans="1:2">
      <c r="A205" s="107"/>
      <c r="B205" s="107"/>
    </row>
    <row r="206" spans="1:2">
      <c r="A206" s="107"/>
      <c r="B206" s="107"/>
    </row>
    <row r="207" spans="1:2">
      <c r="A207" s="107"/>
      <c r="B207" s="107"/>
    </row>
    <row r="208" spans="1:2">
      <c r="A208" s="107"/>
      <c r="B208" s="107"/>
    </row>
    <row r="209" spans="1:2">
      <c r="A209" s="107"/>
      <c r="B209" s="107"/>
    </row>
    <row r="210" spans="1:2">
      <c r="A210" s="107"/>
      <c r="B210" s="107"/>
    </row>
    <row r="211" spans="1:2">
      <c r="A211" s="107"/>
      <c r="B211" s="107"/>
    </row>
    <row r="212" spans="1:2">
      <c r="A212" s="107"/>
    </row>
    <row r="213" spans="1:2">
      <c r="A213" s="107"/>
    </row>
    <row r="214" spans="1:2">
      <c r="A214" s="107"/>
    </row>
    <row r="215" spans="1:2">
      <c r="A215" s="107"/>
    </row>
  </sheetData>
  <mergeCells count="3">
    <mergeCell ref="C5:D6"/>
    <mergeCell ref="E5:F6"/>
    <mergeCell ref="K15:O16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ignoredErrors>
    <ignoredError sqref="J20:S43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  <pageSetUpPr fitToPage="1"/>
  </sheetPr>
  <dimension ref="A1:AU151"/>
  <sheetViews>
    <sheetView showGridLines="0" zoomScale="70" zoomScaleNormal="70" workbookViewId="0">
      <pane xSplit="4" ySplit="17" topLeftCell="E47" activePane="bottomRight" state="frozen"/>
      <selection activeCell="O19" sqref="O19"/>
      <selection pane="topRight" activeCell="O19" sqref="O19"/>
      <selection pane="bottomLeft" activeCell="O19" sqref="O19"/>
      <selection pane="bottomRight" sqref="A1:XFD1048576"/>
    </sheetView>
  </sheetViews>
  <sheetFormatPr defaultColWidth="9.08984375" defaultRowHeight="14.5"/>
  <cols>
    <col min="1" max="1" width="10" style="262" hidden="1" customWidth="1"/>
    <col min="2" max="2" width="20.453125" style="263" hidden="1" customWidth="1"/>
    <col min="3" max="3" width="5.1796875" style="264" customWidth="1"/>
    <col min="4" max="4" width="20" style="417" customWidth="1"/>
    <col min="5" max="8" width="13.81640625" style="263" customWidth="1"/>
    <col min="9" max="10" width="12.81640625" style="263" customWidth="1"/>
    <col min="11" max="11" width="13.90625" style="263" customWidth="1"/>
    <col min="12" max="12" width="13.81640625" style="263" bestFit="1" customWidth="1"/>
    <col min="13" max="13" width="14.453125" style="263" customWidth="1"/>
    <col min="14" max="14" width="13.36328125" style="263" bestFit="1" customWidth="1"/>
    <col min="15" max="16" width="13.36328125" style="263" customWidth="1"/>
    <col min="17" max="17" width="14.453125" style="263" customWidth="1"/>
    <col min="18" max="18" width="13.1796875" style="263" customWidth="1"/>
    <col min="19" max="19" width="12.90625" style="263" customWidth="1"/>
    <col min="20" max="22" width="12.08984375" style="263" customWidth="1"/>
    <col min="23" max="24" width="12.1796875" style="263" customWidth="1"/>
    <col min="25" max="28" width="12.08984375" style="263" customWidth="1"/>
    <col min="29" max="32" width="12.08984375" style="450" customWidth="1"/>
    <col min="33" max="34" width="13.36328125" style="267" bestFit="1" customWidth="1"/>
    <col min="35" max="35" width="13.6328125" style="268" customWidth="1"/>
    <col min="36" max="38" width="13.6328125" style="269" customWidth="1"/>
    <col min="39" max="39" width="11.6328125" style="270" bestFit="1" customWidth="1"/>
    <col min="40" max="40" width="10.6328125" style="271" bestFit="1" customWidth="1"/>
    <col min="41" max="41" width="12.36328125" style="272" bestFit="1" customWidth="1"/>
    <col min="42" max="42" width="11.453125" style="273" bestFit="1" customWidth="1"/>
    <col min="43" max="43" width="12.90625" style="263" bestFit="1" customWidth="1"/>
    <col min="44" max="16384" width="9.08984375" style="263"/>
  </cols>
  <sheetData>
    <row r="1" spans="1:47" ht="14.4" customHeight="1">
      <c r="D1" s="265">
        <v>46266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6"/>
      <c r="AF1" s="266"/>
    </row>
    <row r="2" spans="1:47" ht="18" customHeight="1"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6"/>
      <c r="AF2" s="266"/>
      <c r="AG2" s="274"/>
      <c r="AH2" s="274"/>
      <c r="AI2" s="275"/>
      <c r="AJ2" s="275"/>
      <c r="AK2" s="275"/>
      <c r="AL2" s="275"/>
    </row>
    <row r="3" spans="1:47" s="283" customFormat="1">
      <c r="A3" s="276"/>
      <c r="B3" s="277"/>
      <c r="C3" s="278"/>
      <c r="D3" s="279">
        <v>1</v>
      </c>
      <c r="E3" s="279">
        <v>2</v>
      </c>
      <c r="F3" s="279">
        <v>3</v>
      </c>
      <c r="G3" s="279">
        <v>4</v>
      </c>
      <c r="H3" s="279">
        <v>5</v>
      </c>
      <c r="I3" s="279">
        <v>6</v>
      </c>
      <c r="J3" s="279">
        <v>7</v>
      </c>
      <c r="K3" s="279">
        <v>8</v>
      </c>
      <c r="L3" s="279">
        <v>9</v>
      </c>
      <c r="M3" s="279">
        <v>10</v>
      </c>
      <c r="N3" s="279">
        <v>11</v>
      </c>
      <c r="O3" s="279">
        <v>12</v>
      </c>
      <c r="P3" s="279">
        <v>13</v>
      </c>
      <c r="Q3" s="279">
        <v>14</v>
      </c>
      <c r="R3" s="279">
        <v>15</v>
      </c>
      <c r="S3" s="279">
        <v>16</v>
      </c>
      <c r="T3" s="279">
        <v>17</v>
      </c>
      <c r="U3" s="279">
        <v>18</v>
      </c>
      <c r="V3" s="279">
        <v>19</v>
      </c>
      <c r="W3" s="279">
        <v>20</v>
      </c>
      <c r="X3" s="279">
        <v>21</v>
      </c>
      <c r="Y3" s="279">
        <v>22</v>
      </c>
      <c r="Z3" s="279">
        <v>23</v>
      </c>
      <c r="AA3" s="279">
        <v>24</v>
      </c>
      <c r="AB3" s="279">
        <v>25</v>
      </c>
      <c r="AC3" s="279">
        <v>26</v>
      </c>
      <c r="AD3" s="279">
        <v>27</v>
      </c>
      <c r="AE3" s="279">
        <v>28</v>
      </c>
      <c r="AF3" s="279">
        <v>29</v>
      </c>
      <c r="AG3" s="279">
        <v>30</v>
      </c>
      <c r="AH3" s="279">
        <v>31</v>
      </c>
      <c r="AI3" s="279">
        <v>32</v>
      </c>
      <c r="AJ3" s="279">
        <v>33</v>
      </c>
      <c r="AK3" s="279">
        <v>34</v>
      </c>
      <c r="AL3" s="279">
        <v>35</v>
      </c>
      <c r="AM3" s="279">
        <v>36</v>
      </c>
      <c r="AN3" s="279">
        <v>37</v>
      </c>
      <c r="AO3" s="280"/>
      <c r="AP3" s="281"/>
      <c r="AQ3" s="281"/>
      <c r="AR3" s="281"/>
      <c r="AS3" s="270"/>
      <c r="AT3" s="282"/>
      <c r="AU3" s="282"/>
    </row>
    <row r="4" spans="1:47" s="285" customFormat="1" ht="15" customHeight="1">
      <c r="A4" s="284"/>
      <c r="C4" s="286"/>
      <c r="D4" s="287" t="s">
        <v>21</v>
      </c>
      <c r="E4" s="288" t="s">
        <v>73</v>
      </c>
      <c r="F4" s="289"/>
      <c r="G4" s="289"/>
      <c r="H4" s="290"/>
      <c r="I4" s="288" t="s">
        <v>74</v>
      </c>
      <c r="J4" s="289"/>
      <c r="K4" s="289"/>
      <c r="L4" s="290"/>
      <c r="M4" s="288" t="s">
        <v>44</v>
      </c>
      <c r="N4" s="289"/>
      <c r="O4" s="289"/>
      <c r="P4" s="290"/>
      <c r="Q4" s="288" t="s">
        <v>75</v>
      </c>
      <c r="R4" s="289"/>
      <c r="S4" s="290"/>
      <c r="T4" s="291" t="s">
        <v>76</v>
      </c>
      <c r="U4" s="288" t="s">
        <v>39</v>
      </c>
      <c r="V4" s="289"/>
      <c r="W4" s="290"/>
      <c r="X4" s="288" t="s">
        <v>56</v>
      </c>
      <c r="Y4" s="289"/>
      <c r="Z4" s="289"/>
      <c r="AA4" s="290"/>
      <c r="AB4" s="288" t="s">
        <v>77</v>
      </c>
      <c r="AC4" s="289"/>
      <c r="AD4" s="289"/>
      <c r="AE4" s="290"/>
      <c r="AF4" s="292" t="s">
        <v>78</v>
      </c>
      <c r="AG4" s="293"/>
      <c r="AH4" s="293"/>
      <c r="AI4" s="293"/>
      <c r="AJ4" s="294"/>
      <c r="AK4" s="295"/>
      <c r="AL4" s="294"/>
      <c r="AM4" s="294"/>
      <c r="AN4" s="296"/>
      <c r="AO4" s="297"/>
      <c r="AP4" s="297"/>
      <c r="AQ4" s="298"/>
    </row>
    <row r="5" spans="1:47" s="300" customFormat="1" ht="29.5" customHeight="1">
      <c r="A5" s="299"/>
      <c r="C5" s="301"/>
      <c r="D5" s="302"/>
      <c r="E5" s="303"/>
      <c r="F5" s="303" t="s">
        <v>79</v>
      </c>
      <c r="G5" s="303" t="s">
        <v>80</v>
      </c>
      <c r="H5" s="303" t="s">
        <v>7</v>
      </c>
      <c r="I5" s="303"/>
      <c r="J5" s="303" t="s">
        <v>81</v>
      </c>
      <c r="K5" s="303" t="s">
        <v>82</v>
      </c>
      <c r="L5" s="303" t="s">
        <v>7</v>
      </c>
      <c r="M5" s="303"/>
      <c r="N5" s="303" t="s">
        <v>79</v>
      </c>
      <c r="O5" s="303" t="s">
        <v>80</v>
      </c>
      <c r="P5" s="303" t="s">
        <v>7</v>
      </c>
      <c r="Q5" s="303" t="s">
        <v>83</v>
      </c>
      <c r="R5" s="303" t="s">
        <v>84</v>
      </c>
      <c r="S5" s="303" t="s">
        <v>7</v>
      </c>
      <c r="T5" s="303" t="s">
        <v>85</v>
      </c>
      <c r="U5" s="303" t="s">
        <v>86</v>
      </c>
      <c r="V5" s="303" t="s">
        <v>87</v>
      </c>
      <c r="W5" s="303" t="s">
        <v>7</v>
      </c>
      <c r="X5" s="303" t="s">
        <v>88</v>
      </c>
      <c r="Y5" s="303" t="s">
        <v>89</v>
      </c>
      <c r="Z5" s="303" t="s">
        <v>90</v>
      </c>
      <c r="AA5" s="303" t="s">
        <v>7</v>
      </c>
      <c r="AB5" s="303" t="s">
        <v>88</v>
      </c>
      <c r="AC5" s="303" t="s">
        <v>89</v>
      </c>
      <c r="AD5" s="303" t="s">
        <v>90</v>
      </c>
      <c r="AE5" s="303" t="s">
        <v>7</v>
      </c>
      <c r="AF5" s="304" t="s">
        <v>88</v>
      </c>
      <c r="AG5" s="304" t="s">
        <v>89</v>
      </c>
      <c r="AH5" s="304" t="s">
        <v>90</v>
      </c>
      <c r="AI5" s="305" t="s">
        <v>7</v>
      </c>
      <c r="AJ5" s="306"/>
      <c r="AK5" s="306"/>
      <c r="AL5" s="307"/>
      <c r="AM5" s="306"/>
      <c r="AN5" s="308"/>
      <c r="AO5" s="309"/>
      <c r="AP5" s="310"/>
      <c r="AQ5" s="310"/>
      <c r="AR5" s="311"/>
    </row>
    <row r="6" spans="1:47" s="313" customFormat="1" ht="15" hidden="1" customHeight="1">
      <c r="A6" s="312"/>
      <c r="C6" s="314"/>
      <c r="D6" s="315">
        <v>46023</v>
      </c>
      <c r="E6" s="316">
        <v>0</v>
      </c>
      <c r="F6" s="316">
        <v>4905685.4029999999</v>
      </c>
      <c r="G6" s="316">
        <v>1398129.51</v>
      </c>
      <c r="H6" s="317">
        <v>6303814.9129999997</v>
      </c>
      <c r="I6" s="318">
        <v>0</v>
      </c>
      <c r="J6" s="319">
        <v>760613.96</v>
      </c>
      <c r="K6" s="318">
        <v>180048.65</v>
      </c>
      <c r="L6" s="317">
        <v>940662.61</v>
      </c>
      <c r="M6" s="317">
        <v>0</v>
      </c>
      <c r="N6" s="317">
        <v>460932.83299999998</v>
      </c>
      <c r="O6" s="317">
        <v>115504.12200000003</v>
      </c>
      <c r="P6" s="320">
        <v>576436.95500000007</v>
      </c>
      <c r="Q6" s="321"/>
      <c r="R6" s="322"/>
      <c r="S6" s="323"/>
      <c r="T6" s="324">
        <v>0</v>
      </c>
      <c r="U6" s="317">
        <v>717367.52</v>
      </c>
      <c r="V6" s="317">
        <v>27916.519999999997</v>
      </c>
      <c r="W6" s="317">
        <v>745284.04</v>
      </c>
      <c r="X6" s="317">
        <v>590830.74</v>
      </c>
      <c r="Y6" s="317">
        <v>154453.30000000002</v>
      </c>
      <c r="Z6" s="317">
        <v>0</v>
      </c>
      <c r="AA6" s="317">
        <v>745284.04</v>
      </c>
      <c r="AB6" s="325"/>
      <c r="AC6" s="325"/>
      <c r="AD6" s="325"/>
      <c r="AE6" s="326"/>
      <c r="AF6" s="317">
        <v>664424.54799999995</v>
      </c>
      <c r="AG6" s="317">
        <v>147148.65</v>
      </c>
      <c r="AH6" s="317">
        <v>0</v>
      </c>
      <c r="AI6" s="317">
        <v>811573.19799999997</v>
      </c>
      <c r="AJ6" s="327"/>
      <c r="AK6" s="327"/>
      <c r="AL6" s="328"/>
      <c r="AM6" s="327"/>
      <c r="AN6" s="329"/>
      <c r="AO6" s="330"/>
      <c r="AP6" s="331"/>
      <c r="AQ6" s="331"/>
      <c r="AR6" s="331"/>
    </row>
    <row r="7" spans="1:47" s="313" customFormat="1" ht="15" hidden="1" customHeight="1">
      <c r="A7" s="312"/>
      <c r="C7" s="332"/>
      <c r="D7" s="333">
        <v>46054</v>
      </c>
      <c r="E7" s="334">
        <v>0</v>
      </c>
      <c r="F7" s="335">
        <v>3981087.5400000005</v>
      </c>
      <c r="G7" s="335">
        <v>1412893.7429999998</v>
      </c>
      <c r="H7" s="318">
        <v>5393981.2829999998</v>
      </c>
      <c r="I7" s="319">
        <v>0</v>
      </c>
      <c r="J7" s="319">
        <v>798131.35000000009</v>
      </c>
      <c r="K7" s="319">
        <v>226735.46299999999</v>
      </c>
      <c r="L7" s="318">
        <v>1024866.8130000001</v>
      </c>
      <c r="M7" s="318">
        <v>0</v>
      </c>
      <c r="N7" s="319">
        <v>398702.19600000005</v>
      </c>
      <c r="O7" s="319">
        <v>141164.39000000001</v>
      </c>
      <c r="P7" s="336">
        <v>539866.58600000013</v>
      </c>
      <c r="Q7" s="337"/>
      <c r="R7" s="338"/>
      <c r="S7" s="339"/>
      <c r="T7" s="324">
        <v>0</v>
      </c>
      <c r="U7" s="319">
        <v>724964.99</v>
      </c>
      <c r="V7" s="318">
        <v>0</v>
      </c>
      <c r="W7" s="319">
        <v>724964.99</v>
      </c>
      <c r="X7" s="319">
        <v>588667.56000000006</v>
      </c>
      <c r="Y7" s="319">
        <v>136297.43000000002</v>
      </c>
      <c r="Z7" s="319">
        <v>0</v>
      </c>
      <c r="AA7" s="318">
        <v>724964.99000000011</v>
      </c>
      <c r="AB7" s="340"/>
      <c r="AC7" s="340"/>
      <c r="AD7" s="340"/>
      <c r="AE7" s="341"/>
      <c r="AF7" s="319">
        <v>588648.95999999996</v>
      </c>
      <c r="AG7" s="319">
        <v>114918.42</v>
      </c>
      <c r="AH7" s="319">
        <v>0</v>
      </c>
      <c r="AI7" s="318">
        <v>703567.38</v>
      </c>
      <c r="AJ7" s="327"/>
      <c r="AK7" s="327"/>
      <c r="AL7" s="328"/>
      <c r="AM7" s="327"/>
      <c r="AN7" s="329"/>
      <c r="AO7" s="330"/>
      <c r="AP7" s="331"/>
      <c r="AQ7" s="331"/>
      <c r="AR7" s="331"/>
    </row>
    <row r="8" spans="1:47" s="313" customFormat="1" ht="15" hidden="1" customHeight="1">
      <c r="A8" s="312"/>
      <c r="C8" s="332"/>
      <c r="D8" s="333">
        <v>46082</v>
      </c>
      <c r="E8" s="334">
        <v>0</v>
      </c>
      <c r="F8" s="335">
        <v>4107521.6979999999</v>
      </c>
      <c r="G8" s="335">
        <v>1497772.1250000002</v>
      </c>
      <c r="H8" s="318">
        <v>5605293.8229999999</v>
      </c>
      <c r="I8" s="319">
        <v>0</v>
      </c>
      <c r="J8" s="319">
        <v>852792.43</v>
      </c>
      <c r="K8" s="319">
        <v>216187.51999999999</v>
      </c>
      <c r="L8" s="318">
        <v>1068979.95</v>
      </c>
      <c r="M8" s="318">
        <v>0</v>
      </c>
      <c r="N8" s="319">
        <v>465545.66000000003</v>
      </c>
      <c r="O8" s="319">
        <v>146335.72</v>
      </c>
      <c r="P8" s="342">
        <v>611881.38</v>
      </c>
      <c r="Q8" s="337"/>
      <c r="R8" s="338"/>
      <c r="S8" s="339"/>
      <c r="T8" s="324">
        <v>0</v>
      </c>
      <c r="U8" s="319">
        <v>680586.90999999992</v>
      </c>
      <c r="V8" s="318">
        <v>0</v>
      </c>
      <c r="W8" s="319">
        <v>680586.90999999992</v>
      </c>
      <c r="X8" s="319">
        <v>560717.53</v>
      </c>
      <c r="Y8" s="319">
        <v>119869.38</v>
      </c>
      <c r="Z8" s="319">
        <v>0</v>
      </c>
      <c r="AA8" s="318">
        <v>680586.91</v>
      </c>
      <c r="AB8" s="340"/>
      <c r="AC8" s="340"/>
      <c r="AD8" s="340"/>
      <c r="AE8" s="341"/>
      <c r="AF8" s="319">
        <v>627786.87999999989</v>
      </c>
      <c r="AG8" s="319">
        <v>120999.97000000002</v>
      </c>
      <c r="AH8" s="319">
        <v>0</v>
      </c>
      <c r="AI8" s="318">
        <v>748786.84999999986</v>
      </c>
      <c r="AJ8" s="327"/>
      <c r="AK8" s="327"/>
      <c r="AL8" s="328"/>
      <c r="AM8" s="327"/>
      <c r="AN8" s="329"/>
      <c r="AO8" s="330"/>
      <c r="AP8" s="331"/>
      <c r="AQ8" s="331"/>
      <c r="AR8" s="331"/>
    </row>
    <row r="9" spans="1:47" s="331" customFormat="1" ht="15" hidden="1" customHeight="1">
      <c r="A9" s="343"/>
      <c r="C9" s="344"/>
      <c r="D9" s="333">
        <v>46113</v>
      </c>
      <c r="E9" s="318">
        <v>0</v>
      </c>
      <c r="F9" s="319">
        <v>4530187.8960000006</v>
      </c>
      <c r="G9" s="319">
        <v>1718704</v>
      </c>
      <c r="H9" s="318">
        <v>6248891.8960000006</v>
      </c>
      <c r="I9" s="345">
        <v>0</v>
      </c>
      <c r="J9" s="319">
        <v>750562.78</v>
      </c>
      <c r="K9" s="319">
        <v>277268.81</v>
      </c>
      <c r="L9" s="319">
        <v>1027831.5900000001</v>
      </c>
      <c r="M9" s="318">
        <v>0</v>
      </c>
      <c r="N9" s="319">
        <v>465845.17</v>
      </c>
      <c r="O9" s="319">
        <v>132507.39000000001</v>
      </c>
      <c r="P9" s="342">
        <v>598352.56000000006</v>
      </c>
      <c r="Q9" s="337"/>
      <c r="R9" s="338"/>
      <c r="S9" s="339"/>
      <c r="T9" s="324">
        <v>0</v>
      </c>
      <c r="U9" s="319">
        <v>644033.28000000026</v>
      </c>
      <c r="V9" s="318">
        <v>0</v>
      </c>
      <c r="W9" s="318">
        <v>644033.28000000026</v>
      </c>
      <c r="X9" s="319">
        <v>451594.62999999995</v>
      </c>
      <c r="Y9" s="319">
        <v>192438.65000000002</v>
      </c>
      <c r="Z9" s="319">
        <v>0</v>
      </c>
      <c r="AA9" s="318">
        <v>644033.28000000003</v>
      </c>
      <c r="AB9" s="340"/>
      <c r="AC9" s="340"/>
      <c r="AD9" s="340"/>
      <c r="AE9" s="341"/>
      <c r="AF9" s="319">
        <v>441897.61</v>
      </c>
      <c r="AG9" s="319">
        <v>184549.87</v>
      </c>
      <c r="AH9" s="319">
        <v>0</v>
      </c>
      <c r="AI9" s="318">
        <v>626447.48</v>
      </c>
      <c r="AJ9" s="327"/>
      <c r="AK9" s="327"/>
      <c r="AL9" s="328"/>
      <c r="AM9" s="327"/>
      <c r="AN9" s="329"/>
      <c r="AO9" s="346"/>
    </row>
    <row r="10" spans="1:47" s="331" customFormat="1" ht="15" hidden="1" customHeight="1">
      <c r="A10" s="343"/>
      <c r="C10" s="332"/>
      <c r="D10" s="333">
        <v>46143</v>
      </c>
      <c r="E10" s="334">
        <v>0</v>
      </c>
      <c r="F10" s="335">
        <v>4387802.4449999994</v>
      </c>
      <c r="G10" s="335">
        <v>1591207.7560000001</v>
      </c>
      <c r="H10" s="318">
        <v>5979010.2009999994</v>
      </c>
      <c r="I10" s="319">
        <v>0</v>
      </c>
      <c r="J10" s="319">
        <v>766350.75899999996</v>
      </c>
      <c r="K10" s="319">
        <v>347476.57</v>
      </c>
      <c r="L10" s="319">
        <v>1113827.3289999999</v>
      </c>
      <c r="M10" s="318">
        <v>0</v>
      </c>
      <c r="N10" s="319">
        <v>424013.31000000011</v>
      </c>
      <c r="O10" s="319">
        <v>161830.63999999998</v>
      </c>
      <c r="P10" s="342">
        <v>585843.95000000007</v>
      </c>
      <c r="Q10" s="337"/>
      <c r="R10" s="338"/>
      <c r="S10" s="339"/>
      <c r="T10" s="324">
        <v>0</v>
      </c>
      <c r="U10" s="319">
        <v>680271.52</v>
      </c>
      <c r="V10" s="318">
        <v>0</v>
      </c>
      <c r="W10" s="318">
        <v>680271.52</v>
      </c>
      <c r="X10" s="319">
        <v>556309.22</v>
      </c>
      <c r="Y10" s="319">
        <v>123962.3</v>
      </c>
      <c r="Z10" s="319">
        <v>0</v>
      </c>
      <c r="AA10" s="318">
        <v>680271.52</v>
      </c>
      <c r="AB10" s="340"/>
      <c r="AC10" s="340"/>
      <c r="AD10" s="340"/>
      <c r="AE10" s="341"/>
      <c r="AF10" s="319">
        <v>598161.88</v>
      </c>
      <c r="AG10" s="319">
        <v>87734.25</v>
      </c>
      <c r="AH10" s="319">
        <v>0</v>
      </c>
      <c r="AI10" s="318">
        <v>685896.13</v>
      </c>
      <c r="AJ10" s="347"/>
      <c r="AK10" s="327"/>
      <c r="AL10" s="328"/>
      <c r="AM10" s="327"/>
      <c r="AN10" s="329"/>
      <c r="AO10" s="330"/>
      <c r="AP10" s="273"/>
      <c r="AQ10" s="348"/>
    </row>
    <row r="11" spans="1:47" s="331" customFormat="1" ht="15" hidden="1" customHeight="1">
      <c r="A11" s="343"/>
      <c r="C11" s="332"/>
      <c r="D11" s="333">
        <v>46174</v>
      </c>
      <c r="E11" s="318">
        <v>0</v>
      </c>
      <c r="F11" s="319">
        <v>4381018.5980000002</v>
      </c>
      <c r="G11" s="319">
        <v>1664166.1220000002</v>
      </c>
      <c r="H11" s="335">
        <v>6045184.7200000007</v>
      </c>
      <c r="I11" s="319">
        <v>0</v>
      </c>
      <c r="J11" s="319">
        <v>879907.71</v>
      </c>
      <c r="K11" s="319">
        <v>329535.45</v>
      </c>
      <c r="L11" s="335">
        <v>1209443.1599999999</v>
      </c>
      <c r="M11" s="318">
        <v>0</v>
      </c>
      <c r="N11" s="318">
        <v>525436.92000000004</v>
      </c>
      <c r="O11" s="318">
        <v>176766.63999999998</v>
      </c>
      <c r="P11" s="342">
        <v>702203.56</v>
      </c>
      <c r="Q11" s="337"/>
      <c r="R11" s="338"/>
      <c r="S11" s="339"/>
      <c r="T11" s="324">
        <v>0</v>
      </c>
      <c r="U11" s="318">
        <v>702870.7699999999</v>
      </c>
      <c r="V11" s="318">
        <v>0</v>
      </c>
      <c r="W11" s="318">
        <v>702870.7699999999</v>
      </c>
      <c r="X11" s="318">
        <v>530901.96</v>
      </c>
      <c r="Y11" s="334">
        <v>115053.53000000001</v>
      </c>
      <c r="Z11" s="334">
        <v>56915.28</v>
      </c>
      <c r="AA11" s="318">
        <v>702870.77</v>
      </c>
      <c r="AB11" s="340"/>
      <c r="AC11" s="340"/>
      <c r="AD11" s="340"/>
      <c r="AE11" s="341"/>
      <c r="AF11" s="318">
        <v>532294.75</v>
      </c>
      <c r="AG11" s="318">
        <v>113296.76</v>
      </c>
      <c r="AH11" s="318">
        <v>32554.42</v>
      </c>
      <c r="AI11" s="318">
        <v>678145.93</v>
      </c>
      <c r="AJ11" s="327"/>
      <c r="AK11" s="327"/>
      <c r="AL11" s="328"/>
      <c r="AM11" s="327"/>
      <c r="AN11" s="329"/>
      <c r="AO11" s="330"/>
      <c r="AP11" s="349"/>
      <c r="AQ11" s="348"/>
    </row>
    <row r="12" spans="1:47" s="313" customFormat="1" ht="15" hidden="1" customHeight="1">
      <c r="A12" s="312"/>
      <c r="C12" s="332"/>
      <c r="D12" s="333">
        <v>46204</v>
      </c>
      <c r="E12" s="318">
        <v>0</v>
      </c>
      <c r="F12" s="319">
        <v>5113178.9409999996</v>
      </c>
      <c r="G12" s="319">
        <v>1628797.6159999999</v>
      </c>
      <c r="H12" s="319">
        <v>6741976.557</v>
      </c>
      <c r="I12" s="319">
        <v>0</v>
      </c>
      <c r="J12" s="319">
        <v>906558.66</v>
      </c>
      <c r="K12" s="319">
        <v>552311.65500000003</v>
      </c>
      <c r="L12" s="335">
        <v>1458870.3149999999</v>
      </c>
      <c r="M12" s="318">
        <v>0</v>
      </c>
      <c r="N12" s="319">
        <v>667691.07000000007</v>
      </c>
      <c r="O12" s="319">
        <v>217887.33</v>
      </c>
      <c r="P12" s="342">
        <v>885578.4</v>
      </c>
      <c r="Q12" s="337"/>
      <c r="R12" s="338"/>
      <c r="S12" s="339"/>
      <c r="T12" s="350">
        <v>0</v>
      </c>
      <c r="U12" s="335">
        <v>792669.7200000002</v>
      </c>
      <c r="V12" s="319">
        <v>0</v>
      </c>
      <c r="W12" s="318">
        <v>792669.7200000002</v>
      </c>
      <c r="X12" s="319">
        <v>443660.32000000007</v>
      </c>
      <c r="Y12" s="319">
        <v>184064.03999999998</v>
      </c>
      <c r="Z12" s="319">
        <v>164945.35999999999</v>
      </c>
      <c r="AA12" s="318">
        <v>792669.72000000009</v>
      </c>
      <c r="AB12" s="351"/>
      <c r="AC12" s="352"/>
      <c r="AD12" s="352"/>
      <c r="AE12" s="353"/>
      <c r="AF12" s="319">
        <v>368520.05999999988</v>
      </c>
      <c r="AG12" s="319">
        <v>172023.18000000002</v>
      </c>
      <c r="AH12" s="319">
        <v>120370.80999999998</v>
      </c>
      <c r="AI12" s="318">
        <v>660914.04999999981</v>
      </c>
      <c r="AJ12" s="327"/>
      <c r="AK12" s="327"/>
      <c r="AL12" s="328"/>
      <c r="AM12" s="327"/>
      <c r="AN12" s="329"/>
      <c r="AO12" s="330"/>
      <c r="AP12" s="298"/>
      <c r="AQ12" s="354"/>
      <c r="AR12" s="331"/>
    </row>
    <row r="13" spans="1:47" s="331" customFormat="1" ht="15" hidden="1" customHeight="1">
      <c r="A13" s="343"/>
      <c r="C13" s="332"/>
      <c r="D13" s="333">
        <v>46235</v>
      </c>
      <c r="E13" s="318">
        <v>0</v>
      </c>
      <c r="F13" s="319">
        <v>5020894.9888000004</v>
      </c>
      <c r="G13" s="319">
        <v>1978496.01</v>
      </c>
      <c r="H13" s="318">
        <v>6999390.9988000002</v>
      </c>
      <c r="I13" s="319">
        <v>0</v>
      </c>
      <c r="J13" s="319">
        <v>985266.60999999987</v>
      </c>
      <c r="K13" s="319">
        <v>491318.54</v>
      </c>
      <c r="L13" s="319">
        <v>1476585.15</v>
      </c>
      <c r="M13" s="318">
        <v>0</v>
      </c>
      <c r="N13" s="319">
        <v>587322.98000000021</v>
      </c>
      <c r="O13" s="319">
        <v>271255.12</v>
      </c>
      <c r="P13" s="342">
        <v>858578.10000000021</v>
      </c>
      <c r="Q13" s="337"/>
      <c r="R13" s="338"/>
      <c r="S13" s="339"/>
      <c r="T13" s="324">
        <v>0</v>
      </c>
      <c r="U13" s="319">
        <v>574979.3600000001</v>
      </c>
      <c r="V13" s="318">
        <v>0</v>
      </c>
      <c r="W13" s="318">
        <v>574979.3600000001</v>
      </c>
      <c r="X13" s="319">
        <v>369217.01</v>
      </c>
      <c r="Y13" s="319">
        <v>100376.10999999999</v>
      </c>
      <c r="Z13" s="319">
        <v>105386.23999999999</v>
      </c>
      <c r="AA13" s="318">
        <v>574979.36</v>
      </c>
      <c r="AB13" s="351"/>
      <c r="AC13" s="352"/>
      <c r="AD13" s="352"/>
      <c r="AE13" s="353"/>
      <c r="AF13" s="319">
        <v>246006.73</v>
      </c>
      <c r="AG13" s="319">
        <v>87181.11</v>
      </c>
      <c r="AH13" s="319">
        <v>146286.45999999996</v>
      </c>
      <c r="AI13" s="318">
        <v>479474.3</v>
      </c>
      <c r="AJ13" s="327"/>
      <c r="AK13" s="327"/>
      <c r="AL13" s="328"/>
      <c r="AM13" s="327"/>
      <c r="AN13" s="329"/>
      <c r="AO13" s="330"/>
      <c r="AP13" s="298"/>
      <c r="AQ13" s="354"/>
    </row>
    <row r="14" spans="1:47" s="331" customFormat="1" ht="15" hidden="1" customHeight="1">
      <c r="A14" s="343"/>
      <c r="C14" s="332"/>
      <c r="D14" s="333">
        <v>46266</v>
      </c>
      <c r="E14" s="318">
        <v>0</v>
      </c>
      <c r="F14" s="319"/>
      <c r="G14" s="319"/>
      <c r="H14" s="334">
        <v>0</v>
      </c>
      <c r="I14" s="319">
        <v>0</v>
      </c>
      <c r="J14" s="319"/>
      <c r="K14" s="319"/>
      <c r="L14" s="335">
        <v>0</v>
      </c>
      <c r="M14" s="318"/>
      <c r="N14" s="319"/>
      <c r="O14" s="319"/>
      <c r="P14" s="342">
        <v>0</v>
      </c>
      <c r="Q14" s="337"/>
      <c r="R14" s="338"/>
      <c r="S14" s="339"/>
      <c r="T14" s="324"/>
      <c r="U14" s="319"/>
      <c r="V14" s="318"/>
      <c r="W14" s="318">
        <v>0</v>
      </c>
      <c r="X14" s="319"/>
      <c r="Y14" s="319"/>
      <c r="Z14" s="319"/>
      <c r="AA14" s="318">
        <v>0</v>
      </c>
      <c r="AB14" s="355"/>
      <c r="AC14" s="340"/>
      <c r="AD14" s="340"/>
      <c r="AE14" s="341"/>
      <c r="AF14" s="319"/>
      <c r="AG14" s="319"/>
      <c r="AH14" s="319"/>
      <c r="AI14" s="318">
        <v>0</v>
      </c>
      <c r="AJ14" s="327"/>
      <c r="AK14" s="327"/>
      <c r="AL14" s="328"/>
      <c r="AM14" s="327"/>
      <c r="AN14" s="329"/>
      <c r="AO14" s="330"/>
      <c r="AQ14" s="344"/>
    </row>
    <row r="15" spans="1:47" s="331" customFormat="1" ht="15" hidden="1" customHeight="1">
      <c r="A15" s="343"/>
      <c r="C15" s="332"/>
      <c r="D15" s="333">
        <v>46296</v>
      </c>
      <c r="E15" s="318">
        <v>0</v>
      </c>
      <c r="F15" s="319"/>
      <c r="G15" s="319"/>
      <c r="H15" s="318">
        <v>0</v>
      </c>
      <c r="I15" s="345">
        <v>0</v>
      </c>
      <c r="J15" s="319"/>
      <c r="K15" s="319"/>
      <c r="L15" s="318">
        <v>0</v>
      </c>
      <c r="M15" s="318"/>
      <c r="N15" s="319"/>
      <c r="O15" s="319"/>
      <c r="P15" s="342">
        <v>0</v>
      </c>
      <c r="Q15" s="337"/>
      <c r="R15" s="338"/>
      <c r="S15" s="339"/>
      <c r="T15" s="324"/>
      <c r="U15" s="319"/>
      <c r="V15" s="318"/>
      <c r="W15" s="318">
        <v>0</v>
      </c>
      <c r="X15" s="319"/>
      <c r="Y15" s="319"/>
      <c r="Z15" s="319"/>
      <c r="AA15" s="318">
        <v>0</v>
      </c>
      <c r="AB15" s="355"/>
      <c r="AC15" s="340"/>
      <c r="AD15" s="340"/>
      <c r="AE15" s="341"/>
      <c r="AF15" s="319"/>
      <c r="AG15" s="319"/>
      <c r="AH15" s="319"/>
      <c r="AI15" s="318">
        <v>0</v>
      </c>
      <c r="AJ15" s="327"/>
      <c r="AK15" s="327"/>
      <c r="AL15" s="328"/>
      <c r="AM15" s="327"/>
      <c r="AN15" s="329"/>
      <c r="AO15" s="330"/>
      <c r="AQ15" s="344"/>
    </row>
    <row r="16" spans="1:47" s="331" customFormat="1" ht="15" hidden="1" customHeight="1">
      <c r="A16" s="343"/>
      <c r="C16" s="332"/>
      <c r="D16" s="333">
        <v>46327</v>
      </c>
      <c r="E16" s="334">
        <v>0</v>
      </c>
      <c r="F16" s="335"/>
      <c r="G16" s="335"/>
      <c r="H16" s="318">
        <v>0</v>
      </c>
      <c r="I16" s="356">
        <v>0</v>
      </c>
      <c r="J16" s="335"/>
      <c r="K16" s="335"/>
      <c r="L16" s="318">
        <v>0</v>
      </c>
      <c r="M16" s="334"/>
      <c r="N16" s="335"/>
      <c r="O16" s="335"/>
      <c r="P16" s="336">
        <v>0</v>
      </c>
      <c r="Q16" s="337"/>
      <c r="R16" s="338"/>
      <c r="S16" s="339"/>
      <c r="T16" s="357"/>
      <c r="U16" s="319"/>
      <c r="V16" s="318"/>
      <c r="W16" s="319">
        <v>0</v>
      </c>
      <c r="X16" s="319"/>
      <c r="Y16" s="319"/>
      <c r="Z16" s="319"/>
      <c r="AA16" s="318">
        <v>0</v>
      </c>
      <c r="AB16" s="355"/>
      <c r="AC16" s="340"/>
      <c r="AD16" s="340"/>
      <c r="AE16" s="341"/>
      <c r="AF16" s="319"/>
      <c r="AG16" s="319"/>
      <c r="AH16" s="319"/>
      <c r="AI16" s="318">
        <v>0</v>
      </c>
      <c r="AJ16" s="327"/>
      <c r="AK16" s="327"/>
      <c r="AL16" s="328"/>
      <c r="AM16" s="327"/>
      <c r="AN16" s="329"/>
      <c r="AO16" s="330"/>
      <c r="AQ16" s="344"/>
    </row>
    <row r="17" spans="1:44" s="331" customFormat="1" ht="15" hidden="1" customHeight="1">
      <c r="A17" s="343"/>
      <c r="C17" s="332"/>
      <c r="D17" s="333">
        <v>46357</v>
      </c>
      <c r="E17" s="318">
        <v>0</v>
      </c>
      <c r="F17" s="345"/>
      <c r="G17" s="345"/>
      <c r="H17" s="318">
        <v>0</v>
      </c>
      <c r="I17" s="345">
        <v>0</v>
      </c>
      <c r="J17" s="345"/>
      <c r="K17" s="345"/>
      <c r="L17" s="318">
        <v>0</v>
      </c>
      <c r="M17" s="318"/>
      <c r="N17" s="318"/>
      <c r="O17" s="318"/>
      <c r="P17" s="357">
        <v>0</v>
      </c>
      <c r="Q17" s="358"/>
      <c r="R17" s="359"/>
      <c r="S17" s="360"/>
      <c r="T17" s="357"/>
      <c r="U17" s="345"/>
      <c r="V17" s="318"/>
      <c r="W17" s="319">
        <v>0</v>
      </c>
      <c r="X17" s="345"/>
      <c r="Y17" s="345"/>
      <c r="Z17" s="345"/>
      <c r="AA17" s="318">
        <v>0</v>
      </c>
      <c r="AB17" s="361"/>
      <c r="AC17" s="362"/>
      <c r="AD17" s="362"/>
      <c r="AE17" s="363"/>
      <c r="AF17" s="345"/>
      <c r="AG17" s="345"/>
      <c r="AH17" s="345"/>
      <c r="AI17" s="318">
        <v>0</v>
      </c>
      <c r="AJ17" s="327"/>
      <c r="AK17" s="327"/>
      <c r="AL17" s="328"/>
      <c r="AM17" s="327"/>
      <c r="AN17" s="329"/>
      <c r="AO17" s="330"/>
      <c r="AQ17" s="344"/>
    </row>
    <row r="18" spans="1:44" s="365" customFormat="1" ht="15" customHeight="1">
      <c r="A18" s="364"/>
      <c r="C18" s="366"/>
      <c r="D18" s="367">
        <v>46238</v>
      </c>
      <c r="E18" s="368"/>
      <c r="F18" s="368"/>
      <c r="G18" s="368"/>
      <c r="H18" s="368"/>
      <c r="I18" s="368"/>
      <c r="J18" s="368"/>
      <c r="K18" s="369"/>
      <c r="L18" s="368"/>
      <c r="M18" s="370"/>
      <c r="N18" s="370"/>
      <c r="O18" s="370"/>
      <c r="P18" s="370"/>
      <c r="Q18" s="371">
        <v>481647.50998000003</v>
      </c>
      <c r="R18" s="371">
        <v>0</v>
      </c>
      <c r="S18" s="371">
        <v>481647.50998000003</v>
      </c>
      <c r="T18" s="372"/>
      <c r="U18" s="373"/>
      <c r="V18" s="373"/>
      <c r="W18" s="373"/>
      <c r="X18" s="373"/>
      <c r="Y18" s="373"/>
      <c r="Z18" s="373"/>
      <c r="AA18" s="373"/>
      <c r="AB18" s="374">
        <v>199887.35048553531</v>
      </c>
      <c r="AC18" s="374">
        <v>74273.103456485187</v>
      </c>
      <c r="AD18" s="374">
        <v>14985.87123927438</v>
      </c>
      <c r="AE18" s="375">
        <v>289146.32518129487</v>
      </c>
      <c r="AF18" s="370"/>
      <c r="AG18" s="376"/>
      <c r="AH18" s="376"/>
      <c r="AI18" s="376"/>
      <c r="AJ18" s="377"/>
      <c r="AK18" s="377"/>
      <c r="AL18" s="378"/>
      <c r="AM18" s="379"/>
      <c r="AN18" s="379"/>
      <c r="AO18" s="380"/>
      <c r="AP18" s="331"/>
      <c r="AQ18" s="344"/>
      <c r="AR18" s="381"/>
    </row>
    <row r="19" spans="1:44" s="365" customFormat="1" ht="15" customHeight="1">
      <c r="A19" s="364" t="s">
        <v>210</v>
      </c>
      <c r="B19" s="382">
        <v>1</v>
      </c>
      <c r="C19" s="366">
        <v>1</v>
      </c>
      <c r="D19" s="383">
        <v>46266</v>
      </c>
      <c r="E19" s="384">
        <v>0</v>
      </c>
      <c r="F19" s="384">
        <v>179119.5</v>
      </c>
      <c r="G19" s="384">
        <v>64274.5</v>
      </c>
      <c r="H19" s="385">
        <v>243394</v>
      </c>
      <c r="I19" s="385">
        <v>0</v>
      </c>
      <c r="J19" s="385">
        <v>31861</v>
      </c>
      <c r="K19" s="385">
        <v>13955</v>
      </c>
      <c r="L19" s="385">
        <v>45816</v>
      </c>
      <c r="M19" s="384">
        <v>0</v>
      </c>
      <c r="N19" s="386">
        <v>18823.439999999999</v>
      </c>
      <c r="O19" s="386">
        <v>9104.8600000000024</v>
      </c>
      <c r="P19" s="385">
        <v>27928.300000000003</v>
      </c>
      <c r="Q19" s="387">
        <v>500162.82998000004</v>
      </c>
      <c r="R19" s="387">
        <v>0</v>
      </c>
      <c r="S19" s="387">
        <v>500162.82998000004</v>
      </c>
      <c r="T19" s="387">
        <v>0</v>
      </c>
      <c r="U19" s="384">
        <v>9412.98</v>
      </c>
      <c r="V19" s="384">
        <v>0</v>
      </c>
      <c r="W19" s="384">
        <v>9412.98</v>
      </c>
      <c r="X19" s="384">
        <v>0</v>
      </c>
      <c r="Y19" s="384">
        <v>9412.98</v>
      </c>
      <c r="Z19" s="384">
        <v>0</v>
      </c>
      <c r="AA19" s="384">
        <v>9412.98</v>
      </c>
      <c r="AB19" s="384">
        <v>188675.4004855353</v>
      </c>
      <c r="AC19" s="384">
        <v>83686.083456485183</v>
      </c>
      <c r="AD19" s="384">
        <v>14985.87123927438</v>
      </c>
      <c r="AE19" s="384">
        <v>287347.35518129484</v>
      </c>
      <c r="AF19" s="385">
        <v>11211.95</v>
      </c>
      <c r="AG19" s="385">
        <v>0</v>
      </c>
      <c r="AH19" s="385">
        <v>0</v>
      </c>
      <c r="AI19" s="385">
        <v>11211.95</v>
      </c>
      <c r="AJ19" s="388">
        <v>1</v>
      </c>
      <c r="AK19" s="389">
        <v>1</v>
      </c>
      <c r="AL19" s="390">
        <v>16</v>
      </c>
      <c r="AM19" s="391">
        <v>27928.300000000003</v>
      </c>
      <c r="AN19" s="378"/>
      <c r="AO19" s="392"/>
      <c r="AP19" s="327"/>
      <c r="AQ19" s="344"/>
      <c r="AR19" s="381"/>
    </row>
    <row r="20" spans="1:44" s="365" customFormat="1" ht="15" customHeight="1">
      <c r="A20" s="364" t="s">
        <v>211</v>
      </c>
      <c r="B20" s="382">
        <v>1</v>
      </c>
      <c r="C20" s="366">
        <v>2</v>
      </c>
      <c r="D20" s="393">
        <v>46267</v>
      </c>
      <c r="E20" s="394">
        <v>0</v>
      </c>
      <c r="F20" s="394">
        <v>177397.5</v>
      </c>
      <c r="G20" s="394">
        <v>66184</v>
      </c>
      <c r="H20" s="394">
        <v>243581.5</v>
      </c>
      <c r="I20" s="394">
        <v>0</v>
      </c>
      <c r="J20" s="394">
        <v>32960</v>
      </c>
      <c r="K20" s="394">
        <v>13266</v>
      </c>
      <c r="L20" s="394">
        <v>46226</v>
      </c>
      <c r="M20" s="394">
        <v>0</v>
      </c>
      <c r="N20" s="394">
        <v>17447.98</v>
      </c>
      <c r="O20" s="394">
        <v>8108.7199999999993</v>
      </c>
      <c r="P20" s="387">
        <v>25556.699999999997</v>
      </c>
      <c r="Q20" s="387">
        <v>502939.91998000001</v>
      </c>
      <c r="R20" s="387">
        <v>0</v>
      </c>
      <c r="S20" s="387">
        <v>502939.91998000001</v>
      </c>
      <c r="T20" s="387">
        <v>0</v>
      </c>
      <c r="U20" s="394">
        <v>22779.61</v>
      </c>
      <c r="V20" s="394">
        <v>0</v>
      </c>
      <c r="W20" s="394">
        <v>22779.61</v>
      </c>
      <c r="X20" s="394">
        <v>0</v>
      </c>
      <c r="Y20" s="394">
        <v>22779.61</v>
      </c>
      <c r="Z20" s="394">
        <v>0</v>
      </c>
      <c r="AA20" s="387">
        <v>22779.61</v>
      </c>
      <c r="AB20" s="386">
        <v>188675.4004855353</v>
      </c>
      <c r="AC20" s="386">
        <v>106465.69345648518</v>
      </c>
      <c r="AD20" s="386">
        <v>14985.87123927438</v>
      </c>
      <c r="AE20" s="394">
        <v>310126.96518129489</v>
      </c>
      <c r="AF20" s="387">
        <v>0</v>
      </c>
      <c r="AG20" s="387">
        <v>0</v>
      </c>
      <c r="AH20" s="387">
        <v>0</v>
      </c>
      <c r="AI20" s="387">
        <v>0</v>
      </c>
      <c r="AJ20" s="388">
        <v>2</v>
      </c>
      <c r="AK20" s="389"/>
      <c r="AL20" s="390">
        <v>16</v>
      </c>
      <c r="AM20" s="391">
        <v>25556.699999999997</v>
      </c>
      <c r="AN20" s="378"/>
      <c r="AO20" s="395"/>
      <c r="AP20" s="327"/>
      <c r="AQ20" s="344"/>
      <c r="AR20" s="381"/>
    </row>
    <row r="21" spans="1:44" s="365" customFormat="1" ht="15" customHeight="1">
      <c r="A21" s="364" t="s">
        <v>212</v>
      </c>
      <c r="B21" s="382">
        <v>1</v>
      </c>
      <c r="C21" s="366">
        <v>3</v>
      </c>
      <c r="D21" s="393">
        <v>46268</v>
      </c>
      <c r="E21" s="394">
        <v>0</v>
      </c>
      <c r="F21" s="394">
        <v>181954.5</v>
      </c>
      <c r="G21" s="394">
        <v>60583.5</v>
      </c>
      <c r="H21" s="394">
        <v>242538</v>
      </c>
      <c r="I21" s="394">
        <v>0</v>
      </c>
      <c r="J21" s="394">
        <v>38373</v>
      </c>
      <c r="K21" s="394">
        <v>12986</v>
      </c>
      <c r="L21" s="394">
        <v>51359</v>
      </c>
      <c r="M21" s="387">
        <v>0</v>
      </c>
      <c r="N21" s="387">
        <v>16419.18</v>
      </c>
      <c r="O21" s="387">
        <v>8728.82</v>
      </c>
      <c r="P21" s="387">
        <v>25148</v>
      </c>
      <c r="Q21" s="387">
        <v>504056.79998000001</v>
      </c>
      <c r="R21" s="387">
        <v>0</v>
      </c>
      <c r="S21" s="387">
        <v>504056.79998000001</v>
      </c>
      <c r="T21" s="387">
        <v>0</v>
      </c>
      <c r="U21" s="387">
        <v>24031.119999999999</v>
      </c>
      <c r="V21" s="394">
        <v>0</v>
      </c>
      <c r="W21" s="387">
        <v>24031.119999999999</v>
      </c>
      <c r="X21" s="387">
        <v>0</v>
      </c>
      <c r="Y21" s="387">
        <v>11020.630000000001</v>
      </c>
      <c r="Z21" s="387">
        <v>13010.489999999998</v>
      </c>
      <c r="AA21" s="387">
        <v>24031.119999999999</v>
      </c>
      <c r="AB21" s="387">
        <v>177630.61048553529</v>
      </c>
      <c r="AC21" s="387">
        <v>117486.32345648519</v>
      </c>
      <c r="AD21" s="387">
        <v>27996.361239274378</v>
      </c>
      <c r="AE21" s="394">
        <v>323113.29518129484</v>
      </c>
      <c r="AF21" s="387">
        <v>11044.79</v>
      </c>
      <c r="AG21" s="387">
        <v>0</v>
      </c>
      <c r="AH21" s="387">
        <v>0</v>
      </c>
      <c r="AI21" s="387">
        <v>11044.79</v>
      </c>
      <c r="AJ21" s="388">
        <v>3</v>
      </c>
      <c r="AK21" s="389">
        <v>3</v>
      </c>
      <c r="AL21" s="390">
        <v>16</v>
      </c>
      <c r="AM21" s="391">
        <v>25148</v>
      </c>
      <c r="AN21" s="378"/>
      <c r="AO21" s="395"/>
      <c r="AP21" s="327"/>
      <c r="AQ21" s="344"/>
      <c r="AR21" s="381"/>
    </row>
    <row r="22" spans="1:44" s="365" customFormat="1" ht="15" customHeight="1">
      <c r="A22" s="364" t="s">
        <v>213</v>
      </c>
      <c r="B22" s="382">
        <v>1</v>
      </c>
      <c r="C22" s="366">
        <v>4</v>
      </c>
      <c r="D22" s="393">
        <v>46269</v>
      </c>
      <c r="E22" s="387">
        <v>0</v>
      </c>
      <c r="F22" s="387">
        <v>179655</v>
      </c>
      <c r="G22" s="387">
        <v>62890.5</v>
      </c>
      <c r="H22" s="387">
        <v>242545.5</v>
      </c>
      <c r="I22" s="387">
        <v>0</v>
      </c>
      <c r="J22" s="387">
        <v>26533</v>
      </c>
      <c r="K22" s="387">
        <v>12693</v>
      </c>
      <c r="L22" s="387">
        <v>39226</v>
      </c>
      <c r="M22" s="387">
        <v>0</v>
      </c>
      <c r="N22" s="387">
        <v>17207.740000000002</v>
      </c>
      <c r="O22" s="387">
        <v>8435.36</v>
      </c>
      <c r="P22" s="387">
        <v>25643.100000000002</v>
      </c>
      <c r="Q22" s="387">
        <v>506233.42998000002</v>
      </c>
      <c r="R22" s="387">
        <v>0</v>
      </c>
      <c r="S22" s="387">
        <v>506233.42998000002</v>
      </c>
      <c r="T22" s="387">
        <v>0</v>
      </c>
      <c r="U22" s="387">
        <v>23466.47</v>
      </c>
      <c r="V22" s="387">
        <v>0</v>
      </c>
      <c r="W22" s="387">
        <v>23466.47</v>
      </c>
      <c r="X22" s="387">
        <v>0</v>
      </c>
      <c r="Y22" s="387">
        <v>0</v>
      </c>
      <c r="Z22" s="387">
        <v>23466.47</v>
      </c>
      <c r="AA22" s="387">
        <v>23466.47</v>
      </c>
      <c r="AB22" s="387">
        <v>167062.08048553529</v>
      </c>
      <c r="AC22" s="387">
        <v>117486.32345648519</v>
      </c>
      <c r="AD22" s="387">
        <v>51462.831239274376</v>
      </c>
      <c r="AE22" s="394">
        <v>336011.23518129485</v>
      </c>
      <c r="AF22" s="387">
        <v>10568.529999999999</v>
      </c>
      <c r="AG22" s="387">
        <v>0</v>
      </c>
      <c r="AH22" s="387">
        <v>0</v>
      </c>
      <c r="AI22" s="387">
        <v>10568.529999999999</v>
      </c>
      <c r="AJ22" s="388">
        <v>4</v>
      </c>
      <c r="AK22" s="389"/>
      <c r="AL22" s="390">
        <v>16</v>
      </c>
      <c r="AM22" s="391">
        <v>25643.100000000002</v>
      </c>
      <c r="AN22" s="378"/>
      <c r="AO22" s="395"/>
      <c r="AP22" s="327"/>
      <c r="AQ22" s="344"/>
      <c r="AR22" s="381"/>
    </row>
    <row r="23" spans="1:44" s="365" customFormat="1" ht="15" customHeight="1">
      <c r="A23" s="364" t="s">
        <v>214</v>
      </c>
      <c r="B23" s="382">
        <v>1</v>
      </c>
      <c r="C23" s="366">
        <v>5</v>
      </c>
      <c r="D23" s="393">
        <v>46270</v>
      </c>
      <c r="E23" s="387">
        <v>0</v>
      </c>
      <c r="F23" s="387">
        <v>133434</v>
      </c>
      <c r="G23" s="387">
        <v>53497.5</v>
      </c>
      <c r="H23" s="387">
        <v>186931.5</v>
      </c>
      <c r="I23" s="387">
        <v>0</v>
      </c>
      <c r="J23" s="387">
        <v>30561</v>
      </c>
      <c r="K23" s="387">
        <v>12100</v>
      </c>
      <c r="L23" s="387">
        <v>42661</v>
      </c>
      <c r="M23" s="387">
        <v>0</v>
      </c>
      <c r="N23" s="387">
        <v>13313.059999999998</v>
      </c>
      <c r="O23" s="387">
        <v>7538.9000000000005</v>
      </c>
      <c r="P23" s="387">
        <v>20851.96</v>
      </c>
      <c r="Q23" s="387">
        <v>506230.09998</v>
      </c>
      <c r="R23" s="387">
        <v>0</v>
      </c>
      <c r="S23" s="387">
        <v>506230.09998</v>
      </c>
      <c r="T23" s="387">
        <v>0</v>
      </c>
      <c r="U23" s="387">
        <v>20855.289999999997</v>
      </c>
      <c r="V23" s="387">
        <v>0</v>
      </c>
      <c r="W23" s="387">
        <v>20855.289999999997</v>
      </c>
      <c r="X23" s="387">
        <v>0</v>
      </c>
      <c r="Y23" s="387">
        <v>8143.53</v>
      </c>
      <c r="Z23" s="387">
        <v>12711.759999999997</v>
      </c>
      <c r="AA23" s="387">
        <v>20855.289999999997</v>
      </c>
      <c r="AB23" s="387">
        <v>167062.08048553529</v>
      </c>
      <c r="AC23" s="387">
        <v>125629.85345648519</v>
      </c>
      <c r="AD23" s="387">
        <v>64174.59123927437</v>
      </c>
      <c r="AE23" s="394">
        <v>356866.52518129483</v>
      </c>
      <c r="AF23" s="387">
        <v>0</v>
      </c>
      <c r="AG23" s="387">
        <v>0</v>
      </c>
      <c r="AH23" s="387">
        <v>0</v>
      </c>
      <c r="AI23" s="387">
        <v>0</v>
      </c>
      <c r="AJ23" s="388">
        <v>5</v>
      </c>
      <c r="AK23" s="389">
        <v>5</v>
      </c>
      <c r="AL23" s="390">
        <v>16</v>
      </c>
      <c r="AM23" s="391">
        <v>20851.96</v>
      </c>
      <c r="AN23" s="378"/>
      <c r="AO23" s="395"/>
      <c r="AP23" s="327"/>
      <c r="AQ23" s="344"/>
      <c r="AR23" s="381"/>
    </row>
    <row r="24" spans="1:44" s="365" customFormat="1" ht="15" customHeight="1">
      <c r="A24" s="364" t="s">
        <v>215</v>
      </c>
      <c r="B24" s="382">
        <v>1</v>
      </c>
      <c r="C24" s="366">
        <v>6</v>
      </c>
      <c r="D24" s="393">
        <v>46271</v>
      </c>
      <c r="E24" s="387">
        <v>0</v>
      </c>
      <c r="F24" s="387">
        <v>182133</v>
      </c>
      <c r="G24" s="387">
        <v>63656</v>
      </c>
      <c r="H24" s="387">
        <v>245789</v>
      </c>
      <c r="I24" s="387">
        <v>0</v>
      </c>
      <c r="J24" s="387">
        <v>34857</v>
      </c>
      <c r="K24" s="387">
        <v>13396</v>
      </c>
      <c r="L24" s="387">
        <v>48253</v>
      </c>
      <c r="M24" s="387">
        <v>0</v>
      </c>
      <c r="N24" s="387">
        <v>17888.239999999998</v>
      </c>
      <c r="O24" s="387">
        <v>8918.08</v>
      </c>
      <c r="P24" s="387">
        <v>26806.32</v>
      </c>
      <c r="Q24" s="387">
        <v>514395.12998000003</v>
      </c>
      <c r="R24" s="387">
        <v>0</v>
      </c>
      <c r="S24" s="387">
        <v>514395.12998000003</v>
      </c>
      <c r="T24" s="387">
        <v>0</v>
      </c>
      <c r="U24" s="387">
        <v>18641.29</v>
      </c>
      <c r="V24" s="387">
        <v>0</v>
      </c>
      <c r="W24" s="387">
        <v>18641.29</v>
      </c>
      <c r="X24" s="387">
        <v>9607.0500000000011</v>
      </c>
      <c r="Y24" s="387">
        <v>9034.2400000000016</v>
      </c>
      <c r="Z24" s="387">
        <v>0</v>
      </c>
      <c r="AA24" s="387">
        <v>18641.29</v>
      </c>
      <c r="AB24" s="387">
        <v>171181.11048553529</v>
      </c>
      <c r="AC24" s="387">
        <v>126367.05345648518</v>
      </c>
      <c r="AD24" s="387">
        <v>64174.59123927437</v>
      </c>
      <c r="AE24" s="394">
        <v>361722.75518129487</v>
      </c>
      <c r="AF24" s="387">
        <v>0</v>
      </c>
      <c r="AG24" s="387">
        <v>13785.06</v>
      </c>
      <c r="AH24" s="387">
        <v>0</v>
      </c>
      <c r="AI24" s="387">
        <v>13785.06</v>
      </c>
      <c r="AJ24" s="388">
        <v>6</v>
      </c>
      <c r="AK24" s="389"/>
      <c r="AL24" s="390">
        <v>16</v>
      </c>
      <c r="AM24" s="391">
        <v>26806.32</v>
      </c>
      <c r="AN24" s="378"/>
      <c r="AO24" s="395"/>
      <c r="AP24" s="327"/>
      <c r="AQ24" s="344"/>
      <c r="AR24" s="381"/>
    </row>
    <row r="25" spans="1:44" s="365" customFormat="1" ht="15" customHeight="1">
      <c r="A25" s="364" t="s">
        <v>216</v>
      </c>
      <c r="B25" s="382">
        <v>1</v>
      </c>
      <c r="C25" s="366">
        <v>7</v>
      </c>
      <c r="D25" s="393">
        <v>46272</v>
      </c>
      <c r="E25" s="394">
        <v>0</v>
      </c>
      <c r="F25" s="394">
        <v>150381</v>
      </c>
      <c r="G25" s="394">
        <v>53059</v>
      </c>
      <c r="H25" s="394">
        <v>203440</v>
      </c>
      <c r="I25" s="394">
        <v>0</v>
      </c>
      <c r="J25" s="394">
        <v>32105</v>
      </c>
      <c r="K25" s="387">
        <v>11448</v>
      </c>
      <c r="L25" s="394">
        <v>43553</v>
      </c>
      <c r="M25" s="387">
        <v>0</v>
      </c>
      <c r="N25" s="387">
        <v>13704.439999999997</v>
      </c>
      <c r="O25" s="387">
        <v>8456.3999999999978</v>
      </c>
      <c r="P25" s="387">
        <v>22160.839999999997</v>
      </c>
      <c r="Q25" s="387">
        <v>511307.73998000007</v>
      </c>
      <c r="R25" s="387">
        <v>0</v>
      </c>
      <c r="S25" s="387">
        <v>511307.73998000007</v>
      </c>
      <c r="T25" s="387">
        <v>0</v>
      </c>
      <c r="U25" s="387">
        <v>25248.230000000003</v>
      </c>
      <c r="V25" s="394">
        <v>0</v>
      </c>
      <c r="W25" s="387">
        <v>25248.230000000003</v>
      </c>
      <c r="X25" s="394">
        <v>11700.300000000001</v>
      </c>
      <c r="Y25" s="394">
        <v>13547.930000000002</v>
      </c>
      <c r="Z25" s="394">
        <v>0</v>
      </c>
      <c r="AA25" s="394">
        <v>25248.230000000003</v>
      </c>
      <c r="AB25" s="394">
        <v>182881.41048553528</v>
      </c>
      <c r="AC25" s="394">
        <v>139914.98345648518</v>
      </c>
      <c r="AD25" s="394">
        <v>64174.59123927437</v>
      </c>
      <c r="AE25" s="394">
        <v>386970.98518129485</v>
      </c>
      <c r="AF25" s="387">
        <v>0</v>
      </c>
      <c r="AG25" s="387">
        <v>0</v>
      </c>
      <c r="AH25" s="387">
        <v>0</v>
      </c>
      <c r="AI25" s="387">
        <v>0</v>
      </c>
      <c r="AJ25" s="388">
        <v>7</v>
      </c>
      <c r="AK25" s="389">
        <v>7</v>
      </c>
      <c r="AL25" s="390">
        <v>16</v>
      </c>
      <c r="AM25" s="391">
        <v>22160.839999999997</v>
      </c>
      <c r="AN25" s="378"/>
      <c r="AO25" s="395"/>
      <c r="AP25" s="327"/>
      <c r="AQ25" s="344"/>
      <c r="AR25" s="381"/>
    </row>
    <row r="26" spans="1:44" s="365" customFormat="1" ht="15" customHeight="1">
      <c r="A26" s="364" t="s">
        <v>217</v>
      </c>
      <c r="B26" s="382" t="s">
        <v>37</v>
      </c>
      <c r="C26" s="366">
        <v>8</v>
      </c>
      <c r="D26" s="393">
        <v>46273</v>
      </c>
      <c r="E26" s="394">
        <v>0</v>
      </c>
      <c r="F26" s="394">
        <v>0</v>
      </c>
      <c r="G26" s="394">
        <v>0</v>
      </c>
      <c r="H26" s="394">
        <v>0</v>
      </c>
      <c r="I26" s="394">
        <v>0</v>
      </c>
      <c r="J26" s="394">
        <v>0</v>
      </c>
      <c r="K26" s="387">
        <v>0</v>
      </c>
      <c r="L26" s="394">
        <v>0</v>
      </c>
      <c r="M26" s="387">
        <v>0</v>
      </c>
      <c r="N26" s="387">
        <v>0</v>
      </c>
      <c r="O26" s="387">
        <v>0</v>
      </c>
      <c r="P26" s="387">
        <v>0</v>
      </c>
      <c r="Q26" s="387">
        <v>0</v>
      </c>
      <c r="R26" s="387">
        <v>0</v>
      </c>
      <c r="S26" s="387">
        <v>0</v>
      </c>
      <c r="T26" s="387">
        <v>0</v>
      </c>
      <c r="U26" s="387">
        <v>0</v>
      </c>
      <c r="V26" s="394">
        <v>0</v>
      </c>
      <c r="W26" s="387">
        <v>0</v>
      </c>
      <c r="X26" s="394">
        <v>0</v>
      </c>
      <c r="Y26" s="394">
        <v>0</v>
      </c>
      <c r="Z26" s="394">
        <v>0</v>
      </c>
      <c r="AA26" s="394">
        <v>0</v>
      </c>
      <c r="AB26" s="394">
        <v>0</v>
      </c>
      <c r="AC26" s="394">
        <v>0</v>
      </c>
      <c r="AD26" s="394">
        <v>0</v>
      </c>
      <c r="AE26" s="394">
        <v>0</v>
      </c>
      <c r="AF26" s="387">
        <v>0</v>
      </c>
      <c r="AG26" s="387">
        <v>0</v>
      </c>
      <c r="AH26" s="387">
        <v>0</v>
      </c>
      <c r="AI26" s="387">
        <v>0</v>
      </c>
      <c r="AJ26" s="388">
        <v>8</v>
      </c>
      <c r="AK26" s="389"/>
      <c r="AL26" s="390">
        <v>16</v>
      </c>
      <c r="AM26" s="391" t="s">
        <v>37</v>
      </c>
      <c r="AN26" s="378"/>
      <c r="AO26" s="395"/>
      <c r="AP26" s="327"/>
      <c r="AQ26" s="396"/>
      <c r="AR26" s="381"/>
    </row>
    <row r="27" spans="1:44" s="365" customFormat="1" ht="15" customHeight="1">
      <c r="A27" s="364" t="s">
        <v>218</v>
      </c>
      <c r="B27" s="382" t="s">
        <v>37</v>
      </c>
      <c r="C27" s="366">
        <v>9</v>
      </c>
      <c r="D27" s="393">
        <v>46274</v>
      </c>
      <c r="E27" s="394">
        <v>0</v>
      </c>
      <c r="F27" s="394">
        <v>0</v>
      </c>
      <c r="G27" s="394">
        <v>0</v>
      </c>
      <c r="H27" s="387">
        <v>0</v>
      </c>
      <c r="I27" s="387">
        <v>0</v>
      </c>
      <c r="J27" s="387">
        <v>0</v>
      </c>
      <c r="K27" s="387">
        <v>0</v>
      </c>
      <c r="L27" s="387">
        <v>0</v>
      </c>
      <c r="M27" s="387">
        <v>0</v>
      </c>
      <c r="N27" s="387">
        <v>0</v>
      </c>
      <c r="O27" s="387">
        <v>0</v>
      </c>
      <c r="P27" s="387">
        <v>0</v>
      </c>
      <c r="Q27" s="387">
        <v>0</v>
      </c>
      <c r="R27" s="387">
        <v>0</v>
      </c>
      <c r="S27" s="387">
        <v>0</v>
      </c>
      <c r="T27" s="387">
        <v>0</v>
      </c>
      <c r="U27" s="387">
        <v>0</v>
      </c>
      <c r="V27" s="394">
        <v>0</v>
      </c>
      <c r="W27" s="387">
        <v>0</v>
      </c>
      <c r="X27" s="394">
        <v>0</v>
      </c>
      <c r="Y27" s="394">
        <v>0</v>
      </c>
      <c r="Z27" s="394">
        <v>0</v>
      </c>
      <c r="AA27" s="394">
        <v>0</v>
      </c>
      <c r="AB27" s="394">
        <v>0</v>
      </c>
      <c r="AC27" s="394">
        <v>0</v>
      </c>
      <c r="AD27" s="387">
        <v>0</v>
      </c>
      <c r="AE27" s="387">
        <v>0</v>
      </c>
      <c r="AF27" s="387">
        <v>0</v>
      </c>
      <c r="AG27" s="387">
        <v>0</v>
      </c>
      <c r="AH27" s="387">
        <v>0</v>
      </c>
      <c r="AI27" s="387">
        <v>0</v>
      </c>
      <c r="AJ27" s="388">
        <v>9</v>
      </c>
      <c r="AK27" s="389">
        <v>9</v>
      </c>
      <c r="AL27" s="390">
        <v>16</v>
      </c>
      <c r="AM27" s="391" t="s">
        <v>37</v>
      </c>
      <c r="AN27" s="378"/>
      <c r="AO27" s="395"/>
      <c r="AP27" s="327"/>
      <c r="AQ27" s="396"/>
      <c r="AR27" s="381"/>
    </row>
    <row r="28" spans="1:44" s="365" customFormat="1" ht="15" customHeight="1">
      <c r="A28" s="364" t="s">
        <v>219</v>
      </c>
      <c r="B28" s="382" t="s">
        <v>37</v>
      </c>
      <c r="C28" s="366">
        <v>10</v>
      </c>
      <c r="D28" s="393">
        <v>46275</v>
      </c>
      <c r="E28" s="394">
        <v>0</v>
      </c>
      <c r="F28" s="394">
        <v>0</v>
      </c>
      <c r="G28" s="394">
        <v>0</v>
      </c>
      <c r="H28" s="394">
        <v>0</v>
      </c>
      <c r="I28" s="394">
        <v>0</v>
      </c>
      <c r="J28" s="394">
        <v>0</v>
      </c>
      <c r="K28" s="387">
        <v>0</v>
      </c>
      <c r="L28" s="394">
        <v>0</v>
      </c>
      <c r="M28" s="387">
        <v>0</v>
      </c>
      <c r="N28" s="387">
        <v>0</v>
      </c>
      <c r="O28" s="387">
        <v>0</v>
      </c>
      <c r="P28" s="387">
        <v>0</v>
      </c>
      <c r="Q28" s="387">
        <v>0</v>
      </c>
      <c r="R28" s="387">
        <v>0</v>
      </c>
      <c r="S28" s="387">
        <v>0</v>
      </c>
      <c r="T28" s="387">
        <v>0</v>
      </c>
      <c r="U28" s="387">
        <v>0</v>
      </c>
      <c r="V28" s="394">
        <v>0</v>
      </c>
      <c r="W28" s="387">
        <v>0</v>
      </c>
      <c r="X28" s="394">
        <v>0</v>
      </c>
      <c r="Y28" s="394">
        <v>0</v>
      </c>
      <c r="Z28" s="394">
        <v>0</v>
      </c>
      <c r="AA28" s="394">
        <v>0</v>
      </c>
      <c r="AB28" s="394">
        <v>0</v>
      </c>
      <c r="AC28" s="394">
        <v>0</v>
      </c>
      <c r="AD28" s="394">
        <v>0</v>
      </c>
      <c r="AE28" s="394">
        <v>0</v>
      </c>
      <c r="AF28" s="387">
        <v>0</v>
      </c>
      <c r="AG28" s="387">
        <v>0</v>
      </c>
      <c r="AH28" s="387">
        <v>0</v>
      </c>
      <c r="AI28" s="387">
        <v>0</v>
      </c>
      <c r="AJ28" s="388">
        <v>10</v>
      </c>
      <c r="AK28" s="389"/>
      <c r="AL28" s="390">
        <v>16</v>
      </c>
      <c r="AM28" s="391" t="s">
        <v>37</v>
      </c>
      <c r="AN28" s="378"/>
      <c r="AO28" s="395"/>
      <c r="AP28" s="327"/>
      <c r="AQ28" s="396"/>
      <c r="AR28" s="381"/>
    </row>
    <row r="29" spans="1:44" s="365" customFormat="1" ht="15" customHeight="1">
      <c r="A29" s="364" t="s">
        <v>220</v>
      </c>
      <c r="B29" s="382" t="s">
        <v>37</v>
      </c>
      <c r="C29" s="366">
        <v>11</v>
      </c>
      <c r="D29" s="393">
        <v>46276</v>
      </c>
      <c r="E29" s="387">
        <v>0</v>
      </c>
      <c r="F29" s="387">
        <v>0</v>
      </c>
      <c r="G29" s="387">
        <v>0</v>
      </c>
      <c r="H29" s="387">
        <v>0</v>
      </c>
      <c r="I29" s="397">
        <v>0</v>
      </c>
      <c r="J29" s="397">
        <v>0</v>
      </c>
      <c r="K29" s="387">
        <v>0</v>
      </c>
      <c r="L29" s="397">
        <v>0</v>
      </c>
      <c r="M29" s="387">
        <v>0</v>
      </c>
      <c r="N29" s="387">
        <v>0</v>
      </c>
      <c r="O29" s="387">
        <v>0</v>
      </c>
      <c r="P29" s="387">
        <v>0</v>
      </c>
      <c r="Q29" s="387">
        <v>0</v>
      </c>
      <c r="R29" s="387">
        <v>0</v>
      </c>
      <c r="S29" s="387">
        <v>0</v>
      </c>
      <c r="T29" s="387">
        <v>0</v>
      </c>
      <c r="U29" s="387">
        <v>0</v>
      </c>
      <c r="V29" s="394">
        <v>0</v>
      </c>
      <c r="W29" s="387">
        <v>0</v>
      </c>
      <c r="X29" s="394">
        <v>0</v>
      </c>
      <c r="Y29" s="394">
        <v>0</v>
      </c>
      <c r="Z29" s="394">
        <v>0</v>
      </c>
      <c r="AA29" s="394">
        <v>0</v>
      </c>
      <c r="AB29" s="394">
        <v>0</v>
      </c>
      <c r="AC29" s="394">
        <v>0</v>
      </c>
      <c r="AD29" s="394">
        <v>0</v>
      </c>
      <c r="AE29" s="394">
        <v>0</v>
      </c>
      <c r="AF29" s="387">
        <v>0</v>
      </c>
      <c r="AG29" s="387">
        <v>0</v>
      </c>
      <c r="AH29" s="387">
        <v>0</v>
      </c>
      <c r="AI29" s="387">
        <v>0</v>
      </c>
      <c r="AJ29" s="388">
        <v>11</v>
      </c>
      <c r="AK29" s="389">
        <v>11</v>
      </c>
      <c r="AL29" s="390">
        <v>16</v>
      </c>
      <c r="AM29" s="391" t="s">
        <v>37</v>
      </c>
      <c r="AN29" s="378"/>
      <c r="AO29" s="395"/>
      <c r="AP29" s="327"/>
      <c r="AQ29" s="396"/>
      <c r="AR29" s="381"/>
    </row>
    <row r="30" spans="1:44" s="365" customFormat="1" ht="15" customHeight="1">
      <c r="A30" s="364" t="s">
        <v>221</v>
      </c>
      <c r="B30" s="382" t="s">
        <v>37</v>
      </c>
      <c r="C30" s="366">
        <v>12</v>
      </c>
      <c r="D30" s="393">
        <v>46277</v>
      </c>
      <c r="E30" s="394">
        <v>0</v>
      </c>
      <c r="F30" s="394">
        <v>0</v>
      </c>
      <c r="G30" s="394">
        <v>0</v>
      </c>
      <c r="H30" s="387">
        <v>0</v>
      </c>
      <c r="I30" s="387">
        <v>0</v>
      </c>
      <c r="J30" s="387">
        <v>0</v>
      </c>
      <c r="K30" s="387">
        <v>0</v>
      </c>
      <c r="L30" s="387">
        <v>0</v>
      </c>
      <c r="M30" s="387">
        <v>0</v>
      </c>
      <c r="N30" s="387">
        <v>0</v>
      </c>
      <c r="O30" s="387">
        <v>0</v>
      </c>
      <c r="P30" s="387">
        <v>0</v>
      </c>
      <c r="Q30" s="387">
        <v>0</v>
      </c>
      <c r="R30" s="387">
        <v>0</v>
      </c>
      <c r="S30" s="387">
        <v>0</v>
      </c>
      <c r="T30" s="387">
        <v>0</v>
      </c>
      <c r="U30" s="387">
        <v>0</v>
      </c>
      <c r="V30" s="394">
        <v>0</v>
      </c>
      <c r="W30" s="394">
        <v>0</v>
      </c>
      <c r="X30" s="394">
        <v>0</v>
      </c>
      <c r="Y30" s="394">
        <v>0</v>
      </c>
      <c r="Z30" s="394">
        <v>0</v>
      </c>
      <c r="AA30" s="394">
        <v>0</v>
      </c>
      <c r="AB30" s="394">
        <v>0</v>
      </c>
      <c r="AC30" s="394">
        <v>0</v>
      </c>
      <c r="AD30" s="394">
        <v>0</v>
      </c>
      <c r="AE30" s="394">
        <v>0</v>
      </c>
      <c r="AF30" s="387">
        <v>0</v>
      </c>
      <c r="AG30" s="387">
        <v>0</v>
      </c>
      <c r="AH30" s="387">
        <v>0</v>
      </c>
      <c r="AI30" s="387">
        <v>0</v>
      </c>
      <c r="AJ30" s="388">
        <v>12</v>
      </c>
      <c r="AK30" s="389"/>
      <c r="AL30" s="390">
        <v>16</v>
      </c>
      <c r="AM30" s="391" t="s">
        <v>37</v>
      </c>
      <c r="AN30" s="378"/>
      <c r="AO30" s="395"/>
      <c r="AP30" s="327"/>
      <c r="AQ30" s="396"/>
      <c r="AR30" s="381"/>
    </row>
    <row r="31" spans="1:44" s="365" customFormat="1" ht="15" customHeight="1">
      <c r="A31" s="364" t="s">
        <v>222</v>
      </c>
      <c r="B31" s="382" t="s">
        <v>37</v>
      </c>
      <c r="C31" s="366">
        <v>13</v>
      </c>
      <c r="D31" s="393">
        <v>46278</v>
      </c>
      <c r="E31" s="394">
        <v>0</v>
      </c>
      <c r="F31" s="394">
        <v>0</v>
      </c>
      <c r="G31" s="394">
        <v>0</v>
      </c>
      <c r="H31" s="387">
        <v>0</v>
      </c>
      <c r="I31" s="387">
        <v>0</v>
      </c>
      <c r="J31" s="387">
        <v>0</v>
      </c>
      <c r="K31" s="387">
        <v>0</v>
      </c>
      <c r="L31" s="387">
        <v>0</v>
      </c>
      <c r="M31" s="387">
        <v>0</v>
      </c>
      <c r="N31" s="387">
        <v>0</v>
      </c>
      <c r="O31" s="387">
        <v>0</v>
      </c>
      <c r="P31" s="387">
        <v>0</v>
      </c>
      <c r="Q31" s="387">
        <v>0</v>
      </c>
      <c r="R31" s="387">
        <v>0</v>
      </c>
      <c r="S31" s="387">
        <v>0</v>
      </c>
      <c r="T31" s="387">
        <v>0</v>
      </c>
      <c r="U31" s="387">
        <v>0</v>
      </c>
      <c r="V31" s="394">
        <v>0</v>
      </c>
      <c r="W31" s="394">
        <v>0</v>
      </c>
      <c r="X31" s="394">
        <v>0</v>
      </c>
      <c r="Y31" s="394">
        <v>0</v>
      </c>
      <c r="Z31" s="394">
        <v>0</v>
      </c>
      <c r="AA31" s="394">
        <v>0</v>
      </c>
      <c r="AB31" s="394">
        <v>0</v>
      </c>
      <c r="AC31" s="394">
        <v>0</v>
      </c>
      <c r="AD31" s="394">
        <v>0</v>
      </c>
      <c r="AE31" s="394">
        <v>0</v>
      </c>
      <c r="AF31" s="387">
        <v>0</v>
      </c>
      <c r="AG31" s="387">
        <v>0</v>
      </c>
      <c r="AH31" s="387">
        <v>0</v>
      </c>
      <c r="AI31" s="387">
        <v>0</v>
      </c>
      <c r="AJ31" s="388">
        <v>13</v>
      </c>
      <c r="AK31" s="389">
        <v>13</v>
      </c>
      <c r="AL31" s="390">
        <v>16</v>
      </c>
      <c r="AM31" s="391" t="s">
        <v>37</v>
      </c>
      <c r="AN31" s="378"/>
      <c r="AO31" s="395"/>
      <c r="AP31" s="327"/>
      <c r="AQ31" s="396"/>
      <c r="AR31" s="381"/>
    </row>
    <row r="32" spans="1:44" s="365" customFormat="1" ht="15" customHeight="1">
      <c r="A32" s="364" t="s">
        <v>223</v>
      </c>
      <c r="B32" s="382" t="s">
        <v>37</v>
      </c>
      <c r="C32" s="398">
        <v>14</v>
      </c>
      <c r="D32" s="393">
        <v>46279</v>
      </c>
      <c r="E32" s="387">
        <v>0</v>
      </c>
      <c r="F32" s="387">
        <v>0</v>
      </c>
      <c r="G32" s="387">
        <v>0</v>
      </c>
      <c r="H32" s="387">
        <v>0</v>
      </c>
      <c r="I32" s="387">
        <v>0</v>
      </c>
      <c r="J32" s="387">
        <v>0</v>
      </c>
      <c r="K32" s="387">
        <v>0</v>
      </c>
      <c r="L32" s="387">
        <v>0</v>
      </c>
      <c r="M32" s="387">
        <v>0</v>
      </c>
      <c r="N32" s="387">
        <v>0</v>
      </c>
      <c r="O32" s="387">
        <v>0</v>
      </c>
      <c r="P32" s="387">
        <v>0</v>
      </c>
      <c r="Q32" s="387">
        <v>0</v>
      </c>
      <c r="R32" s="387">
        <v>0</v>
      </c>
      <c r="S32" s="387">
        <v>0</v>
      </c>
      <c r="T32" s="387">
        <v>0</v>
      </c>
      <c r="U32" s="387">
        <v>0</v>
      </c>
      <c r="V32" s="387">
        <v>0</v>
      </c>
      <c r="W32" s="387">
        <v>0</v>
      </c>
      <c r="X32" s="387">
        <v>0</v>
      </c>
      <c r="Y32" s="387">
        <v>0</v>
      </c>
      <c r="Z32" s="387">
        <v>0</v>
      </c>
      <c r="AA32" s="387">
        <v>0</v>
      </c>
      <c r="AB32" s="394">
        <v>0</v>
      </c>
      <c r="AC32" s="394">
        <v>0</v>
      </c>
      <c r="AD32" s="394">
        <v>0</v>
      </c>
      <c r="AE32" s="387">
        <v>0</v>
      </c>
      <c r="AF32" s="387">
        <v>0</v>
      </c>
      <c r="AG32" s="387">
        <v>0</v>
      </c>
      <c r="AH32" s="387">
        <v>0</v>
      </c>
      <c r="AI32" s="387">
        <v>0</v>
      </c>
      <c r="AJ32" s="388">
        <v>14</v>
      </c>
      <c r="AK32" s="389"/>
      <c r="AL32" s="390">
        <v>16</v>
      </c>
      <c r="AM32" s="391" t="s">
        <v>37</v>
      </c>
      <c r="AN32" s="378"/>
      <c r="AO32" s="395"/>
      <c r="AP32" s="327"/>
      <c r="AQ32" s="399"/>
      <c r="AR32" s="381"/>
    </row>
    <row r="33" spans="1:44" s="365" customFormat="1" ht="15" customHeight="1">
      <c r="A33" s="364" t="s">
        <v>224</v>
      </c>
      <c r="B33" s="382" t="s">
        <v>37</v>
      </c>
      <c r="C33" s="366">
        <v>15</v>
      </c>
      <c r="D33" s="393">
        <v>46280</v>
      </c>
      <c r="E33" s="387">
        <v>0</v>
      </c>
      <c r="F33" s="387">
        <v>0</v>
      </c>
      <c r="G33" s="387">
        <v>0</v>
      </c>
      <c r="H33" s="387">
        <v>0</v>
      </c>
      <c r="I33" s="387">
        <v>0</v>
      </c>
      <c r="J33" s="387">
        <v>0</v>
      </c>
      <c r="K33" s="387">
        <v>0</v>
      </c>
      <c r="L33" s="387">
        <v>0</v>
      </c>
      <c r="M33" s="387">
        <v>0</v>
      </c>
      <c r="N33" s="387">
        <v>0</v>
      </c>
      <c r="O33" s="387">
        <v>0</v>
      </c>
      <c r="P33" s="387">
        <v>0</v>
      </c>
      <c r="Q33" s="387">
        <v>0</v>
      </c>
      <c r="R33" s="387">
        <v>0</v>
      </c>
      <c r="S33" s="387">
        <v>0</v>
      </c>
      <c r="T33" s="387">
        <v>0</v>
      </c>
      <c r="U33" s="387">
        <v>0</v>
      </c>
      <c r="V33" s="387">
        <v>0</v>
      </c>
      <c r="W33" s="387">
        <v>0</v>
      </c>
      <c r="X33" s="394">
        <v>0</v>
      </c>
      <c r="Y33" s="394">
        <v>0</v>
      </c>
      <c r="Z33" s="394">
        <v>0</v>
      </c>
      <c r="AA33" s="394">
        <v>0</v>
      </c>
      <c r="AB33" s="394">
        <v>0</v>
      </c>
      <c r="AC33" s="394">
        <v>0</v>
      </c>
      <c r="AD33" s="394">
        <v>0</v>
      </c>
      <c r="AE33" s="387">
        <v>0</v>
      </c>
      <c r="AF33" s="387">
        <v>0</v>
      </c>
      <c r="AG33" s="387">
        <v>0</v>
      </c>
      <c r="AH33" s="387">
        <v>0</v>
      </c>
      <c r="AI33" s="387">
        <v>0</v>
      </c>
      <c r="AJ33" s="388">
        <v>15</v>
      </c>
      <c r="AK33" s="389">
        <v>15</v>
      </c>
      <c r="AL33" s="390">
        <v>16</v>
      </c>
      <c r="AM33" s="391" t="s">
        <v>37</v>
      </c>
      <c r="AN33" s="378"/>
      <c r="AO33" s="395"/>
      <c r="AP33" s="327"/>
      <c r="AQ33" s="396"/>
      <c r="AR33" s="381"/>
    </row>
    <row r="34" spans="1:44" s="365" customFormat="1" ht="15" customHeight="1">
      <c r="A34" s="364" t="s">
        <v>225</v>
      </c>
      <c r="B34" s="382" t="s">
        <v>37</v>
      </c>
      <c r="C34" s="366">
        <v>16</v>
      </c>
      <c r="D34" s="393">
        <v>46281</v>
      </c>
      <c r="E34" s="387">
        <v>0</v>
      </c>
      <c r="F34" s="387">
        <v>0</v>
      </c>
      <c r="G34" s="387">
        <v>0</v>
      </c>
      <c r="H34" s="387">
        <v>0</v>
      </c>
      <c r="I34" s="387">
        <v>0</v>
      </c>
      <c r="J34" s="387">
        <v>0</v>
      </c>
      <c r="K34" s="387">
        <v>0</v>
      </c>
      <c r="L34" s="387">
        <v>0</v>
      </c>
      <c r="M34" s="387">
        <v>0</v>
      </c>
      <c r="N34" s="387">
        <v>0</v>
      </c>
      <c r="O34" s="387">
        <v>0</v>
      </c>
      <c r="P34" s="387">
        <v>0</v>
      </c>
      <c r="Q34" s="387">
        <v>0</v>
      </c>
      <c r="R34" s="387">
        <v>0</v>
      </c>
      <c r="S34" s="387">
        <v>0</v>
      </c>
      <c r="T34" s="387">
        <v>0</v>
      </c>
      <c r="U34" s="387">
        <v>0</v>
      </c>
      <c r="V34" s="387">
        <v>0</v>
      </c>
      <c r="W34" s="387">
        <v>0</v>
      </c>
      <c r="X34" s="394">
        <v>0</v>
      </c>
      <c r="Y34" s="394">
        <v>0</v>
      </c>
      <c r="Z34" s="394">
        <v>0</v>
      </c>
      <c r="AA34" s="394">
        <v>0</v>
      </c>
      <c r="AB34" s="394">
        <v>0</v>
      </c>
      <c r="AC34" s="394">
        <v>0</v>
      </c>
      <c r="AD34" s="394">
        <v>0</v>
      </c>
      <c r="AE34" s="387">
        <v>0</v>
      </c>
      <c r="AF34" s="387">
        <v>0</v>
      </c>
      <c r="AG34" s="387">
        <v>0</v>
      </c>
      <c r="AH34" s="387">
        <v>0</v>
      </c>
      <c r="AI34" s="387">
        <v>0</v>
      </c>
      <c r="AJ34" s="388">
        <v>16</v>
      </c>
      <c r="AK34" s="389"/>
      <c r="AL34" s="390">
        <v>16</v>
      </c>
      <c r="AM34" s="391" t="s">
        <v>37</v>
      </c>
      <c r="AN34" s="378"/>
      <c r="AO34" s="395"/>
      <c r="AP34" s="327"/>
      <c r="AQ34" s="396"/>
      <c r="AR34" s="381"/>
    </row>
    <row r="35" spans="1:44" s="365" customFormat="1" ht="15" customHeight="1">
      <c r="A35" s="364" t="s">
        <v>226</v>
      </c>
      <c r="B35" s="382" t="s">
        <v>37</v>
      </c>
      <c r="C35" s="366">
        <v>17</v>
      </c>
      <c r="D35" s="393">
        <v>46282</v>
      </c>
      <c r="E35" s="387">
        <v>0</v>
      </c>
      <c r="F35" s="387">
        <v>0</v>
      </c>
      <c r="G35" s="387">
        <v>0</v>
      </c>
      <c r="H35" s="387">
        <v>0</v>
      </c>
      <c r="I35" s="387">
        <v>0</v>
      </c>
      <c r="J35" s="387">
        <v>0</v>
      </c>
      <c r="K35" s="387">
        <v>0</v>
      </c>
      <c r="L35" s="387">
        <v>0</v>
      </c>
      <c r="M35" s="387">
        <v>0</v>
      </c>
      <c r="N35" s="387">
        <v>0</v>
      </c>
      <c r="O35" s="387">
        <v>0</v>
      </c>
      <c r="P35" s="387">
        <v>0</v>
      </c>
      <c r="Q35" s="387">
        <v>0</v>
      </c>
      <c r="R35" s="387">
        <v>0</v>
      </c>
      <c r="S35" s="387">
        <v>0</v>
      </c>
      <c r="T35" s="387">
        <v>0</v>
      </c>
      <c r="U35" s="387">
        <v>0</v>
      </c>
      <c r="V35" s="387">
        <v>0</v>
      </c>
      <c r="W35" s="394">
        <v>0</v>
      </c>
      <c r="X35" s="394">
        <v>0</v>
      </c>
      <c r="Y35" s="394">
        <v>0</v>
      </c>
      <c r="Z35" s="394">
        <v>0</v>
      </c>
      <c r="AA35" s="394">
        <v>0</v>
      </c>
      <c r="AB35" s="394">
        <v>0</v>
      </c>
      <c r="AC35" s="394">
        <v>0</v>
      </c>
      <c r="AD35" s="394">
        <v>0</v>
      </c>
      <c r="AE35" s="387">
        <v>0</v>
      </c>
      <c r="AF35" s="387">
        <v>0</v>
      </c>
      <c r="AG35" s="387">
        <v>0</v>
      </c>
      <c r="AH35" s="387">
        <v>0</v>
      </c>
      <c r="AI35" s="387">
        <v>0</v>
      </c>
      <c r="AJ35" s="388">
        <v>17</v>
      </c>
      <c r="AK35" s="389">
        <v>17</v>
      </c>
      <c r="AL35" s="390">
        <v>16</v>
      </c>
      <c r="AM35" s="391" t="s">
        <v>37</v>
      </c>
      <c r="AN35" s="378"/>
      <c r="AO35" s="395"/>
      <c r="AP35" s="327"/>
      <c r="AQ35" s="396"/>
      <c r="AR35" s="381"/>
    </row>
    <row r="36" spans="1:44" s="365" customFormat="1" ht="15" customHeight="1">
      <c r="A36" s="364" t="s">
        <v>227</v>
      </c>
      <c r="B36" s="382" t="s">
        <v>37</v>
      </c>
      <c r="C36" s="366">
        <v>18</v>
      </c>
      <c r="D36" s="393">
        <v>46283</v>
      </c>
      <c r="E36" s="394">
        <v>0</v>
      </c>
      <c r="F36" s="394">
        <v>0</v>
      </c>
      <c r="G36" s="387">
        <v>0</v>
      </c>
      <c r="H36" s="387">
        <v>0</v>
      </c>
      <c r="I36" s="387">
        <v>0</v>
      </c>
      <c r="J36" s="387">
        <v>0</v>
      </c>
      <c r="K36" s="387">
        <v>0</v>
      </c>
      <c r="L36" s="387">
        <v>0</v>
      </c>
      <c r="M36" s="387">
        <v>0</v>
      </c>
      <c r="N36" s="387">
        <v>0</v>
      </c>
      <c r="O36" s="394">
        <v>0</v>
      </c>
      <c r="P36" s="387">
        <v>0</v>
      </c>
      <c r="Q36" s="387">
        <v>0</v>
      </c>
      <c r="R36" s="387">
        <v>0</v>
      </c>
      <c r="S36" s="387">
        <v>0</v>
      </c>
      <c r="T36" s="387">
        <v>0</v>
      </c>
      <c r="U36" s="387">
        <v>0</v>
      </c>
      <c r="V36" s="394">
        <v>0</v>
      </c>
      <c r="W36" s="394">
        <v>0</v>
      </c>
      <c r="X36" s="394">
        <v>0</v>
      </c>
      <c r="Y36" s="394">
        <v>0</v>
      </c>
      <c r="Z36" s="394">
        <v>0</v>
      </c>
      <c r="AA36" s="394">
        <v>0</v>
      </c>
      <c r="AB36" s="394">
        <v>0</v>
      </c>
      <c r="AC36" s="394">
        <v>0</v>
      </c>
      <c r="AD36" s="394">
        <v>0</v>
      </c>
      <c r="AE36" s="387">
        <v>0</v>
      </c>
      <c r="AF36" s="387">
        <v>0</v>
      </c>
      <c r="AG36" s="387">
        <v>0</v>
      </c>
      <c r="AH36" s="387">
        <v>0</v>
      </c>
      <c r="AI36" s="387">
        <v>0</v>
      </c>
      <c r="AJ36" s="388">
        <v>18</v>
      </c>
      <c r="AK36" s="389"/>
      <c r="AL36" s="390">
        <v>16</v>
      </c>
      <c r="AM36" s="391" t="s">
        <v>37</v>
      </c>
      <c r="AN36" s="378"/>
      <c r="AO36" s="395"/>
      <c r="AP36" s="327"/>
      <c r="AQ36" s="396"/>
      <c r="AR36" s="381"/>
    </row>
    <row r="37" spans="1:44" s="365" customFormat="1" ht="15" customHeight="1">
      <c r="A37" s="364" t="s">
        <v>228</v>
      </c>
      <c r="B37" s="382" t="s">
        <v>37</v>
      </c>
      <c r="C37" s="366">
        <v>19</v>
      </c>
      <c r="D37" s="393">
        <v>46284</v>
      </c>
      <c r="E37" s="394">
        <v>0</v>
      </c>
      <c r="F37" s="394">
        <v>0</v>
      </c>
      <c r="G37" s="387">
        <v>0</v>
      </c>
      <c r="H37" s="387">
        <v>0</v>
      </c>
      <c r="I37" s="387">
        <v>0</v>
      </c>
      <c r="J37" s="387">
        <v>0</v>
      </c>
      <c r="K37" s="387">
        <v>0</v>
      </c>
      <c r="L37" s="387">
        <v>0</v>
      </c>
      <c r="M37" s="387">
        <v>0</v>
      </c>
      <c r="N37" s="387">
        <v>0</v>
      </c>
      <c r="O37" s="394">
        <v>0</v>
      </c>
      <c r="P37" s="387">
        <v>0</v>
      </c>
      <c r="Q37" s="387">
        <v>0</v>
      </c>
      <c r="R37" s="387">
        <v>0</v>
      </c>
      <c r="S37" s="387">
        <v>0</v>
      </c>
      <c r="T37" s="387">
        <v>0</v>
      </c>
      <c r="U37" s="387">
        <v>0</v>
      </c>
      <c r="V37" s="394">
        <v>0</v>
      </c>
      <c r="W37" s="394">
        <v>0</v>
      </c>
      <c r="X37" s="394">
        <v>0</v>
      </c>
      <c r="Y37" s="394">
        <v>0</v>
      </c>
      <c r="Z37" s="394">
        <v>0</v>
      </c>
      <c r="AA37" s="394">
        <v>0</v>
      </c>
      <c r="AB37" s="394">
        <v>0</v>
      </c>
      <c r="AC37" s="394">
        <v>0</v>
      </c>
      <c r="AD37" s="394">
        <v>0</v>
      </c>
      <c r="AE37" s="387">
        <v>0</v>
      </c>
      <c r="AF37" s="387">
        <v>0</v>
      </c>
      <c r="AG37" s="387">
        <v>0</v>
      </c>
      <c r="AH37" s="387">
        <v>0</v>
      </c>
      <c r="AI37" s="387">
        <v>0</v>
      </c>
      <c r="AJ37" s="388">
        <v>19</v>
      </c>
      <c r="AK37" s="389">
        <v>19</v>
      </c>
      <c r="AL37" s="390">
        <v>16</v>
      </c>
      <c r="AM37" s="391" t="s">
        <v>37</v>
      </c>
      <c r="AN37" s="378"/>
      <c r="AO37" s="395"/>
      <c r="AP37" s="327"/>
      <c r="AQ37" s="396"/>
      <c r="AR37" s="381"/>
    </row>
    <row r="38" spans="1:44" s="365" customFormat="1" ht="15" customHeight="1">
      <c r="A38" s="364" t="s">
        <v>229</v>
      </c>
      <c r="B38" s="382" t="s">
        <v>37</v>
      </c>
      <c r="C38" s="366">
        <v>20</v>
      </c>
      <c r="D38" s="393">
        <v>46285</v>
      </c>
      <c r="E38" s="394">
        <v>0</v>
      </c>
      <c r="F38" s="394">
        <v>0</v>
      </c>
      <c r="G38" s="387">
        <v>0</v>
      </c>
      <c r="H38" s="387">
        <v>0</v>
      </c>
      <c r="I38" s="387">
        <v>0</v>
      </c>
      <c r="J38" s="387">
        <v>0</v>
      </c>
      <c r="K38" s="387">
        <v>0</v>
      </c>
      <c r="L38" s="387">
        <v>0</v>
      </c>
      <c r="M38" s="387">
        <v>0</v>
      </c>
      <c r="N38" s="387">
        <v>0</v>
      </c>
      <c r="O38" s="394">
        <v>0</v>
      </c>
      <c r="P38" s="387">
        <v>0</v>
      </c>
      <c r="Q38" s="387">
        <v>0</v>
      </c>
      <c r="R38" s="387">
        <v>0</v>
      </c>
      <c r="S38" s="387">
        <v>0</v>
      </c>
      <c r="T38" s="387">
        <v>0</v>
      </c>
      <c r="U38" s="394">
        <v>0</v>
      </c>
      <c r="V38" s="394">
        <v>0</v>
      </c>
      <c r="W38" s="394">
        <v>0</v>
      </c>
      <c r="X38" s="387">
        <v>0</v>
      </c>
      <c r="Y38" s="387">
        <v>0</v>
      </c>
      <c r="Z38" s="387">
        <v>0</v>
      </c>
      <c r="AA38" s="394">
        <v>0</v>
      </c>
      <c r="AB38" s="394">
        <v>0</v>
      </c>
      <c r="AC38" s="394">
        <v>0</v>
      </c>
      <c r="AD38" s="394">
        <v>0</v>
      </c>
      <c r="AE38" s="387">
        <v>0</v>
      </c>
      <c r="AF38" s="387">
        <v>0</v>
      </c>
      <c r="AG38" s="387">
        <v>0</v>
      </c>
      <c r="AH38" s="387">
        <v>0</v>
      </c>
      <c r="AI38" s="387">
        <v>0</v>
      </c>
      <c r="AJ38" s="388">
        <v>20</v>
      </c>
      <c r="AK38" s="389"/>
      <c r="AL38" s="390">
        <v>16</v>
      </c>
      <c r="AM38" s="391" t="s">
        <v>37</v>
      </c>
      <c r="AN38" s="378"/>
      <c r="AO38" s="395"/>
      <c r="AP38" s="327"/>
      <c r="AQ38" s="396"/>
      <c r="AR38" s="381"/>
    </row>
    <row r="39" spans="1:44" s="365" customFormat="1" ht="15" customHeight="1">
      <c r="A39" s="364" t="s">
        <v>230</v>
      </c>
      <c r="B39" s="382" t="s">
        <v>37</v>
      </c>
      <c r="C39" s="366">
        <v>21</v>
      </c>
      <c r="D39" s="393">
        <v>46286</v>
      </c>
      <c r="E39" s="394">
        <v>0</v>
      </c>
      <c r="F39" s="394">
        <v>0</v>
      </c>
      <c r="G39" s="394">
        <v>0</v>
      </c>
      <c r="H39" s="387">
        <v>0</v>
      </c>
      <c r="I39" s="387">
        <v>0</v>
      </c>
      <c r="J39" s="387">
        <v>0</v>
      </c>
      <c r="K39" s="387">
        <v>0</v>
      </c>
      <c r="L39" s="387">
        <v>0</v>
      </c>
      <c r="M39" s="394">
        <v>0</v>
      </c>
      <c r="N39" s="394">
        <v>0</v>
      </c>
      <c r="O39" s="394">
        <v>0</v>
      </c>
      <c r="P39" s="387">
        <v>0</v>
      </c>
      <c r="Q39" s="387">
        <v>0</v>
      </c>
      <c r="R39" s="387">
        <v>0</v>
      </c>
      <c r="S39" s="387">
        <v>0</v>
      </c>
      <c r="T39" s="387">
        <v>0</v>
      </c>
      <c r="U39" s="394">
        <v>0</v>
      </c>
      <c r="V39" s="394">
        <v>0</v>
      </c>
      <c r="W39" s="394">
        <v>0</v>
      </c>
      <c r="X39" s="387">
        <v>0</v>
      </c>
      <c r="Y39" s="387">
        <v>0</v>
      </c>
      <c r="Z39" s="387">
        <v>0</v>
      </c>
      <c r="AA39" s="394">
        <v>0</v>
      </c>
      <c r="AB39" s="394">
        <v>0</v>
      </c>
      <c r="AC39" s="394">
        <v>0</v>
      </c>
      <c r="AD39" s="394">
        <v>0</v>
      </c>
      <c r="AE39" s="387">
        <v>0</v>
      </c>
      <c r="AF39" s="394">
        <v>0</v>
      </c>
      <c r="AG39" s="394">
        <v>0</v>
      </c>
      <c r="AH39" s="394">
        <v>0</v>
      </c>
      <c r="AI39" s="394">
        <v>0</v>
      </c>
      <c r="AJ39" s="388">
        <v>21</v>
      </c>
      <c r="AK39" s="389">
        <v>21</v>
      </c>
      <c r="AL39" s="390">
        <v>16</v>
      </c>
      <c r="AM39" s="391" t="s">
        <v>37</v>
      </c>
      <c r="AN39" s="378"/>
      <c r="AO39" s="395"/>
      <c r="AP39" s="327"/>
      <c r="AQ39" s="396"/>
      <c r="AR39" s="381"/>
    </row>
    <row r="40" spans="1:44" s="365" customFormat="1" ht="15" customHeight="1">
      <c r="A40" s="364" t="s">
        <v>231</v>
      </c>
      <c r="B40" s="382" t="s">
        <v>37</v>
      </c>
      <c r="C40" s="366">
        <v>22</v>
      </c>
      <c r="D40" s="393">
        <v>46287</v>
      </c>
      <c r="E40" s="387">
        <v>0</v>
      </c>
      <c r="F40" s="387">
        <v>0</v>
      </c>
      <c r="G40" s="387">
        <v>0</v>
      </c>
      <c r="H40" s="387">
        <v>0</v>
      </c>
      <c r="I40" s="387">
        <v>0</v>
      </c>
      <c r="J40" s="387">
        <v>0</v>
      </c>
      <c r="K40" s="387">
        <v>0</v>
      </c>
      <c r="L40" s="387">
        <v>0</v>
      </c>
      <c r="M40" s="387">
        <v>0</v>
      </c>
      <c r="N40" s="387">
        <v>0</v>
      </c>
      <c r="O40" s="387">
        <v>0</v>
      </c>
      <c r="P40" s="387">
        <v>0</v>
      </c>
      <c r="Q40" s="387">
        <v>0</v>
      </c>
      <c r="R40" s="387">
        <v>0</v>
      </c>
      <c r="S40" s="387">
        <v>0</v>
      </c>
      <c r="T40" s="387">
        <v>0</v>
      </c>
      <c r="U40" s="387">
        <v>0</v>
      </c>
      <c r="V40" s="387">
        <v>0</v>
      </c>
      <c r="W40" s="387">
        <v>0</v>
      </c>
      <c r="X40" s="387">
        <v>0</v>
      </c>
      <c r="Y40" s="387">
        <v>0</v>
      </c>
      <c r="Z40" s="387">
        <v>0</v>
      </c>
      <c r="AA40" s="387">
        <v>0</v>
      </c>
      <c r="AB40" s="394">
        <v>0</v>
      </c>
      <c r="AC40" s="394">
        <v>0</v>
      </c>
      <c r="AD40" s="394">
        <v>0</v>
      </c>
      <c r="AE40" s="387">
        <v>0</v>
      </c>
      <c r="AF40" s="394">
        <v>0</v>
      </c>
      <c r="AG40" s="394">
        <v>0</v>
      </c>
      <c r="AH40" s="394">
        <v>0</v>
      </c>
      <c r="AI40" s="394">
        <v>0</v>
      </c>
      <c r="AJ40" s="388">
        <v>22</v>
      </c>
      <c r="AK40" s="389"/>
      <c r="AL40" s="390">
        <v>16</v>
      </c>
      <c r="AM40" s="391" t="s">
        <v>37</v>
      </c>
      <c r="AN40" s="378"/>
      <c r="AO40" s="395"/>
      <c r="AP40" s="327"/>
      <c r="AQ40" s="396"/>
      <c r="AR40" s="381"/>
    </row>
    <row r="41" spans="1:44" s="400" customFormat="1" ht="15" customHeight="1">
      <c r="A41" s="364" t="s">
        <v>232</v>
      </c>
      <c r="B41" s="382" t="s">
        <v>37</v>
      </c>
      <c r="C41" s="366">
        <v>23</v>
      </c>
      <c r="D41" s="393">
        <v>46288</v>
      </c>
      <c r="E41" s="394">
        <v>0</v>
      </c>
      <c r="F41" s="394">
        <v>0</v>
      </c>
      <c r="G41" s="394">
        <v>0</v>
      </c>
      <c r="H41" s="387">
        <v>0</v>
      </c>
      <c r="I41" s="387">
        <v>0</v>
      </c>
      <c r="J41" s="387">
        <v>0</v>
      </c>
      <c r="K41" s="387">
        <v>0</v>
      </c>
      <c r="L41" s="387">
        <v>0</v>
      </c>
      <c r="M41" s="387">
        <v>0</v>
      </c>
      <c r="N41" s="387">
        <v>0</v>
      </c>
      <c r="O41" s="394">
        <v>0</v>
      </c>
      <c r="P41" s="394">
        <v>0</v>
      </c>
      <c r="Q41" s="387">
        <v>0</v>
      </c>
      <c r="R41" s="387">
        <v>0</v>
      </c>
      <c r="S41" s="387">
        <v>0</v>
      </c>
      <c r="T41" s="387">
        <v>0</v>
      </c>
      <c r="U41" s="394">
        <v>0</v>
      </c>
      <c r="V41" s="394">
        <v>0</v>
      </c>
      <c r="W41" s="394">
        <v>0</v>
      </c>
      <c r="X41" s="394">
        <v>0</v>
      </c>
      <c r="Y41" s="394">
        <v>0</v>
      </c>
      <c r="Z41" s="394">
        <v>0</v>
      </c>
      <c r="AA41" s="394">
        <v>0</v>
      </c>
      <c r="AB41" s="394">
        <v>0</v>
      </c>
      <c r="AC41" s="394">
        <v>0</v>
      </c>
      <c r="AD41" s="394">
        <v>0</v>
      </c>
      <c r="AE41" s="397">
        <v>0</v>
      </c>
      <c r="AF41" s="394">
        <v>0</v>
      </c>
      <c r="AG41" s="394">
        <v>0</v>
      </c>
      <c r="AH41" s="394">
        <v>0</v>
      </c>
      <c r="AI41" s="394">
        <v>0</v>
      </c>
      <c r="AJ41" s="388">
        <v>23</v>
      </c>
      <c r="AK41" s="389">
        <v>23</v>
      </c>
      <c r="AL41" s="390">
        <v>16</v>
      </c>
      <c r="AM41" s="391" t="s">
        <v>37</v>
      </c>
      <c r="AN41" s="378"/>
      <c r="AO41" s="395"/>
      <c r="AP41" s="327"/>
      <c r="AQ41" s="396"/>
    </row>
    <row r="42" spans="1:44" s="365" customFormat="1" ht="15" customHeight="1">
      <c r="A42" s="364" t="s">
        <v>233</v>
      </c>
      <c r="B42" s="382" t="s">
        <v>37</v>
      </c>
      <c r="C42" s="366">
        <v>24</v>
      </c>
      <c r="D42" s="393">
        <v>46289</v>
      </c>
      <c r="E42" s="394">
        <v>0</v>
      </c>
      <c r="F42" s="394">
        <v>0</v>
      </c>
      <c r="G42" s="394">
        <v>0</v>
      </c>
      <c r="H42" s="387">
        <v>0</v>
      </c>
      <c r="I42" s="387">
        <v>0</v>
      </c>
      <c r="J42" s="387">
        <v>0</v>
      </c>
      <c r="K42" s="387">
        <v>0</v>
      </c>
      <c r="L42" s="387">
        <v>0</v>
      </c>
      <c r="M42" s="394">
        <v>0</v>
      </c>
      <c r="N42" s="394">
        <v>0</v>
      </c>
      <c r="O42" s="394">
        <v>0</v>
      </c>
      <c r="P42" s="394">
        <v>0</v>
      </c>
      <c r="Q42" s="387">
        <v>0</v>
      </c>
      <c r="R42" s="387">
        <v>0</v>
      </c>
      <c r="S42" s="387">
        <v>0</v>
      </c>
      <c r="T42" s="387">
        <v>0</v>
      </c>
      <c r="U42" s="394">
        <v>0</v>
      </c>
      <c r="V42" s="394">
        <v>0</v>
      </c>
      <c r="W42" s="394">
        <v>0</v>
      </c>
      <c r="X42" s="394">
        <v>0</v>
      </c>
      <c r="Y42" s="394">
        <v>0</v>
      </c>
      <c r="Z42" s="394">
        <v>0</v>
      </c>
      <c r="AA42" s="394">
        <v>0</v>
      </c>
      <c r="AB42" s="394">
        <v>0</v>
      </c>
      <c r="AC42" s="394">
        <v>0</v>
      </c>
      <c r="AD42" s="394">
        <v>0</v>
      </c>
      <c r="AE42" s="394">
        <v>0</v>
      </c>
      <c r="AF42" s="394">
        <v>0</v>
      </c>
      <c r="AG42" s="394">
        <v>0</v>
      </c>
      <c r="AH42" s="394">
        <v>0</v>
      </c>
      <c r="AI42" s="394">
        <v>0</v>
      </c>
      <c r="AJ42" s="388">
        <v>24</v>
      </c>
      <c r="AK42" s="389"/>
      <c r="AL42" s="390">
        <v>16</v>
      </c>
      <c r="AM42" s="391" t="s">
        <v>37</v>
      </c>
      <c r="AN42" s="378"/>
      <c r="AO42" s="395"/>
      <c r="AP42" s="327"/>
      <c r="AQ42" s="396"/>
      <c r="AR42" s="381"/>
    </row>
    <row r="43" spans="1:44" s="365" customFormat="1" ht="15" customHeight="1">
      <c r="A43" s="364" t="s">
        <v>234</v>
      </c>
      <c r="B43" s="382" t="s">
        <v>37</v>
      </c>
      <c r="C43" s="366">
        <v>25</v>
      </c>
      <c r="D43" s="393">
        <v>46290</v>
      </c>
      <c r="E43" s="394">
        <v>0</v>
      </c>
      <c r="F43" s="394">
        <v>0</v>
      </c>
      <c r="G43" s="394">
        <v>0</v>
      </c>
      <c r="H43" s="387">
        <v>0</v>
      </c>
      <c r="I43" s="387">
        <v>0</v>
      </c>
      <c r="J43" s="387">
        <v>0</v>
      </c>
      <c r="K43" s="387">
        <v>0</v>
      </c>
      <c r="L43" s="387">
        <v>0</v>
      </c>
      <c r="M43" s="394">
        <v>0</v>
      </c>
      <c r="N43" s="394">
        <v>0</v>
      </c>
      <c r="O43" s="394">
        <v>0</v>
      </c>
      <c r="P43" s="387">
        <v>0</v>
      </c>
      <c r="Q43" s="387">
        <v>0</v>
      </c>
      <c r="R43" s="387">
        <v>0</v>
      </c>
      <c r="S43" s="387">
        <v>0</v>
      </c>
      <c r="T43" s="387">
        <v>0</v>
      </c>
      <c r="U43" s="394">
        <v>0</v>
      </c>
      <c r="V43" s="394">
        <v>0</v>
      </c>
      <c r="W43" s="394">
        <v>0</v>
      </c>
      <c r="X43" s="394">
        <v>0</v>
      </c>
      <c r="Y43" s="394">
        <v>0</v>
      </c>
      <c r="Z43" s="394">
        <v>0</v>
      </c>
      <c r="AA43" s="394">
        <v>0</v>
      </c>
      <c r="AB43" s="394">
        <v>0</v>
      </c>
      <c r="AC43" s="394">
        <v>0</v>
      </c>
      <c r="AD43" s="394">
        <v>0</v>
      </c>
      <c r="AE43" s="394">
        <v>0</v>
      </c>
      <c r="AF43" s="394">
        <v>0</v>
      </c>
      <c r="AG43" s="394">
        <v>0</v>
      </c>
      <c r="AH43" s="394">
        <v>0</v>
      </c>
      <c r="AI43" s="394">
        <v>0</v>
      </c>
      <c r="AJ43" s="388">
        <v>25</v>
      </c>
      <c r="AK43" s="389">
        <v>25</v>
      </c>
      <c r="AL43" s="390">
        <v>16</v>
      </c>
      <c r="AM43" s="391" t="s">
        <v>37</v>
      </c>
      <c r="AN43" s="378"/>
      <c r="AO43" s="395"/>
      <c r="AP43" s="327"/>
      <c r="AQ43" s="396"/>
      <c r="AR43" s="381"/>
    </row>
    <row r="44" spans="1:44" s="365" customFormat="1" ht="15" customHeight="1">
      <c r="A44" s="364" t="s">
        <v>235</v>
      </c>
      <c r="B44" s="382" t="s">
        <v>37</v>
      </c>
      <c r="C44" s="366">
        <v>26</v>
      </c>
      <c r="D44" s="393">
        <v>46291</v>
      </c>
      <c r="E44" s="394">
        <v>0</v>
      </c>
      <c r="F44" s="394">
        <v>0</v>
      </c>
      <c r="G44" s="394">
        <v>0</v>
      </c>
      <c r="H44" s="387">
        <v>0</v>
      </c>
      <c r="I44" s="387">
        <v>0</v>
      </c>
      <c r="J44" s="387">
        <v>0</v>
      </c>
      <c r="K44" s="387">
        <v>0</v>
      </c>
      <c r="L44" s="387">
        <v>0</v>
      </c>
      <c r="M44" s="394">
        <v>0</v>
      </c>
      <c r="N44" s="394">
        <v>0</v>
      </c>
      <c r="O44" s="394">
        <v>0</v>
      </c>
      <c r="P44" s="387">
        <v>0</v>
      </c>
      <c r="Q44" s="387">
        <v>0</v>
      </c>
      <c r="R44" s="387">
        <v>0</v>
      </c>
      <c r="S44" s="387">
        <v>0</v>
      </c>
      <c r="T44" s="387">
        <v>0</v>
      </c>
      <c r="U44" s="394">
        <v>0</v>
      </c>
      <c r="V44" s="394">
        <v>0</v>
      </c>
      <c r="W44" s="387">
        <v>0</v>
      </c>
      <c r="X44" s="394">
        <v>0</v>
      </c>
      <c r="Y44" s="394">
        <v>0</v>
      </c>
      <c r="Z44" s="394">
        <v>0</v>
      </c>
      <c r="AA44" s="394">
        <v>0</v>
      </c>
      <c r="AB44" s="394">
        <v>0</v>
      </c>
      <c r="AC44" s="394">
        <v>0</v>
      </c>
      <c r="AD44" s="394">
        <v>0</v>
      </c>
      <c r="AE44" s="394">
        <v>0</v>
      </c>
      <c r="AF44" s="394">
        <v>0</v>
      </c>
      <c r="AG44" s="394">
        <v>0</v>
      </c>
      <c r="AH44" s="394">
        <v>0</v>
      </c>
      <c r="AI44" s="394">
        <v>0</v>
      </c>
      <c r="AJ44" s="388">
        <v>26</v>
      </c>
      <c r="AK44" s="389"/>
      <c r="AL44" s="390">
        <v>16</v>
      </c>
      <c r="AM44" s="391" t="s">
        <v>37</v>
      </c>
      <c r="AN44" s="378"/>
      <c r="AO44" s="395"/>
      <c r="AP44" s="327"/>
      <c r="AQ44" s="396"/>
      <c r="AR44" s="381"/>
    </row>
    <row r="45" spans="1:44" s="365" customFormat="1" ht="15" customHeight="1">
      <c r="A45" s="364" t="s">
        <v>236</v>
      </c>
      <c r="B45" s="382" t="s">
        <v>37</v>
      </c>
      <c r="C45" s="366">
        <v>27</v>
      </c>
      <c r="D45" s="393">
        <v>46292</v>
      </c>
      <c r="E45" s="394">
        <v>0</v>
      </c>
      <c r="F45" s="394">
        <v>0</v>
      </c>
      <c r="G45" s="394">
        <v>0</v>
      </c>
      <c r="H45" s="387">
        <v>0</v>
      </c>
      <c r="I45" s="387">
        <v>0</v>
      </c>
      <c r="J45" s="387">
        <v>0</v>
      </c>
      <c r="K45" s="387">
        <v>0</v>
      </c>
      <c r="L45" s="387">
        <v>0</v>
      </c>
      <c r="M45" s="387">
        <v>0</v>
      </c>
      <c r="N45" s="387">
        <v>0</v>
      </c>
      <c r="O45" s="387">
        <v>0</v>
      </c>
      <c r="P45" s="387">
        <v>0</v>
      </c>
      <c r="Q45" s="387">
        <v>0</v>
      </c>
      <c r="R45" s="387">
        <v>0</v>
      </c>
      <c r="S45" s="387">
        <v>0</v>
      </c>
      <c r="T45" s="387">
        <v>0</v>
      </c>
      <c r="U45" s="387">
        <v>0</v>
      </c>
      <c r="V45" s="387">
        <v>0</v>
      </c>
      <c r="W45" s="387">
        <v>0</v>
      </c>
      <c r="X45" s="387">
        <v>0</v>
      </c>
      <c r="Y45" s="387">
        <v>0</v>
      </c>
      <c r="Z45" s="387">
        <v>0</v>
      </c>
      <c r="AA45" s="387">
        <v>0</v>
      </c>
      <c r="AB45" s="387">
        <v>0</v>
      </c>
      <c r="AC45" s="387">
        <v>0</v>
      </c>
      <c r="AD45" s="387">
        <v>0</v>
      </c>
      <c r="AE45" s="387">
        <v>0</v>
      </c>
      <c r="AF45" s="387">
        <v>0</v>
      </c>
      <c r="AG45" s="387">
        <v>0</v>
      </c>
      <c r="AH45" s="387">
        <v>0</v>
      </c>
      <c r="AI45" s="387">
        <v>0</v>
      </c>
      <c r="AJ45" s="388">
        <v>27</v>
      </c>
      <c r="AK45" s="389">
        <v>27</v>
      </c>
      <c r="AL45" s="390">
        <v>16</v>
      </c>
      <c r="AM45" s="391" t="s">
        <v>37</v>
      </c>
      <c r="AN45" s="378"/>
      <c r="AO45" s="395"/>
      <c r="AP45" s="327"/>
      <c r="AQ45" s="396"/>
      <c r="AR45" s="381"/>
    </row>
    <row r="46" spans="1:44" s="365" customFormat="1" ht="15" customHeight="1">
      <c r="A46" s="364" t="s">
        <v>237</v>
      </c>
      <c r="B46" s="382" t="s">
        <v>37</v>
      </c>
      <c r="C46" s="366">
        <v>28</v>
      </c>
      <c r="D46" s="393">
        <v>46293</v>
      </c>
      <c r="E46" s="394">
        <v>0</v>
      </c>
      <c r="F46" s="394">
        <v>0</v>
      </c>
      <c r="G46" s="394">
        <v>0</v>
      </c>
      <c r="H46" s="387">
        <v>0</v>
      </c>
      <c r="I46" s="387">
        <v>0</v>
      </c>
      <c r="J46" s="387">
        <v>0</v>
      </c>
      <c r="K46" s="387">
        <v>0</v>
      </c>
      <c r="L46" s="387">
        <v>0</v>
      </c>
      <c r="M46" s="387">
        <v>0</v>
      </c>
      <c r="N46" s="387">
        <v>0</v>
      </c>
      <c r="O46" s="387">
        <v>0</v>
      </c>
      <c r="P46" s="387">
        <v>0</v>
      </c>
      <c r="Q46" s="387">
        <v>0</v>
      </c>
      <c r="R46" s="387">
        <v>0</v>
      </c>
      <c r="S46" s="387">
        <v>0</v>
      </c>
      <c r="T46" s="387">
        <v>0</v>
      </c>
      <c r="U46" s="387">
        <v>0</v>
      </c>
      <c r="V46" s="387">
        <v>0</v>
      </c>
      <c r="W46" s="387">
        <v>0</v>
      </c>
      <c r="X46" s="387">
        <v>0</v>
      </c>
      <c r="Y46" s="387">
        <v>0</v>
      </c>
      <c r="Z46" s="387">
        <v>0</v>
      </c>
      <c r="AA46" s="387">
        <v>0</v>
      </c>
      <c r="AB46" s="387">
        <v>0</v>
      </c>
      <c r="AC46" s="387">
        <v>0</v>
      </c>
      <c r="AD46" s="387">
        <v>0</v>
      </c>
      <c r="AE46" s="387">
        <v>0</v>
      </c>
      <c r="AF46" s="387">
        <v>0</v>
      </c>
      <c r="AG46" s="387">
        <v>0</v>
      </c>
      <c r="AH46" s="387">
        <v>0</v>
      </c>
      <c r="AI46" s="387">
        <v>0</v>
      </c>
      <c r="AJ46" s="388">
        <v>28</v>
      </c>
      <c r="AK46" s="389"/>
      <c r="AL46" s="390">
        <v>16</v>
      </c>
      <c r="AM46" s="391" t="s">
        <v>37</v>
      </c>
      <c r="AN46" s="378"/>
      <c r="AO46" s="395"/>
      <c r="AP46" s="327"/>
      <c r="AQ46" s="396"/>
      <c r="AR46" s="381"/>
    </row>
    <row r="47" spans="1:44" s="404" customFormat="1" ht="15" customHeight="1">
      <c r="A47" s="401" t="s">
        <v>238</v>
      </c>
      <c r="B47" s="402" t="s">
        <v>37</v>
      </c>
      <c r="C47" s="403">
        <v>29</v>
      </c>
      <c r="D47" s="393">
        <v>46294</v>
      </c>
      <c r="E47" s="394">
        <v>0</v>
      </c>
      <c r="F47" s="394">
        <v>0</v>
      </c>
      <c r="G47" s="394">
        <v>0</v>
      </c>
      <c r="H47" s="387">
        <v>0</v>
      </c>
      <c r="I47" s="387">
        <v>0</v>
      </c>
      <c r="J47" s="387">
        <v>0</v>
      </c>
      <c r="K47" s="387">
        <v>0</v>
      </c>
      <c r="L47" s="387">
        <v>0</v>
      </c>
      <c r="M47" s="387">
        <v>0</v>
      </c>
      <c r="N47" s="387">
        <v>0</v>
      </c>
      <c r="O47" s="387">
        <v>0</v>
      </c>
      <c r="P47" s="387">
        <v>0</v>
      </c>
      <c r="Q47" s="387">
        <v>0</v>
      </c>
      <c r="R47" s="387">
        <v>0</v>
      </c>
      <c r="S47" s="387">
        <v>0</v>
      </c>
      <c r="T47" s="387">
        <v>0</v>
      </c>
      <c r="U47" s="387">
        <v>0</v>
      </c>
      <c r="V47" s="387">
        <v>0</v>
      </c>
      <c r="W47" s="387">
        <v>0</v>
      </c>
      <c r="X47" s="387">
        <v>0</v>
      </c>
      <c r="Y47" s="387">
        <v>0</v>
      </c>
      <c r="Z47" s="387">
        <v>0</v>
      </c>
      <c r="AA47" s="387">
        <v>0</v>
      </c>
      <c r="AB47" s="387">
        <v>0</v>
      </c>
      <c r="AC47" s="387">
        <v>0</v>
      </c>
      <c r="AD47" s="387">
        <v>0</v>
      </c>
      <c r="AE47" s="387">
        <v>0</v>
      </c>
      <c r="AF47" s="387">
        <v>0</v>
      </c>
      <c r="AG47" s="387">
        <v>0</v>
      </c>
      <c r="AH47" s="387">
        <v>0</v>
      </c>
      <c r="AI47" s="387">
        <v>0</v>
      </c>
      <c r="AJ47" s="388">
        <v>29</v>
      </c>
      <c r="AK47" s="389">
        <v>29</v>
      </c>
      <c r="AL47" s="390">
        <v>16</v>
      </c>
      <c r="AM47" s="391" t="s">
        <v>37</v>
      </c>
      <c r="AN47" s="378"/>
      <c r="AO47" s="395"/>
      <c r="AP47" s="327"/>
      <c r="AQ47" s="366"/>
    </row>
    <row r="48" spans="1:44" s="404" customFormat="1" ht="15" customHeight="1">
      <c r="A48" s="401" t="s">
        <v>239</v>
      </c>
      <c r="B48" s="402" t="s">
        <v>37</v>
      </c>
      <c r="C48" s="398">
        <v>30</v>
      </c>
      <c r="D48" s="393">
        <v>46295</v>
      </c>
      <c r="E48" s="387">
        <v>0</v>
      </c>
      <c r="F48" s="387">
        <v>0</v>
      </c>
      <c r="G48" s="387">
        <v>0</v>
      </c>
      <c r="H48" s="387">
        <v>0</v>
      </c>
      <c r="I48" s="387">
        <v>0</v>
      </c>
      <c r="J48" s="387">
        <v>0</v>
      </c>
      <c r="K48" s="387">
        <v>0</v>
      </c>
      <c r="L48" s="387">
        <v>0</v>
      </c>
      <c r="M48" s="387">
        <v>0</v>
      </c>
      <c r="N48" s="387">
        <v>0</v>
      </c>
      <c r="O48" s="387">
        <v>0</v>
      </c>
      <c r="P48" s="387">
        <v>0</v>
      </c>
      <c r="Q48" s="387">
        <v>0</v>
      </c>
      <c r="R48" s="387">
        <v>0</v>
      </c>
      <c r="S48" s="387">
        <v>0</v>
      </c>
      <c r="T48" s="387">
        <v>0</v>
      </c>
      <c r="U48" s="387">
        <v>0</v>
      </c>
      <c r="V48" s="387">
        <v>0</v>
      </c>
      <c r="W48" s="387">
        <v>0</v>
      </c>
      <c r="X48" s="387">
        <v>0</v>
      </c>
      <c r="Y48" s="387">
        <v>0</v>
      </c>
      <c r="Z48" s="387">
        <v>0</v>
      </c>
      <c r="AA48" s="387">
        <v>0</v>
      </c>
      <c r="AB48" s="387">
        <v>0</v>
      </c>
      <c r="AC48" s="387">
        <v>0</v>
      </c>
      <c r="AD48" s="387">
        <v>0</v>
      </c>
      <c r="AE48" s="387">
        <v>0</v>
      </c>
      <c r="AF48" s="387">
        <v>0</v>
      </c>
      <c r="AG48" s="387">
        <v>0</v>
      </c>
      <c r="AH48" s="387">
        <v>0</v>
      </c>
      <c r="AI48" s="387">
        <v>0</v>
      </c>
      <c r="AJ48" s="388">
        <v>30</v>
      </c>
      <c r="AK48" s="389"/>
      <c r="AL48" s="390">
        <v>16</v>
      </c>
      <c r="AM48" s="391" t="s">
        <v>37</v>
      </c>
      <c r="AN48" s="378"/>
      <c r="AO48" s="395"/>
      <c r="AP48" s="327"/>
      <c r="AQ48" s="398"/>
    </row>
    <row r="49" spans="1:47" s="381" customFormat="1" ht="15" customHeight="1">
      <c r="A49" s="405" t="s">
        <v>240</v>
      </c>
      <c r="B49" s="382" t="s">
        <v>37</v>
      </c>
      <c r="C49" s="398">
        <v>31</v>
      </c>
      <c r="D49" s="406">
        <v>46296</v>
      </c>
      <c r="E49" s="407">
        <v>0</v>
      </c>
      <c r="F49" s="407">
        <v>0</v>
      </c>
      <c r="G49" s="407">
        <v>0</v>
      </c>
      <c r="H49" s="407">
        <v>0</v>
      </c>
      <c r="I49" s="407">
        <v>0</v>
      </c>
      <c r="J49" s="407">
        <v>0</v>
      </c>
      <c r="K49" s="407">
        <v>0</v>
      </c>
      <c r="L49" s="407">
        <v>0</v>
      </c>
      <c r="M49" s="407">
        <v>0</v>
      </c>
      <c r="N49" s="407">
        <v>0</v>
      </c>
      <c r="O49" s="394">
        <v>0</v>
      </c>
      <c r="P49" s="407">
        <v>0</v>
      </c>
      <c r="Q49" s="407">
        <v>0</v>
      </c>
      <c r="R49" s="387">
        <v>0</v>
      </c>
      <c r="S49" s="407">
        <v>0</v>
      </c>
      <c r="T49" s="407">
        <v>0</v>
      </c>
      <c r="U49" s="407">
        <v>0</v>
      </c>
      <c r="V49" s="407">
        <v>0</v>
      </c>
      <c r="W49" s="407">
        <v>0</v>
      </c>
      <c r="X49" s="407">
        <v>0</v>
      </c>
      <c r="Y49" s="407">
        <v>0</v>
      </c>
      <c r="Z49" s="407">
        <v>0</v>
      </c>
      <c r="AA49" s="407">
        <v>0</v>
      </c>
      <c r="AB49" s="407">
        <v>0</v>
      </c>
      <c r="AC49" s="407">
        <v>0</v>
      </c>
      <c r="AD49" s="407">
        <v>0</v>
      </c>
      <c r="AE49" s="407">
        <v>0</v>
      </c>
      <c r="AF49" s="394">
        <v>0</v>
      </c>
      <c r="AG49" s="394">
        <v>0</v>
      </c>
      <c r="AH49" s="394">
        <v>0</v>
      </c>
      <c r="AI49" s="407">
        <v>0</v>
      </c>
      <c r="AJ49" s="388">
        <v>31</v>
      </c>
      <c r="AK49" s="389">
        <v>31</v>
      </c>
      <c r="AL49" s="390">
        <v>16</v>
      </c>
      <c r="AM49" s="391" t="s">
        <v>37</v>
      </c>
      <c r="AN49" s="378"/>
      <c r="AO49" s="408"/>
      <c r="AP49" s="331"/>
      <c r="AQ49" s="399"/>
    </row>
    <row r="50" spans="1:47" s="410" customFormat="1" ht="15" customHeight="1">
      <c r="A50" s="409"/>
      <c r="C50" s="411"/>
      <c r="D50" s="412" t="s">
        <v>7</v>
      </c>
      <c r="E50" s="413">
        <v>0</v>
      </c>
      <c r="F50" s="413">
        <v>1184074.5</v>
      </c>
      <c r="G50" s="413">
        <v>424145</v>
      </c>
      <c r="H50" s="413">
        <v>1608219.5</v>
      </c>
      <c r="I50" s="413">
        <v>0</v>
      </c>
      <c r="J50" s="413">
        <v>227250</v>
      </c>
      <c r="K50" s="413">
        <v>89844</v>
      </c>
      <c r="L50" s="413">
        <v>317094</v>
      </c>
      <c r="M50" s="414">
        <v>0</v>
      </c>
      <c r="N50" s="414">
        <v>114804.07999999999</v>
      </c>
      <c r="O50" s="414">
        <v>59291.14</v>
      </c>
      <c r="P50" s="414">
        <v>174095.22</v>
      </c>
      <c r="Q50" s="414">
        <v>511307.73998000007</v>
      </c>
      <c r="R50" s="413">
        <v>0</v>
      </c>
      <c r="S50" s="413">
        <v>511307.73998000007</v>
      </c>
      <c r="T50" s="414">
        <v>0</v>
      </c>
      <c r="U50" s="413">
        <v>144434.99</v>
      </c>
      <c r="V50" s="413">
        <v>0</v>
      </c>
      <c r="W50" s="413">
        <v>144434.99</v>
      </c>
      <c r="X50" s="413">
        <v>21307.350000000002</v>
      </c>
      <c r="Y50" s="413">
        <v>73938.920000000013</v>
      </c>
      <c r="Z50" s="413">
        <v>49188.719999999994</v>
      </c>
      <c r="AA50" s="413">
        <v>144434.99</v>
      </c>
      <c r="AB50" s="413">
        <v>182881.41048553528</v>
      </c>
      <c r="AC50" s="413">
        <v>139914.98345648518</v>
      </c>
      <c r="AD50" s="413">
        <v>64174.59123927437</v>
      </c>
      <c r="AE50" s="413">
        <v>386970.98518129485</v>
      </c>
      <c r="AF50" s="413">
        <v>32825.270000000004</v>
      </c>
      <c r="AG50" s="413">
        <v>13785.06</v>
      </c>
      <c r="AH50" s="413">
        <v>0</v>
      </c>
      <c r="AI50" s="413">
        <v>46610.33</v>
      </c>
      <c r="AJ50" s="415"/>
      <c r="AK50" s="377"/>
      <c r="AL50" s="388"/>
      <c r="AM50" s="377"/>
      <c r="AN50" s="379"/>
      <c r="AO50" s="416"/>
      <c r="AP50" s="382"/>
      <c r="AQ50" s="396"/>
      <c r="AR50" s="400"/>
    </row>
    <row r="51" spans="1:47" ht="15" customHeight="1">
      <c r="E51" s="418"/>
      <c r="F51" s="418"/>
      <c r="G51" s="418"/>
      <c r="H51" s="418"/>
      <c r="I51" s="418"/>
      <c r="J51" s="418"/>
      <c r="K51" s="418"/>
      <c r="L51" s="418"/>
      <c r="M51" s="418"/>
      <c r="N51" s="418"/>
      <c r="O51" s="418"/>
      <c r="P51" s="419"/>
      <c r="Q51" s="419"/>
      <c r="R51" s="419"/>
      <c r="S51" s="419"/>
      <c r="T51" s="418"/>
      <c r="U51" s="418"/>
      <c r="V51" s="420"/>
      <c r="W51" s="421"/>
      <c r="X51" s="420"/>
      <c r="Y51" s="420"/>
      <c r="Z51" s="420"/>
      <c r="AA51" s="422"/>
      <c r="AC51" s="263"/>
      <c r="AD51" s="263"/>
      <c r="AE51" s="263"/>
      <c r="AF51" s="423"/>
      <c r="AG51" s="424"/>
      <c r="AH51" s="424"/>
      <c r="AI51" s="388">
        <v>31</v>
      </c>
      <c r="AM51" s="425"/>
      <c r="AN51" s="426"/>
      <c r="AO51" s="396"/>
      <c r="AQ51" s="273"/>
      <c r="AR51" s="267"/>
      <c r="AS51" s="267"/>
      <c r="AT51" s="267"/>
      <c r="AU51" s="267"/>
    </row>
    <row r="52" spans="1:47" ht="15" customHeight="1">
      <c r="C52" s="427">
        <v>7</v>
      </c>
      <c r="D52" s="428" t="s">
        <v>91</v>
      </c>
      <c r="E52" s="429"/>
      <c r="F52" s="429"/>
      <c r="G52" s="429"/>
      <c r="H52" s="429"/>
      <c r="I52" s="429"/>
      <c r="J52" s="429"/>
      <c r="K52" s="429"/>
      <c r="L52" s="430"/>
      <c r="M52" s="431"/>
      <c r="N52" s="431"/>
      <c r="O52" s="431"/>
      <c r="P52" s="431"/>
      <c r="Q52" s="431"/>
      <c r="R52" s="431"/>
      <c r="S52" s="431"/>
      <c r="T52" s="431"/>
      <c r="U52" s="431"/>
      <c r="V52" s="431"/>
      <c r="W52" s="431"/>
      <c r="X52" s="431"/>
      <c r="Y52" s="431"/>
      <c r="Z52" s="431"/>
      <c r="AA52" s="431"/>
      <c r="AB52" s="431"/>
      <c r="AC52" s="431"/>
      <c r="AD52" s="431"/>
      <c r="AE52" s="431"/>
      <c r="AF52" s="431"/>
      <c r="AG52" s="432"/>
      <c r="AH52" s="433" t="s">
        <v>44</v>
      </c>
      <c r="AI52" s="433"/>
      <c r="AJ52" s="270"/>
      <c r="AK52" s="271"/>
      <c r="AL52" s="273"/>
      <c r="AM52" s="434"/>
      <c r="AN52" s="267"/>
      <c r="AO52" s="267"/>
      <c r="AP52" s="267"/>
      <c r="AQ52" s="267"/>
    </row>
    <row r="53" spans="1:47" ht="15" customHeight="1">
      <c r="C53" s="435"/>
      <c r="D53" s="436"/>
      <c r="E53" s="437"/>
      <c r="F53" s="437"/>
      <c r="G53" s="437"/>
      <c r="H53" s="437"/>
      <c r="I53" s="437"/>
      <c r="J53" s="437"/>
      <c r="K53" s="437"/>
      <c r="L53" s="438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  <c r="AA53" s="439"/>
      <c r="AB53" s="439"/>
      <c r="AC53" s="439"/>
      <c r="AD53" s="439"/>
      <c r="AE53" s="439"/>
      <c r="AF53" s="440"/>
      <c r="AG53" s="440"/>
      <c r="AH53" s="433"/>
      <c r="AI53" s="433"/>
      <c r="AJ53" s="270"/>
      <c r="AK53" s="271"/>
      <c r="AL53" s="273"/>
      <c r="AM53" s="434"/>
      <c r="AN53" s="267"/>
      <c r="AO53" s="267"/>
      <c r="AP53" s="267"/>
      <c r="AQ53" s="267"/>
    </row>
    <row r="54" spans="1:47" ht="15" customHeight="1">
      <c r="C54" s="435"/>
      <c r="D54" s="441"/>
      <c r="E54" s="434"/>
      <c r="F54" s="442" t="s">
        <v>92</v>
      </c>
      <c r="G54" s="443">
        <v>46272.439641550925</v>
      </c>
      <c r="H54" s="444" t="s">
        <v>93</v>
      </c>
      <c r="I54" s="445">
        <v>46266</v>
      </c>
      <c r="J54" s="446" t="s">
        <v>94</v>
      </c>
      <c r="K54" s="439">
        <v>46266</v>
      </c>
      <c r="L54" s="447"/>
      <c r="M54" s="421"/>
      <c r="N54" s="448"/>
      <c r="O54" s="448"/>
      <c r="P54" s="448"/>
      <c r="Q54" s="448"/>
      <c r="R54" s="448"/>
      <c r="V54" s="273"/>
      <c r="Y54" s="449"/>
      <c r="Z54" s="449"/>
      <c r="AA54" s="449"/>
      <c r="AB54" s="450"/>
      <c r="AC54" s="267"/>
      <c r="AD54" s="267"/>
      <c r="AE54" s="268"/>
      <c r="AF54" s="269"/>
      <c r="AG54" s="269"/>
      <c r="AH54" s="269"/>
      <c r="AI54" s="269"/>
      <c r="AJ54" s="270"/>
      <c r="AK54" s="271"/>
      <c r="AL54" s="273"/>
      <c r="AM54" s="434"/>
      <c r="AN54" s="267"/>
      <c r="AO54" s="267"/>
      <c r="AP54" s="267"/>
      <c r="AQ54" s="267"/>
    </row>
    <row r="55" spans="1:47" ht="15" customHeight="1">
      <c r="D55" s="451" t="s">
        <v>95</v>
      </c>
      <c r="E55" s="452"/>
      <c r="F55" s="453"/>
      <c r="G55" s="454" t="s">
        <v>241</v>
      </c>
      <c r="H55" s="455"/>
      <c r="I55" s="456" t="s">
        <v>242</v>
      </c>
      <c r="J55" s="457"/>
      <c r="K55" s="458" t="s">
        <v>243</v>
      </c>
      <c r="L55" s="447"/>
      <c r="M55" s="421"/>
      <c r="N55" s="448"/>
      <c r="O55" s="448"/>
      <c r="P55" s="448"/>
      <c r="Q55" s="448"/>
      <c r="R55" s="448"/>
      <c r="V55" s="273"/>
      <c r="W55" s="273"/>
      <c r="Y55" s="449"/>
      <c r="Z55" s="449"/>
      <c r="AA55" s="449"/>
      <c r="AB55" s="450"/>
      <c r="AC55" s="267"/>
      <c r="AD55" s="267"/>
      <c r="AE55" s="268"/>
      <c r="AF55" s="377"/>
      <c r="AG55" s="377"/>
      <c r="AH55" s="377"/>
      <c r="AI55" s="269"/>
      <c r="AJ55" s="270"/>
      <c r="AK55" s="271"/>
      <c r="AL55" s="273"/>
      <c r="AM55" s="434"/>
      <c r="AN55" s="267"/>
      <c r="AO55" s="267"/>
      <c r="AP55" s="267"/>
      <c r="AQ55" s="267"/>
    </row>
    <row r="56" spans="1:47" ht="15" customHeight="1">
      <c r="D56" s="459" t="s">
        <v>96</v>
      </c>
      <c r="E56" s="460"/>
      <c r="F56" s="461"/>
      <c r="G56" s="462">
        <v>0.16180555560276844</v>
      </c>
      <c r="H56" s="461"/>
      <c r="I56" s="463">
        <v>5.9523809543212076E-2</v>
      </c>
      <c r="J56" s="461"/>
      <c r="K56" s="463">
        <v>0.16700555555967708</v>
      </c>
      <c r="L56" s="447"/>
      <c r="M56" s="421"/>
      <c r="N56" s="448"/>
      <c r="O56" s="448"/>
      <c r="P56" s="448"/>
      <c r="Q56" s="448"/>
      <c r="R56" s="448"/>
      <c r="V56" s="273"/>
      <c r="W56" s="273"/>
      <c r="Y56" s="449"/>
      <c r="Z56" s="449"/>
      <c r="AA56" s="449"/>
      <c r="AB56" s="450"/>
      <c r="AC56" s="267"/>
      <c r="AD56" s="267"/>
      <c r="AE56" s="268"/>
      <c r="AF56" s="377"/>
      <c r="AG56" s="377"/>
      <c r="AH56" s="377"/>
      <c r="AI56" s="269"/>
      <c r="AJ56" s="270"/>
      <c r="AK56" s="271"/>
      <c r="AL56" s="273"/>
      <c r="AM56" s="434"/>
      <c r="AN56" s="267"/>
      <c r="AO56" s="267"/>
      <c r="AP56" s="267"/>
      <c r="AQ56" s="267"/>
    </row>
    <row r="57" spans="1:47" ht="15" customHeight="1">
      <c r="D57" s="464" t="s">
        <v>97</v>
      </c>
      <c r="E57" s="434"/>
      <c r="F57" s="465"/>
      <c r="G57" s="466">
        <v>22160.839999999997</v>
      </c>
      <c r="H57" s="465"/>
      <c r="I57" s="467">
        <v>174095.21999999997</v>
      </c>
      <c r="J57" s="453"/>
      <c r="K57" s="468">
        <v>5532836.7110000001</v>
      </c>
      <c r="L57" s="447"/>
      <c r="M57" s="421"/>
      <c r="N57" s="448"/>
      <c r="O57" s="448"/>
      <c r="P57" s="448"/>
      <c r="Q57" s="448"/>
      <c r="R57" s="448"/>
      <c r="U57" s="469"/>
      <c r="V57" s="424"/>
      <c r="W57" s="424"/>
      <c r="Y57" s="449"/>
      <c r="Z57" s="449"/>
      <c r="AA57" s="449"/>
      <c r="AB57" s="450"/>
      <c r="AC57" s="267"/>
      <c r="AD57" s="267"/>
      <c r="AE57" s="268"/>
      <c r="AF57" s="377"/>
      <c r="AG57" s="377"/>
      <c r="AH57" s="377"/>
      <c r="AI57" s="269"/>
      <c r="AJ57" s="270"/>
      <c r="AK57" s="271"/>
      <c r="AL57" s="273"/>
      <c r="AM57" s="273"/>
      <c r="AN57" s="267"/>
      <c r="AO57" s="267"/>
      <c r="AP57" s="267"/>
      <c r="AQ57" s="267"/>
    </row>
    <row r="58" spans="1:47" ht="15" hidden="1" customHeight="1">
      <c r="D58" s="470"/>
      <c r="E58" s="471"/>
      <c r="F58" s="472"/>
      <c r="G58" s="473">
        <v>0</v>
      </c>
      <c r="H58" s="472"/>
      <c r="I58" s="474">
        <v>0</v>
      </c>
      <c r="J58" s="472"/>
      <c r="K58" s="475">
        <v>0</v>
      </c>
      <c r="L58" s="447"/>
      <c r="M58" s="421"/>
      <c r="N58" s="448"/>
      <c r="O58" s="448"/>
      <c r="P58" s="448"/>
      <c r="Q58" s="448"/>
      <c r="R58" s="448"/>
      <c r="U58" s="424"/>
      <c r="V58" s="424"/>
      <c r="W58" s="424"/>
      <c r="Y58" s="449"/>
      <c r="Z58" s="449"/>
      <c r="AA58" s="449"/>
      <c r="AB58" s="450"/>
      <c r="AC58" s="267"/>
      <c r="AD58" s="267"/>
      <c r="AE58" s="268"/>
      <c r="AF58" s="377"/>
      <c r="AG58" s="377"/>
      <c r="AH58" s="377"/>
      <c r="AI58" s="269"/>
      <c r="AJ58" s="270"/>
      <c r="AK58" s="271"/>
      <c r="AL58" s="273"/>
      <c r="AM58" s="273"/>
      <c r="AN58" s="267"/>
      <c r="AO58" s="267"/>
      <c r="AP58" s="267"/>
      <c r="AQ58" s="267"/>
    </row>
    <row r="59" spans="1:47" ht="15" customHeight="1">
      <c r="D59" s="470" t="s">
        <v>98</v>
      </c>
      <c r="E59" s="471"/>
      <c r="F59" s="472"/>
      <c r="G59" s="473">
        <v>13704.439999999997</v>
      </c>
      <c r="H59" s="472"/>
      <c r="I59" s="474">
        <v>114804.07999999999</v>
      </c>
      <c r="J59" s="472"/>
      <c r="K59" s="475">
        <v>4110294.2190000005</v>
      </c>
      <c r="L59" s="447"/>
      <c r="M59" s="421"/>
      <c r="N59" s="448"/>
      <c r="O59" s="448"/>
      <c r="P59" s="448"/>
      <c r="Q59" s="448"/>
      <c r="R59" s="448"/>
      <c r="U59" s="424"/>
      <c r="V59" s="424"/>
      <c r="W59" s="424"/>
      <c r="Y59" s="449"/>
      <c r="Z59" s="449"/>
      <c r="AA59" s="449"/>
      <c r="AB59" s="450"/>
      <c r="AC59" s="267"/>
      <c r="AD59" s="267"/>
      <c r="AE59" s="268"/>
      <c r="AF59" s="377"/>
      <c r="AG59" s="377"/>
      <c r="AH59" s="377"/>
      <c r="AI59" s="269"/>
      <c r="AJ59" s="270"/>
      <c r="AK59" s="271"/>
      <c r="AL59" s="273"/>
      <c r="AM59" s="273"/>
      <c r="AN59" s="267"/>
      <c r="AO59" s="267"/>
      <c r="AP59" s="267"/>
      <c r="AQ59" s="267"/>
    </row>
    <row r="60" spans="1:47" ht="15" customHeight="1">
      <c r="D60" s="470" t="s">
        <v>99</v>
      </c>
      <c r="E60" s="471"/>
      <c r="F60" s="472"/>
      <c r="G60" s="473">
        <v>8456.3999999999978</v>
      </c>
      <c r="H60" s="472"/>
      <c r="I60" s="474">
        <v>59291.14</v>
      </c>
      <c r="J60" s="476"/>
      <c r="K60" s="477">
        <v>1422542.4919999999</v>
      </c>
      <c r="L60" s="447"/>
      <c r="M60" s="421"/>
      <c r="N60" s="448"/>
      <c r="O60" s="448"/>
      <c r="P60" s="448"/>
      <c r="Q60" s="448"/>
      <c r="R60" s="448"/>
      <c r="U60" s="424"/>
      <c r="V60" s="424"/>
      <c r="W60" s="424"/>
      <c r="Y60" s="449"/>
      <c r="Z60" s="449"/>
      <c r="AA60" s="449"/>
      <c r="AB60" s="450"/>
      <c r="AC60" s="267"/>
      <c r="AD60" s="267"/>
      <c r="AE60" s="268"/>
      <c r="AF60" s="377"/>
      <c r="AG60" s="377"/>
      <c r="AH60" s="377"/>
      <c r="AI60" s="269"/>
      <c r="AJ60" s="270"/>
      <c r="AK60" s="271"/>
      <c r="AL60" s="273"/>
      <c r="AM60" s="273"/>
      <c r="AN60" s="267"/>
      <c r="AO60" s="267"/>
      <c r="AP60" s="267"/>
      <c r="AQ60" s="267"/>
    </row>
    <row r="61" spans="1:47" ht="15" customHeight="1">
      <c r="D61" s="478" t="s">
        <v>100</v>
      </c>
      <c r="E61" s="452"/>
      <c r="F61" s="453"/>
      <c r="G61" s="456">
        <v>0</v>
      </c>
      <c r="H61" s="453"/>
      <c r="I61" s="479">
        <v>0</v>
      </c>
      <c r="J61" s="453"/>
      <c r="K61" s="468">
        <v>0</v>
      </c>
      <c r="L61" s="447"/>
      <c r="M61" s="421"/>
      <c r="N61" s="448"/>
      <c r="O61" s="448"/>
      <c r="P61" s="448"/>
      <c r="Q61" s="448"/>
      <c r="R61" s="448"/>
      <c r="U61" s="424"/>
      <c r="V61" s="424"/>
      <c r="W61" s="424"/>
      <c r="Y61" s="480"/>
      <c r="Z61" s="480"/>
      <c r="AA61" s="449"/>
      <c r="AB61" s="450"/>
      <c r="AC61" s="267"/>
      <c r="AD61" s="267"/>
      <c r="AE61" s="268"/>
      <c r="AF61" s="481"/>
      <c r="AG61" s="377"/>
      <c r="AH61" s="377"/>
      <c r="AI61" s="269"/>
      <c r="AJ61" s="270"/>
      <c r="AK61" s="271"/>
      <c r="AL61" s="273"/>
      <c r="AM61" s="273"/>
      <c r="AN61" s="267"/>
      <c r="AO61" s="267"/>
      <c r="AP61" s="267"/>
      <c r="AQ61" s="267"/>
    </row>
    <row r="62" spans="1:47" ht="15" customHeight="1">
      <c r="D62" s="470" t="s">
        <v>101</v>
      </c>
      <c r="E62" s="434"/>
      <c r="F62" s="472"/>
      <c r="G62" s="473">
        <v>0</v>
      </c>
      <c r="H62" s="472"/>
      <c r="I62" s="482">
        <v>0</v>
      </c>
      <c r="J62" s="461"/>
      <c r="K62" s="483">
        <v>0</v>
      </c>
      <c r="L62" s="447"/>
      <c r="M62" s="421"/>
      <c r="N62" s="448"/>
      <c r="O62" s="448"/>
      <c r="P62" s="448"/>
      <c r="Q62" s="448"/>
      <c r="R62" s="448"/>
      <c r="U62" s="424"/>
      <c r="V62" s="424"/>
      <c r="W62" s="424"/>
      <c r="Y62" s="480"/>
      <c r="Z62" s="480"/>
      <c r="AA62" s="449"/>
      <c r="AB62" s="450"/>
      <c r="AC62" s="267"/>
      <c r="AD62" s="267"/>
      <c r="AE62" s="268"/>
      <c r="AF62" s="484"/>
      <c r="AG62" s="377"/>
      <c r="AH62" s="377"/>
      <c r="AI62" s="269"/>
      <c r="AJ62" s="270"/>
      <c r="AK62" s="271"/>
      <c r="AL62" s="273"/>
      <c r="AM62" s="273"/>
      <c r="AN62" s="267"/>
      <c r="AO62" s="267"/>
      <c r="AP62" s="267"/>
      <c r="AQ62" s="267"/>
    </row>
    <row r="63" spans="1:47" ht="15" customHeight="1">
      <c r="D63" s="478" t="s">
        <v>102</v>
      </c>
      <c r="E63" s="452"/>
      <c r="F63" s="453"/>
      <c r="G63" s="456">
        <v>25248.230000000003</v>
      </c>
      <c r="H63" s="453"/>
      <c r="I63" s="479">
        <v>144434.99</v>
      </c>
      <c r="J63" s="465"/>
      <c r="K63" s="485">
        <v>5690095.580000001</v>
      </c>
      <c r="L63" s="447"/>
      <c r="M63" s="421"/>
      <c r="N63" s="448"/>
      <c r="O63" s="448"/>
      <c r="P63" s="448"/>
      <c r="Q63" s="448"/>
      <c r="R63" s="448"/>
      <c r="U63" s="424"/>
      <c r="V63" s="424"/>
      <c r="W63" s="424"/>
      <c r="Y63" s="480"/>
      <c r="Z63" s="480"/>
      <c r="AA63" s="449"/>
      <c r="AB63" s="450"/>
      <c r="AC63" s="267"/>
      <c r="AD63" s="267"/>
      <c r="AE63" s="268"/>
      <c r="AF63" s="481"/>
      <c r="AG63" s="377"/>
      <c r="AH63" s="377"/>
      <c r="AI63" s="269"/>
      <c r="AJ63" s="270"/>
      <c r="AK63" s="271"/>
      <c r="AL63" s="273"/>
      <c r="AM63" s="273"/>
      <c r="AN63" s="267"/>
      <c r="AO63" s="267"/>
      <c r="AP63" s="267"/>
      <c r="AQ63" s="267"/>
    </row>
    <row r="64" spans="1:47" ht="15" customHeight="1">
      <c r="D64" s="470" t="s">
        <v>103</v>
      </c>
      <c r="E64" s="434"/>
      <c r="F64" s="472"/>
      <c r="G64" s="473">
        <v>25248.230000000003</v>
      </c>
      <c r="H64" s="472"/>
      <c r="I64" s="482">
        <v>144434.99</v>
      </c>
      <c r="J64" s="472"/>
      <c r="K64" s="482">
        <v>5662179.0600000015</v>
      </c>
      <c r="L64" s="447"/>
      <c r="M64" s="421"/>
      <c r="N64" s="448"/>
      <c r="O64" s="448"/>
      <c r="P64" s="448"/>
      <c r="Q64" s="448"/>
      <c r="R64" s="448"/>
      <c r="U64" s="424"/>
      <c r="V64" s="424"/>
      <c r="W64" s="424"/>
      <c r="Y64" s="480"/>
      <c r="Z64" s="480"/>
      <c r="AA64" s="449"/>
      <c r="AB64" s="450"/>
      <c r="AC64" s="267"/>
      <c r="AD64" s="267"/>
      <c r="AE64" s="268"/>
      <c r="AF64" s="484"/>
      <c r="AG64" s="377"/>
      <c r="AH64" s="377"/>
      <c r="AI64" s="269"/>
      <c r="AJ64" s="270"/>
      <c r="AK64" s="271"/>
      <c r="AL64" s="273"/>
      <c r="AM64" s="273"/>
      <c r="AN64" s="267"/>
      <c r="AO64" s="267"/>
      <c r="AP64" s="267"/>
      <c r="AQ64" s="267"/>
    </row>
    <row r="65" spans="4:43" ht="15" customHeight="1">
      <c r="D65" s="486" t="s">
        <v>104</v>
      </c>
      <c r="E65" s="460"/>
      <c r="F65" s="461"/>
      <c r="G65" s="487">
        <v>0</v>
      </c>
      <c r="H65" s="461"/>
      <c r="I65" s="488">
        <v>0</v>
      </c>
      <c r="J65" s="461"/>
      <c r="K65" s="488">
        <v>27916.519999999997</v>
      </c>
      <c r="L65" s="447"/>
      <c r="M65" s="421"/>
      <c r="N65" s="448"/>
      <c r="O65" s="448"/>
      <c r="P65" s="448"/>
      <c r="Q65" s="448"/>
      <c r="R65" s="448"/>
      <c r="U65" s="424"/>
      <c r="V65" s="424"/>
      <c r="W65" s="424"/>
      <c r="Y65" s="480"/>
      <c r="Z65" s="480"/>
      <c r="AA65" s="449"/>
      <c r="AB65" s="450"/>
      <c r="AC65" s="267"/>
      <c r="AD65" s="267"/>
      <c r="AE65" s="268"/>
      <c r="AF65" s="484"/>
      <c r="AG65" s="377"/>
      <c r="AH65" s="377"/>
      <c r="AI65" s="269"/>
      <c r="AJ65" s="270"/>
      <c r="AK65" s="271"/>
      <c r="AL65" s="273"/>
      <c r="AM65" s="273"/>
      <c r="AN65" s="267"/>
      <c r="AO65" s="267"/>
      <c r="AP65" s="267"/>
      <c r="AQ65" s="267"/>
    </row>
    <row r="66" spans="4:43" ht="15" customHeight="1">
      <c r="D66" s="441" t="s">
        <v>105</v>
      </c>
      <c r="E66" s="434"/>
      <c r="F66" s="453"/>
      <c r="G66" s="456">
        <v>25248.230000000003</v>
      </c>
      <c r="H66" s="453"/>
      <c r="I66" s="479">
        <v>144434.99000000002</v>
      </c>
      <c r="J66" s="453"/>
      <c r="K66" s="468">
        <v>5690095.5800000001</v>
      </c>
      <c r="L66" s="447"/>
      <c r="M66" s="421"/>
      <c r="N66" s="448"/>
      <c r="O66" s="448"/>
      <c r="P66" s="448"/>
      <c r="Q66" s="448"/>
      <c r="R66" s="448"/>
      <c r="U66" s="424"/>
      <c r="V66" s="424"/>
      <c r="W66" s="424"/>
      <c r="Y66" s="480"/>
      <c r="Z66" s="480"/>
      <c r="AA66" s="449"/>
      <c r="AB66" s="450"/>
      <c r="AC66" s="267"/>
      <c r="AD66" s="267"/>
      <c r="AE66" s="268"/>
      <c r="AF66" s="484"/>
      <c r="AG66" s="489"/>
      <c r="AH66" s="489"/>
      <c r="AI66" s="269"/>
      <c r="AJ66" s="270"/>
      <c r="AK66" s="271"/>
      <c r="AL66" s="273"/>
      <c r="AM66" s="273"/>
      <c r="AN66" s="267"/>
      <c r="AO66" s="267"/>
      <c r="AP66" s="267"/>
      <c r="AQ66" s="267"/>
    </row>
    <row r="67" spans="4:43" ht="15" customHeight="1">
      <c r="D67" s="470" t="s">
        <v>88</v>
      </c>
      <c r="E67" s="434"/>
      <c r="F67" s="472"/>
      <c r="G67" s="473">
        <v>11700.300000000001</v>
      </c>
      <c r="H67" s="472"/>
      <c r="I67" s="482">
        <v>21307.350000000002</v>
      </c>
      <c r="J67" s="472"/>
      <c r="K67" s="490">
        <v>4113206.32</v>
      </c>
      <c r="L67" s="447"/>
      <c r="M67" s="421"/>
      <c r="N67" s="448"/>
      <c r="O67" s="448"/>
      <c r="P67" s="448"/>
      <c r="Q67" s="448"/>
      <c r="R67" s="448"/>
      <c r="U67" s="424"/>
      <c r="V67" s="424"/>
      <c r="W67" s="424"/>
      <c r="Y67" s="480"/>
      <c r="Z67" s="480"/>
      <c r="AA67" s="449"/>
      <c r="AB67" s="450"/>
      <c r="AC67" s="267"/>
      <c r="AD67" s="267"/>
      <c r="AE67" s="268"/>
      <c r="AF67" s="484"/>
      <c r="AG67" s="489"/>
      <c r="AH67" s="489"/>
      <c r="AI67" s="269"/>
      <c r="AJ67" s="270"/>
      <c r="AK67" s="271"/>
      <c r="AL67" s="273"/>
      <c r="AM67" s="273"/>
      <c r="AN67" s="267"/>
      <c r="AO67" s="267"/>
      <c r="AP67" s="267"/>
      <c r="AQ67" s="267"/>
    </row>
    <row r="68" spans="4:43" ht="15" customHeight="1">
      <c r="D68" s="470" t="s">
        <v>89</v>
      </c>
      <c r="E68" s="471"/>
      <c r="F68" s="472"/>
      <c r="G68" s="473">
        <v>13547.930000000002</v>
      </c>
      <c r="H68" s="472"/>
      <c r="I68" s="482">
        <v>73938.920000000013</v>
      </c>
      <c r="J68" s="472"/>
      <c r="K68" s="490">
        <v>1200453.6600000001</v>
      </c>
      <c r="L68" s="447"/>
      <c r="M68" s="421"/>
      <c r="N68" s="448"/>
      <c r="O68" s="448"/>
      <c r="P68" s="448"/>
      <c r="Q68" s="448"/>
      <c r="R68" s="448"/>
      <c r="U68" s="424"/>
      <c r="V68" s="424"/>
      <c r="W68" s="424"/>
      <c r="Y68" s="480"/>
      <c r="Z68" s="480"/>
      <c r="AA68" s="449"/>
      <c r="AB68" s="450"/>
      <c r="AC68" s="267"/>
      <c r="AD68" s="267"/>
      <c r="AE68" s="268"/>
      <c r="AF68" s="484"/>
      <c r="AG68" s="377"/>
      <c r="AH68" s="377"/>
      <c r="AI68" s="269"/>
      <c r="AJ68" s="270"/>
      <c r="AK68" s="271"/>
      <c r="AL68" s="273"/>
      <c r="AM68" s="273"/>
      <c r="AN68" s="267"/>
      <c r="AO68" s="267"/>
      <c r="AP68" s="267"/>
      <c r="AQ68" s="267"/>
    </row>
    <row r="69" spans="4:43" ht="15" customHeight="1">
      <c r="D69" s="486" t="s">
        <v>90</v>
      </c>
      <c r="E69" s="460"/>
      <c r="F69" s="461"/>
      <c r="G69" s="487">
        <v>0</v>
      </c>
      <c r="H69" s="461"/>
      <c r="I69" s="488">
        <v>49188.719999999994</v>
      </c>
      <c r="J69" s="461"/>
      <c r="K69" s="483">
        <v>376435.6</v>
      </c>
      <c r="L69" s="447"/>
      <c r="M69" s="421"/>
      <c r="N69" s="448"/>
      <c r="O69" s="448"/>
      <c r="P69" s="448"/>
      <c r="Q69" s="448"/>
      <c r="R69" s="448"/>
      <c r="U69" s="424"/>
      <c r="V69" s="424"/>
      <c r="W69" s="424"/>
      <c r="Y69" s="480"/>
      <c r="Z69" s="480"/>
      <c r="AA69" s="449"/>
      <c r="AB69" s="450"/>
      <c r="AC69" s="267"/>
      <c r="AD69" s="267"/>
      <c r="AE69" s="268"/>
      <c r="AF69" s="484"/>
      <c r="AG69" s="377"/>
      <c r="AH69" s="377"/>
      <c r="AI69" s="269"/>
      <c r="AJ69" s="270"/>
      <c r="AK69" s="271"/>
      <c r="AL69" s="273"/>
      <c r="AM69" s="273"/>
      <c r="AN69" s="267"/>
      <c r="AO69" s="267"/>
      <c r="AP69" s="267"/>
      <c r="AQ69" s="267"/>
    </row>
    <row r="70" spans="4:43" ht="15" customHeight="1">
      <c r="D70" s="441" t="s">
        <v>106</v>
      </c>
      <c r="E70" s="434"/>
      <c r="F70" s="453"/>
      <c r="G70" s="456">
        <v>0</v>
      </c>
      <c r="H70" s="453"/>
      <c r="I70" s="479">
        <v>46610.33</v>
      </c>
      <c r="J70" s="453"/>
      <c r="K70" s="468">
        <v>5441415.648</v>
      </c>
      <c r="L70" s="447"/>
      <c r="M70" s="421"/>
      <c r="N70" s="448"/>
      <c r="O70" s="448"/>
      <c r="P70" s="448"/>
      <c r="Q70" s="448"/>
      <c r="R70" s="448"/>
      <c r="U70" s="424"/>
      <c r="V70" s="424"/>
      <c r="W70" s="424"/>
      <c r="Y70" s="480"/>
      <c r="Z70" s="480"/>
      <c r="AA70" s="449"/>
      <c r="AB70" s="450"/>
      <c r="AC70" s="267"/>
      <c r="AD70" s="267"/>
      <c r="AE70" s="268"/>
      <c r="AF70" s="484"/>
      <c r="AG70" s="377"/>
      <c r="AH70" s="377"/>
      <c r="AI70" s="269"/>
      <c r="AJ70" s="270"/>
      <c r="AK70" s="271"/>
      <c r="AL70" s="273"/>
      <c r="AM70" s="273"/>
      <c r="AN70" s="267"/>
      <c r="AO70" s="267"/>
      <c r="AP70" s="267"/>
      <c r="AQ70" s="267"/>
    </row>
    <row r="71" spans="4:43" ht="15" customHeight="1">
      <c r="D71" s="470" t="s">
        <v>88</v>
      </c>
      <c r="E71" s="434"/>
      <c r="F71" s="472"/>
      <c r="G71" s="473">
        <v>0</v>
      </c>
      <c r="H71" s="472"/>
      <c r="I71" s="482">
        <v>32825.270000000004</v>
      </c>
      <c r="J71" s="472"/>
      <c r="K71" s="490">
        <v>4100566.6879999996</v>
      </c>
      <c r="L71" s="447"/>
      <c r="M71" s="421"/>
      <c r="N71" s="448"/>
      <c r="O71" s="448"/>
      <c r="P71" s="448"/>
      <c r="Q71" s="448"/>
      <c r="R71" s="448"/>
      <c r="U71" s="424"/>
      <c r="V71" s="424"/>
      <c r="W71" s="424"/>
      <c r="Y71" s="480"/>
      <c r="Z71" s="480"/>
      <c r="AA71" s="449"/>
      <c r="AB71" s="450"/>
      <c r="AC71" s="267"/>
      <c r="AD71" s="267"/>
      <c r="AE71" s="268"/>
      <c r="AF71" s="484"/>
      <c r="AG71" s="377"/>
      <c r="AH71" s="377"/>
      <c r="AI71" s="269"/>
      <c r="AJ71" s="270"/>
      <c r="AK71" s="271"/>
      <c r="AL71" s="273"/>
      <c r="AM71" s="273"/>
      <c r="AN71" s="267"/>
      <c r="AO71" s="267"/>
      <c r="AP71" s="267"/>
      <c r="AQ71" s="267"/>
    </row>
    <row r="72" spans="4:43" ht="15" customHeight="1">
      <c r="D72" s="470" t="s">
        <v>89</v>
      </c>
      <c r="E72" s="471"/>
      <c r="F72" s="472"/>
      <c r="G72" s="473">
        <v>0</v>
      </c>
      <c r="H72" s="472"/>
      <c r="I72" s="482">
        <v>13785.06</v>
      </c>
      <c r="J72" s="472"/>
      <c r="K72" s="490">
        <v>1041637.2700000001</v>
      </c>
      <c r="L72" s="447"/>
      <c r="M72" s="421"/>
      <c r="N72" s="448"/>
      <c r="O72" s="448"/>
      <c r="P72" s="448"/>
      <c r="Q72" s="448"/>
      <c r="R72" s="448"/>
      <c r="U72" s="424"/>
      <c r="V72" s="424"/>
      <c r="W72" s="424"/>
      <c r="Y72" s="480"/>
      <c r="Z72" s="480"/>
      <c r="AA72" s="449"/>
      <c r="AB72" s="450"/>
      <c r="AC72" s="267"/>
      <c r="AD72" s="267"/>
      <c r="AE72" s="268"/>
      <c r="AF72" s="484"/>
      <c r="AG72" s="377"/>
      <c r="AH72" s="377"/>
      <c r="AI72" s="269"/>
      <c r="AJ72" s="270"/>
      <c r="AK72" s="271"/>
      <c r="AL72" s="273"/>
      <c r="AM72" s="273"/>
      <c r="AN72" s="267"/>
      <c r="AO72" s="267"/>
      <c r="AP72" s="267"/>
      <c r="AQ72" s="267"/>
    </row>
    <row r="73" spans="4:43" ht="15" customHeight="1">
      <c r="D73" s="486" t="s">
        <v>90</v>
      </c>
      <c r="E73" s="460"/>
      <c r="F73" s="461"/>
      <c r="G73" s="487">
        <v>0</v>
      </c>
      <c r="H73" s="461"/>
      <c r="I73" s="488">
        <v>0</v>
      </c>
      <c r="J73" s="461"/>
      <c r="K73" s="483">
        <v>299211.68999999994</v>
      </c>
      <c r="L73" s="447"/>
      <c r="M73" s="421"/>
      <c r="N73" s="448"/>
      <c r="O73" s="448"/>
      <c r="P73" s="448"/>
      <c r="Q73" s="448"/>
      <c r="R73" s="448"/>
      <c r="U73" s="424"/>
      <c r="V73" s="424"/>
      <c r="W73" s="424"/>
      <c r="Y73" s="480"/>
      <c r="Z73" s="480"/>
      <c r="AA73" s="449"/>
      <c r="AB73" s="450"/>
      <c r="AC73" s="267"/>
      <c r="AD73" s="267"/>
      <c r="AE73" s="268"/>
      <c r="AF73" s="484"/>
      <c r="AG73" s="377"/>
      <c r="AH73" s="377"/>
      <c r="AI73" s="269"/>
      <c r="AJ73" s="270"/>
      <c r="AK73" s="271"/>
      <c r="AL73" s="273"/>
      <c r="AM73" s="273"/>
      <c r="AN73" s="267"/>
      <c r="AO73" s="267"/>
      <c r="AP73" s="267"/>
      <c r="AQ73" s="267"/>
    </row>
    <row r="74" spans="4:43" ht="15" customHeight="1">
      <c r="D74" s="441" t="s">
        <v>107</v>
      </c>
      <c r="E74" s="434"/>
      <c r="F74" s="491"/>
      <c r="G74" s="492">
        <v>203440</v>
      </c>
      <c r="H74" s="491"/>
      <c r="I74" s="493">
        <v>1608219.5</v>
      </c>
      <c r="J74" s="494"/>
      <c r="K74" s="468">
        <v>50925763.891799994</v>
      </c>
      <c r="L74" s="447"/>
      <c r="M74" s="421"/>
      <c r="N74" s="448"/>
      <c r="O74" s="448"/>
      <c r="P74" s="448"/>
      <c r="Q74" s="448"/>
      <c r="R74" s="448"/>
      <c r="U74" s="424"/>
      <c r="V74" s="424"/>
      <c r="W74" s="424"/>
      <c r="Y74" s="480"/>
      <c r="Z74" s="480"/>
      <c r="AA74" s="449"/>
      <c r="AB74" s="450"/>
      <c r="AC74" s="267"/>
      <c r="AD74" s="267"/>
      <c r="AE74" s="268"/>
      <c r="AF74" s="484"/>
      <c r="AG74" s="269"/>
      <c r="AH74" s="269"/>
      <c r="AI74" s="269"/>
      <c r="AJ74" s="270"/>
      <c r="AK74" s="271"/>
      <c r="AL74" s="273"/>
      <c r="AM74" s="273"/>
      <c r="AN74" s="267"/>
      <c r="AO74" s="267"/>
      <c r="AP74" s="267"/>
      <c r="AQ74" s="267"/>
    </row>
    <row r="75" spans="4:43" ht="15" hidden="1" customHeight="1">
      <c r="D75" s="470"/>
      <c r="E75" s="471"/>
      <c r="F75" s="472"/>
      <c r="G75" s="473">
        <v>0</v>
      </c>
      <c r="H75" s="472"/>
      <c r="I75" s="474">
        <v>0</v>
      </c>
      <c r="J75" s="472"/>
      <c r="K75" s="475">
        <v>0</v>
      </c>
      <c r="L75" s="447"/>
      <c r="M75" s="421"/>
      <c r="N75" s="448"/>
      <c r="O75" s="448"/>
      <c r="P75" s="448"/>
      <c r="Q75" s="448"/>
      <c r="R75" s="448"/>
      <c r="U75" s="424"/>
      <c r="V75" s="424"/>
      <c r="W75" s="424"/>
      <c r="Y75" s="449"/>
      <c r="Z75" s="449"/>
      <c r="AA75" s="449"/>
      <c r="AB75" s="450"/>
      <c r="AC75" s="267"/>
      <c r="AD75" s="267"/>
      <c r="AE75" s="268"/>
      <c r="AF75" s="377"/>
      <c r="AG75" s="377"/>
      <c r="AH75" s="377"/>
      <c r="AI75" s="269"/>
      <c r="AJ75" s="270"/>
      <c r="AK75" s="271"/>
      <c r="AL75" s="273"/>
      <c r="AM75" s="273"/>
      <c r="AN75" s="267"/>
      <c r="AO75" s="267"/>
      <c r="AP75" s="267"/>
      <c r="AQ75" s="267"/>
    </row>
    <row r="76" spans="4:43" ht="15" customHeight="1">
      <c r="D76" s="470" t="s">
        <v>98</v>
      </c>
      <c r="E76" s="471"/>
      <c r="F76" s="476"/>
      <c r="G76" s="495">
        <v>150381</v>
      </c>
      <c r="H76" s="476"/>
      <c r="I76" s="496">
        <v>1184074.5</v>
      </c>
      <c r="J76" s="476"/>
      <c r="K76" s="477">
        <v>37611452.009800002</v>
      </c>
      <c r="L76" s="447"/>
      <c r="M76" s="421"/>
      <c r="N76" s="448"/>
      <c r="O76" s="448"/>
      <c r="P76" s="448"/>
      <c r="Q76" s="448"/>
      <c r="R76" s="448"/>
      <c r="U76" s="424"/>
      <c r="V76" s="424"/>
      <c r="W76" s="424"/>
      <c r="Y76" s="449"/>
      <c r="Z76" s="449"/>
      <c r="AA76" s="449"/>
      <c r="AB76" s="450"/>
      <c r="AC76" s="267"/>
      <c r="AD76" s="267"/>
      <c r="AE76" s="268"/>
      <c r="AF76" s="377"/>
      <c r="AG76" s="377"/>
      <c r="AH76" s="377"/>
      <c r="AI76" s="269"/>
      <c r="AJ76" s="270"/>
      <c r="AK76" s="271"/>
      <c r="AL76" s="273"/>
      <c r="AM76" s="273"/>
      <c r="AN76" s="267"/>
      <c r="AO76" s="267"/>
      <c r="AP76" s="267"/>
      <c r="AQ76" s="267"/>
    </row>
    <row r="77" spans="4:43" ht="15" customHeight="1">
      <c r="D77" s="486" t="s">
        <v>99</v>
      </c>
      <c r="E77" s="497"/>
      <c r="F77" s="461"/>
      <c r="G77" s="487">
        <v>53059</v>
      </c>
      <c r="H77" s="461"/>
      <c r="I77" s="498">
        <v>424145</v>
      </c>
      <c r="J77" s="461"/>
      <c r="K77" s="499">
        <v>13314311.881999999</v>
      </c>
      <c r="L77" s="447"/>
      <c r="M77" s="421"/>
      <c r="N77" s="448"/>
      <c r="O77" s="448"/>
      <c r="P77" s="448"/>
      <c r="Q77" s="448"/>
      <c r="R77" s="448"/>
      <c r="V77" s="273"/>
      <c r="W77" s="273"/>
      <c r="X77" s="273"/>
      <c r="Y77" s="449"/>
      <c r="Z77" s="449"/>
      <c r="AA77" s="449"/>
      <c r="AB77" s="450"/>
      <c r="AC77" s="267"/>
      <c r="AD77" s="267"/>
      <c r="AE77" s="268"/>
      <c r="AF77" s="484"/>
      <c r="AG77" s="269"/>
      <c r="AH77" s="269"/>
      <c r="AI77" s="269"/>
      <c r="AJ77" s="270"/>
      <c r="AK77" s="271"/>
      <c r="AL77" s="273"/>
      <c r="AM77" s="273"/>
      <c r="AN77" s="267"/>
      <c r="AO77" s="267"/>
      <c r="AP77" s="267"/>
      <c r="AQ77" s="267"/>
    </row>
    <row r="78" spans="4:43" ht="15" customHeight="1">
      <c r="D78" s="441" t="s">
        <v>108</v>
      </c>
      <c r="E78" s="434"/>
      <c r="F78" s="465"/>
      <c r="G78" s="492">
        <v>43553</v>
      </c>
      <c r="H78" s="465"/>
      <c r="I78" s="500">
        <v>317094</v>
      </c>
      <c r="J78" s="501">
        <v>9638160.9169999994</v>
      </c>
      <c r="K78" s="502"/>
      <c r="L78" s="447"/>
      <c r="M78" s="421"/>
      <c r="N78" s="448"/>
      <c r="O78" s="448"/>
      <c r="P78" s="448"/>
      <c r="Q78" s="448"/>
      <c r="R78" s="448"/>
      <c r="U78" s="424"/>
      <c r="V78" s="424"/>
      <c r="W78" s="424"/>
      <c r="Y78" s="480"/>
      <c r="Z78" s="480"/>
      <c r="AA78" s="449"/>
      <c r="AB78" s="450"/>
      <c r="AC78" s="267"/>
      <c r="AD78" s="267"/>
      <c r="AE78" s="268"/>
      <c r="AF78" s="484"/>
      <c r="AG78" s="269"/>
      <c r="AH78" s="269"/>
      <c r="AI78" s="269"/>
      <c r="AJ78" s="270"/>
      <c r="AK78" s="271"/>
      <c r="AL78" s="273"/>
      <c r="AM78" s="273"/>
      <c r="AN78" s="267"/>
      <c r="AO78" s="267"/>
      <c r="AP78" s="267"/>
      <c r="AQ78" s="267"/>
    </row>
    <row r="79" spans="4:43" ht="15" hidden="1" customHeight="1">
      <c r="D79" s="470"/>
      <c r="E79" s="434"/>
      <c r="F79" s="472"/>
      <c r="G79" s="473">
        <v>0</v>
      </c>
      <c r="H79" s="472"/>
      <c r="I79" s="482"/>
      <c r="J79" s="472"/>
      <c r="K79" s="482"/>
      <c r="L79" s="447"/>
      <c r="M79" s="421"/>
      <c r="N79" s="448"/>
      <c r="O79" s="448"/>
      <c r="P79" s="448"/>
      <c r="Q79" s="448"/>
      <c r="R79" s="448"/>
      <c r="U79" s="424"/>
      <c r="V79" s="424"/>
      <c r="W79" s="424"/>
      <c r="Y79" s="449"/>
      <c r="Z79" s="449"/>
      <c r="AA79" s="449"/>
      <c r="AB79" s="450"/>
      <c r="AC79" s="267"/>
      <c r="AD79" s="267"/>
      <c r="AE79" s="268"/>
      <c r="AF79" s="377"/>
      <c r="AG79" s="377"/>
      <c r="AH79" s="377"/>
      <c r="AI79" s="269"/>
      <c r="AJ79" s="270"/>
      <c r="AK79" s="271"/>
      <c r="AL79" s="273"/>
      <c r="AM79" s="273"/>
      <c r="AN79" s="267"/>
      <c r="AO79" s="267"/>
      <c r="AP79" s="267"/>
      <c r="AQ79" s="267"/>
    </row>
    <row r="80" spans="4:43" ht="15" customHeight="1">
      <c r="D80" s="470" t="s">
        <v>109</v>
      </c>
      <c r="E80" s="434"/>
      <c r="F80" s="472"/>
      <c r="G80" s="473">
        <v>32105</v>
      </c>
      <c r="H80" s="472"/>
      <c r="I80" s="482">
        <v>227250</v>
      </c>
      <c r="J80" s="472"/>
      <c r="K80" s="482">
        <v>6927434.2589999996</v>
      </c>
      <c r="L80" s="447"/>
      <c r="M80" s="421"/>
      <c r="N80" s="448"/>
      <c r="O80" s="448"/>
      <c r="P80" s="448"/>
      <c r="Q80" s="448"/>
      <c r="R80" s="448"/>
      <c r="U80" s="424"/>
      <c r="V80" s="424"/>
      <c r="W80" s="424"/>
      <c r="Y80" s="449"/>
      <c r="Z80" s="449"/>
      <c r="AA80" s="449"/>
      <c r="AB80" s="450"/>
      <c r="AC80" s="267"/>
      <c r="AD80" s="267"/>
      <c r="AE80" s="268"/>
      <c r="AF80" s="377"/>
      <c r="AG80" s="377"/>
      <c r="AH80" s="377"/>
      <c r="AI80" s="269"/>
      <c r="AJ80" s="270"/>
      <c r="AK80" s="271"/>
      <c r="AL80" s="273"/>
      <c r="AM80" s="273"/>
      <c r="AN80" s="267"/>
      <c r="AO80" s="267"/>
      <c r="AP80" s="267"/>
      <c r="AQ80" s="267"/>
    </row>
    <row r="81" spans="1:46" ht="15" customHeight="1">
      <c r="D81" s="486" t="s">
        <v>110</v>
      </c>
      <c r="E81" s="460"/>
      <c r="F81" s="461"/>
      <c r="G81" s="487">
        <v>11448</v>
      </c>
      <c r="H81" s="461"/>
      <c r="I81" s="488">
        <v>89844</v>
      </c>
      <c r="J81" s="461"/>
      <c r="K81" s="488">
        <v>2710726.6579999998</v>
      </c>
      <c r="L81" s="447"/>
      <c r="M81" s="421"/>
      <c r="N81" s="448"/>
      <c r="O81" s="448"/>
      <c r="P81" s="448"/>
      <c r="Q81" s="448"/>
      <c r="R81" s="448"/>
      <c r="U81" s="424"/>
      <c r="V81" s="424"/>
      <c r="W81" s="424"/>
      <c r="Y81" s="449"/>
      <c r="Z81" s="449"/>
      <c r="AA81" s="449"/>
      <c r="AB81" s="450"/>
      <c r="AC81" s="267"/>
      <c r="AD81" s="267"/>
      <c r="AE81" s="268"/>
      <c r="AF81" s="377"/>
      <c r="AG81" s="377"/>
      <c r="AH81" s="377"/>
      <c r="AI81" s="269"/>
      <c r="AJ81" s="270"/>
      <c r="AK81" s="271"/>
      <c r="AL81" s="273"/>
      <c r="AM81" s="273"/>
      <c r="AN81" s="267"/>
      <c r="AO81" s="267"/>
      <c r="AP81" s="267"/>
      <c r="AQ81" s="267"/>
    </row>
    <row r="82" spans="1:46" ht="15" customHeight="1">
      <c r="D82" s="503" t="s">
        <v>111</v>
      </c>
      <c r="E82" s="504"/>
      <c r="F82" s="505"/>
      <c r="G82" s="506"/>
      <c r="H82" s="453"/>
      <c r="I82" s="507"/>
      <c r="J82" s="508"/>
      <c r="K82" s="509"/>
      <c r="L82" s="510"/>
      <c r="M82" s="421"/>
      <c r="N82" s="448"/>
      <c r="O82" s="448"/>
      <c r="P82" s="448"/>
      <c r="Q82" s="448"/>
      <c r="R82" s="448"/>
      <c r="V82" s="273"/>
      <c r="W82" s="273"/>
      <c r="X82" s="273"/>
      <c r="Y82" s="449"/>
      <c r="Z82" s="449"/>
      <c r="AA82" s="449"/>
      <c r="AB82" s="450"/>
      <c r="AC82" s="267"/>
      <c r="AD82" s="267"/>
      <c r="AE82" s="268"/>
      <c r="AF82" s="484"/>
      <c r="AG82" s="269"/>
      <c r="AH82" s="269"/>
      <c r="AI82" s="269"/>
      <c r="AJ82" s="270"/>
      <c r="AK82" s="271"/>
      <c r="AL82" s="273"/>
      <c r="AM82" s="273"/>
      <c r="AN82" s="267"/>
      <c r="AO82" s="267"/>
      <c r="AP82" s="267"/>
      <c r="AQ82" s="267"/>
    </row>
    <row r="83" spans="1:46" ht="15" customHeight="1">
      <c r="D83" s="511" t="s">
        <v>112</v>
      </c>
      <c r="E83" s="504"/>
      <c r="F83" s="512"/>
      <c r="G83" s="513">
        <v>9.1801574308555107</v>
      </c>
      <c r="H83" s="472"/>
      <c r="I83" s="514">
        <v>9.2375856155039777</v>
      </c>
      <c r="J83" s="472"/>
      <c r="K83" s="515">
        <v>9.2042773990696212</v>
      </c>
      <c r="L83" s="510"/>
      <c r="M83" s="421"/>
      <c r="N83" s="448"/>
      <c r="O83" s="448"/>
      <c r="P83" s="448"/>
      <c r="Q83" s="448"/>
      <c r="R83" s="448"/>
      <c r="U83" s="424"/>
      <c r="V83" s="273"/>
      <c r="W83" s="273"/>
      <c r="X83" s="273"/>
      <c r="Y83" s="449"/>
      <c r="Z83" s="449"/>
      <c r="AA83" s="449"/>
      <c r="AB83" s="450"/>
      <c r="AC83" s="267"/>
      <c r="AD83" s="267"/>
      <c r="AE83" s="268"/>
      <c r="AF83" s="269"/>
      <c r="AG83" s="269"/>
      <c r="AH83" s="269"/>
      <c r="AI83" s="269"/>
      <c r="AJ83" s="270"/>
      <c r="AK83" s="271"/>
      <c r="AL83" s="273"/>
      <c r="AM83" s="273"/>
      <c r="AN83" s="267"/>
      <c r="AO83" s="267"/>
      <c r="AP83" s="267"/>
      <c r="AQ83" s="267"/>
    </row>
    <row r="84" spans="1:46" ht="15" customHeight="1">
      <c r="D84" s="511" t="s">
        <v>113</v>
      </c>
      <c r="E84" s="504"/>
      <c r="F84" s="516"/>
      <c r="G84" s="517">
        <v>8.0575945323691993</v>
      </c>
      <c r="H84" s="476"/>
      <c r="I84" s="518">
        <v>11.134556107214738</v>
      </c>
      <c r="J84" s="476"/>
      <c r="K84" s="519">
        <v>8.9498960387937796</v>
      </c>
      <c r="L84" s="510"/>
      <c r="M84" s="421"/>
      <c r="N84" s="448"/>
      <c r="O84" s="448"/>
      <c r="P84" s="448"/>
      <c r="Q84" s="448"/>
      <c r="R84" s="448"/>
      <c r="U84" s="273"/>
      <c r="V84" s="273"/>
      <c r="W84" s="273"/>
      <c r="X84" s="273"/>
      <c r="Y84" s="449"/>
      <c r="Z84" s="449"/>
      <c r="AA84" s="449"/>
      <c r="AB84" s="450"/>
      <c r="AC84" s="267"/>
      <c r="AD84" s="267"/>
      <c r="AE84" s="268"/>
      <c r="AF84" s="269"/>
      <c r="AG84" s="269"/>
      <c r="AH84" s="269"/>
      <c r="AI84" s="269"/>
      <c r="AJ84" s="270"/>
      <c r="AK84" s="271"/>
      <c r="AL84" s="273"/>
      <c r="AM84" s="273"/>
      <c r="AN84" s="267"/>
      <c r="AO84" s="267"/>
      <c r="AP84" s="267"/>
      <c r="AQ84" s="267"/>
    </row>
    <row r="85" spans="1:46" ht="15" customHeight="1">
      <c r="D85" s="520"/>
      <c r="E85" s="521"/>
      <c r="F85" s="521"/>
      <c r="G85" s="521"/>
      <c r="H85" s="521"/>
      <c r="I85" s="521"/>
      <c r="J85" s="521"/>
      <c r="K85" s="521"/>
      <c r="N85" s="522"/>
      <c r="O85" s="523"/>
      <c r="P85" s="448"/>
      <c r="Q85" s="448"/>
      <c r="R85" s="448"/>
      <c r="S85" s="448"/>
      <c r="T85" s="448"/>
      <c r="U85" s="448"/>
      <c r="X85" s="273"/>
      <c r="Y85" s="273"/>
      <c r="Z85" s="273"/>
      <c r="AA85" s="273"/>
      <c r="AB85" s="273"/>
      <c r="AC85" s="449"/>
      <c r="AD85" s="449"/>
      <c r="AE85" s="449"/>
      <c r="AO85" s="273"/>
      <c r="AQ85" s="267"/>
      <c r="AR85" s="267"/>
      <c r="AS85" s="267"/>
      <c r="AT85" s="267"/>
    </row>
    <row r="86" spans="1:46" s="269" customFormat="1" ht="15" customHeight="1">
      <c r="A86" s="524"/>
      <c r="C86" s="525"/>
      <c r="D86" s="417"/>
      <c r="E86" s="526" t="s">
        <v>114</v>
      </c>
      <c r="F86" s="263"/>
      <c r="G86" s="263"/>
      <c r="H86" s="263"/>
      <c r="I86" s="263"/>
      <c r="J86" s="263"/>
      <c r="K86" s="263"/>
      <c r="L86" s="263"/>
      <c r="M86" s="263"/>
      <c r="N86" s="527"/>
      <c r="O86" s="273"/>
      <c r="P86" s="273"/>
      <c r="Q86" s="528"/>
      <c r="R86" s="273"/>
      <c r="S86" s="273"/>
      <c r="T86" s="273"/>
      <c r="U86" s="273"/>
      <c r="V86" s="273"/>
      <c r="W86" s="529"/>
      <c r="X86" s="529"/>
      <c r="Y86" s="530" t="s">
        <v>115</v>
      </c>
      <c r="Z86" s="530" t="s">
        <v>115</v>
      </c>
      <c r="AA86" s="529"/>
      <c r="AB86" s="529"/>
      <c r="AC86" s="529"/>
      <c r="AD86" s="529"/>
      <c r="AE86" s="529"/>
      <c r="AF86" s="529"/>
      <c r="AG86" s="388"/>
      <c r="AH86" s="388"/>
      <c r="AK86" s="389"/>
      <c r="AL86" s="270"/>
      <c r="AM86" s="531"/>
      <c r="AN86" s="531"/>
    </row>
    <row r="87" spans="1:46" s="269" customFormat="1" ht="15" customHeight="1">
      <c r="A87" s="524"/>
      <c r="C87" s="525"/>
      <c r="E87" s="532" t="s">
        <v>244</v>
      </c>
      <c r="F87" s="267"/>
      <c r="G87" s="533"/>
      <c r="H87" s="534"/>
      <c r="I87" s="535"/>
      <c r="J87" s="536"/>
      <c r="K87" s="537"/>
      <c r="L87" s="535"/>
      <c r="M87" s="538"/>
      <c r="N87" s="539"/>
      <c r="O87" s="422"/>
      <c r="P87" s="418"/>
      <c r="Q87" s="418"/>
      <c r="R87" s="418"/>
      <c r="S87" s="418"/>
      <c r="T87" s="540"/>
      <c r="U87" s="422"/>
      <c r="V87" s="273"/>
      <c r="W87" s="529"/>
      <c r="X87" s="529"/>
      <c r="Y87" s="541" t="s">
        <v>116</v>
      </c>
      <c r="Z87" s="541" t="s">
        <v>116</v>
      </c>
      <c r="AC87" s="450"/>
      <c r="AD87" s="450"/>
      <c r="AE87" s="449"/>
      <c r="AF87" s="449"/>
      <c r="AG87" s="388"/>
      <c r="AH87" s="388"/>
      <c r="AM87" s="270"/>
      <c r="AN87" s="531"/>
      <c r="AO87" s="531"/>
    </row>
    <row r="88" spans="1:46" s="269" customFormat="1" ht="15" customHeight="1">
      <c r="A88" s="542"/>
      <c r="B88" s="267"/>
      <c r="C88" s="543"/>
      <c r="E88" s="532"/>
      <c r="F88" s="267"/>
      <c r="G88" s="267"/>
      <c r="H88" s="267"/>
      <c r="I88" s="267"/>
      <c r="J88" s="423"/>
      <c r="K88" s="267"/>
      <c r="L88" s="267"/>
      <c r="M88" s="267"/>
      <c r="N88" s="267"/>
      <c r="O88" s="448"/>
      <c r="P88" s="418"/>
      <c r="Q88" s="418"/>
      <c r="R88" s="418"/>
      <c r="S88" s="418"/>
      <c r="T88" s="540"/>
      <c r="U88" s="422"/>
      <c r="V88" s="273"/>
      <c r="W88" s="529"/>
      <c r="X88" s="529"/>
      <c r="AA88" s="268"/>
      <c r="AB88" s="268"/>
      <c r="AC88" s="268"/>
      <c r="AD88" s="268"/>
      <c r="AE88" s="268"/>
      <c r="AF88" s="268"/>
      <c r="AG88" s="388"/>
      <c r="AH88" s="388"/>
      <c r="AM88" s="270"/>
      <c r="AN88" s="531"/>
      <c r="AO88" s="531"/>
    </row>
    <row r="89" spans="1:46" s="269" customFormat="1" ht="15" customHeight="1">
      <c r="A89" s="542"/>
      <c r="B89" s="544" t="s">
        <v>117</v>
      </c>
      <c r="C89" s="543"/>
      <c r="D89" s="545"/>
      <c r="E89" s="532" t="s">
        <v>245</v>
      </c>
      <c r="F89" s="267"/>
      <c r="G89" s="267"/>
      <c r="H89" s="267"/>
      <c r="I89" s="267"/>
      <c r="J89" s="529"/>
      <c r="K89" s="529"/>
      <c r="L89" s="529"/>
      <c r="M89" s="529"/>
      <c r="N89" s="267"/>
      <c r="O89" s="448"/>
      <c r="P89" s="422"/>
      <c r="Q89" s="418"/>
      <c r="R89" s="418"/>
      <c r="S89" s="418"/>
      <c r="T89" s="540"/>
      <c r="U89" s="422"/>
      <c r="V89" s="273"/>
      <c r="W89" s="529"/>
      <c r="X89" s="529"/>
      <c r="AC89" s="450"/>
      <c r="AD89" s="450"/>
      <c r="AE89" s="450"/>
      <c r="AF89" s="450"/>
      <c r="AM89" s="270"/>
      <c r="AN89" s="531"/>
      <c r="AO89" s="531"/>
    </row>
    <row r="90" spans="1:46" s="269" customFormat="1" ht="15" customHeight="1">
      <c r="A90" s="542"/>
      <c r="B90" s="544" t="s">
        <v>44</v>
      </c>
      <c r="C90" s="543">
        <v>16</v>
      </c>
      <c r="E90" s="532" t="s">
        <v>246</v>
      </c>
      <c r="F90" s="267"/>
      <c r="G90" s="267"/>
      <c r="H90" s="267"/>
      <c r="I90" s="267"/>
      <c r="J90" s="546" t="s">
        <v>118</v>
      </c>
      <c r="K90" s="547">
        <v>22160.839999999997</v>
      </c>
      <c r="L90" s="547">
        <v>675000</v>
      </c>
      <c r="M90" s="548">
        <v>8000000</v>
      </c>
      <c r="N90" s="549"/>
      <c r="O90" s="448"/>
      <c r="P90" s="273"/>
      <c r="Q90" s="273"/>
      <c r="R90" s="273"/>
      <c r="S90" s="273"/>
      <c r="T90" s="273"/>
      <c r="U90" s="273"/>
      <c r="V90" s="273"/>
      <c r="W90" s="529"/>
      <c r="X90" s="529"/>
      <c r="AC90" s="450"/>
      <c r="AD90" s="450"/>
      <c r="AE90" s="450"/>
      <c r="AF90" s="450"/>
      <c r="AM90" s="270"/>
      <c r="AN90" s="531"/>
      <c r="AO90" s="531"/>
    </row>
    <row r="91" spans="1:46" s="269" customFormat="1" ht="15" customHeight="1">
      <c r="A91" s="542"/>
      <c r="B91" s="544" t="s">
        <v>76</v>
      </c>
      <c r="C91" s="543"/>
      <c r="E91" s="529"/>
      <c r="F91" s="267"/>
      <c r="G91" s="549"/>
      <c r="H91" s="267"/>
      <c r="I91" s="267"/>
      <c r="J91" s="550" t="s">
        <v>43</v>
      </c>
      <c r="K91" s="551"/>
      <c r="L91" s="551">
        <v>0.25791884444444441</v>
      </c>
      <c r="M91" s="552">
        <v>0.69160458887499998</v>
      </c>
      <c r="N91" s="267"/>
      <c r="O91" s="448"/>
      <c r="T91" s="529"/>
      <c r="U91" s="529"/>
      <c r="V91" s="529"/>
      <c r="W91" s="529"/>
      <c r="X91" s="529"/>
      <c r="AC91" s="450"/>
      <c r="AD91" s="450"/>
      <c r="AE91" s="450"/>
      <c r="AF91" s="450"/>
      <c r="AM91" s="270"/>
      <c r="AN91" s="531"/>
      <c r="AO91" s="531"/>
    </row>
    <row r="92" spans="1:46" s="269" customFormat="1" ht="15" customHeight="1">
      <c r="A92" s="542"/>
      <c r="B92" s="544" t="s">
        <v>39</v>
      </c>
      <c r="C92" s="543">
        <v>23</v>
      </c>
      <c r="E92" s="553" t="s">
        <v>247</v>
      </c>
      <c r="F92" s="267"/>
      <c r="G92" s="549"/>
      <c r="H92" s="267"/>
      <c r="I92" s="267"/>
      <c r="J92" s="550"/>
      <c r="M92" s="554"/>
      <c r="N92" s="267"/>
      <c r="O92" s="448"/>
      <c r="T92" s="529"/>
      <c r="U92" s="555"/>
      <c r="V92" s="529"/>
      <c r="W92" s="529"/>
      <c r="X92" s="529"/>
      <c r="AC92" s="450"/>
      <c r="AD92" s="450"/>
      <c r="AE92" s="450"/>
      <c r="AF92" s="450"/>
      <c r="AM92" s="270"/>
      <c r="AN92" s="531"/>
      <c r="AO92" s="531"/>
    </row>
    <row r="93" spans="1:46" s="269" customFormat="1" ht="15" customHeight="1">
      <c r="A93" s="542"/>
      <c r="B93" s="544" t="s">
        <v>119</v>
      </c>
      <c r="C93" s="543">
        <v>32</v>
      </c>
      <c r="E93" s="532" t="s">
        <v>248</v>
      </c>
      <c r="F93" s="267"/>
      <c r="G93" s="549"/>
      <c r="H93" s="549"/>
      <c r="I93" s="549"/>
      <c r="J93" s="550" t="s">
        <v>120</v>
      </c>
      <c r="K93" s="556">
        <v>23333.333333333332</v>
      </c>
      <c r="L93" s="556">
        <v>700000</v>
      </c>
      <c r="M93" s="557">
        <v>8550000</v>
      </c>
      <c r="N93" s="267"/>
      <c r="O93" s="434"/>
      <c r="T93" s="529"/>
      <c r="U93" s="529"/>
      <c r="V93" s="529"/>
      <c r="W93" s="529"/>
      <c r="X93" s="529"/>
      <c r="AC93" s="450"/>
      <c r="AD93" s="450"/>
      <c r="AE93" s="450"/>
      <c r="AF93" s="450"/>
      <c r="AM93" s="270"/>
      <c r="AN93" s="531"/>
      <c r="AO93" s="531"/>
    </row>
    <row r="94" spans="1:46" s="269" customFormat="1" ht="15" customHeight="1">
      <c r="A94" s="542"/>
      <c r="B94" s="544"/>
      <c r="C94" s="543"/>
      <c r="E94" s="532" t="s">
        <v>249</v>
      </c>
      <c r="F94" s="267"/>
      <c r="G94" s="549"/>
      <c r="H94" s="549"/>
      <c r="I94" s="549"/>
      <c r="J94" s="558" t="s">
        <v>43</v>
      </c>
      <c r="K94" s="559">
        <v>1.0820670000000001</v>
      </c>
      <c r="L94" s="560">
        <v>0.20633570000000004</v>
      </c>
      <c r="M94" s="561">
        <v>0.66550825497076027</v>
      </c>
      <c r="N94" s="267"/>
      <c r="O94" s="434"/>
      <c r="T94" s="529"/>
      <c r="U94" s="529"/>
      <c r="V94" s="529"/>
      <c r="W94" s="529"/>
      <c r="X94" s="529"/>
      <c r="AC94" s="450"/>
      <c r="AD94" s="450"/>
      <c r="AE94" s="450"/>
      <c r="AF94" s="450"/>
      <c r="AM94" s="270"/>
      <c r="AN94" s="531"/>
      <c r="AO94" s="531"/>
    </row>
    <row r="95" spans="1:46" s="269" customFormat="1" ht="15" customHeight="1">
      <c r="A95" s="542"/>
      <c r="B95" s="562"/>
      <c r="C95" s="543"/>
      <c r="F95" s="267"/>
      <c r="G95" s="549"/>
      <c r="H95" s="267"/>
      <c r="I95" s="267"/>
      <c r="J95" s="550" t="s">
        <v>121</v>
      </c>
      <c r="K95" s="556">
        <v>20000</v>
      </c>
      <c r="L95" s="556">
        <v>600000</v>
      </c>
      <c r="M95" s="557">
        <v>6950000</v>
      </c>
      <c r="N95" s="267"/>
      <c r="O95" s="434"/>
      <c r="T95" s="529"/>
      <c r="U95" s="529"/>
      <c r="V95" s="529"/>
      <c r="W95" s="529"/>
      <c r="X95" s="529"/>
      <c r="AC95" s="450"/>
      <c r="AD95" s="450"/>
      <c r="AE95" s="450"/>
      <c r="AF95" s="450"/>
      <c r="AM95" s="270"/>
      <c r="AN95" s="531"/>
      <c r="AO95" s="531"/>
    </row>
    <row r="96" spans="1:46" s="269" customFormat="1" ht="15" customHeight="1">
      <c r="A96" s="524"/>
      <c r="C96" s="525"/>
      <c r="E96" s="563" t="s">
        <v>250</v>
      </c>
      <c r="F96" s="267"/>
      <c r="G96" s="267"/>
      <c r="H96" s="267"/>
      <c r="I96" s="267"/>
      <c r="J96" s="550" t="s">
        <v>43</v>
      </c>
      <c r="K96" s="564">
        <v>0.58501500000000006</v>
      </c>
      <c r="L96" s="564">
        <v>3.5512250000000002E-2</v>
      </c>
      <c r="M96" s="565">
        <v>0.59182824748201435</v>
      </c>
      <c r="N96" s="267"/>
      <c r="O96" s="434"/>
      <c r="T96" s="529"/>
      <c r="U96" s="529"/>
      <c r="V96" s="529"/>
      <c r="W96" s="529"/>
      <c r="X96" s="529"/>
      <c r="AC96" s="450"/>
      <c r="AD96" s="450"/>
      <c r="AE96" s="450"/>
      <c r="AF96" s="450"/>
      <c r="AM96" s="270"/>
      <c r="AN96" s="531"/>
      <c r="AO96" s="531"/>
    </row>
    <row r="97" spans="1:41" s="269" customFormat="1" ht="15" customHeight="1">
      <c r="A97" s="524"/>
      <c r="C97" s="525"/>
      <c r="E97" s="532" t="s">
        <v>251</v>
      </c>
      <c r="F97" s="267"/>
      <c r="G97" s="267"/>
      <c r="H97" s="267"/>
      <c r="I97" s="267"/>
      <c r="J97" s="550" t="s">
        <v>122</v>
      </c>
      <c r="K97" s="556">
        <v>0</v>
      </c>
      <c r="L97" s="556">
        <v>100000</v>
      </c>
      <c r="M97" s="557">
        <v>1600000</v>
      </c>
      <c r="N97" s="267"/>
      <c r="O97" s="434"/>
      <c r="T97" s="529"/>
      <c r="U97" s="529"/>
      <c r="V97" s="529"/>
      <c r="W97" s="529"/>
      <c r="X97" s="529"/>
      <c r="AC97" s="450"/>
      <c r="AD97" s="450"/>
      <c r="AE97" s="450"/>
      <c r="AF97" s="450"/>
      <c r="AM97" s="270"/>
      <c r="AN97" s="531"/>
      <c r="AO97" s="531"/>
    </row>
    <row r="98" spans="1:41" s="269" customFormat="1" ht="15" customHeight="1">
      <c r="A98" s="524"/>
      <c r="C98" s="525"/>
      <c r="E98" s="566" t="s">
        <v>252</v>
      </c>
      <c r="F98" s="267"/>
      <c r="G98" s="267"/>
      <c r="H98" s="267"/>
      <c r="I98" s="267"/>
      <c r="J98" s="550" t="s">
        <v>43</v>
      </c>
      <c r="K98" s="560">
        <v>0</v>
      </c>
      <c r="L98" s="560">
        <v>0.49188719999999991</v>
      </c>
      <c r="M98" s="561">
        <v>0.23527224999999999</v>
      </c>
      <c r="N98" s="267"/>
      <c r="O98" s="434"/>
      <c r="T98" s="267"/>
      <c r="U98" s="529"/>
      <c r="V98" s="529"/>
      <c r="W98" s="529"/>
      <c r="X98" s="529"/>
      <c r="AC98" s="450"/>
      <c r="AD98" s="450"/>
      <c r="AE98" s="450"/>
      <c r="AF98" s="450"/>
      <c r="AM98" s="270"/>
      <c r="AN98" s="531"/>
      <c r="AO98" s="531"/>
    </row>
    <row r="99" spans="1:41" s="269" customFormat="1" ht="15" customHeight="1">
      <c r="A99" s="524"/>
      <c r="C99" s="525"/>
      <c r="E99" s="566" t="s">
        <v>253</v>
      </c>
      <c r="F99" s="267"/>
      <c r="G99" s="267"/>
      <c r="H99" s="267"/>
      <c r="I99" s="267"/>
      <c r="J99" s="550"/>
      <c r="K99" s="560"/>
      <c r="L99" s="560"/>
      <c r="M99" s="561"/>
      <c r="N99" s="267"/>
      <c r="O99" s="434"/>
      <c r="T99" s="267"/>
      <c r="U99" s="529"/>
      <c r="V99" s="529"/>
      <c r="W99" s="529"/>
      <c r="X99" s="529"/>
      <c r="AC99" s="450"/>
      <c r="AD99" s="450"/>
      <c r="AE99" s="450"/>
      <c r="AF99" s="450"/>
      <c r="AM99" s="270"/>
      <c r="AN99" s="531"/>
      <c r="AO99" s="531"/>
    </row>
    <row r="100" spans="1:41" s="269" customFormat="1" ht="15" customHeight="1">
      <c r="A100" s="524"/>
      <c r="C100" s="525"/>
      <c r="E100" s="566"/>
      <c r="F100" s="267"/>
      <c r="G100" s="267"/>
      <c r="H100" s="267"/>
      <c r="I100" s="267"/>
      <c r="J100" s="550"/>
      <c r="K100" s="551"/>
      <c r="L100" s="551"/>
      <c r="M100" s="552"/>
      <c r="N100" s="267"/>
      <c r="O100" s="434"/>
      <c r="T100" s="267"/>
      <c r="U100" s="529"/>
      <c r="V100" s="529"/>
      <c r="W100" s="529"/>
      <c r="X100" s="529"/>
      <c r="AC100" s="450"/>
      <c r="AD100" s="450"/>
      <c r="AE100" s="450"/>
      <c r="AF100" s="450"/>
      <c r="AM100" s="270"/>
      <c r="AN100" s="531"/>
      <c r="AO100" s="531"/>
    </row>
    <row r="101" spans="1:41" s="269" customFormat="1" ht="15" customHeight="1">
      <c r="A101" s="524"/>
      <c r="C101" s="525"/>
      <c r="E101" s="563" t="s">
        <v>254</v>
      </c>
      <c r="F101" s="267"/>
      <c r="G101" s="567"/>
      <c r="H101" s="267"/>
      <c r="I101" s="267"/>
      <c r="J101" s="550" t="s">
        <v>78</v>
      </c>
      <c r="L101" s="556">
        <v>700000</v>
      </c>
      <c r="M101" s="557">
        <v>8550000</v>
      </c>
      <c r="N101" s="267"/>
      <c r="O101" s="434"/>
      <c r="T101" s="529"/>
      <c r="U101" s="529"/>
      <c r="V101" s="529"/>
      <c r="W101" s="529"/>
      <c r="X101" s="529"/>
      <c r="AC101" s="450"/>
      <c r="AD101" s="450"/>
      <c r="AE101" s="450"/>
      <c r="AF101" s="450"/>
      <c r="AM101" s="270"/>
      <c r="AN101" s="531"/>
      <c r="AO101" s="531"/>
    </row>
    <row r="102" spans="1:41" s="269" customFormat="1" ht="15" customHeight="1">
      <c r="A102" s="524"/>
      <c r="C102" s="525"/>
      <c r="E102" s="566" t="s">
        <v>255</v>
      </c>
      <c r="F102" s="267"/>
      <c r="G102" s="267"/>
      <c r="H102" s="267"/>
      <c r="I102" s="267"/>
      <c r="J102" s="550"/>
      <c r="L102" s="551">
        <v>6.658618571428572E-2</v>
      </c>
      <c r="M102" s="552">
        <v>0.63642288280701753</v>
      </c>
      <c r="N102" s="267"/>
      <c r="O102" s="434"/>
      <c r="T102" s="529"/>
      <c r="U102" s="529"/>
      <c r="V102" s="529"/>
      <c r="W102" s="529"/>
      <c r="X102" s="529"/>
      <c r="AC102" s="450"/>
      <c r="AD102" s="450"/>
      <c r="AE102" s="450"/>
      <c r="AF102" s="450"/>
      <c r="AM102" s="270"/>
      <c r="AN102" s="531"/>
      <c r="AO102" s="531"/>
    </row>
    <row r="103" spans="1:41" s="269" customFormat="1" ht="15" customHeight="1">
      <c r="A103" s="524"/>
      <c r="C103" s="525"/>
      <c r="E103" s="566" t="s">
        <v>256</v>
      </c>
      <c r="F103" s="267"/>
      <c r="G103" s="267"/>
      <c r="H103" s="267"/>
      <c r="I103" s="267"/>
      <c r="J103" s="550"/>
      <c r="M103" s="554"/>
      <c r="N103" s="267"/>
      <c r="O103" s="434"/>
      <c r="T103" s="529"/>
      <c r="U103" s="529"/>
      <c r="V103" s="529"/>
      <c r="W103" s="529"/>
      <c r="X103" s="529"/>
      <c r="AC103" s="450"/>
      <c r="AD103" s="450"/>
      <c r="AE103" s="450"/>
      <c r="AF103" s="450"/>
      <c r="AM103" s="270"/>
      <c r="AN103" s="531"/>
      <c r="AO103" s="531"/>
    </row>
    <row r="104" spans="1:41" s="269" customFormat="1" ht="15" customHeight="1">
      <c r="A104" s="524"/>
      <c r="C104" s="525"/>
      <c r="E104" s="566" t="s">
        <v>257</v>
      </c>
      <c r="F104" s="267"/>
      <c r="G104" s="267"/>
      <c r="H104" s="267"/>
      <c r="I104" s="267"/>
      <c r="J104" s="550"/>
      <c r="M104" s="554"/>
      <c r="N104" s="267"/>
      <c r="O104" s="434"/>
      <c r="T104" s="529"/>
      <c r="U104" s="529"/>
      <c r="V104" s="529"/>
      <c r="W104" s="529"/>
      <c r="X104" s="529"/>
      <c r="AC104" s="450"/>
      <c r="AD104" s="450"/>
      <c r="AE104" s="450"/>
      <c r="AF104" s="450"/>
      <c r="AM104" s="270"/>
      <c r="AN104" s="531"/>
      <c r="AO104" s="531"/>
    </row>
    <row r="105" spans="1:41" s="269" customFormat="1" ht="15" customHeight="1">
      <c r="A105" s="524"/>
      <c r="C105" s="525"/>
      <c r="E105" s="529"/>
      <c r="F105" s="267"/>
      <c r="G105" s="267"/>
      <c r="H105" s="267"/>
      <c r="I105" s="267"/>
      <c r="J105" s="550" t="s">
        <v>123</v>
      </c>
      <c r="L105" s="556">
        <v>6430000</v>
      </c>
      <c r="M105" s="557">
        <v>73750000</v>
      </c>
      <c r="N105" s="267"/>
      <c r="O105" s="434"/>
      <c r="T105" s="529"/>
      <c r="U105" s="529"/>
      <c r="V105" s="529"/>
      <c r="W105" s="529"/>
      <c r="X105" s="529"/>
      <c r="AC105" s="450"/>
      <c r="AD105" s="450"/>
      <c r="AE105" s="450"/>
      <c r="AF105" s="450"/>
      <c r="AM105" s="270"/>
      <c r="AN105" s="531"/>
      <c r="AO105" s="531"/>
    </row>
    <row r="106" spans="1:41" s="269" customFormat="1" ht="15" customHeight="1">
      <c r="A106" s="524"/>
      <c r="C106" s="525"/>
      <c r="E106" s="566" t="s">
        <v>258</v>
      </c>
      <c r="F106" s="267"/>
      <c r="G106" s="267"/>
      <c r="H106" s="267"/>
      <c r="I106" s="267"/>
      <c r="J106" s="568"/>
      <c r="K106" s="569"/>
      <c r="L106" s="570">
        <v>0.25011189735614309</v>
      </c>
      <c r="M106" s="571">
        <v>0</v>
      </c>
      <c r="N106" s="267"/>
      <c r="O106" s="434"/>
      <c r="T106" s="529"/>
      <c r="U106" s="529"/>
      <c r="V106" s="529"/>
      <c r="W106" s="529"/>
      <c r="X106" s="529"/>
      <c r="AC106" s="450"/>
      <c r="AD106" s="450"/>
      <c r="AE106" s="450"/>
      <c r="AF106" s="450"/>
      <c r="AM106" s="270"/>
      <c r="AN106" s="531"/>
      <c r="AO106" s="531"/>
    </row>
    <row r="107" spans="1:41" s="269" customFormat="1" ht="15" customHeight="1">
      <c r="A107" s="524"/>
      <c r="C107" s="525"/>
      <c r="E107" s="566" t="s">
        <v>259</v>
      </c>
      <c r="F107" s="267"/>
      <c r="G107" s="267"/>
      <c r="H107" s="267"/>
      <c r="I107" s="267"/>
      <c r="J107" s="529"/>
      <c r="K107" s="529"/>
      <c r="L107" s="529"/>
      <c r="M107" s="529"/>
      <c r="N107" s="267"/>
      <c r="O107" s="434"/>
      <c r="T107" s="529"/>
      <c r="U107" s="529"/>
      <c r="V107" s="529"/>
      <c r="W107" s="529"/>
      <c r="X107" s="529"/>
      <c r="AC107" s="450"/>
      <c r="AD107" s="450"/>
      <c r="AE107" s="450"/>
      <c r="AF107" s="450"/>
      <c r="AM107" s="270"/>
      <c r="AN107" s="531"/>
      <c r="AO107" s="531"/>
    </row>
    <row r="108" spans="1:41" s="269" customFormat="1" ht="15" customHeight="1">
      <c r="A108" s="524"/>
      <c r="C108" s="525"/>
      <c r="E108" s="566"/>
      <c r="F108" s="267"/>
      <c r="G108" s="267"/>
      <c r="H108" s="267"/>
      <c r="I108" s="267"/>
      <c r="J108" s="434"/>
      <c r="K108" s="434"/>
      <c r="L108" s="434"/>
      <c r="M108" s="434"/>
      <c r="N108" s="434"/>
      <c r="O108" s="434"/>
      <c r="T108" s="529"/>
      <c r="U108" s="529"/>
      <c r="V108" s="529"/>
      <c r="W108" s="529"/>
      <c r="X108" s="529"/>
      <c r="AC108" s="450"/>
      <c r="AD108" s="450"/>
      <c r="AE108" s="450"/>
      <c r="AF108" s="450"/>
      <c r="AM108" s="270"/>
      <c r="AN108" s="531"/>
      <c r="AO108" s="531"/>
    </row>
    <row r="109" spans="1:41" s="269" customFormat="1" ht="15" customHeight="1">
      <c r="A109" s="524"/>
      <c r="C109" s="525"/>
      <c r="E109" s="566" t="s">
        <v>260</v>
      </c>
      <c r="F109" s="267"/>
      <c r="G109" s="267"/>
      <c r="H109" s="267"/>
      <c r="I109" s="267"/>
      <c r="J109" s="434"/>
      <c r="K109" s="434"/>
      <c r="L109" s="434"/>
      <c r="M109" s="434"/>
      <c r="N109" s="434"/>
      <c r="O109" s="434"/>
      <c r="T109" s="529"/>
      <c r="U109" s="529"/>
      <c r="V109" s="572"/>
      <c r="W109" s="529"/>
      <c r="X109" s="529"/>
      <c r="AC109" s="450"/>
      <c r="AD109" s="450"/>
      <c r="AE109" s="450"/>
      <c r="AF109" s="450"/>
      <c r="AM109" s="270"/>
      <c r="AN109" s="531"/>
      <c r="AO109" s="531"/>
    </row>
    <row r="110" spans="1:41" s="269" customFormat="1" ht="15" customHeight="1">
      <c r="A110" s="524"/>
      <c r="C110" s="525"/>
      <c r="E110" s="532" t="s">
        <v>261</v>
      </c>
      <c r="F110" s="267"/>
      <c r="G110" s="267"/>
      <c r="H110" s="267"/>
      <c r="I110" s="267"/>
      <c r="J110" s="267"/>
      <c r="K110" s="267"/>
      <c r="L110" s="267"/>
      <c r="M110" s="267"/>
      <c r="N110" s="267"/>
      <c r="O110" s="529"/>
      <c r="T110" s="529"/>
      <c r="U110" s="529"/>
      <c r="V110" s="529"/>
      <c r="W110" s="529"/>
      <c r="X110" s="529"/>
      <c r="AC110" s="450"/>
      <c r="AD110" s="450"/>
      <c r="AE110" s="450"/>
      <c r="AF110" s="450"/>
      <c r="AM110" s="270"/>
      <c r="AN110" s="531"/>
      <c r="AO110" s="531"/>
    </row>
    <row r="111" spans="1:41" s="269" customFormat="1" ht="15" customHeight="1">
      <c r="A111" s="524"/>
      <c r="C111" s="525"/>
      <c r="E111" s="529"/>
      <c r="F111" s="267"/>
      <c r="G111" s="267"/>
      <c r="H111" s="267"/>
      <c r="I111" s="267"/>
      <c r="J111" s="267"/>
      <c r="K111" s="267"/>
      <c r="L111" s="267"/>
      <c r="M111" s="267"/>
      <c r="N111" s="267"/>
      <c r="O111" s="529"/>
      <c r="T111" s="573"/>
      <c r="U111" s="529"/>
      <c r="V111" s="529"/>
      <c r="W111" s="529"/>
      <c r="X111" s="529"/>
      <c r="AC111" s="450"/>
      <c r="AD111" s="450"/>
      <c r="AE111" s="450"/>
      <c r="AF111" s="450"/>
      <c r="AM111" s="270"/>
      <c r="AN111" s="531"/>
      <c r="AO111" s="531"/>
    </row>
    <row r="112" spans="1:41" s="269" customFormat="1" ht="15" customHeight="1">
      <c r="E112" s="563" t="s">
        <v>262</v>
      </c>
      <c r="F112" s="267"/>
      <c r="G112" s="267"/>
      <c r="H112" s="267"/>
      <c r="I112" s="267"/>
      <c r="J112" s="267"/>
      <c r="K112" s="267"/>
      <c r="L112" s="267"/>
      <c r="M112" s="267"/>
      <c r="N112" s="267"/>
      <c r="O112" s="529"/>
      <c r="T112" s="529"/>
      <c r="U112" s="529"/>
      <c r="V112" s="529"/>
      <c r="W112" s="529"/>
      <c r="X112" s="529"/>
      <c r="AC112" s="450"/>
      <c r="AD112" s="450"/>
      <c r="AE112" s="450"/>
      <c r="AF112" s="450"/>
      <c r="AM112" s="270"/>
      <c r="AN112" s="531"/>
      <c r="AO112" s="531"/>
    </row>
    <row r="113" spans="3:42" s="269" customFormat="1" ht="15" customHeight="1">
      <c r="E113" s="566" t="s">
        <v>263</v>
      </c>
      <c r="F113" s="267"/>
      <c r="G113" s="267"/>
      <c r="H113" s="267"/>
      <c r="I113" s="267"/>
      <c r="J113" s="267"/>
      <c r="K113" s="267"/>
      <c r="L113" s="549"/>
      <c r="M113" s="267"/>
      <c r="N113" s="267"/>
      <c r="O113" s="529"/>
      <c r="T113" s="573"/>
      <c r="U113" s="573"/>
      <c r="V113" s="529"/>
      <c r="W113" s="529"/>
      <c r="X113" s="529"/>
      <c r="AC113" s="450"/>
      <c r="AD113" s="450"/>
      <c r="AE113" s="450"/>
      <c r="AF113" s="450"/>
      <c r="AM113" s="270"/>
      <c r="AN113" s="531"/>
      <c r="AO113" s="531"/>
    </row>
    <row r="114" spans="3:42" s="269" customFormat="1">
      <c r="E114" s="566" t="s">
        <v>264</v>
      </c>
      <c r="F114" s="267"/>
      <c r="G114" s="267"/>
      <c r="H114" s="267"/>
      <c r="I114" s="267"/>
      <c r="J114" s="267"/>
      <c r="K114" s="267"/>
      <c r="M114" s="267"/>
      <c r="N114" s="267"/>
      <c r="O114" s="529"/>
      <c r="T114" s="573"/>
      <c r="U114" s="573"/>
      <c r="V114" s="529"/>
      <c r="W114" s="529"/>
      <c r="X114" s="572"/>
      <c r="AC114" s="450"/>
      <c r="AD114" s="450"/>
      <c r="AE114" s="450"/>
      <c r="AF114" s="450"/>
      <c r="AM114" s="270"/>
      <c r="AN114" s="531"/>
      <c r="AO114" s="531"/>
    </row>
    <row r="115" spans="3:42" s="269" customFormat="1">
      <c r="E115" s="566" t="s">
        <v>265</v>
      </c>
      <c r="F115" s="267"/>
      <c r="G115" s="267"/>
      <c r="H115" s="267"/>
      <c r="I115" s="267"/>
      <c r="J115" s="267"/>
      <c r="K115" s="267"/>
      <c r="M115" s="267"/>
      <c r="N115" s="267"/>
      <c r="O115" s="529"/>
      <c r="T115" s="573"/>
      <c r="U115" s="573"/>
      <c r="V115" s="529"/>
      <c r="W115" s="529"/>
      <c r="X115" s="572"/>
      <c r="AC115" s="450"/>
      <c r="AD115" s="450"/>
      <c r="AE115" s="450"/>
      <c r="AF115" s="450"/>
      <c r="AM115" s="270"/>
      <c r="AN115" s="531"/>
      <c r="AO115" s="531"/>
    </row>
    <row r="116" spans="3:42" s="269" customFormat="1">
      <c r="E116" s="566" t="s">
        <v>266</v>
      </c>
      <c r="F116" s="267"/>
      <c r="G116" s="267"/>
      <c r="H116" s="267"/>
      <c r="I116" s="267"/>
      <c r="J116" s="267"/>
      <c r="K116" s="267"/>
      <c r="M116" s="267"/>
      <c r="N116" s="267"/>
      <c r="O116" s="529"/>
      <c r="T116" s="529"/>
      <c r="U116" s="529"/>
      <c r="V116" s="529"/>
      <c r="W116" s="529"/>
      <c r="X116" s="529"/>
      <c r="AC116" s="450"/>
      <c r="AD116" s="450"/>
      <c r="AE116" s="450"/>
      <c r="AF116" s="450"/>
      <c r="AM116" s="270"/>
      <c r="AN116" s="531"/>
      <c r="AO116" s="531"/>
    </row>
    <row r="117" spans="3:42" s="269" customFormat="1">
      <c r="E117" s="566"/>
      <c r="F117" s="267"/>
      <c r="G117" s="267"/>
      <c r="H117" s="267"/>
      <c r="I117" s="267"/>
      <c r="J117" s="267"/>
      <c r="K117" s="267"/>
      <c r="M117" s="267"/>
      <c r="N117" s="267"/>
      <c r="O117" s="529"/>
      <c r="T117" s="529"/>
      <c r="U117" s="529"/>
      <c r="V117" s="529"/>
      <c r="W117" s="529"/>
      <c r="X117" s="529"/>
      <c r="AC117" s="450"/>
      <c r="AD117" s="450"/>
      <c r="AE117" s="450"/>
      <c r="AF117" s="450"/>
      <c r="AM117" s="270"/>
      <c r="AN117" s="531"/>
      <c r="AO117" s="531"/>
    </row>
    <row r="118" spans="3:42" s="273" customFormat="1">
      <c r="D118" s="269"/>
      <c r="E118" s="566" t="s">
        <v>267</v>
      </c>
      <c r="G118" s="267"/>
      <c r="H118" s="267"/>
      <c r="I118" s="267"/>
      <c r="J118" s="267"/>
      <c r="K118" s="267"/>
      <c r="L118" s="267"/>
      <c r="M118" s="267"/>
      <c r="N118" s="267"/>
      <c r="O118" s="529"/>
      <c r="T118" s="573"/>
      <c r="U118" s="573"/>
      <c r="V118" s="529"/>
      <c r="W118" s="529"/>
      <c r="X118" s="529"/>
      <c r="AC118" s="450"/>
      <c r="AD118" s="450"/>
      <c r="AE118" s="450"/>
      <c r="AF118" s="450"/>
      <c r="AI118" s="269"/>
      <c r="AJ118" s="269"/>
      <c r="AK118" s="269"/>
      <c r="AL118" s="269"/>
      <c r="AM118" s="270"/>
      <c r="AN118" s="272"/>
      <c r="AO118" s="272"/>
    </row>
    <row r="119" spans="3:42" s="273" customFormat="1">
      <c r="E119" s="566" t="s">
        <v>268</v>
      </c>
      <c r="O119" s="529"/>
      <c r="T119" s="573"/>
      <c r="U119" s="573"/>
      <c r="V119" s="529"/>
      <c r="W119" s="529"/>
      <c r="X119" s="529"/>
      <c r="AC119" s="450"/>
      <c r="AD119" s="450"/>
      <c r="AE119" s="450"/>
      <c r="AF119" s="450"/>
      <c r="AI119" s="269"/>
      <c r="AJ119" s="269"/>
      <c r="AK119" s="269"/>
      <c r="AL119" s="269"/>
      <c r="AM119" s="270"/>
      <c r="AN119" s="272"/>
      <c r="AO119" s="272"/>
    </row>
    <row r="120" spans="3:42" s="273" customFormat="1">
      <c r="E120" s="566" t="s">
        <v>269</v>
      </c>
      <c r="T120" s="529"/>
      <c r="U120" s="529"/>
      <c r="V120" s="529"/>
      <c r="W120" s="529"/>
      <c r="X120" s="529"/>
      <c r="AC120" s="450"/>
      <c r="AD120" s="450"/>
      <c r="AE120" s="450"/>
      <c r="AF120" s="450"/>
      <c r="AI120" s="269"/>
      <c r="AJ120" s="269"/>
      <c r="AK120" s="269"/>
      <c r="AL120" s="269"/>
      <c r="AM120" s="270"/>
      <c r="AN120" s="272"/>
      <c r="AO120" s="272"/>
    </row>
    <row r="121" spans="3:42" s="273" customFormat="1">
      <c r="E121" s="566" t="s">
        <v>270</v>
      </c>
      <c r="AC121" s="450"/>
      <c r="AD121" s="450"/>
      <c r="AE121" s="450"/>
      <c r="AF121" s="450"/>
      <c r="AI121" s="268"/>
      <c r="AJ121" s="269"/>
      <c r="AK121" s="269"/>
      <c r="AL121" s="269"/>
      <c r="AM121" s="270"/>
      <c r="AN121" s="272"/>
      <c r="AO121" s="272"/>
    </row>
    <row r="122" spans="3:42" s="273" customFormat="1">
      <c r="AC122" s="450"/>
      <c r="AD122" s="450"/>
      <c r="AE122" s="450"/>
      <c r="AF122" s="450"/>
      <c r="AI122" s="268"/>
      <c r="AJ122" s="269"/>
      <c r="AK122" s="269"/>
      <c r="AL122" s="269"/>
      <c r="AM122" s="270"/>
      <c r="AN122" s="272"/>
      <c r="AO122" s="272"/>
    </row>
    <row r="123" spans="3:42" s="273" customFormat="1">
      <c r="AC123" s="450"/>
      <c r="AD123" s="450"/>
      <c r="AE123" s="450"/>
      <c r="AF123" s="450"/>
      <c r="AI123" s="268"/>
      <c r="AJ123" s="269"/>
      <c r="AK123" s="269"/>
      <c r="AL123" s="269"/>
      <c r="AM123" s="270"/>
      <c r="AN123" s="272"/>
      <c r="AO123" s="272"/>
    </row>
    <row r="124" spans="3:42" s="273" customFormat="1">
      <c r="AC124" s="450"/>
      <c r="AD124" s="450"/>
      <c r="AE124" s="450"/>
      <c r="AF124" s="450"/>
      <c r="AI124" s="268"/>
      <c r="AJ124" s="269"/>
      <c r="AK124" s="269"/>
      <c r="AL124" s="269"/>
      <c r="AM124" s="270"/>
      <c r="AN124" s="272"/>
      <c r="AO124" s="272"/>
    </row>
    <row r="125" spans="3:42" s="273" customFormat="1">
      <c r="T125" s="418"/>
      <c r="AC125" s="450"/>
      <c r="AD125" s="450"/>
      <c r="AE125" s="450"/>
      <c r="AF125" s="450"/>
      <c r="AI125" s="268"/>
      <c r="AJ125" s="269"/>
      <c r="AK125" s="269"/>
      <c r="AL125" s="269"/>
      <c r="AM125" s="270"/>
      <c r="AN125" s="272"/>
      <c r="AO125" s="272"/>
    </row>
    <row r="126" spans="3:42" s="269" customFormat="1">
      <c r="C126" s="424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AC126" s="450"/>
      <c r="AD126" s="450"/>
      <c r="AE126" s="450"/>
      <c r="AF126" s="450"/>
      <c r="AG126" s="267"/>
      <c r="AH126" s="267"/>
      <c r="AI126" s="268"/>
      <c r="AM126" s="270"/>
      <c r="AN126" s="271"/>
      <c r="AO126" s="272"/>
      <c r="AP126" s="273"/>
    </row>
    <row r="127" spans="3:42" s="273" customFormat="1">
      <c r="C127" s="424"/>
      <c r="AC127" s="450"/>
      <c r="AD127" s="450"/>
      <c r="AE127" s="450"/>
      <c r="AF127" s="450"/>
      <c r="AG127" s="267"/>
      <c r="AH127" s="267"/>
      <c r="AI127" s="268"/>
      <c r="AJ127" s="269"/>
      <c r="AK127" s="269"/>
      <c r="AL127" s="269"/>
      <c r="AM127" s="270"/>
      <c r="AN127" s="271"/>
      <c r="AO127" s="272"/>
    </row>
    <row r="128" spans="3:42" s="273" customFormat="1">
      <c r="C128" s="424"/>
      <c r="AC128" s="450"/>
      <c r="AD128" s="450"/>
      <c r="AE128" s="450"/>
      <c r="AF128" s="450"/>
      <c r="AG128" s="267"/>
      <c r="AH128" s="267"/>
      <c r="AI128" s="268"/>
      <c r="AJ128" s="269"/>
      <c r="AK128" s="269"/>
      <c r="AL128" s="269"/>
      <c r="AM128" s="270"/>
      <c r="AN128" s="271"/>
      <c r="AO128" s="272"/>
    </row>
    <row r="129" spans="1:41" s="273" customFormat="1">
      <c r="C129" s="424"/>
      <c r="AC129" s="450"/>
      <c r="AD129" s="450"/>
      <c r="AE129" s="450"/>
      <c r="AF129" s="450"/>
      <c r="AG129" s="267"/>
      <c r="AH129" s="267"/>
      <c r="AI129" s="268"/>
      <c r="AJ129" s="269"/>
      <c r="AK129" s="269"/>
      <c r="AL129" s="269"/>
      <c r="AM129" s="270"/>
      <c r="AN129" s="271"/>
      <c r="AO129" s="272"/>
    </row>
    <row r="130" spans="1:41" s="273" customFormat="1">
      <c r="C130" s="424"/>
      <c r="AC130" s="450"/>
      <c r="AD130" s="450"/>
      <c r="AE130" s="450"/>
      <c r="AF130" s="450"/>
      <c r="AG130" s="267"/>
      <c r="AH130" s="267"/>
      <c r="AI130" s="268"/>
      <c r="AJ130" s="269"/>
      <c r="AK130" s="269"/>
      <c r="AL130" s="269"/>
      <c r="AM130" s="270"/>
      <c r="AN130" s="271"/>
      <c r="AO130" s="272"/>
    </row>
    <row r="131" spans="1:41" s="273" customFormat="1">
      <c r="C131" s="424"/>
      <c r="AC131" s="450"/>
      <c r="AD131" s="450"/>
      <c r="AE131" s="450"/>
      <c r="AF131" s="450"/>
      <c r="AG131" s="267"/>
      <c r="AH131" s="267"/>
      <c r="AI131" s="268"/>
      <c r="AJ131" s="269"/>
      <c r="AK131" s="269"/>
      <c r="AL131" s="269"/>
      <c r="AM131" s="270"/>
      <c r="AN131" s="271"/>
      <c r="AO131" s="272"/>
    </row>
    <row r="132" spans="1:41" s="273" customFormat="1">
      <c r="C132" s="424"/>
      <c r="AC132" s="450"/>
      <c r="AD132" s="450"/>
      <c r="AE132" s="450"/>
      <c r="AF132" s="450"/>
      <c r="AG132" s="267"/>
      <c r="AH132" s="267"/>
      <c r="AI132" s="268"/>
      <c r="AJ132" s="269"/>
      <c r="AK132" s="269"/>
      <c r="AL132" s="269"/>
      <c r="AM132" s="270"/>
      <c r="AN132" s="271"/>
      <c r="AO132" s="272"/>
    </row>
    <row r="133" spans="1:41" s="273" customFormat="1">
      <c r="C133" s="424"/>
      <c r="AC133" s="450"/>
      <c r="AD133" s="450"/>
      <c r="AE133" s="450"/>
      <c r="AF133" s="450"/>
      <c r="AG133" s="267"/>
      <c r="AH133" s="267"/>
      <c r="AI133" s="268"/>
      <c r="AJ133" s="269"/>
      <c r="AK133" s="269"/>
      <c r="AL133" s="269"/>
      <c r="AM133" s="270"/>
      <c r="AN133" s="271"/>
      <c r="AO133" s="272"/>
    </row>
    <row r="134" spans="1:41" s="273" customFormat="1">
      <c r="C134" s="424"/>
      <c r="AC134" s="450"/>
      <c r="AD134" s="450"/>
      <c r="AE134" s="450"/>
      <c r="AF134" s="450"/>
      <c r="AG134" s="267"/>
      <c r="AH134" s="267"/>
      <c r="AI134" s="268"/>
      <c r="AJ134" s="269"/>
      <c r="AK134" s="269"/>
      <c r="AL134" s="269"/>
      <c r="AM134" s="270"/>
      <c r="AN134" s="271"/>
      <c r="AO134" s="272"/>
    </row>
    <row r="135" spans="1:41" s="273" customFormat="1">
      <c r="C135" s="424"/>
      <c r="AC135" s="450"/>
      <c r="AD135" s="450"/>
      <c r="AE135" s="450"/>
      <c r="AF135" s="450"/>
      <c r="AG135" s="267"/>
      <c r="AH135" s="267"/>
      <c r="AI135" s="268"/>
      <c r="AJ135" s="269"/>
      <c r="AK135" s="269"/>
      <c r="AL135" s="269"/>
      <c r="AM135" s="270"/>
      <c r="AN135" s="271"/>
      <c r="AO135" s="272"/>
    </row>
    <row r="136" spans="1:41" s="273" customFormat="1">
      <c r="C136" s="424"/>
      <c r="AC136" s="450"/>
      <c r="AD136" s="450"/>
      <c r="AE136" s="450"/>
      <c r="AF136" s="450"/>
      <c r="AG136" s="267"/>
      <c r="AH136" s="267"/>
      <c r="AI136" s="268"/>
      <c r="AJ136" s="269"/>
      <c r="AK136" s="269"/>
      <c r="AL136" s="269"/>
      <c r="AM136" s="270"/>
      <c r="AN136" s="271"/>
      <c r="AO136" s="272"/>
    </row>
    <row r="137" spans="1:41" s="273" customFormat="1">
      <c r="C137" s="424"/>
      <c r="AC137" s="450"/>
      <c r="AD137" s="450"/>
      <c r="AE137" s="450"/>
      <c r="AF137" s="450"/>
      <c r="AG137" s="267"/>
      <c r="AH137" s="267"/>
      <c r="AI137" s="268"/>
      <c r="AJ137" s="269"/>
      <c r="AK137" s="269"/>
      <c r="AL137" s="269"/>
      <c r="AM137" s="270"/>
      <c r="AN137" s="271"/>
      <c r="AO137" s="272"/>
    </row>
    <row r="138" spans="1:41" s="273" customFormat="1">
      <c r="C138" s="424"/>
      <c r="AC138" s="450"/>
      <c r="AD138" s="450"/>
      <c r="AE138" s="450"/>
      <c r="AF138" s="450"/>
      <c r="AG138" s="267"/>
      <c r="AH138" s="267"/>
      <c r="AI138" s="268"/>
      <c r="AJ138" s="269"/>
      <c r="AK138" s="269"/>
      <c r="AL138" s="269"/>
      <c r="AM138" s="270"/>
      <c r="AN138" s="271"/>
      <c r="AO138" s="272"/>
    </row>
    <row r="139" spans="1:41" s="273" customFormat="1">
      <c r="C139" s="424"/>
      <c r="AC139" s="450"/>
      <c r="AD139" s="450"/>
      <c r="AE139" s="450"/>
      <c r="AF139" s="450"/>
      <c r="AG139" s="267"/>
      <c r="AH139" s="267"/>
      <c r="AI139" s="268"/>
      <c r="AJ139" s="269"/>
      <c r="AK139" s="269"/>
      <c r="AL139" s="269"/>
      <c r="AM139" s="270"/>
      <c r="AN139" s="271"/>
      <c r="AO139" s="272"/>
    </row>
    <row r="140" spans="1:41" s="273" customFormat="1">
      <c r="C140" s="424"/>
      <c r="AC140" s="450"/>
      <c r="AD140" s="450"/>
      <c r="AE140" s="450"/>
      <c r="AF140" s="450"/>
      <c r="AG140" s="267"/>
      <c r="AH140" s="267"/>
      <c r="AI140" s="268"/>
      <c r="AJ140" s="269"/>
      <c r="AK140" s="269"/>
      <c r="AL140" s="269"/>
      <c r="AM140" s="270"/>
      <c r="AN140" s="271"/>
      <c r="AO140" s="272"/>
    </row>
    <row r="141" spans="1:41" s="273" customFormat="1">
      <c r="C141" s="424"/>
      <c r="AC141" s="450"/>
      <c r="AD141" s="450"/>
      <c r="AE141" s="450"/>
      <c r="AF141" s="450"/>
      <c r="AG141" s="267"/>
      <c r="AH141" s="267"/>
      <c r="AI141" s="268"/>
      <c r="AJ141" s="269"/>
      <c r="AK141" s="269"/>
      <c r="AL141" s="269"/>
      <c r="AM141" s="270"/>
      <c r="AN141" s="271"/>
      <c r="AO141" s="272"/>
    </row>
    <row r="142" spans="1:41" s="273" customFormat="1">
      <c r="C142" s="424"/>
      <c r="D142" s="574"/>
      <c r="AC142" s="450"/>
      <c r="AD142" s="450"/>
      <c r="AE142" s="450"/>
      <c r="AF142" s="450"/>
      <c r="AG142" s="267"/>
      <c r="AH142" s="267"/>
      <c r="AI142" s="268"/>
      <c r="AJ142" s="269"/>
      <c r="AK142" s="269"/>
      <c r="AL142" s="269"/>
      <c r="AM142" s="270"/>
      <c r="AN142" s="271"/>
      <c r="AO142" s="272"/>
    </row>
    <row r="143" spans="1:41" s="273" customFormat="1">
      <c r="A143" s="575"/>
      <c r="C143" s="264"/>
      <c r="D143" s="574"/>
      <c r="AC143" s="450"/>
      <c r="AD143" s="450"/>
      <c r="AE143" s="450"/>
      <c r="AF143" s="450"/>
      <c r="AG143" s="267"/>
      <c r="AH143" s="267"/>
      <c r="AI143" s="268"/>
      <c r="AJ143" s="269"/>
      <c r="AK143" s="269"/>
      <c r="AL143" s="269"/>
      <c r="AM143" s="270"/>
      <c r="AN143" s="271"/>
      <c r="AO143" s="272"/>
    </row>
    <row r="144" spans="1:41" s="273" customFormat="1">
      <c r="A144" s="575"/>
      <c r="C144" s="264"/>
      <c r="D144" s="574"/>
      <c r="AC144" s="450"/>
      <c r="AD144" s="450"/>
      <c r="AE144" s="450"/>
      <c r="AF144" s="450"/>
      <c r="AG144" s="267"/>
      <c r="AH144" s="267"/>
      <c r="AI144" s="268"/>
      <c r="AJ144" s="269"/>
      <c r="AK144" s="269"/>
      <c r="AL144" s="269"/>
      <c r="AM144" s="270"/>
      <c r="AN144" s="271"/>
      <c r="AO144" s="272"/>
    </row>
    <row r="145" spans="1:41" s="273" customFormat="1">
      <c r="A145" s="575"/>
      <c r="C145" s="264"/>
      <c r="D145" s="574"/>
      <c r="AC145" s="450"/>
      <c r="AD145" s="450"/>
      <c r="AE145" s="450"/>
      <c r="AF145" s="450"/>
      <c r="AG145" s="267"/>
      <c r="AH145" s="267"/>
      <c r="AI145" s="268"/>
      <c r="AJ145" s="269"/>
      <c r="AK145" s="269"/>
      <c r="AL145" s="269"/>
      <c r="AM145" s="270"/>
      <c r="AN145" s="271"/>
      <c r="AO145" s="272"/>
    </row>
    <row r="146" spans="1:41" s="273" customFormat="1">
      <c r="A146" s="575"/>
      <c r="C146" s="264"/>
      <c r="D146" s="574"/>
      <c r="AC146" s="450"/>
      <c r="AD146" s="450"/>
      <c r="AE146" s="450"/>
      <c r="AF146" s="450"/>
      <c r="AG146" s="267"/>
      <c r="AH146" s="267"/>
      <c r="AI146" s="268"/>
      <c r="AJ146" s="269"/>
      <c r="AK146" s="269"/>
      <c r="AL146" s="269"/>
      <c r="AM146" s="270"/>
      <c r="AN146" s="271"/>
      <c r="AO146" s="272"/>
    </row>
    <row r="147" spans="1:41" s="273" customFormat="1">
      <c r="A147" s="575"/>
      <c r="C147" s="264"/>
      <c r="D147" s="574"/>
      <c r="AC147" s="450"/>
      <c r="AD147" s="450"/>
      <c r="AE147" s="450"/>
      <c r="AF147" s="450"/>
      <c r="AG147" s="267"/>
      <c r="AH147" s="267"/>
      <c r="AI147" s="268"/>
      <c r="AJ147" s="269"/>
      <c r="AK147" s="269"/>
      <c r="AL147" s="269"/>
      <c r="AM147" s="270"/>
      <c r="AN147" s="271"/>
      <c r="AO147" s="272"/>
    </row>
    <row r="148" spans="1:41" s="273" customFormat="1">
      <c r="A148" s="575"/>
      <c r="C148" s="264"/>
      <c r="D148" s="574"/>
      <c r="O148" s="263"/>
      <c r="P148" s="263"/>
      <c r="Q148" s="263"/>
      <c r="R148" s="263"/>
      <c r="S148" s="263"/>
      <c r="V148" s="263"/>
      <c r="AC148" s="450"/>
      <c r="AD148" s="450"/>
      <c r="AE148" s="450"/>
      <c r="AF148" s="450"/>
      <c r="AG148" s="267"/>
      <c r="AH148" s="267"/>
      <c r="AI148" s="268"/>
      <c r="AJ148" s="269"/>
      <c r="AK148" s="269"/>
      <c r="AL148" s="269"/>
      <c r="AM148" s="270"/>
      <c r="AN148" s="271"/>
      <c r="AO148" s="272"/>
    </row>
    <row r="149" spans="1:41" s="273" customFormat="1">
      <c r="A149" s="575"/>
      <c r="C149" s="264"/>
      <c r="D149" s="574"/>
      <c r="E149" s="267"/>
      <c r="F149" s="263"/>
      <c r="G149" s="263"/>
      <c r="H149" s="263"/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AC149" s="450"/>
      <c r="AD149" s="450"/>
      <c r="AE149" s="450"/>
      <c r="AF149" s="450"/>
      <c r="AG149" s="267"/>
      <c r="AH149" s="267"/>
      <c r="AI149" s="268"/>
      <c r="AJ149" s="269"/>
      <c r="AK149" s="269"/>
      <c r="AL149" s="269"/>
      <c r="AM149" s="270"/>
      <c r="AN149" s="271"/>
      <c r="AO149" s="272"/>
    </row>
    <row r="150" spans="1:41">
      <c r="D150" s="576"/>
      <c r="E150" s="267"/>
    </row>
    <row r="151" spans="1:41">
      <c r="D151" s="576"/>
    </row>
  </sheetData>
  <sheetProtection selectLockedCells="1"/>
  <mergeCells count="12">
    <mergeCell ref="AF4:AI4"/>
    <mergeCell ref="AH52:AI53"/>
    <mergeCell ref="J78:K78"/>
    <mergeCell ref="D1:AD2"/>
    <mergeCell ref="D4:D5"/>
    <mergeCell ref="E4:H4"/>
    <mergeCell ref="I4:L4"/>
    <mergeCell ref="M4:P4"/>
    <mergeCell ref="Q4:S4"/>
    <mergeCell ref="U4:W4"/>
    <mergeCell ref="X4:AA4"/>
    <mergeCell ref="AB4:AE4"/>
  </mergeCells>
  <conditionalFormatting sqref="E6:G17 I6:K17 M6:O17 AF6:AH17">
    <cfRule type="containsBlanks" dxfId="4" priority="2">
      <formula>LEN(TRIM(E6))=0</formula>
    </cfRule>
  </conditionalFormatting>
  <conditionalFormatting sqref="T6:Z17">
    <cfRule type="containsBlanks" dxfId="3" priority="1">
      <formula>LEN(TRIM(T6))=0</formula>
    </cfRule>
  </conditionalFormatting>
  <dataValidations count="1">
    <dataValidation type="list" allowBlank="1" showInputMessage="1" showErrorMessage="1" sqref="AG52:AH52">
      <formula1>$B$89:$B$93</formula1>
    </dataValidation>
  </dataValidations>
  <pageMargins left="0" right="0" top="0.75" bottom="0" header="0.3" footer="0"/>
  <pageSetup paperSize="9" scale="2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66"/>
  </sheetPr>
  <dimension ref="A3:R63"/>
  <sheetViews>
    <sheetView showGridLines="0" topLeftCell="A2" zoomScale="60" zoomScaleNormal="60" workbookViewId="0">
      <pane ySplit="4" topLeftCell="A23" activePane="bottomLeft" state="frozen"/>
      <selection activeCell="O19" sqref="O19"/>
      <selection pane="bottomLeft" activeCell="B3" sqref="B3:R18"/>
    </sheetView>
  </sheetViews>
  <sheetFormatPr defaultRowHeight="14.5"/>
  <cols>
    <col min="2" max="2" width="18.1796875" customWidth="1"/>
    <col min="3" max="8" width="11.81640625" customWidth="1"/>
    <col min="9" max="9" width="12.453125" bestFit="1" customWidth="1"/>
    <col min="10" max="12" width="11.81640625" customWidth="1"/>
    <col min="13" max="13" width="11.81640625" style="679" customWidth="1"/>
    <col min="14" max="14" width="11.81640625" customWidth="1"/>
    <col min="15" max="15" width="13" bestFit="1" customWidth="1"/>
    <col min="16" max="18" width="11.81640625" customWidth="1"/>
  </cols>
  <sheetData>
    <row r="3" spans="1:18" s="593" customFormat="1" ht="20.399999999999999" customHeight="1">
      <c r="A3" s="577">
        <v>30</v>
      </c>
      <c r="B3" s="578">
        <f>+Dashboard!E5</f>
        <v>46272.439641550925</v>
      </c>
      <c r="C3" s="579" t="s">
        <v>40</v>
      </c>
      <c r="D3" s="580"/>
      <c r="E3" s="581"/>
      <c r="F3" s="579" t="s">
        <v>124</v>
      </c>
      <c r="G3" s="582"/>
      <c r="H3" s="583" t="s">
        <v>9</v>
      </c>
      <c r="I3" s="584"/>
      <c r="J3" s="585"/>
      <c r="K3" s="586" t="s">
        <v>124</v>
      </c>
      <c r="L3" s="587"/>
      <c r="M3" s="588" t="s">
        <v>41</v>
      </c>
      <c r="N3" s="589"/>
      <c r="O3" s="589"/>
      <c r="P3" s="590" t="s">
        <v>124</v>
      </c>
      <c r="Q3" s="591"/>
      <c r="R3" s="592" t="s">
        <v>125</v>
      </c>
    </row>
    <row r="4" spans="1:18" s="593" customFormat="1" ht="20.399999999999999" customHeight="1">
      <c r="A4" s="594" t="str">
        <f>TEXT(B3,"mmm")</f>
        <v>Sep</v>
      </c>
      <c r="B4" s="595"/>
      <c r="C4" s="596" t="s">
        <v>126</v>
      </c>
      <c r="D4" s="596" t="s">
        <v>53</v>
      </c>
      <c r="E4" s="596" t="s">
        <v>4</v>
      </c>
      <c r="F4" s="596" t="s">
        <v>127</v>
      </c>
      <c r="G4" s="597" t="s">
        <v>128</v>
      </c>
      <c r="H4" s="598" t="s">
        <v>126</v>
      </c>
      <c r="I4" s="599" t="s">
        <v>53</v>
      </c>
      <c r="J4" s="599" t="s">
        <v>4</v>
      </c>
      <c r="K4" s="599" t="s">
        <v>127</v>
      </c>
      <c r="L4" s="600" t="s">
        <v>128</v>
      </c>
      <c r="M4" s="601" t="s">
        <v>126</v>
      </c>
      <c r="N4" s="602" t="s">
        <v>53</v>
      </c>
      <c r="O4" s="603" t="s">
        <v>4</v>
      </c>
      <c r="P4" s="602" t="s">
        <v>127</v>
      </c>
      <c r="Q4" s="602" t="s">
        <v>128</v>
      </c>
      <c r="R4" s="604"/>
    </row>
    <row r="5" spans="1:18" ht="3" customHeight="1">
      <c r="B5" s="605"/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</row>
    <row r="6" spans="1:18" s="593" customFormat="1" ht="20.399999999999999" customHeight="1">
      <c r="B6" s="606" t="s">
        <v>129</v>
      </c>
      <c r="C6" s="607">
        <f>SUM(C7:C9)</f>
        <v>214333.33333333334</v>
      </c>
      <c r="D6" s="608">
        <f>SUM(D7:D9)</f>
        <v>228436.33333333331</v>
      </c>
      <c r="E6" s="609">
        <f>SUM(E7:E9)</f>
        <v>203440</v>
      </c>
      <c r="F6" s="610">
        <f>+E6/C6</f>
        <v>0.94917573872472782</v>
      </c>
      <c r="G6" s="611">
        <f>+E6/D6</f>
        <v>0.89057636774068349</v>
      </c>
      <c r="H6" s="607">
        <f>SUM(H7:H9)</f>
        <v>1500333.3333333335</v>
      </c>
      <c r="I6" s="608">
        <f>SUM(I7:I9)</f>
        <v>1599054.333333333</v>
      </c>
      <c r="J6" s="609">
        <f>SUM(J7:J9)</f>
        <v>1608219.5</v>
      </c>
      <c r="K6" s="610">
        <f>+J6/H6</f>
        <v>1.0719081315263275</v>
      </c>
      <c r="L6" s="611">
        <f>+J6/I6</f>
        <v>1.0057316167910078</v>
      </c>
      <c r="M6" s="607">
        <f>SUM(M7:M9)</f>
        <v>50850333.333333395</v>
      </c>
      <c r="N6" s="608">
        <f>SUM(N7:N9)</f>
        <v>50916598.72513333</v>
      </c>
      <c r="O6" s="609">
        <f>SUM(O7:O9)</f>
        <v>50925763.891800001</v>
      </c>
      <c r="P6" s="610">
        <f>+O6/M6</f>
        <v>1.0014833837562509</v>
      </c>
      <c r="Q6" s="610">
        <f>+O6/N6</f>
        <v>1.0001800035135133</v>
      </c>
      <c r="R6" s="612"/>
    </row>
    <row r="7" spans="1:18" s="593" customFormat="1" ht="20.399999999999999" hidden="1" customHeight="1">
      <c r="B7" s="613"/>
      <c r="C7" s="614">
        <f>VLOOKUP($B$3,todate_plan,28,1)</f>
        <v>0</v>
      </c>
      <c r="D7" s="615">
        <f>C37/$A$3</f>
        <v>0</v>
      </c>
      <c r="E7" s="616">
        <f>'Summary Sep26'!G75</f>
        <v>0</v>
      </c>
      <c r="F7" s="617">
        <f>IFERROR(E7/C7,0)</f>
        <v>0</v>
      </c>
      <c r="G7" s="617">
        <f>IFERROR(E7/D7,0)</f>
        <v>0</v>
      </c>
      <c r="H7" s="614">
        <f>HLOOKUP($A$4,budget_plan,4,0)/$A$3*'Summary Sep26'!$C$52</f>
        <v>0</v>
      </c>
      <c r="I7" s="615">
        <f>+C37/$A$3*'Summary Sep26'!$C$52</f>
        <v>0</v>
      </c>
      <c r="J7" s="616">
        <f>'Summary Sep26'!E50</f>
        <v>0</v>
      </c>
      <c r="K7" s="618">
        <f>IFERROR(J7/H7,0)</f>
        <v>0</v>
      </c>
      <c r="L7" s="617">
        <f>IFERROR(J7/I7,0)</f>
        <v>0</v>
      </c>
      <c r="M7" s="614">
        <f>VLOOKUP(B3,todate_plan,29,1)</f>
        <v>0</v>
      </c>
      <c r="N7" s="615">
        <f>SUM('Summary Sep26'!E6:E17)+I7</f>
        <v>0</v>
      </c>
      <c r="O7" s="616">
        <f>'Summary Sep26'!K75</f>
        <v>0</v>
      </c>
      <c r="P7" s="618">
        <f>IFERROR(O7/M7,0)</f>
        <v>0</v>
      </c>
      <c r="Q7" s="618">
        <f>IFERROR(O7/N7,0)</f>
        <v>0</v>
      </c>
      <c r="R7" s="612"/>
    </row>
    <row r="8" spans="1:18" s="593" customFormat="1" ht="20.399999999999999" customHeight="1">
      <c r="B8" s="619" t="s">
        <v>79</v>
      </c>
      <c r="C8" s="620">
        <f>VLOOKUP($B$3,todate_plan,30,1)</f>
        <v>164333.33333333334</v>
      </c>
      <c r="D8" s="621">
        <f>C38/$A$3</f>
        <v>170081.66666666666</v>
      </c>
      <c r="E8" s="622">
        <f>'Summary Sep26'!G76</f>
        <v>150381</v>
      </c>
      <c r="F8" s="623">
        <f>+E8/C8</f>
        <v>0.91509736308316425</v>
      </c>
      <c r="G8" s="624">
        <f>+E8/D8</f>
        <v>0.88416936961655679</v>
      </c>
      <c r="H8" s="620">
        <f>HLOOKUP($A$4,budget_plan,5,0)/$A$3*'Summary Sep26'!$C$52</f>
        <v>1150333.3333333335</v>
      </c>
      <c r="I8" s="621">
        <f>+C38/$A$3*'Summary Sep26'!$C$52</f>
        <v>1190571.6666666665</v>
      </c>
      <c r="J8" s="622">
        <f>'Summary Sep26'!F50</f>
        <v>1184074.5</v>
      </c>
      <c r="K8" s="623">
        <f>+J8/H8</f>
        <v>1.0293316430020283</v>
      </c>
      <c r="L8" s="624">
        <f>+J8/I8</f>
        <v>0.99454281766602326</v>
      </c>
      <c r="M8" s="620">
        <f>VLOOKUP(B3,todate_plan,31,1)</f>
        <v>37900333.333333373</v>
      </c>
      <c r="N8" s="621">
        <f>SUM('Summary Sep26'!F6:F17)+'To Date Summary'!I8</f>
        <v>37617949.176466666</v>
      </c>
      <c r="O8" s="622">
        <f>'Summary Sep26'!K76</f>
        <v>37611452.009800002</v>
      </c>
      <c r="P8" s="623">
        <f>+O8/M8</f>
        <v>0.99237786852710075</v>
      </c>
      <c r="Q8" s="623">
        <f>+O8/N8</f>
        <v>0.99982728546321897</v>
      </c>
      <c r="R8" s="625"/>
    </row>
    <row r="9" spans="1:18" s="593" customFormat="1" ht="20" customHeight="1">
      <c r="B9" s="626" t="s">
        <v>80</v>
      </c>
      <c r="C9" s="627">
        <f>VLOOKUP($B$3,todate_plan,32,1)</f>
        <v>50000</v>
      </c>
      <c r="D9" s="628">
        <f>C39/$A$3</f>
        <v>58354.666666666664</v>
      </c>
      <c r="E9" s="629">
        <f>'Summary Sep26'!G77</f>
        <v>53059</v>
      </c>
      <c r="F9" s="630">
        <f>+E9/C9</f>
        <v>1.06118</v>
      </c>
      <c r="G9" s="631">
        <f>IFERROR(E9/D9,0)</f>
        <v>0.90925033130740762</v>
      </c>
      <c r="H9" s="627">
        <f>HLOOKUP($A$4,budget_plan,6,0)/$A$3*'Summary Sep26'!$C$52</f>
        <v>350000</v>
      </c>
      <c r="I9" s="628">
        <f>+C39/$A$3*'Summary Sep26'!$C$52</f>
        <v>408482.66666666663</v>
      </c>
      <c r="J9" s="629">
        <f>'Summary Sep26'!G50</f>
        <v>424145</v>
      </c>
      <c r="K9" s="630">
        <f>+J9/H9</f>
        <v>1.2118428571428572</v>
      </c>
      <c r="L9" s="631">
        <f>IFERROR(J9/I9,0)</f>
        <v>1.0383427122162672</v>
      </c>
      <c r="M9" s="627">
        <f>VLOOKUP(B3,todate_plan,33,1)</f>
        <v>12950000.000000022</v>
      </c>
      <c r="N9" s="628">
        <f>SUM('Summary Sep26'!G6:G17)+'To Date Summary'!I9</f>
        <v>13298649.548666665</v>
      </c>
      <c r="O9" s="629">
        <f>'Summary Sep26'!K77</f>
        <v>13314311.881999999</v>
      </c>
      <c r="P9" s="630">
        <f>+O9/M9</f>
        <v>1.0281321916602297</v>
      </c>
      <c r="Q9" s="630">
        <f>+O9/N9</f>
        <v>1.0011777386324843</v>
      </c>
      <c r="R9" s="632"/>
    </row>
    <row r="10" spans="1:18" ht="3" customHeight="1">
      <c r="B10" s="605"/>
      <c r="C10" s="633"/>
      <c r="D10" s="633"/>
      <c r="E10" s="634"/>
      <c r="F10" s="635"/>
      <c r="G10" s="635"/>
      <c r="H10" s="633"/>
      <c r="I10" s="633"/>
      <c r="J10" s="634"/>
      <c r="K10" s="635"/>
      <c r="L10" s="635"/>
      <c r="M10" s="634"/>
      <c r="N10" s="636"/>
      <c r="O10" s="637"/>
      <c r="P10" s="638"/>
      <c r="Q10" s="639"/>
      <c r="R10" s="640"/>
    </row>
    <row r="11" spans="1:18" s="593" customFormat="1" ht="20.399999999999999" customHeight="1">
      <c r="B11" s="606" t="s">
        <v>130</v>
      </c>
      <c r="C11" s="607">
        <f>SUM(C12:C14)</f>
        <v>22500</v>
      </c>
      <c r="D11" s="608">
        <f>SUM(D12:D14)</f>
        <v>26233.333333333332</v>
      </c>
      <c r="E11" s="609">
        <f>SUM(E12:E14)</f>
        <v>22160.839999999997</v>
      </c>
      <c r="F11" s="610">
        <f>+E11/C11</f>
        <v>0.98492622222222204</v>
      </c>
      <c r="G11" s="611">
        <f>+E11/D11</f>
        <v>0.84475883100381188</v>
      </c>
      <c r="H11" s="607">
        <f>SUM(H12:H14)</f>
        <v>157500</v>
      </c>
      <c r="I11" s="608">
        <f>SUM(I12:I14)</f>
        <v>183633.33333333331</v>
      </c>
      <c r="J11" s="609">
        <f>SUM(J12:J14)</f>
        <v>174095.21999999997</v>
      </c>
      <c r="K11" s="610">
        <f>+J11/H11</f>
        <v>1.105366476190476</v>
      </c>
      <c r="L11" s="611">
        <f>+J11/I11</f>
        <v>0.94805892176438555</v>
      </c>
      <c r="M11" s="607">
        <f>SUM(M12:M14)</f>
        <v>5521500.0000000102</v>
      </c>
      <c r="N11" s="608">
        <f>SUM(N12:N14)</f>
        <v>5542374.8243333334</v>
      </c>
      <c r="O11" s="609">
        <f>SUM(O12:O14)</f>
        <v>5532836.7110000001</v>
      </c>
      <c r="P11" s="610">
        <f>+O11/M11</f>
        <v>1.0020531940595834</v>
      </c>
      <c r="Q11" s="610">
        <f>+O11/N11</f>
        <v>0.99827905660738481</v>
      </c>
      <c r="R11" s="641"/>
    </row>
    <row r="12" spans="1:18" s="593" customFormat="1" ht="20.399999999999999" hidden="1" customHeight="1">
      <c r="B12" s="613"/>
      <c r="C12" s="614">
        <f>VLOOKUP($B$3,todate_plan,22,1)</f>
        <v>0</v>
      </c>
      <c r="D12" s="615">
        <f>C41/$A$3</f>
        <v>0</v>
      </c>
      <c r="E12" s="616">
        <v>0</v>
      </c>
      <c r="F12" s="618">
        <f>IFERROR(E12/D12,0)</f>
        <v>0</v>
      </c>
      <c r="G12" s="617">
        <f>IFERROR(E12/D12,0)</f>
        <v>0</v>
      </c>
      <c r="H12" s="614">
        <f>HLOOKUP($A$4,budget_plan,8,0)/$A$3*'Summary Sep26'!$C$52</f>
        <v>0</v>
      </c>
      <c r="I12" s="615">
        <f>C41/$A$3*'Summary Sep26'!$C$52</f>
        <v>0</v>
      </c>
      <c r="J12" s="616">
        <f>'Summary Sep26'!M50</f>
        <v>0</v>
      </c>
      <c r="K12" s="618">
        <f>IFERROR(J12/H12,0)</f>
        <v>0</v>
      </c>
      <c r="L12" s="617">
        <f>IFERROR(J12/I12,0)</f>
        <v>0</v>
      </c>
      <c r="M12" s="642">
        <f>VLOOKUP(B3,todate_plan,23,1)</f>
        <v>0</v>
      </c>
      <c r="N12" s="643">
        <f>SUM('Summary Sep26'!M6:M17)+'To Date Summary'!I12</f>
        <v>0</v>
      </c>
      <c r="O12" s="644">
        <f>'Summary Sep26'!K58</f>
        <v>0</v>
      </c>
      <c r="P12" s="645">
        <f>IFERROR(O12/M12,0)</f>
        <v>0</v>
      </c>
      <c r="Q12" s="618">
        <f>IFERROR(O12/N12,0)</f>
        <v>0</v>
      </c>
      <c r="R12" s="612"/>
    </row>
    <row r="13" spans="1:18" s="593" customFormat="1" ht="20" customHeight="1">
      <c r="B13" s="646" t="s">
        <v>79</v>
      </c>
      <c r="C13" s="647">
        <f>VLOOKUP($B$3,todate_plan,24,1)</f>
        <v>17000</v>
      </c>
      <c r="D13" s="648">
        <f>C42/$A$3</f>
        <v>18900</v>
      </c>
      <c r="E13" s="649">
        <f>'Summary Sep26'!G59</f>
        <v>13704.439999999997</v>
      </c>
      <c r="F13" s="650">
        <f>+E13/C13</f>
        <v>0.80614352941176448</v>
      </c>
      <c r="G13" s="651">
        <f>+E13/D13</f>
        <v>0.72510264550264536</v>
      </c>
      <c r="H13" s="647">
        <f>HLOOKUP($A$4,budget_plan,9,0)/$A$3*'Summary Sep26'!$C$52</f>
        <v>119000</v>
      </c>
      <c r="I13" s="648">
        <f>C42/$A$3*'Summary Sep26'!$C$52</f>
        <v>132300</v>
      </c>
      <c r="J13" s="649">
        <f>'Summary Sep26'!N50</f>
        <v>114804.07999999999</v>
      </c>
      <c r="K13" s="650">
        <f>+J13/H13</f>
        <v>0.96474016806722673</v>
      </c>
      <c r="L13" s="651">
        <f>+J13/I13</f>
        <v>0.8677557067271352</v>
      </c>
      <c r="M13" s="647">
        <f>VLOOKUP(B3,todate_plan,25,1)</f>
        <v>4094000.000000014</v>
      </c>
      <c r="N13" s="648">
        <f>SUM('Summary Sep26'!N6:N17)+'To Date Summary'!I13</f>
        <v>4127790.1390000004</v>
      </c>
      <c r="O13" s="649">
        <f>'Summary Sep26'!K59</f>
        <v>4110294.2190000005</v>
      </c>
      <c r="P13" s="650">
        <f>+O13/M13</f>
        <v>1.003980024181726</v>
      </c>
      <c r="Q13" s="650">
        <f>+O13/N13</f>
        <v>0.99576143180470933</v>
      </c>
      <c r="R13" s="652"/>
    </row>
    <row r="14" spans="1:18" s="593" customFormat="1" ht="20.399999999999999" customHeight="1">
      <c r="B14" s="653" t="s">
        <v>80</v>
      </c>
      <c r="C14" s="654">
        <f>VLOOKUP($B$3,todate_plan,26,1)</f>
        <v>5500</v>
      </c>
      <c r="D14" s="655">
        <f>C43/$A$3</f>
        <v>7333.333333333333</v>
      </c>
      <c r="E14" s="656">
        <f>'Summary Sep26'!G60</f>
        <v>8456.3999999999978</v>
      </c>
      <c r="F14" s="657">
        <f>+E14/C14</f>
        <v>1.5375272727272724</v>
      </c>
      <c r="G14" s="658">
        <f>IFERROR(E14/D14,0)</f>
        <v>1.1531454545454543</v>
      </c>
      <c r="H14" s="654">
        <f>HLOOKUP($A$4,budget_plan,10,0)/$A$3*'Summary Sep26'!$C$52</f>
        <v>38500</v>
      </c>
      <c r="I14" s="655">
        <f>C43/$A$3*'Summary Sep26'!$C$52</f>
        <v>51333.333333333328</v>
      </c>
      <c r="J14" s="656">
        <f>'Summary Sep26'!O50</f>
        <v>59291.14</v>
      </c>
      <c r="K14" s="657">
        <f>+J14/H14</f>
        <v>1.5400296103896103</v>
      </c>
      <c r="L14" s="658">
        <f>IFERROR(J14/I14,0)</f>
        <v>1.1550222077922079</v>
      </c>
      <c r="M14" s="654">
        <f>VLOOKUP(B3,todate_plan,27,1)</f>
        <v>1427499.9999999965</v>
      </c>
      <c r="N14" s="655">
        <f>SUM('Summary Sep26'!O6:O17)+'To Date Summary'!I14</f>
        <v>1414584.6853333332</v>
      </c>
      <c r="O14" s="656">
        <f>'Summary Sep26'!K60</f>
        <v>1422542.4919999999</v>
      </c>
      <c r="P14" s="657">
        <f>+O14/M14</f>
        <v>0.99652713975481844</v>
      </c>
      <c r="Q14" s="657">
        <f>+O14/N14</f>
        <v>1.0056255427823972</v>
      </c>
      <c r="R14" s="659"/>
    </row>
    <row r="15" spans="1:18" ht="3" customHeight="1">
      <c r="B15" s="605"/>
      <c r="C15" s="633"/>
      <c r="D15" s="633"/>
      <c r="E15" s="634"/>
      <c r="F15" s="635"/>
      <c r="G15" s="635"/>
      <c r="H15" s="633"/>
      <c r="I15" s="633"/>
      <c r="J15" s="634"/>
      <c r="K15" s="635"/>
      <c r="L15" s="635"/>
      <c r="M15" s="634"/>
      <c r="N15" s="636"/>
      <c r="O15" s="637"/>
      <c r="P15" s="638"/>
      <c r="Q15" s="639"/>
      <c r="R15" s="640"/>
    </row>
    <row r="16" spans="1:18" s="593" customFormat="1" ht="20.399999999999999" customHeight="1">
      <c r="B16" s="606" t="s">
        <v>131</v>
      </c>
      <c r="C16" s="607">
        <f>SUM(C17:C18)</f>
        <v>37596.666666666664</v>
      </c>
      <c r="D16" s="608">
        <f>SUM(D17:D18)</f>
        <v>44200</v>
      </c>
      <c r="E16" s="609">
        <f>SUM(E17:E18)</f>
        <v>43553</v>
      </c>
      <c r="F16" s="610">
        <f>+E16/C16</f>
        <v>1.1584271655288589</v>
      </c>
      <c r="G16" s="611">
        <f>+E16/D16</f>
        <v>0.98536199095022625</v>
      </c>
      <c r="H16" s="607">
        <f>SUM(H17:H18)</f>
        <v>263176.66666666663</v>
      </c>
      <c r="I16" s="608">
        <f>SUM(I17:I18)</f>
        <v>309400</v>
      </c>
      <c r="J16" s="609">
        <f>SUM(J17:J18)</f>
        <v>317094</v>
      </c>
      <c r="K16" s="610">
        <f>+J16/H16</f>
        <v>1.2048712525173206</v>
      </c>
      <c r="L16" s="611">
        <f>+J16/I16</f>
        <v>1.0248674854557207</v>
      </c>
      <c r="M16" s="607">
        <f>SUM(M17:M18)</f>
        <v>9151676.66666664</v>
      </c>
      <c r="N16" s="608">
        <f>SUM(N17:N18)</f>
        <v>9630466.9169999994</v>
      </c>
      <c r="O16" s="609">
        <f>SUM(O17:O18)</f>
        <v>9638160.9169999994</v>
      </c>
      <c r="P16" s="610">
        <f>+O16/M16</f>
        <v>1.0531579368516473</v>
      </c>
      <c r="Q16" s="610">
        <f>+O16/N16</f>
        <v>1.0007989228420917</v>
      </c>
      <c r="R16" s="641"/>
    </row>
    <row r="17" spans="2:18" s="593" customFormat="1" ht="20" customHeight="1">
      <c r="B17" s="646" t="str">
        <f>+B45</f>
        <v>MPA</v>
      </c>
      <c r="C17" s="647">
        <f>VLOOKUP($B$3,'[1]Db_ Bgt Outpit'!$A$1:$I$366,6,1)</f>
        <v>15283.333333333334</v>
      </c>
      <c r="D17" s="648">
        <f>C45/$A$3</f>
        <v>14700</v>
      </c>
      <c r="E17" s="649">
        <f>'Summary Sep26'!G81</f>
        <v>11448</v>
      </c>
      <c r="F17" s="650">
        <f>+E17/C17</f>
        <v>0.74905125408942197</v>
      </c>
      <c r="G17" s="651">
        <f>+E17/D17</f>
        <v>0.77877551020408164</v>
      </c>
      <c r="H17" s="647">
        <f>HLOOKUP($A$4,'[1]Db_ Bgt Outpit'!$O$3:$AA$8,5,0)/$A$3*'Summary Sep26'!$C$52</f>
        <v>106983.33333333334</v>
      </c>
      <c r="I17" s="648">
        <f>C45/$A$3*'Summary Sep26'!$C$52</f>
        <v>102900</v>
      </c>
      <c r="J17" s="649">
        <f>'Summary Sep26'!K50</f>
        <v>89844</v>
      </c>
      <c r="K17" s="650">
        <f>+J17/H17</f>
        <v>0.83979436049228839</v>
      </c>
      <c r="L17" s="651">
        <f>+J17/I17</f>
        <v>0.87311953352769678</v>
      </c>
      <c r="M17" s="647">
        <f>VLOOKUP(B3,'[1]Db_ Bgt Outpit'!$A$2:$K$366,11,1)</f>
        <v>3435883.3333333279</v>
      </c>
      <c r="N17" s="648">
        <f>SUM('Summary Sep26'!K6:K17)+'To Date Summary'!I17</f>
        <v>2723782.6579999998</v>
      </c>
      <c r="O17" s="649">
        <f>'Summary Sep26'!K81</f>
        <v>2710726.6579999998</v>
      </c>
      <c r="P17" s="650">
        <f>+O17/M17</f>
        <v>0.78894607150999618</v>
      </c>
      <c r="Q17" s="650">
        <f>+O17/N17</f>
        <v>0.99520666600851826</v>
      </c>
      <c r="R17" s="652"/>
    </row>
    <row r="18" spans="2:18" s="593" customFormat="1" ht="20.399999999999999" customHeight="1">
      <c r="B18" s="653" t="str">
        <f>+B46</f>
        <v>TJP</v>
      </c>
      <c r="C18" s="654">
        <f>VLOOKUP($B$3,'[1]Db_ Bgt Outpit'!$A$1:$I$366,2,1)</f>
        <v>22313.333333333332</v>
      </c>
      <c r="D18" s="655">
        <f>C46/$A$3</f>
        <v>29500</v>
      </c>
      <c r="E18" s="656">
        <f>'Summary Sep26'!G80</f>
        <v>32105</v>
      </c>
      <c r="F18" s="657">
        <f>+E18/C18</f>
        <v>1.4388258141619361</v>
      </c>
      <c r="G18" s="658">
        <f>IFERROR(E18/D18,0)</f>
        <v>1.0883050847457627</v>
      </c>
      <c r="H18" s="654">
        <f>HLOOKUP($A$4,'[1]Db_ Bgt Outpit'!$O$3:$AA$8,6,0)/$A$3*'Summary Sep26'!$C$52</f>
        <v>156193.33333333331</v>
      </c>
      <c r="I18" s="655">
        <f>C46/$A$3*'Summary Sep26'!$C$52</f>
        <v>206500</v>
      </c>
      <c r="J18" s="656">
        <f>'Summary Sep26'!J50</f>
        <v>227250</v>
      </c>
      <c r="K18" s="657">
        <f>+J18/H18</f>
        <v>1.4549276537624314</v>
      </c>
      <c r="L18" s="658">
        <f>IFERROR(J18/I18,0)</f>
        <v>1.1004842615012107</v>
      </c>
      <c r="M18" s="654">
        <f>VLOOKUP(B3,'[1]Db_ Bgt Outpit'!$A$2:$K$366,10,1)</f>
        <v>5715793.3333333125</v>
      </c>
      <c r="N18" s="655">
        <f>SUM('Summary Sep26'!J6:J17)+'To Date Summary'!I18</f>
        <v>6906684.2589999996</v>
      </c>
      <c r="O18" s="656">
        <f>'Summary Sep26'!K80</f>
        <v>6927434.2589999996</v>
      </c>
      <c r="P18" s="657">
        <f>+O18/M18</f>
        <v>1.2119812342760279</v>
      </c>
      <c r="Q18" s="657">
        <f>+O18/N18</f>
        <v>1.0030043359768417</v>
      </c>
      <c r="R18" s="659"/>
    </row>
    <row r="19" spans="2:18" s="593" customFormat="1">
      <c r="B19" s="660"/>
      <c r="C19" s="661"/>
      <c r="D19" s="661"/>
      <c r="E19" s="662"/>
      <c r="F19" s="663"/>
      <c r="G19" s="663"/>
      <c r="H19" s="661"/>
      <c r="I19" s="661"/>
      <c r="J19" s="662"/>
      <c r="K19" s="663"/>
      <c r="L19" s="663"/>
      <c r="M19" s="661"/>
      <c r="N19" s="661"/>
      <c r="O19" s="662"/>
      <c r="P19" s="663"/>
      <c r="Q19" s="663"/>
      <c r="R19" s="664"/>
    </row>
    <row r="21" spans="2:18" s="593" customFormat="1" ht="20.399999999999999" customHeight="1">
      <c r="B21" s="665" t="s">
        <v>132</v>
      </c>
      <c r="C21" s="607">
        <f>SUMPRODUCT($C$8:$C$9,C23:C24)/SUM($C$8:$C$9)</f>
        <v>3591.8741722874765</v>
      </c>
      <c r="D21" s="608">
        <f>SUMPRODUCT($D$8:$D$9,D23:D24)/SUM($D$8:$D$9)</f>
        <v>3106.5171309584434</v>
      </c>
      <c r="E21" s="609">
        <f>IFERROR(SUMPRODUCT($E$8:$E$9,E23:E24)/SUM($E$8:$E$9),0)</f>
        <v>3020.4656847424303</v>
      </c>
      <c r="F21" s="666">
        <f>E21-C21</f>
        <v>-571.40848754504623</v>
      </c>
      <c r="G21" s="667">
        <f>E21-D21</f>
        <v>-86.051446216013119</v>
      </c>
      <c r="H21" s="607">
        <f>SUMPRODUCT($H$8:$H$9,H23:H24)/SUM($H$8:$H$9)</f>
        <v>3468.2737169517882</v>
      </c>
      <c r="I21" s="608">
        <f>SUMPRODUCT($I$8:$I$9,I23:I24)/SUM($I$8:$I$9)</f>
        <v>3106.5171309584439</v>
      </c>
      <c r="J21" s="609">
        <f ca="1">SUMPRODUCT($J$8:$J$9,J23:J24)/SUM($J$8:$J$9)</f>
        <v>2973.6608529541522</v>
      </c>
      <c r="K21" s="666">
        <f ca="1">J21-H21</f>
        <v>-494.61286399763594</v>
      </c>
      <c r="L21" s="667">
        <f ca="1">J21-I21</f>
        <v>-132.85627800429165</v>
      </c>
      <c r="M21" s="607">
        <f ca="1">SUMPRODUCT($M$8:$M$9,M23:M24)/SUM($M$8:$M$9)</f>
        <v>3635.7887684074203</v>
      </c>
      <c r="N21" s="608">
        <f ca="1">SUMPRODUCT($N$8:$N$9,N23:N24)/SUM($N$8:$N$9)</f>
        <v>3042.6020727664954</v>
      </c>
      <c r="O21" s="609">
        <f ca="1">SUMPRODUCT($O$8:$O$9,O23:O24)/SUM($O$8:$O$9)</f>
        <v>2950.1344326172002</v>
      </c>
      <c r="P21" s="666">
        <f ca="1">O21-M21</f>
        <v>-685.6543357902201</v>
      </c>
      <c r="Q21" s="666">
        <f ca="1">O21-N21</f>
        <v>-92.467640149295221</v>
      </c>
      <c r="R21" s="612"/>
    </row>
    <row r="22" spans="2:18" s="593" customFormat="1" ht="20.399999999999999" hidden="1" customHeight="1">
      <c r="B22" s="613"/>
      <c r="C22" s="614">
        <f>VLOOKUP($B$3,todate_plan,28,1)</f>
        <v>0</v>
      </c>
      <c r="D22" s="615">
        <f>IFERROR(C49/$A$3,0)</f>
        <v>0</v>
      </c>
      <c r="E22" s="616">
        <f>'Summary Sep26'!G85</f>
        <v>0</v>
      </c>
      <c r="F22" s="668">
        <f>E22-C22</f>
        <v>0</v>
      </c>
      <c r="G22" s="668">
        <f>E22-D22</f>
        <v>0</v>
      </c>
      <c r="H22" s="614">
        <f>HLOOKUP($A$4,budget_plan,4,0)/$A$3*'Summary Sep26'!$C$52</f>
        <v>0</v>
      </c>
      <c r="I22" s="615">
        <f>IFERROR(C49/$A$3*'Summary Sep26'!$C$52,0)</f>
        <v>0</v>
      </c>
      <c r="J22" s="616">
        <f>'Summary Sep26'!E60</f>
        <v>0</v>
      </c>
      <c r="K22" s="669">
        <f>J22-H22</f>
        <v>0</v>
      </c>
      <c r="L22" s="668">
        <f>J22-I22</f>
        <v>0</v>
      </c>
      <c r="M22" s="614">
        <f>IFERROR(VLOOKUP(B13,todate_plan,29,1),0)</f>
        <v>0</v>
      </c>
      <c r="N22" s="615">
        <f>SUM('Summary Sep26'!E16:E27)+I22</f>
        <v>0</v>
      </c>
      <c r="O22" s="616">
        <f>'Summary Sep26'!K85</f>
        <v>0</v>
      </c>
      <c r="P22" s="669">
        <f>O22-M22</f>
        <v>0</v>
      </c>
      <c r="Q22" s="669">
        <f>O22-N22</f>
        <v>0</v>
      </c>
      <c r="R22" s="612"/>
    </row>
    <row r="23" spans="2:18" s="593" customFormat="1" ht="20.399999999999999" customHeight="1">
      <c r="B23" s="619" t="s">
        <v>79</v>
      </c>
      <c r="C23" s="620">
        <f>+'[1]base ob inpit'!AN104</f>
        <v>3637.3737373737449</v>
      </c>
      <c r="D23" s="621">
        <f>+F38</f>
        <v>3126.8000176385854</v>
      </c>
      <c r="E23" s="622">
        <f>VLOOKUP($B$3,'[1]base ob inpit'!$AB$99:$AD$129,2,TRUE)</f>
        <v>3158.9720000000002</v>
      </c>
      <c r="F23" s="670">
        <f>E23-C23</f>
        <v>-478.40173737374471</v>
      </c>
      <c r="G23" s="671">
        <f>E23-D23</f>
        <v>32.171982361414848</v>
      </c>
      <c r="H23" s="620">
        <f>+'[1]base ob inpit'!AN112</f>
        <v>3549.8985801217036</v>
      </c>
      <c r="I23" s="621">
        <f>+'[1]base ob inpit'!AT112</f>
        <v>3126.8000176385854</v>
      </c>
      <c r="J23" s="622">
        <f ca="1">+'[1]base ob inpit'!Y134</f>
        <v>3112.8388313898317</v>
      </c>
      <c r="K23" s="670">
        <f ca="1">J23-H23</f>
        <v>-437.05974873187188</v>
      </c>
      <c r="L23" s="671">
        <f ca="1">J23-I23</f>
        <v>-13.96118624875362</v>
      </c>
      <c r="M23" s="620">
        <f ca="1">+'[1]base ob inpit'!AN113</f>
        <v>3855.2600564279032</v>
      </c>
      <c r="N23" s="621">
        <f ca="1">+'[1]base ob inpit'!AT113</f>
        <v>3141.4238543317492</v>
      </c>
      <c r="O23" s="622">
        <f ca="1">+'[1]base ob inpit'!AH113</f>
        <v>3080.6237557589193</v>
      </c>
      <c r="P23" s="670">
        <f ca="1">O23-M23</f>
        <v>-774.63630066898395</v>
      </c>
      <c r="Q23" s="670">
        <f ca="1">O23-N23</f>
        <v>-60.800098572829938</v>
      </c>
      <c r="R23" s="625"/>
    </row>
    <row r="24" spans="2:18" s="593" customFormat="1" ht="20.399999999999999" customHeight="1">
      <c r="B24" s="626" t="s">
        <v>80</v>
      </c>
      <c r="C24" s="627">
        <f>+'[1]base ob inpit'!AO104</f>
        <v>3442.3322683706069</v>
      </c>
      <c r="D24" s="628">
        <f>+F39</f>
        <v>3047.400227916648</v>
      </c>
      <c r="E24" s="629">
        <f>VLOOKUP($B$3,'[1]base ob inpit'!$AB$99:$AD$129,3,TRUE)</f>
        <v>2627.9079999999999</v>
      </c>
      <c r="F24" s="672">
        <f>E24-C24</f>
        <v>-814.42426837060702</v>
      </c>
      <c r="G24" s="673">
        <f>E24-D24</f>
        <v>-419.49222791664806</v>
      </c>
      <c r="H24" s="627">
        <f>+'[1]base ob inpit'!AO112</f>
        <v>3200</v>
      </c>
      <c r="I24" s="628">
        <f>+'[1]base ob inpit'!AU112</f>
        <v>3047.400227916648</v>
      </c>
      <c r="J24" s="629">
        <f ca="1">+'[1]base ob inpit'!Z134</f>
        <v>2585.1213317356096</v>
      </c>
      <c r="K24" s="672">
        <f ca="1">J24-H24</f>
        <v>-614.8786682643904</v>
      </c>
      <c r="L24" s="673">
        <f ca="1">J24-I24</f>
        <v>-462.27889618103836</v>
      </c>
      <c r="M24" s="627">
        <f ca="1">+'[1]base ob inpit'!AO113</f>
        <v>2993.4694654674749</v>
      </c>
      <c r="N24" s="628">
        <f ca="1">+'[1]base ob inpit'!AU113</f>
        <v>2763.0644593535371</v>
      </c>
      <c r="O24" s="629">
        <f ca="1">+'[1]base ob inpit'!AI113</f>
        <v>2581.5165905061713</v>
      </c>
      <c r="P24" s="672">
        <f ca="1">O24-M24</f>
        <v>-411.95287496130368</v>
      </c>
      <c r="Q24" s="672">
        <f ca="1">O24-N24</f>
        <v>-181.54786884736586</v>
      </c>
      <c r="R24" s="632"/>
    </row>
    <row r="25" spans="2:18" ht="3" customHeight="1">
      <c r="B25" s="605"/>
      <c r="C25" s="633"/>
      <c r="D25" s="633"/>
      <c r="E25" s="634"/>
      <c r="F25" s="635"/>
      <c r="G25" s="635"/>
      <c r="H25" s="633"/>
      <c r="I25" s="633"/>
      <c r="J25" s="634"/>
      <c r="K25" s="635"/>
      <c r="L25" s="635"/>
      <c r="M25" s="634"/>
      <c r="N25" s="636"/>
      <c r="O25" s="637"/>
      <c r="P25" s="638"/>
      <c r="Q25" s="639"/>
      <c r="R25" s="640"/>
    </row>
    <row r="26" spans="2:18" s="593" customFormat="1" ht="20.399999999999999" customHeight="1">
      <c r="B26" s="665" t="s">
        <v>133</v>
      </c>
      <c r="C26" s="607">
        <f>SUMPRODUCT($C$13:$C$14,C28:C29)/SUM($C$13:$C$14)</f>
        <v>7289.6338146055668</v>
      </c>
      <c r="D26" s="608">
        <f>SUMPRODUCT($D$13:$D$14,D28:D29)/SUM($D$13:$D$14)</f>
        <v>8189.8564167725563</v>
      </c>
      <c r="E26" s="609">
        <f>IFERROR(SUMPRODUCT($E$13:$E$14,E28:E29)/SUM($E$13:$E$14),0)</f>
        <v>7807.9822270762306</v>
      </c>
      <c r="F26" s="666">
        <f>E26-C26</f>
        <v>518.34841247066379</v>
      </c>
      <c r="G26" s="667">
        <f>E26-D26</f>
        <v>-381.87418969632563</v>
      </c>
      <c r="H26" s="607">
        <f>SUMPRODUCT($H$13:$H$14,H28:H29)/SUM($H$13:$H$14)</f>
        <v>7605.5925925925922</v>
      </c>
      <c r="I26" s="608">
        <f>SUMPRODUCT($I$13:$I$14,I28:I29)/SUM($I$13:$I$14)</f>
        <v>8189.8564167725553</v>
      </c>
      <c r="J26" s="609">
        <f ca="1">SUMPRODUCT($J$13:$J$14,J28:J29)/SUM($J$13:$J$14)</f>
        <v>7796.0458343979817</v>
      </c>
      <c r="K26" s="666">
        <f ca="1">J26-H26</f>
        <v>190.45324180538955</v>
      </c>
      <c r="L26" s="667">
        <f ca="1">J26-I26</f>
        <v>-393.81058237457364</v>
      </c>
      <c r="M26" s="607">
        <f ca="1">SUMPRODUCT($M$13:$M$14,M28:M29)/SUM($M$13:$M$14)</f>
        <v>7090.1162761250907</v>
      </c>
      <c r="N26" s="608">
        <f ca="1">SUMPRODUCT($N$13:$N$14,N28:N29)/SUM($N$13:$N$14)</f>
        <v>8870.2516365826432</v>
      </c>
      <c r="O26" s="609">
        <f ca="1">SUMPRODUCT($O$13:$O$14,O28:O29)/SUM($O$13:$O$14)</f>
        <v>9138.6583212840851</v>
      </c>
      <c r="P26" s="666">
        <f ca="1">O26-M26</f>
        <v>2048.5420451589944</v>
      </c>
      <c r="Q26" s="666">
        <f ca="1">O26-N26</f>
        <v>268.40668470144192</v>
      </c>
      <c r="R26" s="641"/>
    </row>
    <row r="27" spans="2:18" s="593" customFormat="1" ht="20.399999999999999" hidden="1" customHeight="1">
      <c r="B27" s="613"/>
      <c r="C27" s="614">
        <f>VLOOKUP($B$3,todate_plan,22,1)</f>
        <v>0</v>
      </c>
      <c r="D27" s="615">
        <f ca="1">C53/$A$3</f>
        <v>0</v>
      </c>
      <c r="E27" s="616">
        <v>0</v>
      </c>
      <c r="F27" s="669">
        <f>E27-C27</f>
        <v>0</v>
      </c>
      <c r="G27" s="668">
        <f ca="1">E27-D27</f>
        <v>0</v>
      </c>
      <c r="H27" s="614">
        <f>HLOOKUP($A$4,budget_plan,8,0)/$A$3*'Summary Sep26'!$C$52</f>
        <v>0</v>
      </c>
      <c r="I27" s="615">
        <f ca="1">C53/$A$3*'Summary Sep26'!$C$52</f>
        <v>0</v>
      </c>
      <c r="J27" s="616">
        <f>'Summary Sep26'!M60</f>
        <v>0</v>
      </c>
      <c r="K27" s="669">
        <f>J27-H27</f>
        <v>0</v>
      </c>
      <c r="L27" s="668">
        <f ca="1">J27-I27</f>
        <v>0</v>
      </c>
      <c r="M27" s="642">
        <f>IFERROR(VLOOKUP(B13,todate_plan,23,1),0)</f>
        <v>0</v>
      </c>
      <c r="N27" s="643">
        <f ca="1">SUM('Summary Sep26'!M16:M27)+'To Date Summary'!I27</f>
        <v>0</v>
      </c>
      <c r="O27" s="644">
        <v>0</v>
      </c>
      <c r="P27" s="674">
        <f>O27-M27</f>
        <v>0</v>
      </c>
      <c r="Q27" s="669">
        <f ca="1">O27-N27</f>
        <v>0</v>
      </c>
      <c r="R27" s="612"/>
    </row>
    <row r="28" spans="2:18" s="593" customFormat="1" ht="20.399999999999999" customHeight="1">
      <c r="B28" s="646" t="s">
        <v>79</v>
      </c>
      <c r="C28" s="647">
        <f>+'[1]base coal'!BG240</f>
        <v>7545.103578154426</v>
      </c>
      <c r="D28" s="648">
        <f>+F42</f>
        <v>8826.6349206349223</v>
      </c>
      <c r="E28" s="649">
        <f>VLOOKUP($B$3,'[1]base coal'!$BN$112:$BQ$142,2,TRUE)</f>
        <v>8726.8070000000007</v>
      </c>
      <c r="F28" s="675">
        <f>E28-C28</f>
        <v>1181.7034218455747</v>
      </c>
      <c r="G28" s="676">
        <f>E28-D28</f>
        <v>-99.827920634921611</v>
      </c>
      <c r="H28" s="647">
        <f>+'[1]base coal'!BG248</f>
        <v>7963.2843137254895</v>
      </c>
      <c r="I28" s="648">
        <f>+'[1]base coal'!BM248</f>
        <v>8826.6349206349223</v>
      </c>
      <c r="J28" s="649">
        <f ca="1">+'[1]base coal'!AS270</f>
        <v>8550.5662188674833</v>
      </c>
      <c r="K28" s="675">
        <f ca="1">J28-H28</f>
        <v>587.28190514199378</v>
      </c>
      <c r="L28" s="676">
        <f ca="1">J28-I28</f>
        <v>-276.06870176743905</v>
      </c>
      <c r="M28" s="647">
        <f ca="1">+'[1]base coal'!BG249</f>
        <v>7201.6061850027363</v>
      </c>
      <c r="N28" s="648">
        <f ca="1">+'[1]base coal'!BM249</f>
        <v>9518.2958620070804</v>
      </c>
      <c r="O28" s="649">
        <f ca="1">+'[1]base coal'!BA249</f>
        <v>9828.620523537802</v>
      </c>
      <c r="P28" s="675">
        <f ca="1">O28-M28</f>
        <v>2627.0143385350657</v>
      </c>
      <c r="Q28" s="675">
        <f ca="1">O28-N28</f>
        <v>310.32466153072164</v>
      </c>
      <c r="R28" s="652"/>
    </row>
    <row r="29" spans="2:18" s="593" customFormat="1" ht="20.399999999999999" customHeight="1">
      <c r="B29" s="653" t="s">
        <v>80</v>
      </c>
      <c r="C29" s="654">
        <f>+'[1]base coal'!BH248</f>
        <v>6500</v>
      </c>
      <c r="D29" s="655">
        <f>+F43</f>
        <v>6548.704545454545</v>
      </c>
      <c r="E29" s="656">
        <f>VLOOKUP($B$3,'[1]base coal'!$BN$112:$BQ$142,3,TRUE)</f>
        <v>6318.9350000000004</v>
      </c>
      <c r="F29" s="677">
        <f>E29-C29</f>
        <v>-181.0649999999996</v>
      </c>
      <c r="G29" s="678">
        <f>E29-D29</f>
        <v>-229.76954545454464</v>
      </c>
      <c r="H29" s="654">
        <f>+'[1]base coal'!BH248</f>
        <v>6500</v>
      </c>
      <c r="I29" s="655">
        <f>+'[1]base coal'!BN248</f>
        <v>6548.704545454545</v>
      </c>
      <c r="J29" s="656">
        <f ca="1">+'[1]base coal'!AT270</f>
        <v>6335.085249388695</v>
      </c>
      <c r="K29" s="677">
        <f ca="1">J29-H29</f>
        <v>-164.91475061130495</v>
      </c>
      <c r="L29" s="678">
        <f ca="1">J29-I29</f>
        <v>-213.61929606584999</v>
      </c>
      <c r="M29" s="654">
        <f ca="1">+'[1]base coal'!BH249</f>
        <v>6770.3686845698676</v>
      </c>
      <c r="N29" s="655">
        <f ca="1">+'[1]base coal'!BN249</f>
        <v>6979.243914614729</v>
      </c>
      <c r="O29" s="656">
        <f ca="1">+'[1]base coal'!BB249</f>
        <v>7145.0815619249897</v>
      </c>
      <c r="P29" s="677">
        <f ca="1">O29-M29</f>
        <v>374.71287735512215</v>
      </c>
      <c r="Q29" s="677">
        <f ca="1">O29-N29</f>
        <v>165.83764731026076</v>
      </c>
      <c r="R29" s="659"/>
    </row>
    <row r="30" spans="2:18" ht="3" customHeight="1">
      <c r="B30" s="605"/>
      <c r="C30" s="633"/>
      <c r="D30" s="633"/>
      <c r="E30" s="634"/>
      <c r="F30" s="635"/>
      <c r="G30" s="635"/>
      <c r="H30" s="633"/>
      <c r="I30" s="633"/>
      <c r="J30" s="634"/>
      <c r="K30" s="635"/>
      <c r="L30" s="635"/>
      <c r="M30" s="634"/>
      <c r="N30" s="636"/>
      <c r="O30" s="637"/>
      <c r="P30" s="638"/>
      <c r="Q30" s="639"/>
      <c r="R30" s="640"/>
    </row>
    <row r="31" spans="2:18" s="593" customFormat="1" ht="20.399999999999999" customHeight="1">
      <c r="B31" s="665" t="s">
        <v>134</v>
      </c>
      <c r="C31" s="607">
        <f>SUMPRODUCT($C$17:$C$18,C32:C33)/SUM($C$17:$C$18)</f>
        <v>4284.5553683837225</v>
      </c>
      <c r="D31" s="608">
        <f>SUMPRODUCT($D$17:$D$18,D32:D33)/SUM($D$17:$D$18)</f>
        <v>4466.7420814479638</v>
      </c>
      <c r="E31" s="609">
        <f>IFERROR(SUMPRODUCT($E$17:$E$18,E32:E33)/SUM($E$17:$E$18),0)</f>
        <v>4904.1948889858331</v>
      </c>
      <c r="F31" s="666">
        <f>E31-C31</f>
        <v>619.63952060211068</v>
      </c>
      <c r="G31" s="667">
        <f>E31-D31</f>
        <v>437.45280753786938</v>
      </c>
      <c r="H31" s="607">
        <f>SUMPRODUCT($H$17:$H$18,H32:H33)/SUM($H$17:$H$18)</f>
        <v>4296.7461654401986</v>
      </c>
      <c r="I31" s="608">
        <f>SUMPRODUCT($I$17:$I$18,I32:I33)/SUM($I$17:$I$18)</f>
        <v>4466.7420814479638</v>
      </c>
      <c r="J31" s="609">
        <f ca="1">SUMPRODUCT($J$17:$J$18,J32:J33)/SUM($J$17:$J$18)</f>
        <v>4906.5984250726915</v>
      </c>
      <c r="K31" s="666">
        <f ca="1">J31-H31</f>
        <v>609.85225963249286</v>
      </c>
      <c r="L31" s="667">
        <f ca="1">J31-I31</f>
        <v>439.85634362472774</v>
      </c>
      <c r="M31" s="607">
        <f ca="1">SUMPRODUCT($M$17:$M$18,M32:M33)/SUM($M$17:$M$18)</f>
        <v>4060.1986746070093</v>
      </c>
      <c r="N31" s="608">
        <f ca="1">SUMPRODUCT($N$17:$N$18,N32:N33)/SUM($N$17:$N$18)</f>
        <v>4300.1440541709735</v>
      </c>
      <c r="O31" s="609">
        <f ca="1">SUMPRODUCT($O$17:$O$18,O32:O33)/SUM($O$17:$O$18)</f>
        <v>4039.1961394597506</v>
      </c>
      <c r="P31" s="666">
        <f ca="1">O31-M31</f>
        <v>-21.002535147258641</v>
      </c>
      <c r="Q31" s="666">
        <f ca="1">O31-N31</f>
        <v>-260.94791471122289</v>
      </c>
      <c r="R31" s="641"/>
    </row>
    <row r="32" spans="2:18" s="593" customFormat="1" ht="20.399999999999999" customHeight="1">
      <c r="B32" s="646" t="str">
        <f>+B17</f>
        <v>MPA</v>
      </c>
      <c r="C32" s="647">
        <f>+'[1]base ob outpit'!AJ103</f>
        <v>4700</v>
      </c>
      <c r="D32" s="648">
        <f>+F45</f>
        <v>4400</v>
      </c>
      <c r="E32" s="649">
        <f>VLOOKUP($B$3,'[1]base ob outpit'!$AC$57:$AF$87,2,TRUE)</f>
        <v>4815</v>
      </c>
      <c r="F32" s="675">
        <f>E32-C32</f>
        <v>115</v>
      </c>
      <c r="G32" s="676">
        <f>E32-D32</f>
        <v>415</v>
      </c>
      <c r="H32" s="647">
        <f>+'[1]base ob outpit'!AJ111</f>
        <v>4000</v>
      </c>
      <c r="I32" s="648">
        <f>+'[1]base ob outpit'!AP111</f>
        <v>4400</v>
      </c>
      <c r="J32" s="649">
        <f ca="1">+'[1]base ob outpit'!AD111</f>
        <v>4851.7770691420683</v>
      </c>
      <c r="K32" s="675">
        <f ca="1">J32-H32</f>
        <v>851.77706914206829</v>
      </c>
      <c r="L32" s="676">
        <f ca="1">J32-I32</f>
        <v>451.77706914206829</v>
      </c>
      <c r="M32" s="647">
        <f ca="1">+'[1]base ob outpit'!AJ112</f>
        <v>4312.6731260377555</v>
      </c>
      <c r="N32" s="648">
        <f ca="1">+'[1]base ob outpit'!AP112</f>
        <v>4378.2666344561858</v>
      </c>
      <c r="O32" s="649">
        <f ca="1">+'[1]base ob outpit'!AD112</f>
        <v>4237.8774474618049</v>
      </c>
      <c r="P32" s="675">
        <f ca="1">O32-M32</f>
        <v>-74.79567857595066</v>
      </c>
      <c r="Q32" s="675">
        <f ca="1">O32-N32</f>
        <v>-140.38918699438091</v>
      </c>
      <c r="R32" s="652"/>
    </row>
    <row r="33" spans="1:18" s="593" customFormat="1" ht="20.399999999999999" customHeight="1">
      <c r="B33" s="653" t="str">
        <f>+B18</f>
        <v>TJP</v>
      </c>
      <c r="C33" s="654">
        <f>+'[1]base ob outpit'!AK103</f>
        <v>4000</v>
      </c>
      <c r="D33" s="655">
        <f>+F46</f>
        <v>4500</v>
      </c>
      <c r="E33" s="656">
        <f>VLOOKUP($B$3,'[1]base ob outpit'!$AC$57:$AF$87,3,TRUE)</f>
        <v>4936</v>
      </c>
      <c r="F33" s="677">
        <f>E33-C33</f>
        <v>936</v>
      </c>
      <c r="G33" s="678">
        <f>E33-D33</f>
        <v>436</v>
      </c>
      <c r="H33" s="654">
        <f>+'[1]base ob outpit'!AK111</f>
        <v>4500</v>
      </c>
      <c r="I33" s="655">
        <f>+'[1]base ob outpit'!AQ111</f>
        <v>4500</v>
      </c>
      <c r="J33" s="656">
        <f ca="1">+'[1]base ob outpit'!AE111</f>
        <v>4928.2722200220023</v>
      </c>
      <c r="K33" s="677">
        <f ca="1">J33-H33</f>
        <v>428.27222002200233</v>
      </c>
      <c r="L33" s="678">
        <f ca="1">J33-I33</f>
        <v>428.27222002200233</v>
      </c>
      <c r="M33" s="654">
        <f ca="1">+'[1]base ob outpit'!AK112</f>
        <v>3908.4309830243806</v>
      </c>
      <c r="N33" s="655">
        <f ca="1">+'[1]base ob outpit'!AQ112</f>
        <v>4269.3349247248452</v>
      </c>
      <c r="O33" s="656">
        <f ca="1">+'[1]base ob outpit'!AE112</f>
        <v>3961.4515232119998</v>
      </c>
      <c r="P33" s="677">
        <f ca="1">O33-M33</f>
        <v>53.02054018761919</v>
      </c>
      <c r="Q33" s="677">
        <f ca="1">O33-N33</f>
        <v>-307.88340151284547</v>
      </c>
      <c r="R33" s="659"/>
    </row>
    <row r="36" spans="1:18" hidden="1"/>
    <row r="37" spans="1:18" hidden="1">
      <c r="A37" t="s">
        <v>129</v>
      </c>
      <c r="B37" s="680" t="s">
        <v>135</v>
      </c>
      <c r="C37" s="681"/>
      <c r="D37" s="680">
        <f>+C37/1000</f>
        <v>0</v>
      </c>
      <c r="G37" s="680"/>
      <c r="J37" s="680"/>
    </row>
    <row r="38" spans="1:18" hidden="1">
      <c r="B38" s="680" t="s">
        <v>79</v>
      </c>
      <c r="C38" s="681">
        <v>5102450</v>
      </c>
      <c r="D38" s="680">
        <f>+C38/1000</f>
        <v>5102.45</v>
      </c>
      <c r="E38" s="682">
        <v>3.1268000176385855</v>
      </c>
      <c r="F38" s="683">
        <f>E38*1000</f>
        <v>3126.8000176385854</v>
      </c>
      <c r="G38" s="680"/>
      <c r="I38" s="684"/>
      <c r="J38" s="680"/>
    </row>
    <row r="39" spans="1:18" hidden="1">
      <c r="B39" s="680" t="s">
        <v>80</v>
      </c>
      <c r="C39" s="681">
        <v>1750640</v>
      </c>
      <c r="D39" s="680">
        <f>+C39/1000</f>
        <v>1750.64</v>
      </c>
      <c r="E39" s="685">
        <v>3.0474002279166479</v>
      </c>
      <c r="F39" s="683">
        <f>E39*1000</f>
        <v>3047.400227916648</v>
      </c>
      <c r="G39" s="680"/>
      <c r="J39" s="680"/>
      <c r="L39" s="684"/>
    </row>
    <row r="40" spans="1:18" hidden="1">
      <c r="E40" s="686"/>
    </row>
    <row r="41" spans="1:18" hidden="1">
      <c r="A41" t="s">
        <v>136</v>
      </c>
      <c r="B41" s="680" t="s">
        <v>135</v>
      </c>
      <c r="C41" s="681"/>
      <c r="D41" s="680">
        <f>SUM(C41:C41)/1000</f>
        <v>0</v>
      </c>
      <c r="E41" s="686"/>
      <c r="G41" s="687" t="e">
        <f>J12/C41</f>
        <v>#DIV/0!</v>
      </c>
      <c r="I41" s="680" t="e">
        <f>C37/C41</f>
        <v>#DIV/0!</v>
      </c>
      <c r="M41" s="688"/>
    </row>
    <row r="42" spans="1:18" hidden="1">
      <c r="B42" s="680" t="s">
        <v>79</v>
      </c>
      <c r="C42" s="681">
        <v>567000</v>
      </c>
      <c r="D42" s="680">
        <f>+C42/1000</f>
        <v>567</v>
      </c>
      <c r="E42" s="685">
        <v>8.8266349206349215</v>
      </c>
      <c r="F42" s="683">
        <f>E42*1000</f>
        <v>8826.6349206349223</v>
      </c>
      <c r="G42" s="687">
        <f>J13/C42</f>
        <v>0.20247633156966488</v>
      </c>
      <c r="I42" s="680">
        <f>C38/C42</f>
        <v>8.9990299823633162</v>
      </c>
      <c r="M42" s="688"/>
    </row>
    <row r="43" spans="1:18" hidden="1">
      <c r="B43" s="680" t="s">
        <v>80</v>
      </c>
      <c r="C43" s="681">
        <v>220000</v>
      </c>
      <c r="D43" s="680">
        <f>+C43/1000</f>
        <v>220</v>
      </c>
      <c r="E43" s="685">
        <v>6.5487045454545454</v>
      </c>
      <c r="F43" s="683">
        <f>E43*1000</f>
        <v>6548.704545454545</v>
      </c>
      <c r="G43" s="687">
        <f>J14/C43</f>
        <v>0.26950518181818184</v>
      </c>
      <c r="I43" s="680">
        <f>C39/C43</f>
        <v>7.9574545454545458</v>
      </c>
      <c r="K43" s="680"/>
      <c r="M43" s="688"/>
    </row>
    <row r="44" spans="1:18" hidden="1">
      <c r="B44" s="680"/>
      <c r="C44" s="681"/>
      <c r="D44" s="680"/>
      <c r="E44" s="689"/>
      <c r="F44" s="683"/>
      <c r="G44" s="687"/>
      <c r="I44" s="680"/>
      <c r="K44" s="680"/>
      <c r="M44" s="688"/>
    </row>
    <row r="45" spans="1:18" hidden="1">
      <c r="A45" t="s">
        <v>137</v>
      </c>
      <c r="B45" s="680" t="s">
        <v>82</v>
      </c>
      <c r="C45" s="690">
        <v>441000</v>
      </c>
      <c r="D45" s="680">
        <f>C45/1000</f>
        <v>441</v>
      </c>
      <c r="E45" s="689">
        <v>4.4000000000000004</v>
      </c>
      <c r="F45" s="683">
        <f>E45*1000</f>
        <v>4400</v>
      </c>
      <c r="G45" s="687"/>
      <c r="I45" s="680"/>
      <c r="M45" s="688"/>
    </row>
    <row r="46" spans="1:18" hidden="1">
      <c r="B46" s="680" t="s">
        <v>81</v>
      </c>
      <c r="C46" s="683">
        <v>885000</v>
      </c>
      <c r="D46" s="689">
        <f>C46/1000</f>
        <v>885</v>
      </c>
      <c r="E46" s="689">
        <v>4.5</v>
      </c>
      <c r="F46" s="683">
        <f>E46*1000</f>
        <v>4500</v>
      </c>
    </row>
    <row r="47" spans="1:18" hidden="1"/>
    <row r="48" spans="1:18" hidden="1">
      <c r="B48" s="691" t="s">
        <v>138</v>
      </c>
      <c r="C48" s="692" t="s">
        <v>79</v>
      </c>
      <c r="D48" s="693"/>
      <c r="E48" s="692" t="s">
        <v>135</v>
      </c>
      <c r="F48" s="693"/>
      <c r="G48" s="692" t="s">
        <v>80</v>
      </c>
      <c r="H48" s="693"/>
      <c r="I48" s="694" t="s">
        <v>139</v>
      </c>
    </row>
    <row r="49" spans="2:17" hidden="1">
      <c r="B49" s="695" t="s">
        <v>140</v>
      </c>
      <c r="C49" s="696" t="s">
        <v>55</v>
      </c>
      <c r="D49" s="696" t="s">
        <v>57</v>
      </c>
      <c r="E49" s="696" t="s">
        <v>55</v>
      </c>
      <c r="F49" s="696" t="s">
        <v>57</v>
      </c>
      <c r="G49" s="696" t="s">
        <v>55</v>
      </c>
      <c r="H49" s="696" t="s">
        <v>57</v>
      </c>
      <c r="I49" s="697"/>
    </row>
    <row r="50" spans="2:17" hidden="1">
      <c r="B50" s="698" t="s">
        <v>141</v>
      </c>
      <c r="C50" s="699">
        <f ca="1">'[1]base coal'!AO184</f>
        <v>70611.680000000008</v>
      </c>
      <c r="D50" s="700">
        <f ca="1">'[1]base coal'!AP184</f>
        <v>44192.399999999994</v>
      </c>
      <c r="E50" s="699">
        <f ca="1">'[1]base coal'!AQ184</f>
        <v>0</v>
      </c>
      <c r="F50" s="700">
        <f ca="1">'[1]base coal'!AR184</f>
        <v>0</v>
      </c>
      <c r="G50" s="699">
        <f ca="1">'[1]base coal'!AS184</f>
        <v>59291.14</v>
      </c>
      <c r="H50" s="700">
        <f ca="1">'[1]base coal'!AT184</f>
        <v>0</v>
      </c>
      <c r="I50" s="700">
        <f ca="1">SUM(C50:H50)</f>
        <v>174095.22</v>
      </c>
      <c r="J50" s="680"/>
    </row>
    <row r="51" spans="2:17" hidden="1">
      <c r="B51" s="701" t="s">
        <v>142</v>
      </c>
      <c r="C51" s="702">
        <f ca="1">'[1]base coal'!AO185</f>
        <v>0</v>
      </c>
      <c r="D51" s="703">
        <f ca="1">'[1]base coal'!AP185</f>
        <v>0</v>
      </c>
      <c r="E51" s="702">
        <f ca="1">'[1]base coal'!AQ185</f>
        <v>0</v>
      </c>
      <c r="F51" s="703">
        <f ca="1">'[1]base coal'!AR185</f>
        <v>0</v>
      </c>
      <c r="G51" s="702">
        <f ca="1">'[1]base coal'!AS185</f>
        <v>0</v>
      </c>
      <c r="H51" s="703">
        <f ca="1">'[1]base coal'!AT185</f>
        <v>0</v>
      </c>
      <c r="I51" s="703">
        <f ca="1">SUM(C51:H51)</f>
        <v>0</v>
      </c>
      <c r="J51" s="680"/>
    </row>
    <row r="52" spans="2:17" hidden="1">
      <c r="B52" s="701" t="s">
        <v>143</v>
      </c>
      <c r="C52" s="702">
        <f ca="1">'[1]base coal'!AO186</f>
        <v>0</v>
      </c>
      <c r="D52" s="703">
        <f ca="1">'[1]base coal'!AP186</f>
        <v>0</v>
      </c>
      <c r="E52" s="702">
        <f ca="1">'[1]base coal'!AQ186</f>
        <v>0</v>
      </c>
      <c r="F52" s="703">
        <f ca="1">'[1]base coal'!AR186</f>
        <v>0</v>
      </c>
      <c r="G52" s="702">
        <f ca="1">'[1]base coal'!AS186</f>
        <v>0</v>
      </c>
      <c r="H52" s="703">
        <f ca="1">'[1]base coal'!AT186</f>
        <v>0</v>
      </c>
      <c r="I52" s="703">
        <f ca="1">SUM(C52:H52)</f>
        <v>0</v>
      </c>
      <c r="J52" s="680"/>
    </row>
    <row r="53" spans="2:17" hidden="1">
      <c r="B53" s="704" t="s">
        <v>144</v>
      </c>
      <c r="C53" s="680">
        <f ca="1">'[1]base coal'!AO187</f>
        <v>0</v>
      </c>
      <c r="D53" s="705">
        <f ca="1">'[1]base coal'!AP187</f>
        <v>0</v>
      </c>
      <c r="E53" s="680">
        <f ca="1">'[1]base coal'!AQ187</f>
        <v>0</v>
      </c>
      <c r="F53" s="705">
        <f ca="1">'[1]base coal'!AR187</f>
        <v>0</v>
      </c>
      <c r="G53" s="680">
        <f ca="1">'[1]base coal'!AS187</f>
        <v>0</v>
      </c>
      <c r="H53" s="705">
        <f ca="1">'[1]base coal'!AT187</f>
        <v>0</v>
      </c>
      <c r="I53" s="705">
        <f ca="1">SUM(C53:H53)</f>
        <v>0</v>
      </c>
      <c r="J53" s="680"/>
    </row>
    <row r="54" spans="2:17" hidden="1">
      <c r="B54" s="706" t="s">
        <v>9</v>
      </c>
      <c r="C54" s="707">
        <f t="shared" ref="C54:H54" ca="1" si="0">SUM(C50:C53)</f>
        <v>70611.680000000008</v>
      </c>
      <c r="D54" s="708">
        <f t="shared" ca="1" si="0"/>
        <v>44192.399999999994</v>
      </c>
      <c r="E54" s="707">
        <f t="shared" ca="1" si="0"/>
        <v>0</v>
      </c>
      <c r="F54" s="708">
        <f t="shared" ca="1" si="0"/>
        <v>0</v>
      </c>
      <c r="G54" s="707">
        <f t="shared" ca="1" si="0"/>
        <v>59291.14</v>
      </c>
      <c r="H54" s="708">
        <f t="shared" ca="1" si="0"/>
        <v>0</v>
      </c>
      <c r="I54" s="709">
        <f ca="1">SUM(C54:H54)</f>
        <v>174095.22</v>
      </c>
      <c r="J54" s="710">
        <f ca="1">I54-SUM(I50:I53)</f>
        <v>0</v>
      </c>
    </row>
    <row r="55" spans="2:17" hidden="1">
      <c r="J55" s="680"/>
    </row>
    <row r="56" spans="2:17" hidden="1">
      <c r="C56" s="683"/>
      <c r="H56" s="684"/>
      <c r="J56" s="687"/>
      <c r="O56" s="684"/>
      <c r="P56" s="684"/>
      <c r="Q56" s="687"/>
    </row>
    <row r="57" spans="2:17" hidden="1">
      <c r="B57" s="711" t="s">
        <v>145</v>
      </c>
      <c r="C57" s="712" t="s">
        <v>146</v>
      </c>
      <c r="D57" s="712" t="s">
        <v>147</v>
      </c>
      <c r="E57" s="712" t="s">
        <v>148</v>
      </c>
      <c r="F57" s="712" t="s">
        <v>149</v>
      </c>
      <c r="G57" s="712" t="s">
        <v>150</v>
      </c>
      <c r="H57" s="712"/>
      <c r="J57" s="687"/>
      <c r="O57" s="684"/>
      <c r="P57" s="684"/>
      <c r="Q57" s="687"/>
    </row>
    <row r="58" spans="2:17" hidden="1">
      <c r="B58" s="713" t="s">
        <v>79</v>
      </c>
      <c r="C58" s="714">
        <f>'[1]base ob inpit'!V47</f>
        <v>3714</v>
      </c>
      <c r="D58" s="714">
        <f>'[1]base ob inpit'!W47</f>
        <v>2441</v>
      </c>
      <c r="E58" s="714">
        <f>'[1]base ob inpit'!X47</f>
        <v>0</v>
      </c>
      <c r="F58" s="714">
        <f>'[1]base ob inpit'!Y47</f>
        <v>0</v>
      </c>
      <c r="G58" s="714">
        <f>'[1]base ob inpit'!Z47</f>
        <v>0</v>
      </c>
      <c r="H58" s="714">
        <f ca="1">ROUND(IFERROR(SUMIF($A$6:$A$5020,$U58&amp;H$68,$S$6:$S$5020)/SUMIF($A$6:$A$5020,$U58&amp;H$68,$O$6:$O$5020),0)*1000,0)</f>
        <v>0</v>
      </c>
      <c r="J58" s="715"/>
      <c r="O58" s="684"/>
      <c r="P58" s="684"/>
      <c r="Q58" s="687"/>
    </row>
    <row r="59" spans="2:17" hidden="1">
      <c r="B59" s="713" t="s">
        <v>135</v>
      </c>
      <c r="C59" s="714"/>
      <c r="D59" s="714"/>
      <c r="E59" s="714"/>
      <c r="F59" s="714"/>
      <c r="G59" s="714"/>
      <c r="H59" s="714"/>
      <c r="I59" s="684"/>
      <c r="J59" s="716"/>
      <c r="P59" s="684"/>
      <c r="Q59" s="687"/>
    </row>
    <row r="60" spans="2:17" ht="15.5" hidden="1">
      <c r="B60" s="713" t="s">
        <v>80</v>
      </c>
      <c r="C60" s="714">
        <f>'[1]base ob inpit'!V49</f>
        <v>0</v>
      </c>
      <c r="D60" s="714">
        <f>'[1]base ob inpit'!W49</f>
        <v>0</v>
      </c>
      <c r="E60" s="714">
        <f>'[1]base ob inpit'!X49</f>
        <v>2459</v>
      </c>
      <c r="F60" s="714">
        <f>'[1]base ob inpit'!Y49</f>
        <v>3493</v>
      </c>
      <c r="G60" s="714">
        <f>'[1]base ob inpit'!Z49</f>
        <v>3611</v>
      </c>
      <c r="H60" s="714">
        <f>'[1]base ob inpit'!AA49</f>
        <v>0</v>
      </c>
      <c r="I60" s="717" t="s">
        <v>151</v>
      </c>
      <c r="J60" s="718"/>
      <c r="O60" s="684"/>
      <c r="P60" s="684"/>
      <c r="Q60" s="687"/>
    </row>
    <row r="61" spans="2:17" ht="13.5" hidden="1" customHeight="1">
      <c r="B61" s="713"/>
      <c r="C61" s="714">
        <f>'[1]base ob inpit'!V50</f>
        <v>0</v>
      </c>
      <c r="D61" s="714">
        <f>'[1]base ob inpit'!W50</f>
        <v>0</v>
      </c>
      <c r="E61" s="714">
        <f>'[1]base ob inpit'!X50</f>
        <v>0</v>
      </c>
      <c r="F61" s="714">
        <f>'[1]base ob inpit'!Y50</f>
        <v>0</v>
      </c>
      <c r="G61" s="714">
        <f>'[1]base ob inpit'!Z50</f>
        <v>0</v>
      </c>
      <c r="H61" s="714">
        <f>'[1]base ob inpit'!AA50</f>
        <v>0</v>
      </c>
      <c r="I61" s="719">
        <f>'[1]base ob inpit'!$AE$50</f>
        <v>2973.660684999777</v>
      </c>
      <c r="J61" s="716"/>
      <c r="O61" s="684"/>
      <c r="P61" s="684"/>
      <c r="Q61" s="687"/>
    </row>
    <row r="62" spans="2:17" hidden="1">
      <c r="H62" s="684"/>
      <c r="J62" s="715"/>
      <c r="O62" s="684"/>
      <c r="P62" s="684"/>
      <c r="Q62" s="687"/>
    </row>
    <row r="63" spans="2:17">
      <c r="J63" s="715"/>
      <c r="P63" s="684"/>
    </row>
  </sheetData>
  <mergeCells count="10">
    <mergeCell ref="C48:D48"/>
    <mergeCell ref="E48:F48"/>
    <mergeCell ref="G48:H48"/>
    <mergeCell ref="I48:I49"/>
    <mergeCell ref="C3:E3"/>
    <mergeCell ref="F3:G3"/>
    <mergeCell ref="H3:J3"/>
    <mergeCell ref="K3:L3"/>
    <mergeCell ref="M3:O3"/>
    <mergeCell ref="P3:Q3"/>
  </mergeCells>
  <conditionalFormatting sqref="F6:G19">
    <cfRule type="iconSet" priority="14">
      <iconSet iconSet="3Symbols">
        <cfvo type="percent" val="0"/>
        <cfvo type="num" val="0.75"/>
        <cfvo type="num" val="0.95"/>
      </iconSet>
    </cfRule>
  </conditionalFormatting>
  <conditionalFormatting sqref="F21:G33 K21:L33 P21:Q33">
    <cfRule type="iconSet" priority="8">
      <iconSet iconSet="3Flags">
        <cfvo type="percent" val="0"/>
        <cfvo type="percent" val="0"/>
        <cfvo type="num" val="0"/>
      </iconSet>
    </cfRule>
  </conditionalFormatting>
  <conditionalFormatting sqref="F21:G33">
    <cfRule type="cellIs" dxfId="2" priority="12" operator="greaterThan">
      <formula>-1</formula>
    </cfRule>
    <cfRule type="cellIs" dxfId="1" priority="13" operator="greaterThan">
      <formula>0</formula>
    </cfRule>
  </conditionalFormatting>
  <conditionalFormatting sqref="M10 P6:Q19 K6:L19 M15">
    <cfRule type="iconSet" priority="15">
      <iconSet iconSet="3Symbols">
        <cfvo type="percent" val="0"/>
        <cfvo type="num" val="0.75"/>
        <cfvo type="num" val="0.95"/>
      </iconSet>
    </cfRule>
  </conditionalFormatting>
  <conditionalFormatting sqref="M25 P21:Q33 K21:L33 M30">
    <cfRule type="iconSet" priority="16">
      <iconSet iconSet="3Symbols">
        <cfvo type="percent" val="0"/>
        <cfvo type="num" val="0.75"/>
        <cfvo type="num" val="0.95"/>
      </iconSet>
    </cfRule>
  </conditionalFormatting>
  <pageMargins left="0.7" right="0.7" top="0.75" bottom="0.75" header="0.3" footer="0.3"/>
  <pageSetup orientation="portrait" horizontalDpi="4294967295" verticalDpi="4294967295" r:id="rId1"/>
  <ignoredErrors>
    <ignoredError sqref="G8:R21" formula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C18D8139-86D3-4A45-843B-53F90192EE8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Flags" iconId="2"/>
              <x14:cfIcon iconSet="3Flags" iconId="2"/>
              <x14:cfIcon iconSet="3Flags" iconId="0"/>
            </x14:iconSet>
          </x14:cfRule>
          <x14:cfRule type="iconSet" priority="11" id="{66F094C6-582D-4392-BB0B-25D9DD796B2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F21:F33</xm:sqref>
        </x14:conditionalFormatting>
        <x14:conditionalFormatting xmlns:xm="http://schemas.microsoft.com/office/excel/2006/main">
          <x14:cfRule type="iconSet" priority="7" id="{EEE03E95-E1F1-4CE7-A0EB-6271299724F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Flags" iconId="2"/>
              <x14:cfIcon iconSet="3Flags" iconId="1"/>
              <x14:cfIcon iconSet="3Flags" iconId="0"/>
            </x14:iconSet>
          </x14:cfRule>
          <xm:sqref>F21:G33 K21:L33 P21:Q33</xm:sqref>
        </x14:conditionalFormatting>
        <x14:conditionalFormatting xmlns:xm="http://schemas.microsoft.com/office/excel/2006/main">
          <x14:cfRule type="iconSet" priority="3" id="{2BF10DFB-E2DC-48C3-A014-08A83D5F463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2"/>
              <x14:cfIcon iconSet="3Signs" iconId="1"/>
              <x14:cfIcon iconSet="3Triangles" iconId="0"/>
            </x14:iconSet>
          </x14:cfRule>
          <x14:cfRule type="iconSet" priority="4" id="{F82EFA24-48EF-40FA-A277-B24DD673F3A4}">
            <x14:iconSet iconSet="3Triangles">
              <x14:cfvo type="percent">
                <xm:f>0</xm:f>
              </x14:cfvo>
              <x14:cfvo type="num">
                <xm:f>0.75</xm:f>
              </x14:cfvo>
              <x14:cfvo type="num">
                <xm:f>0.95</xm:f>
              </x14:cfvo>
            </x14:iconSet>
          </x14:cfRule>
          <xm:sqref>F21:G33</xm:sqref>
        </x14:conditionalFormatting>
        <x14:conditionalFormatting xmlns:xm="http://schemas.microsoft.com/office/excel/2006/main">
          <x14:cfRule type="iconSet" priority="9" id="{AEF9DF50-1496-4B18-8F9B-8EB41D4EC6B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Flags" iconId="2"/>
              <x14:cfIcon iconSet="3Flags" iconId="2"/>
              <x14:cfIcon iconSet="3Flags" iconId="0"/>
            </x14:iconSet>
          </x14:cfRule>
          <xm:sqref>G21:G33</xm:sqref>
        </x14:conditionalFormatting>
        <x14:conditionalFormatting xmlns:xm="http://schemas.microsoft.com/office/excel/2006/main">
          <x14:cfRule type="iconSet" priority="2" id="{3A059808-271C-4677-8D07-66633FAC180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iangles" iconId="2"/>
              <x14:cfIcon iconSet="3Signs" iconId="1"/>
              <x14:cfIcon iconSet="3Triangles" iconId="0"/>
            </x14:iconSet>
          </x14:cfRule>
          <x14:cfRule type="iconSet" priority="5" id="{42235054-3E5C-4B3A-9882-AB576320869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K21:L33</xm:sqref>
        </x14:conditionalFormatting>
        <x14:conditionalFormatting xmlns:xm="http://schemas.microsoft.com/office/excel/2006/main">
          <x14:cfRule type="iconSet" priority="1" id="{3AA48E0C-30B3-4A79-A99B-1C3973075B8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iangles" iconId="2"/>
              <x14:cfIcon iconSet="3Signs" iconId="1"/>
              <x14:cfIcon iconSet="3Triangles" iconId="0"/>
            </x14:iconSet>
          </x14:cfRule>
          <x14:cfRule type="iconSet" priority="6" id="{0A1603FF-8C0F-4159-AAAE-B92E8437A74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P21:Q33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66"/>
  </sheetPr>
  <dimension ref="A1:O106"/>
  <sheetViews>
    <sheetView showGridLines="0" topLeftCell="A7" zoomScale="70" zoomScaleNormal="70" workbookViewId="0">
      <selection activeCell="L23" sqref="L23"/>
    </sheetView>
  </sheetViews>
  <sheetFormatPr defaultColWidth="8.90625" defaultRowHeight="13"/>
  <cols>
    <col min="1" max="1" width="8.90625" style="10"/>
    <col min="2" max="2" width="11.90625" style="10" customWidth="1"/>
    <col min="3" max="4" width="9.453125" style="10" customWidth="1"/>
    <col min="5" max="6" width="11.90625" style="10" customWidth="1"/>
    <col min="7" max="7" width="12.08984375" style="10" customWidth="1"/>
    <col min="8" max="9" width="11" style="10" bestFit="1" customWidth="1"/>
    <col min="10" max="10" width="9.36328125" style="10" bestFit="1" customWidth="1"/>
    <col min="11" max="16384" width="8.90625" style="10"/>
  </cols>
  <sheetData>
    <row r="1" spans="1:9">
      <c r="A1" s="63"/>
      <c r="B1" s="63"/>
      <c r="C1" s="63"/>
      <c r="D1" s="63"/>
      <c r="E1" s="63"/>
      <c r="F1" s="63"/>
      <c r="G1" s="63"/>
    </row>
    <row r="2" spans="1:9" ht="21">
      <c r="B2" s="720">
        <f>Dashboard!E5</f>
        <v>46272.439641550925</v>
      </c>
      <c r="C2" s="721"/>
      <c r="D2" s="721"/>
      <c r="E2" s="721"/>
      <c r="F2" s="721"/>
      <c r="G2" s="722"/>
      <c r="H2" s="63"/>
    </row>
    <row r="3" spans="1:9">
      <c r="B3" s="723"/>
      <c r="C3" s="723"/>
      <c r="D3" s="723"/>
      <c r="E3" s="723"/>
      <c r="F3" s="723"/>
      <c r="G3" s="723"/>
      <c r="H3" s="63"/>
    </row>
    <row r="4" spans="1:9" ht="13.75" customHeight="1">
      <c r="A4" s="724"/>
      <c r="B4" s="725" t="s">
        <v>60</v>
      </c>
      <c r="C4" s="726" t="s">
        <v>152</v>
      </c>
      <c r="D4" s="726"/>
      <c r="E4" s="726" t="s">
        <v>153</v>
      </c>
      <c r="F4" s="726"/>
      <c r="G4" s="727" t="s">
        <v>154</v>
      </c>
      <c r="H4" s="63"/>
    </row>
    <row r="5" spans="1:9" ht="13.75" customHeight="1">
      <c r="A5" s="724"/>
      <c r="B5" s="728" t="s">
        <v>155</v>
      </c>
      <c r="C5" s="729" t="s">
        <v>53</v>
      </c>
      <c r="D5" s="729" t="s">
        <v>4</v>
      </c>
      <c r="E5" s="729" t="s">
        <v>53</v>
      </c>
      <c r="F5" s="729" t="s">
        <v>4</v>
      </c>
      <c r="G5" s="730" t="s">
        <v>156</v>
      </c>
      <c r="H5" s="63"/>
    </row>
    <row r="6" spans="1:9" ht="3" customHeight="1">
      <c r="A6" s="724"/>
      <c r="H6" s="63"/>
    </row>
    <row r="7" spans="1:9" ht="13.75" customHeight="1">
      <c r="A7" s="724"/>
      <c r="B7" s="731" t="str">
        <f>'Summary Sep26'!X5</f>
        <v>BEK.HCV.LS</v>
      </c>
      <c r="C7" s="732"/>
      <c r="D7" s="732"/>
      <c r="E7" s="733"/>
      <c r="F7" s="733"/>
      <c r="G7" s="734"/>
      <c r="H7" s="63"/>
    </row>
    <row r="8" spans="1:9" ht="13.75" hidden="1" customHeight="1">
      <c r="A8" s="724" t="str">
        <f>IF(AND(E8=0,F8=0),"x","")</f>
        <v>x</v>
      </c>
      <c r="B8" s="735" t="s">
        <v>157</v>
      </c>
      <c r="C8" s="736">
        <v>0</v>
      </c>
      <c r="D8" s="737">
        <f>[1]actual!AM349</f>
        <v>0</v>
      </c>
      <c r="E8" s="738">
        <f>C8*E18</f>
        <v>0</v>
      </c>
      <c r="F8" s="739">
        <f>IFERROR(D8*$F$18,0)</f>
        <v>0</v>
      </c>
      <c r="G8" s="740"/>
      <c r="H8" s="63"/>
    </row>
    <row r="9" spans="1:9" ht="13.75" customHeight="1">
      <c r="A9" s="724" t="str">
        <f t="shared" ref="A9:A17" si="0">IF(AND(E9=0,F9=0),"x","")</f>
        <v/>
      </c>
      <c r="B9" s="741" t="s">
        <v>158</v>
      </c>
      <c r="C9" s="742">
        <v>0.18</v>
      </c>
      <c r="D9" s="743">
        <f>[1]actual!AM350</f>
        <v>0.44165927431168994</v>
      </c>
      <c r="E9" s="744">
        <f>C9*E18</f>
        <v>93600</v>
      </c>
      <c r="F9" s="745">
        <f t="shared" ref="F9:F17" si="1">IFERROR(D9*$F$18,0)</f>
        <v>9410.5887385051865</v>
      </c>
      <c r="G9" s="746"/>
      <c r="H9" s="63"/>
    </row>
    <row r="10" spans="1:9">
      <c r="A10" s="724" t="str">
        <f t="shared" si="0"/>
        <v/>
      </c>
      <c r="B10" s="741" t="s">
        <v>159</v>
      </c>
      <c r="C10" s="742">
        <v>0.82</v>
      </c>
      <c r="D10" s="743">
        <f>[1]actual!AM351</f>
        <v>0.52954156257372231</v>
      </c>
      <c r="E10" s="744">
        <f>C10*E18</f>
        <v>426400</v>
      </c>
      <c r="F10" s="745">
        <f t="shared" si="1"/>
        <v>11283.127413305201</v>
      </c>
      <c r="G10" s="747"/>
      <c r="H10" s="63"/>
    </row>
    <row r="11" spans="1:9" hidden="1">
      <c r="A11" s="724" t="str">
        <f t="shared" si="0"/>
        <v>x</v>
      </c>
      <c r="B11" s="741" t="s">
        <v>160</v>
      </c>
      <c r="C11" s="742">
        <v>0</v>
      </c>
      <c r="D11" s="743">
        <f>[1]actual!AM352</f>
        <v>0</v>
      </c>
      <c r="E11" s="744">
        <f>C11*E18</f>
        <v>0</v>
      </c>
      <c r="F11" s="748">
        <f t="shared" si="1"/>
        <v>0</v>
      </c>
      <c r="G11" s="747"/>
      <c r="H11" s="63"/>
    </row>
    <row r="12" spans="1:9" hidden="1">
      <c r="A12" s="724" t="str">
        <f t="shared" si="0"/>
        <v>x</v>
      </c>
      <c r="B12" s="741" t="s">
        <v>161</v>
      </c>
      <c r="C12" s="742">
        <v>0</v>
      </c>
      <c r="D12" s="743">
        <f>[1]actual!AM353</f>
        <v>0</v>
      </c>
      <c r="E12" s="744">
        <f>C12*E19</f>
        <v>0</v>
      </c>
      <c r="F12" s="748">
        <f t="shared" si="1"/>
        <v>0</v>
      </c>
      <c r="G12" s="747"/>
      <c r="H12" s="63"/>
    </row>
    <row r="13" spans="1:9" hidden="1">
      <c r="A13" s="724" t="str">
        <f t="shared" si="0"/>
        <v>x</v>
      </c>
      <c r="B13" s="741" t="s">
        <v>162</v>
      </c>
      <c r="C13" s="742">
        <v>0</v>
      </c>
      <c r="D13" s="743">
        <f>[1]actual!AM355</f>
        <v>0</v>
      </c>
      <c r="E13" s="744">
        <f>C13*E18</f>
        <v>0</v>
      </c>
      <c r="F13" s="745">
        <f t="shared" si="1"/>
        <v>0</v>
      </c>
      <c r="G13" s="747"/>
      <c r="H13" s="63"/>
      <c r="I13" s="63"/>
    </row>
    <row r="14" spans="1:9">
      <c r="A14" s="724" t="str">
        <f t="shared" si="0"/>
        <v/>
      </c>
      <c r="B14" s="741" t="s">
        <v>163</v>
      </c>
      <c r="C14" s="742">
        <v>0</v>
      </c>
      <c r="D14" s="743">
        <f>[1]actual!AM356</f>
        <v>8.2777751755221431E-3</v>
      </c>
      <c r="E14" s="744">
        <f>C14*E18</f>
        <v>0</v>
      </c>
      <c r="F14" s="745">
        <f t="shared" si="1"/>
        <v>176.37745288616173</v>
      </c>
      <c r="G14" s="747"/>
      <c r="H14" s="63"/>
    </row>
    <row r="15" spans="1:9">
      <c r="A15" s="724" t="str">
        <f t="shared" si="0"/>
        <v/>
      </c>
      <c r="B15" s="741" t="s">
        <v>164</v>
      </c>
      <c r="C15" s="742">
        <v>0</v>
      </c>
      <c r="D15" s="743">
        <f>[1]actual!AM357</f>
        <v>2.0521387939065581E-2</v>
      </c>
      <c r="E15" s="744">
        <f>C15*E18</f>
        <v>0</v>
      </c>
      <c r="F15" s="745">
        <f t="shared" si="1"/>
        <v>437.25639530344898</v>
      </c>
      <c r="G15" s="746"/>
      <c r="H15" s="63"/>
    </row>
    <row r="16" spans="1:9" hidden="1">
      <c r="A16" s="724" t="str">
        <f t="shared" si="0"/>
        <v>x</v>
      </c>
      <c r="B16" s="741" t="s">
        <v>165</v>
      </c>
      <c r="C16" s="742">
        <v>0</v>
      </c>
      <c r="D16" s="743">
        <f>[1]actual!AM367</f>
        <v>0</v>
      </c>
      <c r="E16" s="744">
        <f>C16*E18</f>
        <v>0</v>
      </c>
      <c r="F16" s="745">
        <f t="shared" si="1"/>
        <v>0</v>
      </c>
      <c r="G16" s="746"/>
      <c r="H16" s="63"/>
    </row>
    <row r="17" spans="1:10" hidden="1">
      <c r="A17" s="724" t="str">
        <f t="shared" si="0"/>
        <v>x</v>
      </c>
      <c r="B17" s="749" t="s">
        <v>166</v>
      </c>
      <c r="C17" s="750">
        <v>0</v>
      </c>
      <c r="D17" s="743">
        <f>[1]actual!AM368</f>
        <v>0</v>
      </c>
      <c r="E17" s="751">
        <f>C17*E18</f>
        <v>0</v>
      </c>
      <c r="F17" s="745">
        <f t="shared" si="1"/>
        <v>0</v>
      </c>
      <c r="G17" s="752"/>
      <c r="H17" s="63"/>
    </row>
    <row r="18" spans="1:10" ht="13.5" thickBot="1">
      <c r="A18" s="724"/>
      <c r="B18" s="753"/>
      <c r="C18" s="754"/>
      <c r="D18" s="755" t="s">
        <v>167</v>
      </c>
      <c r="E18" s="756">
        <v>520000</v>
      </c>
      <c r="F18" s="756">
        <f>[1]actual!AM489*1000</f>
        <v>21307.35</v>
      </c>
      <c r="G18" s="757">
        <f>F18/E18</f>
        <v>4.0975673076923076E-2</v>
      </c>
      <c r="H18" s="63"/>
      <c r="I18" s="63"/>
      <c r="J18" s="63"/>
    </row>
    <row r="19" spans="1:10" ht="13.5" thickTop="1">
      <c r="A19" s="724"/>
      <c r="B19" s="758"/>
      <c r="C19" s="759" t="s">
        <v>168</v>
      </c>
      <c r="D19" s="760" t="s">
        <v>169</v>
      </c>
      <c r="E19" s="761">
        <v>6621.582929442452</v>
      </c>
      <c r="F19" s="761">
        <f>[1]actual!AM490</f>
        <v>6720.9054012157803</v>
      </c>
      <c r="G19" s="762">
        <f t="shared" ref="G19:G24" si="2">+F19-E19</f>
        <v>99.322471773328289</v>
      </c>
      <c r="H19" s="63"/>
      <c r="I19" s="63"/>
      <c r="J19" s="63"/>
    </row>
    <row r="20" spans="1:10">
      <c r="A20" s="724"/>
      <c r="B20" s="763"/>
      <c r="C20" s="764"/>
      <c r="D20" s="760" t="s">
        <v>170</v>
      </c>
      <c r="E20" s="761">
        <v>6337.8859998331154</v>
      </c>
      <c r="F20" s="761">
        <f>+F19*(100-F24)/(100-F23)</f>
        <v>6470.5743611964208</v>
      </c>
      <c r="G20" s="765">
        <f t="shared" si="2"/>
        <v>132.68836136330538</v>
      </c>
      <c r="H20" s="63"/>
      <c r="I20" s="63"/>
      <c r="J20" s="39"/>
    </row>
    <row r="21" spans="1:10">
      <c r="A21" s="724"/>
      <c r="B21" s="766"/>
      <c r="C21" s="723"/>
      <c r="D21" s="767" t="s">
        <v>48</v>
      </c>
      <c r="E21" s="768">
        <v>0.5966156487842309</v>
      </c>
      <c r="F21" s="768">
        <f>[1]actual!AM491</f>
        <v>0.63388725568177462</v>
      </c>
      <c r="G21" s="769">
        <f t="shared" si="2"/>
        <v>3.7271606897543719E-2</v>
      </c>
      <c r="H21" s="63"/>
      <c r="I21" s="63"/>
    </row>
    <row r="22" spans="1:10">
      <c r="A22" s="724"/>
      <c r="B22" s="766"/>
      <c r="C22" s="723"/>
      <c r="D22" s="767" t="s">
        <v>171</v>
      </c>
      <c r="E22" s="768">
        <v>3.5338754499598473</v>
      </c>
      <c r="F22" s="768">
        <f>[1]actual!AM492</f>
        <v>3.5011048563146736</v>
      </c>
      <c r="G22" s="769">
        <f t="shared" si="2"/>
        <v>-3.2770593645173651E-2</v>
      </c>
      <c r="H22" s="63"/>
      <c r="I22" s="63"/>
    </row>
    <row r="23" spans="1:10">
      <c r="A23" s="724"/>
      <c r="B23" s="766"/>
      <c r="C23" s="723"/>
      <c r="D23" s="767" t="s">
        <v>50</v>
      </c>
      <c r="E23" s="768">
        <v>9.8721960937531481</v>
      </c>
      <c r="F23" s="768">
        <f>[1]actual!AM493</f>
        <v>9.5806722278558141</v>
      </c>
      <c r="G23" s="769">
        <f t="shared" si="2"/>
        <v>-0.29152386589733403</v>
      </c>
      <c r="H23" s="63"/>
      <c r="I23" s="63"/>
      <c r="J23" s="39"/>
    </row>
    <row r="24" spans="1:10">
      <c r="A24" s="724"/>
      <c r="B24" s="770"/>
      <c r="C24" s="771"/>
      <c r="D24" s="772" t="s">
        <v>51</v>
      </c>
      <c r="E24" s="773">
        <v>13.733656640738637</v>
      </c>
      <c r="F24" s="773">
        <f>[1]actual!AM494</f>
        <v>12.948486980159535</v>
      </c>
      <c r="G24" s="774">
        <f t="shared" si="2"/>
        <v>-0.78516966057910231</v>
      </c>
      <c r="H24" s="63"/>
      <c r="I24" s="63"/>
    </row>
    <row r="25" spans="1:10" ht="3" customHeight="1">
      <c r="A25" s="724"/>
      <c r="B25" s="723"/>
      <c r="C25" s="723"/>
      <c r="D25" s="723"/>
      <c r="E25" s="723"/>
      <c r="F25" s="723"/>
      <c r="G25" s="723"/>
      <c r="H25" s="63"/>
      <c r="I25" s="63"/>
    </row>
    <row r="26" spans="1:10">
      <c r="A26" s="724"/>
      <c r="B26" s="731" t="str">
        <f>'Summary Sep26'!Y5</f>
        <v>BEK.HCV.HS</v>
      </c>
      <c r="C26" s="732"/>
      <c r="D26" s="732"/>
      <c r="E26" s="733"/>
      <c r="F26" s="733"/>
      <c r="G26" s="734"/>
      <c r="H26" s="63"/>
      <c r="I26" s="63"/>
      <c r="J26" s="39"/>
    </row>
    <row r="27" spans="1:10" hidden="1">
      <c r="A27" s="724" t="str">
        <f>IF(AND(E27=0,F27=0),"x","")</f>
        <v>x</v>
      </c>
      <c r="B27" s="735" t="s">
        <v>157</v>
      </c>
      <c r="C27" s="736">
        <v>0</v>
      </c>
      <c r="D27" s="775">
        <f>[1]actual!AM371</f>
        <v>0</v>
      </c>
      <c r="E27" s="738">
        <f>C27*E37</f>
        <v>0</v>
      </c>
      <c r="F27" s="738">
        <f t="shared" ref="F27:F36" si="3">IFERROR(D27*$F$37,0)</f>
        <v>0</v>
      </c>
      <c r="G27" s="740"/>
      <c r="H27" s="63"/>
      <c r="I27" s="63"/>
    </row>
    <row r="28" spans="1:10">
      <c r="A28" s="724" t="str">
        <f t="shared" ref="A28:A36" si="4">IF(AND(E28=0,F28=0),"x","")</f>
        <v/>
      </c>
      <c r="B28" s="741" t="s">
        <v>158</v>
      </c>
      <c r="C28" s="776">
        <v>0</v>
      </c>
      <c r="D28" s="776">
        <f>[1]actual!AM372</f>
        <v>2.0187585852598877E-3</v>
      </c>
      <c r="E28" s="744">
        <f>C28*E37</f>
        <v>0</v>
      </c>
      <c r="F28" s="744">
        <f t="shared" si="3"/>
        <v>149.26482953484404</v>
      </c>
      <c r="G28" s="746"/>
      <c r="I28" s="63"/>
    </row>
    <row r="29" spans="1:10">
      <c r="A29" s="724" t="str">
        <f t="shared" si="4"/>
        <v/>
      </c>
      <c r="B29" s="741" t="s">
        <v>159</v>
      </c>
      <c r="C29" s="742">
        <v>0.15</v>
      </c>
      <c r="D29" s="776">
        <f>[1]actual!AM373</f>
        <v>6.9044988176545537E-3</v>
      </c>
      <c r="E29" s="744">
        <f>C29*E37</f>
        <v>25500</v>
      </c>
      <c r="F29" s="744">
        <f t="shared" si="3"/>
        <v>510.5111857186547</v>
      </c>
      <c r="G29" s="747"/>
      <c r="H29" s="63"/>
      <c r="I29" s="63"/>
    </row>
    <row r="30" spans="1:10">
      <c r="A30" s="724" t="str">
        <f t="shared" si="4"/>
        <v/>
      </c>
      <c r="B30" s="741" t="s">
        <v>160</v>
      </c>
      <c r="C30" s="742">
        <v>0</v>
      </c>
      <c r="D30" s="776">
        <f>[1]actual!AM374</f>
        <v>8.223297104163264E-3</v>
      </c>
      <c r="E30" s="744">
        <f>C30*E36</f>
        <v>0</v>
      </c>
      <c r="F30" s="744">
        <f t="shared" si="3"/>
        <v>608.0217067209594</v>
      </c>
      <c r="G30" s="747"/>
      <c r="H30" s="63"/>
    </row>
    <row r="31" spans="1:10" hidden="1">
      <c r="A31" s="724" t="str">
        <f t="shared" si="4"/>
        <v>x</v>
      </c>
      <c r="B31" s="741" t="s">
        <v>161</v>
      </c>
      <c r="C31" s="742">
        <v>0</v>
      </c>
      <c r="D31" s="776">
        <f>[1]actual!AM375</f>
        <v>0</v>
      </c>
      <c r="E31" s="744">
        <f>C31*E37</f>
        <v>0</v>
      </c>
      <c r="F31" s="744">
        <f t="shared" si="3"/>
        <v>0</v>
      </c>
      <c r="G31" s="747"/>
      <c r="H31" s="63"/>
    </row>
    <row r="32" spans="1:10" hidden="1">
      <c r="A32" s="724" t="str">
        <f t="shared" si="4"/>
        <v>x</v>
      </c>
      <c r="B32" s="741" t="s">
        <v>162</v>
      </c>
      <c r="C32" s="742">
        <v>0</v>
      </c>
      <c r="D32" s="776">
        <f>[1]actual!AM377</f>
        <v>0</v>
      </c>
      <c r="E32" s="744">
        <f>C32*E37</f>
        <v>0</v>
      </c>
      <c r="F32" s="744">
        <f t="shared" si="3"/>
        <v>0</v>
      </c>
      <c r="G32" s="747"/>
      <c r="H32" s="63"/>
    </row>
    <row r="33" spans="1:15">
      <c r="A33" s="724" t="str">
        <f t="shared" si="4"/>
        <v/>
      </c>
      <c r="B33" s="741" t="s">
        <v>163</v>
      </c>
      <c r="C33" s="742">
        <v>0.4</v>
      </c>
      <c r="D33" s="776">
        <f>[1]actual!AM378</f>
        <v>0.53645331365475701</v>
      </c>
      <c r="E33" s="744">
        <f>C33*E37</f>
        <v>68000</v>
      </c>
      <c r="F33" s="744">
        <f t="shared" si="3"/>
        <v>39664.778642053992</v>
      </c>
      <c r="G33" s="747"/>
      <c r="I33" s="63"/>
    </row>
    <row r="34" spans="1:15">
      <c r="A34" s="724" t="str">
        <f t="shared" si="4"/>
        <v/>
      </c>
      <c r="B34" s="741" t="s">
        <v>164</v>
      </c>
      <c r="C34" s="742">
        <v>0.45</v>
      </c>
      <c r="D34" s="776">
        <f>[1]actual!AM379</f>
        <v>0.44640013183816524</v>
      </c>
      <c r="E34" s="744">
        <f>C34*E37</f>
        <v>76500</v>
      </c>
      <c r="F34" s="744">
        <f t="shared" si="3"/>
        <v>33006.343635971556</v>
      </c>
      <c r="G34" s="746"/>
      <c r="I34" s="63"/>
    </row>
    <row r="35" spans="1:15" hidden="1">
      <c r="A35" s="724" t="str">
        <f t="shared" si="4"/>
        <v>x</v>
      </c>
      <c r="B35" s="741" t="s">
        <v>165</v>
      </c>
      <c r="C35" s="742">
        <v>0</v>
      </c>
      <c r="D35" s="776">
        <f>[1]actual!AM389</f>
        <v>0</v>
      </c>
      <c r="E35" s="744">
        <f>C35*E37</f>
        <v>0</v>
      </c>
      <c r="F35" s="744">
        <f t="shared" si="3"/>
        <v>0</v>
      </c>
      <c r="G35" s="746"/>
    </row>
    <row r="36" spans="1:15" hidden="1">
      <c r="A36" s="724" t="str">
        <f t="shared" si="4"/>
        <v>x</v>
      </c>
      <c r="B36" s="749" t="s">
        <v>166</v>
      </c>
      <c r="C36" s="750">
        <v>0</v>
      </c>
      <c r="D36" s="777">
        <f>[1]actual!AM390</f>
        <v>0</v>
      </c>
      <c r="E36" s="751">
        <f>C36*E37</f>
        <v>0</v>
      </c>
      <c r="F36" s="744">
        <f t="shared" si="3"/>
        <v>0</v>
      </c>
      <c r="G36" s="752"/>
      <c r="H36" s="63"/>
      <c r="I36" s="63"/>
    </row>
    <row r="37" spans="1:15" ht="13.5" thickBot="1">
      <c r="A37" s="724"/>
      <c r="B37" s="753"/>
      <c r="C37" s="754"/>
      <c r="D37" s="755" t="s">
        <v>167</v>
      </c>
      <c r="E37" s="756">
        <v>170000</v>
      </c>
      <c r="F37" s="756">
        <f>[1]actual!AM495*1000</f>
        <v>73938.920000000013</v>
      </c>
      <c r="G37" s="757">
        <f>F37/E37</f>
        <v>0.43493482352941182</v>
      </c>
      <c r="H37" s="63"/>
      <c r="I37" s="63"/>
      <c r="J37" s="39"/>
    </row>
    <row r="38" spans="1:15" ht="13.5" thickTop="1">
      <c r="A38" s="724"/>
      <c r="B38" s="758"/>
      <c r="C38" s="759" t="s">
        <v>168</v>
      </c>
      <c r="D38" s="760" t="s">
        <v>169</v>
      </c>
      <c r="E38" s="761">
        <v>6513.7363707301929</v>
      </c>
      <c r="F38" s="761">
        <f>[1]actual!AM496</f>
        <v>6636.5202456867219</v>
      </c>
      <c r="G38" s="762">
        <f t="shared" ref="G38:G43" si="5">+F38-E38</f>
        <v>122.78387495652896</v>
      </c>
      <c r="H38" s="63"/>
    </row>
    <row r="39" spans="1:15">
      <c r="A39" s="724"/>
      <c r="B39" s="766"/>
      <c r="C39" s="723"/>
      <c r="D39" s="767" t="s">
        <v>170</v>
      </c>
      <c r="E39" s="761">
        <v>6240.4410212901648</v>
      </c>
      <c r="F39" s="761">
        <f>+F38*(100-F43)/(100-F42)</f>
        <v>6390.2275575707617</v>
      </c>
      <c r="G39" s="769">
        <f t="shared" si="5"/>
        <v>149.78653628059692</v>
      </c>
      <c r="H39" s="63"/>
    </row>
    <row r="40" spans="1:15">
      <c r="A40" s="724"/>
      <c r="B40" s="766"/>
      <c r="C40" s="723"/>
      <c r="D40" s="767" t="s">
        <v>48</v>
      </c>
      <c r="E40" s="768">
        <v>1.6673816984973402</v>
      </c>
      <c r="F40" s="768">
        <f>[1]actual!AM497</f>
        <v>1.6162614218611888</v>
      </c>
      <c r="G40" s="769">
        <f t="shared" si="5"/>
        <v>-5.1120276636151374E-2</v>
      </c>
      <c r="H40" s="63"/>
    </row>
    <row r="41" spans="1:15">
      <c r="A41" s="724"/>
      <c r="B41" s="766"/>
      <c r="C41" s="723"/>
      <c r="D41" s="767" t="s">
        <v>171</v>
      </c>
      <c r="E41" s="768">
        <v>4.8836527676096679</v>
      </c>
      <c r="F41" s="768">
        <f>[1]actual!AM498</f>
        <v>4.8966699547124124</v>
      </c>
      <c r="G41" s="769">
        <f t="shared" si="5"/>
        <v>1.3017187102744465E-2</v>
      </c>
      <c r="H41" s="63"/>
    </row>
    <row r="42" spans="1:15">
      <c r="A42" s="724"/>
      <c r="B42" s="766"/>
      <c r="C42" s="723"/>
      <c r="D42" s="767" t="s">
        <v>50</v>
      </c>
      <c r="E42" s="768">
        <v>9.9076033138142314</v>
      </c>
      <c r="F42" s="768">
        <f>[1]actual!AM499</f>
        <v>9.0987738365892206</v>
      </c>
      <c r="G42" s="769">
        <f t="shared" si="5"/>
        <v>-0.80882947722501086</v>
      </c>
      <c r="H42" s="63"/>
    </row>
    <row r="43" spans="1:15">
      <c r="A43" s="724"/>
      <c r="B43" s="770"/>
      <c r="C43" s="771"/>
      <c r="D43" s="772" t="s">
        <v>51</v>
      </c>
      <c r="E43" s="773">
        <v>13.687589428217052</v>
      </c>
      <c r="F43" s="773">
        <f>[1]actual!AM500</f>
        <v>12.47227478527903</v>
      </c>
      <c r="G43" s="774">
        <f t="shared" si="5"/>
        <v>-1.2153146429380222</v>
      </c>
      <c r="H43" s="63"/>
    </row>
    <row r="44" spans="1:15" ht="5.5" customHeight="1">
      <c r="O44" s="63">
        <f>+Dashboard!T34/(24*(14+(('Summary Sep26'!E52))))</f>
        <v>7.0993021631733128E-2</v>
      </c>
    </row>
    <row r="45" spans="1:15">
      <c r="A45" s="724"/>
      <c r="B45" s="731" t="str">
        <f>'Summary Sep26'!Z5</f>
        <v>BEK.MCV.LS</v>
      </c>
      <c r="C45" s="732"/>
      <c r="D45" s="732"/>
      <c r="E45" s="733"/>
      <c r="F45" s="733"/>
      <c r="G45" s="734"/>
      <c r="H45" s="63"/>
      <c r="I45" s="63"/>
      <c r="J45" s="39"/>
    </row>
    <row r="46" spans="1:15" hidden="1">
      <c r="A46" s="724" t="str">
        <f>IF(AND(E46=0,F46=0),"x","")</f>
        <v>x</v>
      </c>
      <c r="B46" s="735" t="s">
        <v>157</v>
      </c>
      <c r="C46" s="736">
        <v>0</v>
      </c>
      <c r="D46" s="775">
        <f>[1]actual!AM393</f>
        <v>0</v>
      </c>
      <c r="E46" s="738">
        <f>C46*E56</f>
        <v>0</v>
      </c>
      <c r="F46" s="738">
        <f>IFERROR(D46*$F$56,0)</f>
        <v>0</v>
      </c>
      <c r="G46" s="740"/>
      <c r="H46" s="63"/>
      <c r="I46" s="63"/>
    </row>
    <row r="47" spans="1:15">
      <c r="A47" s="724" t="str">
        <f t="shared" ref="A47:A55" si="6">IF(AND(E47=0,F47=0),"x","")</f>
        <v/>
      </c>
      <c r="B47" s="741" t="s">
        <v>158</v>
      </c>
      <c r="C47" s="776">
        <v>0.01</v>
      </c>
      <c r="D47" s="776">
        <f>[1]actual!AM394</f>
        <v>0</v>
      </c>
      <c r="E47" s="744">
        <f>C47*E56</f>
        <v>900</v>
      </c>
      <c r="F47" s="744">
        <f t="shared" ref="F47:F55" si="7">IFERROR(D47*$F$56,0)</f>
        <v>0</v>
      </c>
      <c r="G47" s="746"/>
      <c r="I47" s="63"/>
    </row>
    <row r="48" spans="1:15">
      <c r="A48" s="724" t="str">
        <f t="shared" si="6"/>
        <v/>
      </c>
      <c r="B48" s="741" t="s">
        <v>159</v>
      </c>
      <c r="C48" s="742">
        <v>0.01</v>
      </c>
      <c r="D48" s="776">
        <f>[1]actual!AM395</f>
        <v>0</v>
      </c>
      <c r="E48" s="744">
        <f>C48*E56</f>
        <v>900</v>
      </c>
      <c r="F48" s="744">
        <f t="shared" si="7"/>
        <v>0</v>
      </c>
      <c r="G48" s="747"/>
      <c r="H48" s="63"/>
      <c r="I48" s="63"/>
    </row>
    <row r="49" spans="1:10">
      <c r="A49" s="724" t="str">
        <f t="shared" si="6"/>
        <v/>
      </c>
      <c r="B49" s="741" t="s">
        <v>160</v>
      </c>
      <c r="C49" s="742">
        <v>0.98</v>
      </c>
      <c r="D49" s="776">
        <f>[1]actual!AM396</f>
        <v>0.99368048397869713</v>
      </c>
      <c r="E49" s="744">
        <f>C49*E56</f>
        <v>88200</v>
      </c>
      <c r="F49" s="744">
        <f t="shared" si="7"/>
        <v>48877.871095892609</v>
      </c>
      <c r="G49" s="747"/>
      <c r="H49" s="63"/>
    </row>
    <row r="50" spans="1:10" hidden="1">
      <c r="A50" s="724" t="str">
        <f t="shared" si="6"/>
        <v>x</v>
      </c>
      <c r="B50" s="741" t="s">
        <v>161</v>
      </c>
      <c r="C50" s="742">
        <v>0</v>
      </c>
      <c r="D50" s="776">
        <f>[1]actual!AM397</f>
        <v>0</v>
      </c>
      <c r="E50" s="744">
        <f>C50*E57</f>
        <v>0</v>
      </c>
      <c r="F50" s="744">
        <f t="shared" si="7"/>
        <v>0</v>
      </c>
      <c r="G50" s="747"/>
      <c r="H50" s="63"/>
    </row>
    <row r="51" spans="1:10" hidden="1">
      <c r="A51" s="724" t="str">
        <f t="shared" si="6"/>
        <v>x</v>
      </c>
      <c r="B51" s="741" t="s">
        <v>162</v>
      </c>
      <c r="C51" s="742">
        <v>0</v>
      </c>
      <c r="D51" s="776">
        <f>[1]actual!AM399</f>
        <v>0</v>
      </c>
      <c r="E51" s="744">
        <f>C51*E56</f>
        <v>0</v>
      </c>
      <c r="F51" s="744">
        <f t="shared" si="7"/>
        <v>0</v>
      </c>
      <c r="G51" s="747"/>
      <c r="H51" s="63"/>
    </row>
    <row r="52" spans="1:10">
      <c r="A52" s="724" t="str">
        <f t="shared" si="6"/>
        <v/>
      </c>
      <c r="B52" s="741" t="s">
        <v>163</v>
      </c>
      <c r="C52" s="742">
        <v>0</v>
      </c>
      <c r="D52" s="776">
        <f>[1]actual!AM400</f>
        <v>6.3195160213028109E-3</v>
      </c>
      <c r="E52" s="744">
        <f>C52*E56</f>
        <v>0</v>
      </c>
      <c r="F52" s="744">
        <f t="shared" si="7"/>
        <v>310.84890410737796</v>
      </c>
      <c r="G52" s="747"/>
      <c r="I52" s="63"/>
    </row>
    <row r="53" spans="1:10" hidden="1">
      <c r="A53" s="724" t="str">
        <f t="shared" si="6"/>
        <v>x</v>
      </c>
      <c r="B53" s="741" t="s">
        <v>164</v>
      </c>
      <c r="C53" s="742">
        <v>0</v>
      </c>
      <c r="D53" s="776">
        <f>[1]actual!AM401</f>
        <v>0</v>
      </c>
      <c r="E53" s="744">
        <f>C53*E56</f>
        <v>0</v>
      </c>
      <c r="F53" s="744">
        <f t="shared" si="7"/>
        <v>0</v>
      </c>
      <c r="G53" s="746"/>
      <c r="I53" s="63"/>
    </row>
    <row r="54" spans="1:10" hidden="1">
      <c r="A54" s="724" t="str">
        <f t="shared" si="6"/>
        <v>x</v>
      </c>
      <c r="B54" s="741" t="s">
        <v>165</v>
      </c>
      <c r="C54" s="742">
        <v>0</v>
      </c>
      <c r="D54" s="776">
        <f>[1]actual!AM411</f>
        <v>0</v>
      </c>
      <c r="E54" s="744">
        <f>C54*E56</f>
        <v>0</v>
      </c>
      <c r="F54" s="744">
        <f t="shared" si="7"/>
        <v>0</v>
      </c>
      <c r="G54" s="746"/>
    </row>
    <row r="55" spans="1:10" hidden="1">
      <c r="A55" s="724" t="str">
        <f t="shared" si="6"/>
        <v>x</v>
      </c>
      <c r="B55" s="749" t="s">
        <v>166</v>
      </c>
      <c r="C55" s="750">
        <v>0</v>
      </c>
      <c r="D55" s="777">
        <f>[1]actual!AM412</f>
        <v>0</v>
      </c>
      <c r="E55" s="751">
        <f>C55*E56</f>
        <v>0</v>
      </c>
      <c r="F55" s="744">
        <f t="shared" si="7"/>
        <v>0</v>
      </c>
      <c r="G55" s="752"/>
      <c r="H55" s="63"/>
      <c r="I55" s="63"/>
    </row>
    <row r="56" spans="1:10" ht="13.5" thickBot="1">
      <c r="A56" s="724"/>
      <c r="B56" s="753"/>
      <c r="C56" s="754"/>
      <c r="D56" s="755" t="s">
        <v>167</v>
      </c>
      <c r="E56" s="756">
        <v>90000</v>
      </c>
      <c r="F56" s="756">
        <f>[1]actual!AM501*1000</f>
        <v>49188.719999999994</v>
      </c>
      <c r="G56" s="757">
        <f>IFERROR(F56/E56,0)</f>
        <v>0.54654133333333321</v>
      </c>
      <c r="H56" s="63"/>
      <c r="I56" s="63"/>
      <c r="J56" s="39"/>
    </row>
    <row r="57" spans="1:10" ht="13.5" thickTop="1">
      <c r="A57" s="724"/>
      <c r="B57" s="758"/>
      <c r="C57" s="759" t="s">
        <v>168</v>
      </c>
      <c r="D57" s="760" t="s">
        <v>169</v>
      </c>
      <c r="E57" s="761">
        <v>6108.677643048798</v>
      </c>
      <c r="F57" s="761">
        <f>[1]actual!AM502</f>
        <v>6207.9336484665309</v>
      </c>
      <c r="G57" s="762">
        <f t="shared" ref="G57:G62" si="8">+F57-E57</f>
        <v>99.256005417732922</v>
      </c>
      <c r="H57" s="63"/>
    </row>
    <row r="58" spans="1:10">
      <c r="A58" s="724"/>
      <c r="B58" s="766"/>
      <c r="C58" s="723"/>
      <c r="D58" s="767" t="s">
        <v>170</v>
      </c>
      <c r="E58" s="761">
        <v>5819.1692561499676</v>
      </c>
      <c r="F58" s="761">
        <f>+F57*(100-F62)/(100-F61)</f>
        <v>5899.1950941168952</v>
      </c>
      <c r="G58" s="769">
        <f t="shared" si="8"/>
        <v>80.025837966927611</v>
      </c>
      <c r="H58" s="63"/>
    </row>
    <row r="59" spans="1:10">
      <c r="A59" s="724"/>
      <c r="B59" s="766"/>
      <c r="C59" s="723"/>
      <c r="D59" s="767" t="s">
        <v>48</v>
      </c>
      <c r="E59" s="768">
        <v>0.2828701874698471</v>
      </c>
      <c r="F59" s="768">
        <f>[1]actual!AM503</f>
        <v>0.23465404119608593</v>
      </c>
      <c r="G59" s="769">
        <f t="shared" si="8"/>
        <v>-4.8216146273761168E-2</v>
      </c>
      <c r="H59" s="63"/>
    </row>
    <row r="60" spans="1:10">
      <c r="A60" s="724"/>
      <c r="B60" s="766"/>
      <c r="C60" s="723"/>
      <c r="D60" s="767" t="s">
        <v>171</v>
      </c>
      <c r="E60" s="768">
        <v>5.4592154931500581</v>
      </c>
      <c r="F60" s="768">
        <f>[1]actual!AM504</f>
        <v>5.1018932146470766</v>
      </c>
      <c r="G60" s="769">
        <f t="shared" si="8"/>
        <v>-0.35732227850298148</v>
      </c>
      <c r="H60" s="63"/>
    </row>
    <row r="61" spans="1:10">
      <c r="A61" s="724"/>
      <c r="B61" s="766"/>
      <c r="C61" s="723"/>
      <c r="D61" s="767" t="s">
        <v>50</v>
      </c>
      <c r="E61" s="768">
        <v>13.037502932777596</v>
      </c>
      <c r="F61" s="768">
        <f>[1]actual!AM505</f>
        <v>11.582719969415496</v>
      </c>
      <c r="G61" s="769">
        <f t="shared" si="8"/>
        <v>-1.4547829633620992</v>
      </c>
      <c r="H61" s="63"/>
    </row>
    <row r="62" spans="1:10">
      <c r="A62" s="724"/>
      <c r="B62" s="770"/>
      <c r="C62" s="771"/>
      <c r="D62" s="772" t="s">
        <v>51</v>
      </c>
      <c r="E62" s="773">
        <v>17.158914098625349</v>
      </c>
      <c r="F62" s="773">
        <f>[1]actual!AM506</f>
        <v>15.979967872171766</v>
      </c>
      <c r="G62" s="774">
        <f t="shared" si="8"/>
        <v>-1.1789462264535828</v>
      </c>
      <c r="H62" s="63"/>
    </row>
    <row r="63" spans="1:10">
      <c r="B63" s="778"/>
      <c r="C63" s="779"/>
      <c r="D63" s="779"/>
    </row>
    <row r="64" spans="1:10">
      <c r="B64" s="778"/>
      <c r="C64" s="779"/>
      <c r="D64" s="779"/>
    </row>
    <row r="65" spans="2:4">
      <c r="B65" s="778"/>
      <c r="C65" s="779"/>
      <c r="D65" s="779"/>
    </row>
    <row r="66" spans="2:4">
      <c r="B66" s="778"/>
      <c r="C66" s="779"/>
      <c r="D66" s="779"/>
    </row>
    <row r="67" spans="2:4">
      <c r="B67" s="778"/>
      <c r="C67" s="779"/>
      <c r="D67" s="779"/>
    </row>
    <row r="68" spans="2:4">
      <c r="B68" s="778"/>
      <c r="C68" s="779"/>
      <c r="D68" s="779"/>
    </row>
    <row r="69" spans="2:4">
      <c r="B69" s="778"/>
      <c r="C69" s="779"/>
      <c r="D69" s="779"/>
    </row>
    <row r="70" spans="2:4">
      <c r="B70" s="778"/>
      <c r="C70" s="779"/>
      <c r="D70" s="779"/>
    </row>
    <row r="71" spans="2:4">
      <c r="B71" s="778"/>
      <c r="C71" s="779"/>
      <c r="D71" s="779"/>
    </row>
    <row r="72" spans="2:4">
      <c r="B72" s="778"/>
      <c r="C72" s="779"/>
      <c r="D72" s="779"/>
    </row>
    <row r="73" spans="2:4">
      <c r="B73" s="778"/>
      <c r="C73" s="779"/>
      <c r="D73" s="779"/>
    </row>
    <row r="74" spans="2:4">
      <c r="B74" s="778"/>
      <c r="C74" s="779"/>
      <c r="D74" s="779"/>
    </row>
    <row r="83" spans="2:3">
      <c r="B83" s="778"/>
      <c r="C83" s="779"/>
    </row>
    <row r="96" spans="2:3">
      <c r="B96" s="778"/>
      <c r="C96" s="780"/>
    </row>
    <row r="97" spans="2:3">
      <c r="B97" s="778"/>
      <c r="C97" s="779"/>
    </row>
    <row r="98" spans="2:3">
      <c r="B98" s="778"/>
      <c r="C98" s="779"/>
    </row>
    <row r="99" spans="2:3">
      <c r="B99" s="778"/>
      <c r="C99" s="779"/>
    </row>
    <row r="100" spans="2:3">
      <c r="B100" s="778"/>
      <c r="C100" s="779"/>
    </row>
    <row r="101" spans="2:3">
      <c r="B101" s="779"/>
      <c r="C101" s="779"/>
    </row>
    <row r="102" spans="2:3">
      <c r="B102" s="778"/>
      <c r="C102" s="779"/>
    </row>
    <row r="103" spans="2:3">
      <c r="B103" s="778"/>
      <c r="C103" s="779"/>
    </row>
    <row r="104" spans="2:3">
      <c r="B104" s="778"/>
      <c r="C104" s="779"/>
    </row>
    <row r="105" spans="2:3">
      <c r="B105" s="779"/>
      <c r="C105" s="779"/>
    </row>
    <row r="106" spans="2:3">
      <c r="C106" s="77"/>
    </row>
  </sheetData>
  <autoFilter ref="A4:A62">
    <filterColumn colId="0">
      <filters blank="1"/>
    </filterColumn>
  </autoFilter>
  <mergeCells count="3">
    <mergeCell ref="B2:G2"/>
    <mergeCell ref="C4:D4"/>
    <mergeCell ref="E4:F4"/>
  </mergeCells>
  <conditionalFormatting sqref="E19:F20">
    <cfRule type="colorScale" priority="8">
      <colorScale>
        <cfvo type="num" val="0"/>
        <cfvo type="num" val="5000"/>
        <cfvo type="num" val="7000"/>
        <color theme="0"/>
        <color rgb="FFFF7575"/>
        <color rgb="FFFF4747"/>
      </colorScale>
    </cfRule>
  </conditionalFormatting>
  <conditionalFormatting sqref="E21:F21">
    <cfRule type="colorScale" priority="7">
      <colorScale>
        <cfvo type="num" val="0.1"/>
        <cfvo type="num" val="1"/>
        <cfvo type="num" val="3"/>
        <color theme="0"/>
        <color rgb="FFFFFF66"/>
        <color rgb="FFEBE600"/>
      </colorScale>
    </cfRule>
  </conditionalFormatting>
  <conditionalFormatting sqref="E22:F22">
    <cfRule type="colorScale" priority="6">
      <colorScale>
        <cfvo type="num" val="0"/>
        <cfvo type="num" val="5"/>
        <cfvo type="num" val="10"/>
        <color theme="0"/>
        <color theme="0" tint="-0.14999847407452621"/>
        <color theme="0" tint="-0.34998626667073579"/>
      </colorScale>
    </cfRule>
  </conditionalFormatting>
  <conditionalFormatting sqref="E23:F24">
    <cfRule type="colorScale" priority="5">
      <colorScale>
        <cfvo type="num" val="0"/>
        <cfvo type="num" val="10"/>
        <cfvo type="num" val="20"/>
        <color theme="0"/>
        <color theme="3" tint="0.79998168889431442"/>
        <color theme="3" tint="0.59999389629810485"/>
      </colorScale>
    </cfRule>
  </conditionalFormatting>
  <conditionalFormatting sqref="E38:F39">
    <cfRule type="colorScale" priority="12">
      <colorScale>
        <cfvo type="num" val="0"/>
        <cfvo type="num" val="5000"/>
        <cfvo type="num" val="7000"/>
        <color theme="0"/>
        <color rgb="FFFF7575"/>
        <color rgb="FFFF4747"/>
      </colorScale>
    </cfRule>
  </conditionalFormatting>
  <conditionalFormatting sqref="E40:F40">
    <cfRule type="colorScale" priority="11">
      <colorScale>
        <cfvo type="num" val="0.1"/>
        <cfvo type="num" val="1"/>
        <cfvo type="num" val="3"/>
        <color theme="0"/>
        <color rgb="FFFFFF66"/>
        <color rgb="FFEBE600"/>
      </colorScale>
    </cfRule>
  </conditionalFormatting>
  <conditionalFormatting sqref="E41:F41">
    <cfRule type="colorScale" priority="10">
      <colorScale>
        <cfvo type="num" val="0"/>
        <cfvo type="num" val="5"/>
        <cfvo type="num" val="10"/>
        <color theme="0"/>
        <color theme="0" tint="-0.14999847407452621"/>
        <color theme="0" tint="-0.34998626667073579"/>
      </colorScale>
    </cfRule>
  </conditionalFormatting>
  <conditionalFormatting sqref="E42:F43">
    <cfRule type="colorScale" priority="9">
      <colorScale>
        <cfvo type="num" val="0"/>
        <cfvo type="num" val="10"/>
        <cfvo type="num" val="20"/>
        <color theme="0"/>
        <color theme="3" tint="0.79998168889431442"/>
        <color theme="3" tint="0.59999389629810485"/>
      </colorScale>
    </cfRule>
  </conditionalFormatting>
  <conditionalFormatting sqref="E57:F58">
    <cfRule type="colorScale" priority="4">
      <colorScale>
        <cfvo type="num" val="0"/>
        <cfvo type="num" val="5000"/>
        <cfvo type="num" val="7000"/>
        <color theme="0"/>
        <color rgb="FFFF7575"/>
        <color rgb="FFFF4747"/>
      </colorScale>
    </cfRule>
  </conditionalFormatting>
  <conditionalFormatting sqref="E59:F59">
    <cfRule type="colorScale" priority="3">
      <colorScale>
        <cfvo type="num" val="0.1"/>
        <cfvo type="num" val="1"/>
        <cfvo type="num" val="3"/>
        <color theme="0"/>
        <color rgb="FFFFFF66"/>
        <color rgb="FFEBE600"/>
      </colorScale>
    </cfRule>
  </conditionalFormatting>
  <conditionalFormatting sqref="E60:F60">
    <cfRule type="colorScale" priority="2">
      <colorScale>
        <cfvo type="num" val="0"/>
        <cfvo type="num" val="5"/>
        <cfvo type="num" val="10"/>
        <color theme="0"/>
        <color theme="0" tint="-0.14999847407452621"/>
        <color theme="0" tint="-0.34998626667073579"/>
      </colorScale>
    </cfRule>
  </conditionalFormatting>
  <conditionalFormatting sqref="E61:F62">
    <cfRule type="colorScale" priority="1">
      <colorScale>
        <cfvo type="num" val="0"/>
        <cfvo type="num" val="10"/>
        <cfvo type="num" val="20"/>
        <color theme="0"/>
        <color theme="3" tint="0.79998168889431442"/>
        <color theme="3" tint="0.59999389629810485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FF0066"/>
  </sheetPr>
  <dimension ref="A1:AC82"/>
  <sheetViews>
    <sheetView showGridLines="0" tabSelected="1" zoomScale="80" zoomScaleNormal="80" workbookViewId="0">
      <pane ySplit="7" topLeftCell="A46" activePane="bottomLeft" state="frozen"/>
      <selection activeCell="O19" sqref="O19"/>
      <selection pane="bottomLeft" activeCell="D75" sqref="D75"/>
    </sheetView>
  </sheetViews>
  <sheetFormatPr defaultRowHeight="14.5"/>
  <cols>
    <col min="1" max="1" width="18.453125" hidden="1" customWidth="1"/>
    <col min="2" max="2" width="16.08984375" hidden="1" customWidth="1"/>
    <col min="3" max="3" width="2.453125" style="781" customWidth="1"/>
    <col min="4" max="4" width="22.6328125" style="680" customWidth="1"/>
    <col min="5" max="5" width="17.08984375" style="680" customWidth="1"/>
    <col min="6" max="6" width="15.81640625" customWidth="1"/>
    <col min="7" max="16" width="11.6328125" customWidth="1"/>
    <col min="17" max="17" width="24.36328125" customWidth="1"/>
    <col min="18" max="18" width="9.08984375" style="782" hidden="1" customWidth="1"/>
    <col min="19" max="19" width="10.6328125" style="782" hidden="1" customWidth="1"/>
    <col min="20" max="21" width="8.90625" style="782" hidden="1" customWidth="1"/>
    <col min="22" max="23" width="9.453125" style="782" hidden="1" customWidth="1"/>
    <col min="24" max="24" width="1.36328125" style="782" hidden="1" customWidth="1"/>
    <col min="25" max="25" width="12.08984375" style="782" hidden="1" customWidth="1"/>
    <col min="26" max="26" width="10.54296875" customWidth="1"/>
    <col min="27" max="27" width="11.81640625" bestFit="1" customWidth="1"/>
    <col min="28" max="28" width="11.6328125" bestFit="1" customWidth="1"/>
  </cols>
  <sheetData>
    <row r="1" spans="1:28" hidden="1"/>
    <row r="2" spans="1:28" hidden="1">
      <c r="F2" s="680"/>
      <c r="G2" s="680"/>
    </row>
    <row r="3" spans="1:28" ht="15" customHeight="1">
      <c r="D3" s="783">
        <f>D5</f>
        <v>46272.439641550925</v>
      </c>
      <c r="E3" s="783"/>
      <c r="F3" s="783"/>
      <c r="G3" s="783"/>
      <c r="H3" s="783"/>
      <c r="I3" s="783"/>
      <c r="J3" s="783"/>
      <c r="K3" s="783"/>
      <c r="L3" s="783"/>
      <c r="M3" s="783"/>
      <c r="N3" s="783"/>
      <c r="O3" s="783"/>
      <c r="P3" s="783"/>
      <c r="Q3" s="783"/>
    </row>
    <row r="4" spans="1:28" ht="15" customHeight="1">
      <c r="D4" s="783"/>
      <c r="E4" s="783"/>
      <c r="F4" s="783"/>
      <c r="G4" s="783"/>
      <c r="H4" s="783"/>
      <c r="I4" s="783"/>
      <c r="J4" s="783"/>
      <c r="K4" s="783"/>
      <c r="L4" s="783"/>
      <c r="M4" s="783"/>
      <c r="N4" s="783"/>
      <c r="O4" s="783"/>
      <c r="P4" s="783"/>
      <c r="Q4" s="783"/>
    </row>
    <row r="5" spans="1:28" ht="21.5" customHeight="1">
      <c r="C5" s="784">
        <f>'Summary Sep26'!C52</f>
        <v>7</v>
      </c>
      <c r="D5" s="785">
        <f>'Summary Sep26'!G54</f>
        <v>46272.439641550925</v>
      </c>
      <c r="E5" s="785"/>
      <c r="F5" s="785"/>
      <c r="G5" s="785"/>
      <c r="H5" s="785"/>
      <c r="I5" s="785"/>
      <c r="J5" s="785"/>
      <c r="K5" s="785"/>
      <c r="L5" s="785"/>
      <c r="M5" s="785"/>
      <c r="N5" s="785"/>
      <c r="O5" s="785"/>
      <c r="P5" s="785"/>
      <c r="Q5" s="785"/>
    </row>
    <row r="6" spans="1:28">
      <c r="D6" s="786" t="s">
        <v>172</v>
      </c>
      <c r="E6" s="787" t="s">
        <v>173</v>
      </c>
      <c r="F6" s="788"/>
      <c r="G6" s="787" t="s">
        <v>47</v>
      </c>
      <c r="H6" s="788"/>
      <c r="I6" s="787" t="s">
        <v>48</v>
      </c>
      <c r="J6" s="788"/>
      <c r="K6" s="787" t="s">
        <v>171</v>
      </c>
      <c r="L6" s="788"/>
      <c r="M6" s="787" t="s">
        <v>50</v>
      </c>
      <c r="N6" s="788"/>
      <c r="O6" s="787" t="s">
        <v>51</v>
      </c>
      <c r="P6" s="788"/>
      <c r="Q6" s="789" t="s">
        <v>125</v>
      </c>
      <c r="S6" s="790"/>
      <c r="T6" s="791"/>
    </row>
    <row r="7" spans="1:28" ht="15" thickBot="1">
      <c r="D7" s="792"/>
      <c r="E7" s="793" t="s">
        <v>174</v>
      </c>
      <c r="F7" s="794" t="s">
        <v>175</v>
      </c>
      <c r="G7" s="795" t="s">
        <v>174</v>
      </c>
      <c r="H7" s="794" t="s">
        <v>175</v>
      </c>
      <c r="I7" s="795" t="s">
        <v>174</v>
      </c>
      <c r="J7" s="794" t="s">
        <v>175</v>
      </c>
      <c r="K7" s="795" t="s">
        <v>174</v>
      </c>
      <c r="L7" s="794" t="s">
        <v>175</v>
      </c>
      <c r="M7" s="795" t="s">
        <v>174</v>
      </c>
      <c r="N7" s="794" t="s">
        <v>175</v>
      </c>
      <c r="O7" s="795" t="s">
        <v>174</v>
      </c>
      <c r="P7" s="794" t="s">
        <v>175</v>
      </c>
      <c r="Q7" s="796"/>
      <c r="S7" s="790"/>
      <c r="T7" s="791"/>
    </row>
    <row r="8" spans="1:28" ht="15" thickTop="1">
      <c r="C8" s="781" t="str">
        <f>IF(OR(D8="",F8=0),"x","")</f>
        <v/>
      </c>
      <c r="D8" s="797" t="s">
        <v>176</v>
      </c>
      <c r="E8" s="797">
        <f>SUM(E9,E16,E23)</f>
        <v>527535.57975028409</v>
      </c>
      <c r="F8" s="798">
        <f>SUM(F9,F16,F23)</f>
        <v>511307.73998000001</v>
      </c>
      <c r="G8" s="799">
        <f>($E$9*G9+$E$16*G16+$E$23*G23+$E$30*G30)/$E$8</f>
        <v>6529.4191584426417</v>
      </c>
      <c r="H8" s="800">
        <f>($F$9*H9+$F$16*H16+$F$23*H23+$F$30*H30)/$F$8</f>
        <v>6533.1292695651427</v>
      </c>
      <c r="I8" s="801">
        <f>($E$9*I9+$E$16*I16+$E$23*I23+$E$30*I30)/$E$8</f>
        <v>1.0866041295430524</v>
      </c>
      <c r="J8" s="802">
        <f>($F$9*J9+$F$16*J16+$F$23*J23+$F$30*J30)/$F$8</f>
        <v>0.95230377544248279</v>
      </c>
      <c r="K8" s="801">
        <f>($E$9*K9+$E$16*K16+$E$23*K23+$E$30*K30)/$E$8</f>
        <v>4.4611457828911654</v>
      </c>
      <c r="L8" s="802">
        <f>($F$9*L9+$F$16*L16+$F$23*L23+$F$30*L30)/$F$8</f>
        <v>4.3785974489346104</v>
      </c>
      <c r="M8" s="801">
        <f>($E$9*M9+$E$16*M16+$E$23*M23+$E$30*M30)/$E$8</f>
        <v>10.258136907019926</v>
      </c>
      <c r="N8" s="802">
        <f>($F$9*N9+$F$16*N16+$F$23*N23+$F$30*N30)/$F$8</f>
        <v>10.341875241963914</v>
      </c>
      <c r="O8" s="801">
        <f>($E$9*O9+$E$16*O16+$E$23*O23+$E$30*O30)/$E$8</f>
        <v>13.977465611693374</v>
      </c>
      <c r="P8" s="802">
        <f>($F$9*P9+$F$16*P16+$F$23*P23+$F$30*P30)/$F$8</f>
        <v>14.096977103232922</v>
      </c>
      <c r="Q8" s="803"/>
      <c r="S8" s="790"/>
      <c r="T8" s="791"/>
      <c r="Y8" s="804"/>
    </row>
    <row r="9" spans="1:28" ht="15" customHeight="1">
      <c r="A9" t="str">
        <f>LEFT(D9,7)</f>
        <v>ROM 1</v>
      </c>
      <c r="B9" t="str">
        <f>LEFT(D9,5)</f>
        <v>ROM 1</v>
      </c>
      <c r="C9" s="781" t="str">
        <f>IF(OR(D9="",F9=0),"x","")</f>
        <v/>
      </c>
      <c r="D9" s="805" t="s">
        <v>55</v>
      </c>
      <c r="E9" s="806">
        <f>SUM(E10:E15)</f>
        <v>283120.92305926402</v>
      </c>
      <c r="F9" s="807">
        <f>SUM(F10:F15)</f>
        <v>342654.36692</v>
      </c>
      <c r="G9" s="808">
        <f>IFERROR(SUMPRODUCT($E$10:$E$15,G10:G15)/$E$9,0)</f>
        <v>6503.5898273676048</v>
      </c>
      <c r="H9" s="809">
        <f>IFERROR(SUMPRODUCT($F$10:$F$15,H10:H15)/$F$9,0)</f>
        <v>6531.6306320922422</v>
      </c>
      <c r="I9" s="810">
        <f>IFERROR(SUMPRODUCT($E$10:$E$15,I10:I15)/$E$9,0)</f>
        <v>0.54755285635740603</v>
      </c>
      <c r="J9" s="811">
        <f>IFERROR(SUMPRODUCT($F$10:$F$15,J10:J15)/$F$9,0)</f>
        <v>0.56643077644580819</v>
      </c>
      <c r="K9" s="810">
        <f>IFERROR(SUMPRODUCT($E$10:$E$15,K10:K15)/$E$9,0)</f>
        <v>4.4602127805324772</v>
      </c>
      <c r="L9" s="811">
        <f>IFERROR(SUMPRODUCT($F$10:$F$15,L10:L15)/$F$9,0)</f>
        <v>4.2552446095154837</v>
      </c>
      <c r="M9" s="810">
        <f>IFERROR(SUMPRODUCT($E$10:$E$15,M10:M15)/$E$9,0)</f>
        <v>10.545973164991659</v>
      </c>
      <c r="N9" s="811">
        <f>IFERROR(SUMPRODUCT($F$10:$F$15,N10:N15)/$F$9,0)</f>
        <v>10.499661677741376</v>
      </c>
      <c r="O9" s="810">
        <f>IFERROR(SUMPRODUCT($E$10:$E$15,O10:O15)/$E$9,0)</f>
        <v>14.381577217455526</v>
      </c>
      <c r="P9" s="811">
        <f>IFERROR(SUMPRODUCT($F$10:$F$15,P10:P15)/$F$9,0)</f>
        <v>14.358423288713196</v>
      </c>
      <c r="Q9" s="812"/>
      <c r="S9" s="790"/>
      <c r="T9" s="791"/>
      <c r="Z9" s="813" t="s">
        <v>177</v>
      </c>
      <c r="AA9" s="813" t="s">
        <v>178</v>
      </c>
    </row>
    <row r="10" spans="1:28" ht="15" hidden="1" customHeight="1">
      <c r="A10" t="str">
        <f>LEFT(D10,7)</f>
        <v>ROM 1.U</v>
      </c>
      <c r="B10" t="str">
        <f>LEFT(D10,5)</f>
        <v>ROM 1</v>
      </c>
      <c r="C10" s="781" t="str">
        <f>IF(OR(D10="",F10=0),"x","")</f>
        <v>x</v>
      </c>
      <c r="D10" s="814" t="str">
        <f>[1]actual!B192</f>
        <v>ROM 1.U1</v>
      </c>
      <c r="E10" s="815">
        <f>IFERROR(HLOOKUP($C$5,[1]plan!$D$5:$AH$560,R10,0)*1000,0)</f>
        <v>0</v>
      </c>
      <c r="F10" s="816">
        <f>IFERROR(HLOOKUP($C$5,base_all,R10,0)*1000,0)</f>
        <v>0</v>
      </c>
      <c r="G10" s="817">
        <f>IFERROR(HLOOKUP($C$5,[1]plan!$D$5:$AH$560,S10,0),0)</f>
        <v>0</v>
      </c>
      <c r="H10" s="818">
        <f>IFERROR(HLOOKUP($C$5,base_all,S10,0),0)</f>
        <v>0</v>
      </c>
      <c r="I10" s="819">
        <f>IFERROR(HLOOKUP($C$5,[1]plan!$D$5:$AH$560,T10,0),0)</f>
        <v>0</v>
      </c>
      <c r="J10" s="820">
        <f>IFERROR(HLOOKUP($C$5,base_all,T10,0),0)</f>
        <v>0</v>
      </c>
      <c r="K10" s="821">
        <f>IFERROR(HLOOKUP($C$5,[1]plan!$D$5:$AH$560,U10,0),0)</f>
        <v>0</v>
      </c>
      <c r="L10" s="820">
        <f t="shared" ref="L10:L15" si="0">IFERROR(HLOOKUP($C$5,base_all,U10,0),0)</f>
        <v>0</v>
      </c>
      <c r="M10" s="821">
        <f>IFERROR(HLOOKUP($C$5,[1]plan!$D$5:$AH$560,V10,0),0)</f>
        <v>0</v>
      </c>
      <c r="N10" s="820">
        <f>IFERROR(HLOOKUP($C$5,base_all,V10,0),0)</f>
        <v>0</v>
      </c>
      <c r="O10" s="821">
        <f>IFERROR(HLOOKUP($C$5,[1]plan!$D$5:$AH$560,W10,0),0)</f>
        <v>0</v>
      </c>
      <c r="P10" s="820">
        <f t="shared" ref="P10:P15" si="1">IFERROR(HLOOKUP($C$5,base_all,W10,0),0)</f>
        <v>0</v>
      </c>
      <c r="Q10" s="822"/>
      <c r="R10" s="823">
        <f t="shared" ref="R10:R15" si="2">IF(D10="","",VLOOKUP(D10,msy_biangan,44,0))</f>
        <v>188</v>
      </c>
      <c r="S10" s="823">
        <f t="shared" ref="S10:W15" si="3">R10+1</f>
        <v>189</v>
      </c>
      <c r="T10" s="823">
        <f t="shared" si="3"/>
        <v>190</v>
      </c>
      <c r="U10" s="823">
        <f t="shared" si="3"/>
        <v>191</v>
      </c>
      <c r="V10" s="823">
        <f t="shared" si="3"/>
        <v>192</v>
      </c>
      <c r="W10" s="823">
        <f t="shared" si="3"/>
        <v>193</v>
      </c>
      <c r="X10" s="782" t="str">
        <f t="shared" ref="X10:X28" si="4">MID(D10,7,1)</f>
        <v>U</v>
      </c>
    </row>
    <row r="11" spans="1:28" ht="15" customHeight="1">
      <c r="A11" t="str">
        <f t="shared" ref="A11:A33" si="5">LEFT(D11,7)</f>
        <v>ROM 1.B</v>
      </c>
      <c r="B11" t="str">
        <f t="shared" ref="B11:B33" si="6">LEFT(D11,5)</f>
        <v>ROM 1</v>
      </c>
      <c r="C11" s="781" t="str">
        <f>IF(OR(D11="",E11=0),"x","")</f>
        <v/>
      </c>
      <c r="D11" s="814" t="str">
        <f>[1]actual!B198</f>
        <v>ROM 1.B1</v>
      </c>
      <c r="E11" s="815">
        <f>IFERROR(HLOOKUP($C$5,[1]plan!$D$5:$AH$560,R11,0)*1000,0)</f>
        <v>84216.092409999983</v>
      </c>
      <c r="F11" s="816">
        <f>IFERROR(HLOOKUP($C$5,base_all,R11,0)*1000,0)</f>
        <v>65338.776409999991</v>
      </c>
      <c r="G11" s="817">
        <f>IFERROR(HLOOKUP($C$5,[1]plan!$D$5:$AH$560,S11,0),0)</f>
        <v>6591.9835060342757</v>
      </c>
      <c r="H11" s="818">
        <f>IFERROR(HLOOKUP($C$5,base_all,S11,0),0)</f>
        <v>6592.3335205689264</v>
      </c>
      <c r="I11" s="819">
        <f>IFERROR(HLOOKUP($C$5,[1]plan!$D$5:$AH$560,T11,0),0)</f>
        <v>0.54426066620061075</v>
      </c>
      <c r="J11" s="820">
        <f>IFERROR(HLOOKUP($C$5,base_all,T11,0),0)</f>
        <v>0.47357900090768063</v>
      </c>
      <c r="K11" s="821">
        <f>IFERROR(HLOOKUP($C$5,[1]plan!$D$5:$AH$560,U11,0),0)</f>
        <v>4.5485667031433961</v>
      </c>
      <c r="L11" s="820">
        <f t="shared" si="0"/>
        <v>3.7786855528000571</v>
      </c>
      <c r="M11" s="821">
        <f>IFERROR(HLOOKUP($C$5,[1]plan!$D$5:$AH$560,V11,0),0)</f>
        <v>9.5543750138478973</v>
      </c>
      <c r="N11" s="820">
        <f>IFERROR(HLOOKUP($C$5,base_all,V11,0),0)</f>
        <v>9.8393201622220392</v>
      </c>
      <c r="O11" s="821">
        <f>IFERROR(HLOOKUP($C$5,[1]plan!$D$5:$AH$560,W11,0),0)</f>
        <v>13.194080389292678</v>
      </c>
      <c r="P11" s="820">
        <f t="shared" si="1"/>
        <v>13.411366757827567</v>
      </c>
      <c r="Q11" s="822" t="s">
        <v>179</v>
      </c>
      <c r="R11" s="823">
        <f>IF(D11="","",VLOOKUP(D11,msy_biangan,44,0))</f>
        <v>194</v>
      </c>
      <c r="S11" s="823">
        <f t="shared" si="3"/>
        <v>195</v>
      </c>
      <c r="T11" s="823">
        <f t="shared" si="3"/>
        <v>196</v>
      </c>
      <c r="U11" s="823">
        <f t="shared" si="3"/>
        <v>197</v>
      </c>
      <c r="V11" s="823">
        <f t="shared" si="3"/>
        <v>198</v>
      </c>
      <c r="W11" s="823">
        <f t="shared" si="3"/>
        <v>199</v>
      </c>
      <c r="X11" s="782" t="str">
        <f t="shared" si="4"/>
        <v>B</v>
      </c>
      <c r="Z11" s="824">
        <v>5067.0918025000001</v>
      </c>
      <c r="AA11" s="824">
        <f>F11-Z11</f>
        <v>60271.684607499992</v>
      </c>
    </row>
    <row r="12" spans="1:28" ht="15" customHeight="1">
      <c r="A12" t="str">
        <f t="shared" si="5"/>
        <v>ROM 1.B</v>
      </c>
      <c r="B12" t="str">
        <f t="shared" si="6"/>
        <v>ROM 1</v>
      </c>
      <c r="C12" s="781" t="str">
        <f t="shared" ref="C12:C37" si="7">IF(OR(D12="",F12=0),"x","")</f>
        <v/>
      </c>
      <c r="D12" s="814" t="str">
        <f>[1]actual!B204</f>
        <v>ROM 1.B2</v>
      </c>
      <c r="E12" s="815">
        <f>IFERROR(HLOOKUP($C$5,[1]plan!$D$5:$AH$560,R12,0)*1000,0)</f>
        <v>128636.25028926402</v>
      </c>
      <c r="F12" s="816">
        <f t="shared" ref="F12:F15" si="8">IFERROR(HLOOKUP($C$5,base_all,R12,0)*1000,0)</f>
        <v>202567.31015000003</v>
      </c>
      <c r="G12" s="817">
        <f>IFERROR(HLOOKUP($C$5,[1]plan!$D$5:$AH$560,S12,0),0)</f>
        <v>6672.1135488299606</v>
      </c>
      <c r="H12" s="818">
        <f>IFERROR(HLOOKUP($C$5,base_all,S12,0),0)</f>
        <v>6680.5344953463155</v>
      </c>
      <c r="I12" s="819">
        <f>IFERROR(HLOOKUP($C$5,[1]plan!$D$5:$AH$560,T12,0),0)</f>
        <v>0.69451323211775118</v>
      </c>
      <c r="J12" s="820">
        <f>IFERROR(HLOOKUP($C$5,base_all,T12,0),0)</f>
        <v>0.69914920128295188</v>
      </c>
      <c r="K12" s="821">
        <f>IFERROR(HLOOKUP($C$5,[1]plan!$D$5:$AH$560,U12,0),0)</f>
        <v>3.6922838588750988</v>
      </c>
      <c r="L12" s="820">
        <f t="shared" si="0"/>
        <v>3.7167740409752654</v>
      </c>
      <c r="M12" s="821">
        <f>IFERROR(HLOOKUP($C$5,[1]plan!$D$5:$AH$560,V12,0),0)</f>
        <v>9.8589565368817595</v>
      </c>
      <c r="N12" s="820">
        <f>IFERROR(HLOOKUP($C$5,base_all,V12,0),0)</f>
        <v>9.7858469149513549</v>
      </c>
      <c r="O12" s="821">
        <f>IFERROR(HLOOKUP($C$5,[1]plan!$D$5:$AH$560,W12,0),0)</f>
        <v>13.690502745053156</v>
      </c>
      <c r="P12" s="820">
        <f t="shared" si="1"/>
        <v>13.649154972757202</v>
      </c>
      <c r="Q12" s="822" t="s">
        <v>180</v>
      </c>
      <c r="R12" s="823">
        <f t="shared" si="2"/>
        <v>200</v>
      </c>
      <c r="S12" s="823">
        <f t="shared" si="3"/>
        <v>201</v>
      </c>
      <c r="T12" s="823">
        <f t="shared" si="3"/>
        <v>202</v>
      </c>
      <c r="U12" s="823">
        <f t="shared" si="3"/>
        <v>203</v>
      </c>
      <c r="V12" s="823">
        <f t="shared" si="3"/>
        <v>204</v>
      </c>
      <c r="W12" s="823">
        <f t="shared" si="3"/>
        <v>205</v>
      </c>
      <c r="X12" s="782" t="str">
        <f t="shared" si="4"/>
        <v>B</v>
      </c>
      <c r="Z12" s="824">
        <v>17206.457368099997</v>
      </c>
      <c r="AA12" s="824">
        <f t="shared" ref="AA12:AA13" si="9">F12-Z12</f>
        <v>185360.85278190003</v>
      </c>
    </row>
    <row r="13" spans="1:28" ht="15" customHeight="1">
      <c r="A13" t="str">
        <f t="shared" si="5"/>
        <v>ROM 1.B</v>
      </c>
      <c r="B13" t="str">
        <f t="shared" si="6"/>
        <v>ROM 1</v>
      </c>
      <c r="C13" s="781" t="str">
        <f t="shared" si="7"/>
        <v/>
      </c>
      <c r="D13" s="814" t="str">
        <f>[1]actual!B210</f>
        <v>ROM 1.B3</v>
      </c>
      <c r="E13" s="815">
        <f>IFERROR(HLOOKUP($C$5,[1]plan!$D$5:$AH$560,R13,0)*1000,0)</f>
        <v>70268.580360000007</v>
      </c>
      <c r="F13" s="816">
        <f t="shared" si="8"/>
        <v>74748.28035999999</v>
      </c>
      <c r="G13" s="817">
        <f>IFERROR(HLOOKUP($C$5,[1]plan!$D$5:$AH$560,S13,0),0)</f>
        <v>6089.1452822300516</v>
      </c>
      <c r="H13" s="818">
        <f>IFERROR(HLOOKUP($C$5,base_all,S13,0),0)</f>
        <v>6075.0407634883331</v>
      </c>
      <c r="I13" s="819">
        <f>IFERROR(HLOOKUP($C$5,[1]plan!$D$5:$AH$560,T13,0),0)</f>
        <v>0.28246743420990716</v>
      </c>
      <c r="J13" s="820">
        <f>IFERROR(HLOOKUP($C$5,base_all,T13,0),0)</f>
        <v>0.28792814300478453</v>
      </c>
      <c r="K13" s="821">
        <f>IFERROR(HLOOKUP($C$5,[1]plan!$D$5:$AH$560,U13,0),0)</f>
        <v>5.7601205684987216</v>
      </c>
      <c r="L13" s="820">
        <f t="shared" si="0"/>
        <v>6.1310646235910937</v>
      </c>
      <c r="M13" s="821">
        <f>IFERROR(HLOOKUP($C$5,[1]plan!$D$5:$AH$560,V13,0),0)</f>
        <v>12.992070177001075</v>
      </c>
      <c r="N13" s="820">
        <f>IFERROR(HLOOKUP($C$5,base_all,V13,0),0)</f>
        <v>13.011310670551639</v>
      </c>
      <c r="O13" s="821">
        <f>IFERROR(HLOOKUP($C$5,[1]plan!$D$5:$AH$560,W13,0),0)</f>
        <v>17.069884999537166</v>
      </c>
      <c r="P13" s="820">
        <f t="shared" si="1"/>
        <v>17.108374041653736</v>
      </c>
      <c r="Q13" s="822" t="s">
        <v>181</v>
      </c>
      <c r="R13" s="823">
        <f t="shared" si="2"/>
        <v>206</v>
      </c>
      <c r="S13" s="823">
        <f t="shared" si="3"/>
        <v>207</v>
      </c>
      <c r="T13" s="823">
        <f t="shared" si="3"/>
        <v>208</v>
      </c>
      <c r="U13" s="823">
        <f t="shared" si="3"/>
        <v>209</v>
      </c>
      <c r="V13" s="823">
        <f t="shared" si="3"/>
        <v>210</v>
      </c>
      <c r="W13" s="823">
        <f t="shared" si="3"/>
        <v>211</v>
      </c>
      <c r="X13" s="782" t="str">
        <f t="shared" si="4"/>
        <v>B</v>
      </c>
      <c r="Z13" s="824">
        <v>4785.7625816</v>
      </c>
      <c r="AA13" s="824">
        <f t="shared" si="9"/>
        <v>69962.517778399982</v>
      </c>
      <c r="AB13" s="825"/>
    </row>
    <row r="14" spans="1:28" ht="15" hidden="1" customHeight="1">
      <c r="A14" t="str">
        <f t="shared" si="5"/>
        <v>ROM 1.B</v>
      </c>
      <c r="B14" t="str">
        <f t="shared" si="6"/>
        <v>ROM 1</v>
      </c>
      <c r="C14" s="781" t="str">
        <f t="shared" si="7"/>
        <v>x</v>
      </c>
      <c r="D14" s="814" t="str">
        <f>[1]actual!B216</f>
        <v>ROM 1.B4</v>
      </c>
      <c r="E14" s="815">
        <v>0</v>
      </c>
      <c r="F14" s="816">
        <f t="shared" si="8"/>
        <v>0</v>
      </c>
      <c r="G14" s="817">
        <v>0</v>
      </c>
      <c r="H14" s="818">
        <v>0</v>
      </c>
      <c r="I14" s="817">
        <f>IFERROR(HLOOKUP($C$5,[1]plan!$D$5:$AH$560,T14,0),0)</f>
        <v>0</v>
      </c>
      <c r="J14" s="820">
        <f t="shared" ref="J14" si="10">IFERROR(HLOOKUP($C$5,base_all,T14,0),0)</f>
        <v>0</v>
      </c>
      <c r="K14" s="821">
        <f>IFERROR(HLOOKUP($C$5,[1]plan!$D$5:$AH$560,U14,0),0)</f>
        <v>0</v>
      </c>
      <c r="L14" s="820">
        <f t="shared" si="0"/>
        <v>0</v>
      </c>
      <c r="M14" s="821">
        <f>IFERROR(HLOOKUP($C$5,[1]plan!$D$5:$AH$560,V14,0),0)</f>
        <v>0</v>
      </c>
      <c r="N14" s="820">
        <f t="shared" ref="N14" si="11">IFERROR(HLOOKUP($C$5,base_all,V14,0),0)</f>
        <v>0</v>
      </c>
      <c r="O14" s="821">
        <f>IFERROR(HLOOKUP($C$5,[1]plan!$D$5:$AH$560,W14,0),0)</f>
        <v>0</v>
      </c>
      <c r="P14" s="820">
        <f t="shared" ref="P14" si="12">IFERROR(HLOOKUP($C$5,base_all,W14,0),0)</f>
        <v>0</v>
      </c>
      <c r="Q14" s="822" t="s">
        <v>182</v>
      </c>
      <c r="R14" s="823">
        <f t="shared" si="2"/>
        <v>212</v>
      </c>
      <c r="S14" s="823">
        <f t="shared" si="3"/>
        <v>213</v>
      </c>
      <c r="T14" s="823">
        <f t="shared" si="3"/>
        <v>214</v>
      </c>
      <c r="U14" s="823">
        <f t="shared" si="3"/>
        <v>215</v>
      </c>
      <c r="V14" s="823">
        <f t="shared" si="3"/>
        <v>216</v>
      </c>
      <c r="W14" s="823">
        <f t="shared" si="3"/>
        <v>217</v>
      </c>
      <c r="X14" s="782" t="str">
        <f t="shared" si="4"/>
        <v>B</v>
      </c>
      <c r="AA14" s="825"/>
      <c r="AB14" s="825"/>
    </row>
    <row r="15" spans="1:28" ht="15" hidden="1" customHeight="1">
      <c r="A15" t="str">
        <f t="shared" si="5"/>
        <v/>
      </c>
      <c r="B15" t="str">
        <f t="shared" si="6"/>
        <v/>
      </c>
      <c r="C15" s="781" t="str">
        <f t="shared" si="7"/>
        <v>x</v>
      </c>
      <c r="D15" s="814" t="str">
        <f>[1]actual!B222</f>
        <v/>
      </c>
      <c r="E15" s="815">
        <v>0</v>
      </c>
      <c r="F15" s="826">
        <f t="shared" si="8"/>
        <v>0</v>
      </c>
      <c r="G15" s="827">
        <v>0</v>
      </c>
      <c r="H15" s="828">
        <v>0</v>
      </c>
      <c r="I15" s="827">
        <f>IFERROR(HLOOKUP($C$5,[1]plan!$D$5:$AH$560,T15,0),0)</f>
        <v>0</v>
      </c>
      <c r="J15" s="829">
        <f>IFERROR(HLOOKUP($C$5,base_all,T15,0),0)</f>
        <v>0</v>
      </c>
      <c r="K15" s="821">
        <f>IFERROR(HLOOKUP($C$5,[1]plan!$D$5:$AH$560,U15,0),0)</f>
        <v>0</v>
      </c>
      <c r="L15" s="829">
        <f t="shared" si="0"/>
        <v>0</v>
      </c>
      <c r="M15" s="821">
        <f>IFERROR(HLOOKUP($C$5,[1]plan!$D$5:$AH$560,V15,0),0)</f>
        <v>0</v>
      </c>
      <c r="N15" s="829">
        <f>IFERROR(HLOOKUP($C$5,base_all,V15,0),0)</f>
        <v>0</v>
      </c>
      <c r="O15" s="821">
        <f>IFERROR(HLOOKUP($C$5,[1]plan!$D$5:$AH$560,W15,0),0)</f>
        <v>0</v>
      </c>
      <c r="P15" s="829">
        <f t="shared" si="1"/>
        <v>0</v>
      </c>
      <c r="Q15" s="822"/>
      <c r="R15" s="823" t="str">
        <f t="shared" si="2"/>
        <v/>
      </c>
      <c r="S15" s="823" t="e">
        <f t="shared" si="3"/>
        <v>#VALUE!</v>
      </c>
      <c r="T15" s="823" t="e">
        <f t="shared" si="3"/>
        <v>#VALUE!</v>
      </c>
      <c r="U15" s="823" t="e">
        <f t="shared" si="3"/>
        <v>#VALUE!</v>
      </c>
      <c r="V15" s="823" t="e">
        <f t="shared" si="3"/>
        <v>#VALUE!</v>
      </c>
      <c r="W15" s="823" t="e">
        <f t="shared" si="3"/>
        <v>#VALUE!</v>
      </c>
      <c r="X15" s="782" t="str">
        <f t="shared" si="4"/>
        <v/>
      </c>
      <c r="AA15" s="825"/>
      <c r="AB15" s="825"/>
    </row>
    <row r="16" spans="1:28">
      <c r="A16" t="str">
        <f t="shared" si="5"/>
        <v>ROM 4</v>
      </c>
      <c r="B16" t="str">
        <f t="shared" si="6"/>
        <v>ROM 4</v>
      </c>
      <c r="C16" s="781" t="str">
        <f t="shared" si="7"/>
        <v/>
      </c>
      <c r="D16" s="805" t="s">
        <v>57</v>
      </c>
      <c r="E16" s="806">
        <f>SUM(E17:E22)</f>
        <v>244414.65669102001</v>
      </c>
      <c r="F16" s="807">
        <f>SUM(F17:F22)</f>
        <v>168653.37306000001</v>
      </c>
      <c r="G16" s="808">
        <f>IFERROR(SUMPRODUCT($E$17:$E$22,G17:G22)/$E$16,0)</f>
        <v>6559.3389028432921</v>
      </c>
      <c r="H16" s="809">
        <f>IFERROR(SUMPRODUCT($F$17:$F$22,H17:H22)/$F$16,0)</f>
        <v>6536.1740629493625</v>
      </c>
      <c r="I16" s="810">
        <f>IFERROR(SUMPRODUCT($E$17:$E$22,I17:I22)/$E$16,0)</f>
        <v>1.7110212414575974</v>
      </c>
      <c r="J16" s="811">
        <f>IFERROR(SUMPRODUCT($F$17:$F$22,J17:J22)/$F$16,0)</f>
        <v>1.7362849421618016</v>
      </c>
      <c r="K16" s="810">
        <f>IFERROR(SUMPRODUCT($E$17:$E$22,K17:K22)/$E$16,0)</f>
        <v>4.4622265384096131</v>
      </c>
      <c r="L16" s="811">
        <f>IFERROR(SUMPRODUCT($F$17:$F$22,L17:L22)/$F$16,0)</f>
        <v>4.6292143700910469</v>
      </c>
      <c r="M16" s="810">
        <f>IFERROR(SUMPRODUCT($E$17:$E$22,M17:M22)/$E$16,0)</f>
        <v>9.9247180026458679</v>
      </c>
      <c r="N16" s="811">
        <f>IFERROR(SUMPRODUCT($F$17:$F$22,N17:N22)/$F$16,0)</f>
        <v>10.021299315856254</v>
      </c>
      <c r="O16" s="810">
        <f>IFERROR(SUMPRODUCT($E$17:$E$22,O17:O22)/$E$16,0)</f>
        <v>13.509357633263191</v>
      </c>
      <c r="P16" s="811">
        <f>IFERROR(SUMPRODUCT($F$17:$F$22,P17:P22)/$F$16,0)</f>
        <v>13.5657948591783</v>
      </c>
      <c r="Q16" s="812"/>
      <c r="X16" s="782" t="str">
        <f t="shared" si="4"/>
        <v/>
      </c>
      <c r="Z16" s="824"/>
      <c r="AA16" s="824"/>
      <c r="AB16" s="825"/>
    </row>
    <row r="17" spans="1:28" ht="15" hidden="1" customHeight="1">
      <c r="A17" t="str">
        <f t="shared" si="5"/>
        <v>ROM 4.U</v>
      </c>
      <c r="B17" t="str">
        <f t="shared" si="6"/>
        <v>ROM 4</v>
      </c>
      <c r="C17" s="781" t="str">
        <f t="shared" si="7"/>
        <v>x</v>
      </c>
      <c r="D17" s="814" t="str">
        <f>[1]actual!B234</f>
        <v>ROM 4.U1</v>
      </c>
      <c r="E17" s="815">
        <f>IFERROR(HLOOKUP($C$5,[1]plan!$D$5:$AH$560,R17,0)*1000,0)</f>
        <v>0</v>
      </c>
      <c r="F17" s="816">
        <f t="shared" ref="F17:F22" si="13">IFERROR(HLOOKUP($C$5,base_all,R17,0)*1000,0)</f>
        <v>0</v>
      </c>
      <c r="G17" s="817">
        <f>IFERROR(HLOOKUP($C$5,[1]plan!$D$5:$AH$560,S17,0),0)</f>
        <v>0</v>
      </c>
      <c r="H17" s="818">
        <f>IFERROR(HLOOKUP($C$5,base_all,S17,0),0)</f>
        <v>0</v>
      </c>
      <c r="I17" s="819">
        <f>IFERROR(HLOOKUP($C$5,[1]plan!$D$5:$AH$560,T17,0),0)</f>
        <v>0</v>
      </c>
      <c r="J17" s="820">
        <f>IFERROR(HLOOKUP($C$5,base_all,T17,0),0)</f>
        <v>0</v>
      </c>
      <c r="K17" s="821">
        <f>IFERROR(HLOOKUP($C$5,[1]plan!$D$5:$AH$560,U17,0),0)</f>
        <v>0</v>
      </c>
      <c r="L17" s="820">
        <f>IFERROR(HLOOKUP($C$5,base_all,U17,0),0)</f>
        <v>0</v>
      </c>
      <c r="M17" s="821">
        <f>IFERROR(HLOOKUP($C$5,[1]plan!$D$5:$AH$560,V17,0),0)</f>
        <v>0</v>
      </c>
      <c r="N17" s="820">
        <f>IFERROR(HLOOKUP($C$5,base_all,V17,0),0)</f>
        <v>0</v>
      </c>
      <c r="O17" s="821">
        <f>IFERROR(HLOOKUP($C$5,[1]plan!$D$5:$AH$560,W17,0),0)</f>
        <v>0</v>
      </c>
      <c r="P17" s="820">
        <f t="shared" ref="P17:P22" si="14">IFERROR(HLOOKUP($C$5,base_all,W17,0),0)</f>
        <v>0</v>
      </c>
      <c r="Q17" s="822"/>
      <c r="R17" s="823">
        <f t="shared" ref="R17:R22" si="15">IF(D17="","",VLOOKUP(D17,msy_biangan,44,0))</f>
        <v>230</v>
      </c>
      <c r="S17" s="823">
        <f t="shared" ref="S17:W22" si="16">R17+1</f>
        <v>231</v>
      </c>
      <c r="T17" s="823">
        <f t="shared" si="16"/>
        <v>232</v>
      </c>
      <c r="U17" s="823">
        <f t="shared" si="16"/>
        <v>233</v>
      </c>
      <c r="V17" s="823">
        <f t="shared" si="16"/>
        <v>234</v>
      </c>
      <c r="W17" s="823">
        <f t="shared" si="16"/>
        <v>235</v>
      </c>
      <c r="X17" s="782" t="str">
        <f t="shared" si="4"/>
        <v>U</v>
      </c>
      <c r="Z17" s="830"/>
      <c r="AA17" s="831"/>
      <c r="AB17" s="832"/>
    </row>
    <row r="18" spans="1:28" ht="15" customHeight="1">
      <c r="A18" t="str">
        <f t="shared" si="5"/>
        <v>ROM 4.B</v>
      </c>
      <c r="B18" t="str">
        <f t="shared" si="6"/>
        <v>ROM 4</v>
      </c>
      <c r="C18" s="781" t="str">
        <f t="shared" si="7"/>
        <v/>
      </c>
      <c r="D18" s="814" t="str">
        <f>[1]actual!B240</f>
        <v>ROM 4.B1</v>
      </c>
      <c r="E18" s="815">
        <f>IFERROR(HLOOKUP($C$5,[1]plan!$D$5:$AH$560,R18,0)*1000,0)</f>
        <v>139913.84724999999</v>
      </c>
      <c r="F18" s="816">
        <f t="shared" si="13"/>
        <v>97100.432849999997</v>
      </c>
      <c r="G18" s="817">
        <f>IFERROR(HLOOKUP($C$5,[1]plan!$D$5:$AH$560,S18,0),0)</f>
        <v>6605.9290182548302</v>
      </c>
      <c r="H18" s="818">
        <f>IFERROR(HLOOKUP($C$5,base_all,S18,0),0)</f>
        <v>6579.6769999375911</v>
      </c>
      <c r="I18" s="819">
        <f>IFERROR(HLOOKUP($C$5,[1]plan!$D$5:$AH$560,T18,0),0)</f>
        <v>1.3960974694507362</v>
      </c>
      <c r="J18" s="820">
        <f>IFERROR(HLOOKUP($C$5,base_all,T18,0),0)</f>
        <v>1.4367207254195975</v>
      </c>
      <c r="K18" s="821">
        <f>IFERROR(HLOOKUP($C$5,[1]plan!$D$5:$AH$560,U18,0),0)</f>
        <v>4.4305845740941248</v>
      </c>
      <c r="L18" s="820">
        <f>IFERROR(HLOOKUP($C$5,base_all,U18,0),0)</f>
        <v>4.5900828358276025</v>
      </c>
      <c r="M18" s="821">
        <f>IFERROR(HLOOKUP($C$5,[1]plan!$D$5:$AH$560,V18,0),0)</f>
        <v>9.5817759259225053</v>
      </c>
      <c r="N18" s="820">
        <f>IFERROR(HLOOKUP($C$5,base_all,V18,0),0)</f>
        <v>9.7124021706044772</v>
      </c>
      <c r="O18" s="821">
        <f>IFERROR(HLOOKUP($C$5,[1]plan!$D$5:$AH$560,W18,0),0)</f>
        <v>13.248556529093346</v>
      </c>
      <c r="P18" s="820">
        <f t="shared" si="14"/>
        <v>13.312506210449499</v>
      </c>
      <c r="Q18" s="822" t="s">
        <v>183</v>
      </c>
      <c r="R18" s="823">
        <f t="shared" si="15"/>
        <v>236</v>
      </c>
      <c r="S18" s="823">
        <f t="shared" si="16"/>
        <v>237</v>
      </c>
      <c r="T18" s="823">
        <f t="shared" si="16"/>
        <v>238</v>
      </c>
      <c r="U18" s="823">
        <f t="shared" si="16"/>
        <v>239</v>
      </c>
      <c r="V18" s="823">
        <f t="shared" si="16"/>
        <v>240</v>
      </c>
      <c r="W18" s="823">
        <f t="shared" si="16"/>
        <v>241</v>
      </c>
      <c r="X18" s="782" t="str">
        <f t="shared" si="4"/>
        <v>B</v>
      </c>
      <c r="Z18" s="824">
        <v>10675.12664855</v>
      </c>
      <c r="AA18" s="824">
        <f t="shared" ref="AA18:AA19" si="17">F18-Z18</f>
        <v>86425.306201450003</v>
      </c>
      <c r="AB18" s="825"/>
    </row>
    <row r="19" spans="1:28" ht="15" customHeight="1" thickBot="1">
      <c r="A19" t="str">
        <f t="shared" si="5"/>
        <v>ROM 4.B</v>
      </c>
      <c r="B19" t="str">
        <f t="shared" si="6"/>
        <v>ROM 4</v>
      </c>
      <c r="C19" s="781" t="str">
        <f t="shared" si="7"/>
        <v/>
      </c>
      <c r="D19" s="814" t="str">
        <f>[1]actual!B246</f>
        <v>ROM 4.B2</v>
      </c>
      <c r="E19" s="815">
        <f>IFERROR(HLOOKUP($C$5,[1]plan!$D$5:$AH$560,R19,0)*1000,0)</f>
        <v>104500.80944102001</v>
      </c>
      <c r="F19" s="816">
        <f t="shared" si="13"/>
        <v>71552.940210000001</v>
      </c>
      <c r="G19" s="817">
        <f>IFERROR(HLOOKUP($C$5,[1]plan!$D$5:$AH$560,S19,0),0)</f>
        <v>6496.9604167251637</v>
      </c>
      <c r="H19" s="818">
        <f>IFERROR(HLOOKUP($C$5,base_all,S19,0),0)</f>
        <v>6477.1386969755013</v>
      </c>
      <c r="I19" s="819">
        <f>IFERROR(HLOOKUP($C$5,[1]plan!$D$5:$AH$560,T19,0),0)</f>
        <v>2.1326657891663916</v>
      </c>
      <c r="J19" s="820">
        <f>IFERROR(HLOOKUP($C$5,base_all,T19,0),0)</f>
        <v>2.1428065334013748</v>
      </c>
      <c r="K19" s="821">
        <f>IFERROR(HLOOKUP($C$5,[1]plan!$D$5:$AH$560,U19,0),0)</f>
        <v>4.5045912720954879</v>
      </c>
      <c r="L19" s="820">
        <f>IFERROR(HLOOKUP($C$5,base_all,U19,0),0)</f>
        <v>4.6823175536068238</v>
      </c>
      <c r="M19" s="821">
        <f>IFERROR(HLOOKUP($C$5,[1]plan!$D$5:$AH$560,V19,0),0)</f>
        <v>10.383875645490267</v>
      </c>
      <c r="N19" s="820">
        <f>IFERROR(HLOOKUP($C$5,base_all,V19,0),0)</f>
        <v>10.440486094513394</v>
      </c>
      <c r="O19" s="821">
        <f>IFERROR(HLOOKUP($C$5,[1]plan!$D$5:$AH$560,W19,0),0)</f>
        <v>13.858538525225999</v>
      </c>
      <c r="P19" s="820">
        <f t="shared" si="14"/>
        <v>13.909518504291643</v>
      </c>
      <c r="Q19" s="822" t="s">
        <v>184</v>
      </c>
      <c r="R19" s="823">
        <f t="shared" si="15"/>
        <v>242</v>
      </c>
      <c r="S19" s="823">
        <f t="shared" si="16"/>
        <v>243</v>
      </c>
      <c r="T19" s="823">
        <f t="shared" si="16"/>
        <v>244</v>
      </c>
      <c r="U19" s="823">
        <f t="shared" si="16"/>
        <v>245</v>
      </c>
      <c r="V19" s="823">
        <f t="shared" si="16"/>
        <v>246</v>
      </c>
      <c r="W19" s="823">
        <f t="shared" si="16"/>
        <v>247</v>
      </c>
      <c r="X19" s="782" t="str">
        <f t="shared" si="4"/>
        <v>B</v>
      </c>
      <c r="Z19" s="833">
        <v>5124.5177619999995</v>
      </c>
      <c r="AA19" s="824">
        <f t="shared" si="17"/>
        <v>66428.422447999998</v>
      </c>
      <c r="AB19" s="832"/>
    </row>
    <row r="20" spans="1:28" ht="15" hidden="1" customHeight="1">
      <c r="A20" t="str">
        <f t="shared" si="5"/>
        <v/>
      </c>
      <c r="B20" t="str">
        <f t="shared" si="6"/>
        <v/>
      </c>
      <c r="C20" s="781" t="str">
        <f t="shared" si="7"/>
        <v>x</v>
      </c>
      <c r="D20" s="814" t="str">
        <f>[1]actual!B252</f>
        <v/>
      </c>
      <c r="E20" s="815">
        <f>IFERROR(HLOOKUP($C$5,[1]plan!$D$5:$AH$560,R20,0)*1000,0)</f>
        <v>0</v>
      </c>
      <c r="F20" s="816">
        <f t="shared" si="13"/>
        <v>0</v>
      </c>
      <c r="G20" s="817">
        <f>IFERROR(HLOOKUP($C$5,[1]plan!$D$5:$AH$560,S20,0),0)</f>
        <v>0</v>
      </c>
      <c r="H20" s="818">
        <f t="shared" ref="H20" si="18">IFERROR(HLOOKUP($C$5,base_all,S20,0),0)</f>
        <v>0</v>
      </c>
      <c r="I20" s="819">
        <f>IFERROR(HLOOKUP($C$5,[1]plan!$D$5:$AH$560,T20,0),0)</f>
        <v>0</v>
      </c>
      <c r="J20" s="820">
        <f t="shared" ref="J20" si="19">IFERROR(HLOOKUP($C$5,base_all,T20,0),0)</f>
        <v>0</v>
      </c>
      <c r="K20" s="821">
        <f>IFERROR(HLOOKUP($C$5,[1]plan!$D$5:$AH$560,U20,0),0)</f>
        <v>0</v>
      </c>
      <c r="L20" s="820">
        <f t="shared" ref="L20" si="20">IFERROR(HLOOKUP($C$5,base_all,U20,0),0)</f>
        <v>0</v>
      </c>
      <c r="M20" s="821">
        <f>IFERROR(HLOOKUP($C$5,[1]plan!$D$5:$AH$560,V20,0),0)</f>
        <v>0</v>
      </c>
      <c r="N20" s="820">
        <f t="shared" ref="N20" si="21">IFERROR(HLOOKUP($C$5,base_all,V20,0),0)</f>
        <v>0</v>
      </c>
      <c r="O20" s="821">
        <f>IFERROR(HLOOKUP($C$5,[1]plan!$D$5:$AH$560,W20,0),0)</f>
        <v>0</v>
      </c>
      <c r="P20" s="820">
        <f t="shared" ref="P20" si="22">IFERROR(HLOOKUP($C$5,base_all,W20,0),0)</f>
        <v>0</v>
      </c>
      <c r="Q20" s="822"/>
      <c r="R20" s="823" t="str">
        <f t="shared" si="15"/>
        <v/>
      </c>
      <c r="S20" s="823" t="e">
        <f t="shared" si="16"/>
        <v>#VALUE!</v>
      </c>
      <c r="T20" s="823" t="e">
        <f t="shared" si="16"/>
        <v>#VALUE!</v>
      </c>
      <c r="U20" s="823" t="e">
        <f t="shared" si="16"/>
        <v>#VALUE!</v>
      </c>
      <c r="V20" s="823" t="e">
        <f t="shared" si="16"/>
        <v>#VALUE!</v>
      </c>
      <c r="W20" s="823" t="e">
        <f t="shared" si="16"/>
        <v>#VALUE!</v>
      </c>
      <c r="X20" s="782" t="str">
        <f t="shared" si="4"/>
        <v/>
      </c>
      <c r="Z20" s="834"/>
      <c r="AA20" s="834"/>
    </row>
    <row r="21" spans="1:28" ht="15" hidden="1" customHeight="1">
      <c r="A21" t="str">
        <f t="shared" si="5"/>
        <v/>
      </c>
      <c r="B21" t="str">
        <f t="shared" si="6"/>
        <v/>
      </c>
      <c r="C21" s="781" t="str">
        <f t="shared" si="7"/>
        <v>x</v>
      </c>
      <c r="D21" s="814" t="str">
        <f>[1]actual!B258</f>
        <v/>
      </c>
      <c r="E21" s="815">
        <f>IFERROR(HLOOKUP($C$5,[1]plan!$D$5:$AH$560,R21,0)*1000,0)</f>
        <v>0</v>
      </c>
      <c r="F21" s="816">
        <f t="shared" si="13"/>
        <v>0</v>
      </c>
      <c r="G21" s="817">
        <f>IFERROR(HLOOKUP($C$5,[1]plan!$D$5:$AH$560,S21,0),0)</f>
        <v>0</v>
      </c>
      <c r="H21" s="818">
        <f>IFERROR(HLOOKUP($C$5,base_all,S21,0),0)</f>
        <v>0</v>
      </c>
      <c r="I21" s="819">
        <f>IFERROR(HLOOKUP($C$5,[1]plan!$D$5:$AH$560,T21,0),0)</f>
        <v>0</v>
      </c>
      <c r="J21" s="820">
        <f>IFERROR(HLOOKUP($C$5,base_all,T21,0),0)</f>
        <v>0</v>
      </c>
      <c r="K21" s="821">
        <f>IFERROR(HLOOKUP($C$5,[1]plan!$D$5:$AH$560,U21,0),0)</f>
        <v>0</v>
      </c>
      <c r="L21" s="820">
        <f>IFERROR(HLOOKUP($C$5,base_all,U21,0),0)</f>
        <v>0</v>
      </c>
      <c r="M21" s="821">
        <f>IFERROR(HLOOKUP($C$5,[1]plan!$D$5:$AH$560,V21,0),0)</f>
        <v>0</v>
      </c>
      <c r="N21" s="820">
        <f>IFERROR(HLOOKUP($C$5,base_all,V21,0),0)</f>
        <v>0</v>
      </c>
      <c r="O21" s="821">
        <f>IFERROR(HLOOKUP($C$5,[1]plan!$D$5:$AH$560,W21,0),0)</f>
        <v>0</v>
      </c>
      <c r="P21" s="820">
        <f t="shared" si="14"/>
        <v>0</v>
      </c>
      <c r="Q21" s="822"/>
      <c r="R21" s="823" t="str">
        <f t="shared" si="15"/>
        <v/>
      </c>
      <c r="S21" s="823" t="e">
        <f t="shared" si="16"/>
        <v>#VALUE!</v>
      </c>
      <c r="T21" s="823" t="e">
        <f t="shared" si="16"/>
        <v>#VALUE!</v>
      </c>
      <c r="U21" s="823" t="e">
        <f t="shared" si="16"/>
        <v>#VALUE!</v>
      </c>
      <c r="V21" s="823" t="e">
        <f t="shared" si="16"/>
        <v>#VALUE!</v>
      </c>
      <c r="W21" s="823" t="e">
        <f t="shared" si="16"/>
        <v>#VALUE!</v>
      </c>
      <c r="X21" s="782" t="str">
        <f t="shared" si="4"/>
        <v/>
      </c>
      <c r="Z21" s="834"/>
      <c r="AA21" s="834"/>
    </row>
    <row r="22" spans="1:28" ht="15" hidden="1" customHeight="1">
      <c r="A22" t="str">
        <f t="shared" si="5"/>
        <v/>
      </c>
      <c r="B22" t="str">
        <f t="shared" si="6"/>
        <v/>
      </c>
      <c r="C22" s="781" t="str">
        <f t="shared" si="7"/>
        <v>x</v>
      </c>
      <c r="D22" s="814" t="str">
        <f>[1]actual!B264</f>
        <v/>
      </c>
      <c r="E22" s="815"/>
      <c r="F22" s="826">
        <f t="shared" si="13"/>
        <v>0</v>
      </c>
      <c r="G22" s="827">
        <f>IFERROR(HLOOKUP($C$5,[1]plan!$D$5:$AH$560,S22,0),0)</f>
        <v>0</v>
      </c>
      <c r="H22" s="828">
        <f>IFERROR(HLOOKUP($C$5,base_all,S22,0),0)</f>
        <v>0</v>
      </c>
      <c r="I22" s="821">
        <f>IFERROR(HLOOKUP($C$5,[1]plan!$D$5:$AH$560,T22,0),0)</f>
        <v>0</v>
      </c>
      <c r="J22" s="829">
        <f>IFERROR(HLOOKUP($C$5,base_all,T22,0),0)</f>
        <v>0</v>
      </c>
      <c r="K22" s="821">
        <f>IFERROR(HLOOKUP($C$5,[1]plan!$D$5:$AH$560,U22,0),0)</f>
        <v>0</v>
      </c>
      <c r="L22" s="829">
        <f>IFERROR(HLOOKUP($C$5,base_all,U22,0),0)</f>
        <v>0</v>
      </c>
      <c r="M22" s="821">
        <f>IFERROR(HLOOKUP($C$5,[1]plan!$D$5:$AH$560,V22,0),0)</f>
        <v>0</v>
      </c>
      <c r="N22" s="829">
        <f>IFERROR(HLOOKUP($C$5,base_all,V22,0),0)</f>
        <v>0</v>
      </c>
      <c r="O22" s="821">
        <f>IFERROR(HLOOKUP($C$5,[1]plan!$D$5:$AH$560,W22,0),0)</f>
        <v>0</v>
      </c>
      <c r="P22" s="820">
        <f t="shared" si="14"/>
        <v>0</v>
      </c>
      <c r="Q22" s="822"/>
      <c r="R22" s="823" t="str">
        <f t="shared" si="15"/>
        <v/>
      </c>
      <c r="S22" s="823" t="e">
        <f t="shared" si="16"/>
        <v>#VALUE!</v>
      </c>
      <c r="T22" s="823" t="e">
        <f t="shared" si="16"/>
        <v>#VALUE!</v>
      </c>
      <c r="U22" s="823" t="e">
        <f t="shared" si="16"/>
        <v>#VALUE!</v>
      </c>
      <c r="V22" s="823" t="e">
        <f t="shared" si="16"/>
        <v>#VALUE!</v>
      </c>
      <c r="W22" s="823" t="e">
        <f t="shared" si="16"/>
        <v>#VALUE!</v>
      </c>
      <c r="X22" s="782" t="str">
        <f t="shared" si="4"/>
        <v/>
      </c>
      <c r="Z22" s="834"/>
      <c r="AA22" s="832"/>
      <c r="AB22" s="832"/>
    </row>
    <row r="23" spans="1:28" ht="15" hidden="1" customHeight="1">
      <c r="A23" t="str">
        <f t="shared" si="5"/>
        <v/>
      </c>
      <c r="B23" t="str">
        <f t="shared" si="6"/>
        <v/>
      </c>
      <c r="C23" s="781" t="str">
        <f t="shared" si="7"/>
        <v>x</v>
      </c>
      <c r="D23" s="805"/>
      <c r="E23" s="806"/>
      <c r="F23" s="807">
        <f>SUM(F24:F28)</f>
        <v>0</v>
      </c>
      <c r="G23" s="835">
        <v>0</v>
      </c>
      <c r="H23" s="836">
        <f>IFERROR(SUMPRODUCT($F$24:$F$28,H24:H28)/$F$23,0)</f>
        <v>0</v>
      </c>
      <c r="I23" s="837">
        <v>0</v>
      </c>
      <c r="J23" s="838">
        <f>IFERROR(SUMPRODUCT($F$24:$F$28,J24:J28)/$F$23,0)</f>
        <v>0</v>
      </c>
      <c r="K23" s="839">
        <v>0</v>
      </c>
      <c r="L23" s="838">
        <f>IFERROR(SUMPRODUCT($F$24:$F$28,L24:L28)/$F$23,0)</f>
        <v>0</v>
      </c>
      <c r="M23" s="839">
        <v>0</v>
      </c>
      <c r="N23" s="838">
        <f>IFERROR(SUMPRODUCT($F$24:$F$28,N24:N28)/$F$23,0)</f>
        <v>0</v>
      </c>
      <c r="O23" s="839">
        <v>0</v>
      </c>
      <c r="P23" s="838">
        <f>IFERROR(SUMPRODUCT($F$24:$F$28,P24:P28)/$F$23,0)</f>
        <v>0</v>
      </c>
      <c r="Q23" s="812"/>
      <c r="X23" s="782" t="str">
        <f t="shared" si="4"/>
        <v/>
      </c>
    </row>
    <row r="24" spans="1:28" ht="15" hidden="1" customHeight="1">
      <c r="A24" t="str">
        <f t="shared" si="5"/>
        <v/>
      </c>
      <c r="B24" t="str">
        <f t="shared" si="6"/>
        <v/>
      </c>
      <c r="C24" s="781" t="str">
        <f t="shared" si="7"/>
        <v>x</v>
      </c>
      <c r="D24" s="814" t="str">
        <f>[1]actual!B276</f>
        <v/>
      </c>
      <c r="E24" s="815"/>
      <c r="F24" s="816">
        <f t="shared" ref="F24:F29" si="23">IFERROR(HLOOKUP($C$5,base_all,R24,0)*1000,0)</f>
        <v>0</v>
      </c>
      <c r="G24" s="840">
        <v>0</v>
      </c>
      <c r="H24" s="818">
        <f t="shared" ref="H24:H29" si="24">IFERROR(HLOOKUP($C$5,base_all,S24,0),0)</f>
        <v>0</v>
      </c>
      <c r="I24" s="817">
        <v>0</v>
      </c>
      <c r="J24" s="820">
        <f t="shared" ref="J24:J29" si="25">IFERROR(HLOOKUP($C$5,base_all,T24,0),0)</f>
        <v>0</v>
      </c>
      <c r="K24" s="821">
        <v>0</v>
      </c>
      <c r="L24" s="820">
        <f t="shared" ref="L24:L29" si="26">IFERROR(HLOOKUP($C$5,base_all,U24,0),0)</f>
        <v>0</v>
      </c>
      <c r="M24" s="821">
        <v>0</v>
      </c>
      <c r="N24" s="820">
        <f t="shared" ref="N24:N29" si="27">IFERROR(HLOOKUP($C$5,base_all,V24,0),0)</f>
        <v>0</v>
      </c>
      <c r="O24" s="821">
        <v>0</v>
      </c>
      <c r="P24" s="820">
        <f t="shared" ref="P24:P28" si="28">IFERROR(HLOOKUP($C$5,base_all,W24,0),0)</f>
        <v>0</v>
      </c>
      <c r="Q24" s="822"/>
      <c r="R24" s="823" t="str">
        <f t="shared" ref="R24:R29" si="29">IF(D24="","",VLOOKUP(D24,msy_biangan,44,0))</f>
        <v/>
      </c>
      <c r="S24" s="823" t="e">
        <f t="shared" ref="S24:W28" si="30">R24+1</f>
        <v>#VALUE!</v>
      </c>
      <c r="T24" s="823" t="e">
        <f t="shared" si="30"/>
        <v>#VALUE!</v>
      </c>
      <c r="U24" s="823" t="e">
        <f t="shared" si="30"/>
        <v>#VALUE!</v>
      </c>
      <c r="V24" s="823" t="e">
        <f t="shared" si="30"/>
        <v>#VALUE!</v>
      </c>
      <c r="W24" s="823" t="e">
        <f t="shared" si="30"/>
        <v>#VALUE!</v>
      </c>
      <c r="X24" s="782" t="str">
        <f t="shared" si="4"/>
        <v/>
      </c>
    </row>
    <row r="25" spans="1:28" ht="15" hidden="1" customHeight="1">
      <c r="A25" t="str">
        <f t="shared" si="5"/>
        <v/>
      </c>
      <c r="B25" t="str">
        <f t="shared" si="6"/>
        <v/>
      </c>
      <c r="C25" s="781" t="str">
        <f t="shared" si="7"/>
        <v>x</v>
      </c>
      <c r="D25" s="814" t="str">
        <f>[1]actual!B282</f>
        <v/>
      </c>
      <c r="E25" s="815"/>
      <c r="F25" s="816">
        <f t="shared" si="23"/>
        <v>0</v>
      </c>
      <c r="G25" s="840">
        <v>0</v>
      </c>
      <c r="H25" s="818">
        <f t="shared" si="24"/>
        <v>0</v>
      </c>
      <c r="I25" s="817">
        <v>0</v>
      </c>
      <c r="J25" s="820">
        <f t="shared" si="25"/>
        <v>0</v>
      </c>
      <c r="K25" s="821">
        <v>0</v>
      </c>
      <c r="L25" s="820">
        <f t="shared" si="26"/>
        <v>0</v>
      </c>
      <c r="M25" s="821">
        <v>0</v>
      </c>
      <c r="N25" s="820">
        <f t="shared" si="27"/>
        <v>0</v>
      </c>
      <c r="O25" s="821">
        <v>0</v>
      </c>
      <c r="P25" s="820">
        <f t="shared" si="28"/>
        <v>0</v>
      </c>
      <c r="Q25" s="822"/>
      <c r="R25" s="823" t="str">
        <f t="shared" si="29"/>
        <v/>
      </c>
      <c r="S25" s="823" t="e">
        <f t="shared" si="30"/>
        <v>#VALUE!</v>
      </c>
      <c r="T25" s="823" t="e">
        <f t="shared" si="30"/>
        <v>#VALUE!</v>
      </c>
      <c r="U25" s="823" t="e">
        <f t="shared" si="30"/>
        <v>#VALUE!</v>
      </c>
      <c r="V25" s="823" t="e">
        <f t="shared" si="30"/>
        <v>#VALUE!</v>
      </c>
      <c r="W25" s="823" t="e">
        <f t="shared" si="30"/>
        <v>#VALUE!</v>
      </c>
      <c r="X25" s="782" t="str">
        <f t="shared" si="4"/>
        <v/>
      </c>
    </row>
    <row r="26" spans="1:28" ht="15" hidden="1" customHeight="1">
      <c r="A26" t="str">
        <f t="shared" si="5"/>
        <v/>
      </c>
      <c r="B26" t="str">
        <f t="shared" si="6"/>
        <v/>
      </c>
      <c r="C26" s="781" t="str">
        <f t="shared" si="7"/>
        <v>x</v>
      </c>
      <c r="D26" s="814" t="str">
        <f>[1]actual!B288</f>
        <v/>
      </c>
      <c r="E26" s="815"/>
      <c r="F26" s="816">
        <f t="shared" si="23"/>
        <v>0</v>
      </c>
      <c r="G26" s="840">
        <v>0</v>
      </c>
      <c r="H26" s="818">
        <f t="shared" si="24"/>
        <v>0</v>
      </c>
      <c r="I26" s="817">
        <v>0</v>
      </c>
      <c r="J26" s="820">
        <f t="shared" si="25"/>
        <v>0</v>
      </c>
      <c r="K26" s="821">
        <v>0</v>
      </c>
      <c r="L26" s="820">
        <f t="shared" si="26"/>
        <v>0</v>
      </c>
      <c r="M26" s="821">
        <v>0</v>
      </c>
      <c r="N26" s="820">
        <f t="shared" si="27"/>
        <v>0</v>
      </c>
      <c r="O26" s="821">
        <v>0</v>
      </c>
      <c r="P26" s="820">
        <f t="shared" si="28"/>
        <v>0</v>
      </c>
      <c r="Q26" s="822"/>
      <c r="R26" s="823" t="str">
        <f t="shared" si="29"/>
        <v/>
      </c>
      <c r="S26" s="823" t="e">
        <f t="shared" si="30"/>
        <v>#VALUE!</v>
      </c>
      <c r="T26" s="823" t="e">
        <f t="shared" si="30"/>
        <v>#VALUE!</v>
      </c>
      <c r="U26" s="823" t="e">
        <f t="shared" si="30"/>
        <v>#VALUE!</v>
      </c>
      <c r="V26" s="823" t="e">
        <f t="shared" si="30"/>
        <v>#VALUE!</v>
      </c>
      <c r="W26" s="823" t="e">
        <f t="shared" si="30"/>
        <v>#VALUE!</v>
      </c>
      <c r="X26" s="782" t="str">
        <f t="shared" si="4"/>
        <v/>
      </c>
    </row>
    <row r="27" spans="1:28" ht="15" hidden="1" customHeight="1">
      <c r="A27" t="str">
        <f t="shared" si="5"/>
        <v/>
      </c>
      <c r="B27" t="str">
        <f t="shared" si="6"/>
        <v/>
      </c>
      <c r="C27" s="781" t="str">
        <f t="shared" si="7"/>
        <v>x</v>
      </c>
      <c r="D27" s="814" t="str">
        <f>[1]actual!B294</f>
        <v/>
      </c>
      <c r="E27" s="815"/>
      <c r="F27" s="816">
        <f t="shared" si="23"/>
        <v>0</v>
      </c>
      <c r="G27" s="840">
        <v>0</v>
      </c>
      <c r="H27" s="818">
        <f t="shared" si="24"/>
        <v>0</v>
      </c>
      <c r="I27" s="817">
        <v>0</v>
      </c>
      <c r="J27" s="820">
        <f t="shared" si="25"/>
        <v>0</v>
      </c>
      <c r="K27" s="821">
        <v>0</v>
      </c>
      <c r="L27" s="820">
        <f t="shared" si="26"/>
        <v>0</v>
      </c>
      <c r="M27" s="821">
        <v>0</v>
      </c>
      <c r="N27" s="820">
        <f t="shared" si="27"/>
        <v>0</v>
      </c>
      <c r="O27" s="821">
        <v>0</v>
      </c>
      <c r="P27" s="820">
        <f t="shared" si="28"/>
        <v>0</v>
      </c>
      <c r="Q27" s="822"/>
      <c r="R27" s="823" t="str">
        <f t="shared" si="29"/>
        <v/>
      </c>
      <c r="S27" s="823" t="e">
        <f t="shared" si="30"/>
        <v>#VALUE!</v>
      </c>
      <c r="T27" s="823" t="e">
        <f t="shared" si="30"/>
        <v>#VALUE!</v>
      </c>
      <c r="U27" s="823" t="e">
        <f t="shared" si="30"/>
        <v>#VALUE!</v>
      </c>
      <c r="V27" s="823" t="e">
        <f t="shared" si="30"/>
        <v>#VALUE!</v>
      </c>
      <c r="W27" s="823" t="e">
        <f t="shared" si="30"/>
        <v>#VALUE!</v>
      </c>
      <c r="X27" s="782" t="str">
        <f t="shared" si="4"/>
        <v/>
      </c>
    </row>
    <row r="28" spans="1:28" ht="15" hidden="1" customHeight="1">
      <c r="A28" t="str">
        <f t="shared" si="5"/>
        <v/>
      </c>
      <c r="B28" t="str">
        <f t="shared" si="6"/>
        <v/>
      </c>
      <c r="C28" s="781" t="str">
        <f t="shared" si="7"/>
        <v>x</v>
      </c>
      <c r="D28" s="841" t="str">
        <f>[1]actual!B300</f>
        <v/>
      </c>
      <c r="E28" s="842"/>
      <c r="F28" s="826">
        <f t="shared" si="23"/>
        <v>0</v>
      </c>
      <c r="G28" s="843">
        <v>0</v>
      </c>
      <c r="H28" s="844">
        <f t="shared" si="24"/>
        <v>0</v>
      </c>
      <c r="I28" s="845">
        <v>0</v>
      </c>
      <c r="J28" s="846">
        <f t="shared" si="25"/>
        <v>0</v>
      </c>
      <c r="K28" s="847">
        <v>0</v>
      </c>
      <c r="L28" s="846">
        <f t="shared" si="26"/>
        <v>0</v>
      </c>
      <c r="M28" s="847">
        <v>0</v>
      </c>
      <c r="N28" s="846">
        <f t="shared" si="27"/>
        <v>0</v>
      </c>
      <c r="O28" s="847">
        <v>0</v>
      </c>
      <c r="P28" s="846">
        <f t="shared" si="28"/>
        <v>0</v>
      </c>
      <c r="Q28" s="848"/>
      <c r="R28" s="823" t="str">
        <f t="shared" si="29"/>
        <v/>
      </c>
      <c r="S28" s="823" t="e">
        <f t="shared" si="30"/>
        <v>#VALUE!</v>
      </c>
      <c r="T28" s="823" t="e">
        <f t="shared" si="30"/>
        <v>#VALUE!</v>
      </c>
      <c r="U28" s="823" t="e">
        <f t="shared" si="30"/>
        <v>#VALUE!</v>
      </c>
      <c r="V28" s="823" t="e">
        <f t="shared" si="30"/>
        <v>#VALUE!</v>
      </c>
      <c r="W28" s="823" t="e">
        <f t="shared" si="30"/>
        <v>#VALUE!</v>
      </c>
      <c r="X28" s="782" t="str">
        <f t="shared" si="4"/>
        <v/>
      </c>
    </row>
    <row r="29" spans="1:28" ht="15" hidden="1" thickBot="1">
      <c r="C29" s="781" t="str">
        <f t="shared" si="7"/>
        <v>x</v>
      </c>
      <c r="D29" s="849" t="str">
        <f>[1]actual!B306</f>
        <v>HAC</v>
      </c>
      <c r="E29" s="850"/>
      <c r="F29" s="851">
        <f t="shared" si="23"/>
        <v>0</v>
      </c>
      <c r="G29" s="852"/>
      <c r="H29" s="853">
        <f t="shared" si="24"/>
        <v>0</v>
      </c>
      <c r="I29" s="854"/>
      <c r="J29" s="855">
        <f t="shared" si="25"/>
        <v>0</v>
      </c>
      <c r="K29" s="856"/>
      <c r="L29" s="855">
        <f t="shared" si="26"/>
        <v>0</v>
      </c>
      <c r="M29" s="856"/>
      <c r="N29" s="855">
        <f t="shared" si="27"/>
        <v>0</v>
      </c>
      <c r="O29" s="856"/>
      <c r="P29" s="855">
        <f>IFERROR(HLOOKUP($C$5,base_all,W29,0),0)</f>
        <v>0</v>
      </c>
      <c r="Q29" s="857"/>
      <c r="R29" s="823">
        <f t="shared" si="29"/>
        <v>302</v>
      </c>
      <c r="S29" s="823">
        <f>R29+1</f>
        <v>303</v>
      </c>
      <c r="T29" s="823">
        <f>S29+1</f>
        <v>304</v>
      </c>
      <c r="U29" s="823">
        <f>T29+1</f>
        <v>305</v>
      </c>
      <c r="V29" s="823">
        <f>U29+1</f>
        <v>306</v>
      </c>
      <c r="W29" s="823">
        <f>V29+1</f>
        <v>307</v>
      </c>
      <c r="Z29" s="825"/>
      <c r="AA29" s="825"/>
      <c r="AB29" s="680"/>
    </row>
    <row r="30" spans="1:28" ht="15" hidden="1" thickBot="1">
      <c r="A30" t="str">
        <f t="shared" si="5"/>
        <v>ROM STO</v>
      </c>
      <c r="B30" t="str">
        <f t="shared" si="6"/>
        <v>ROM S</v>
      </c>
      <c r="C30" s="781" t="str">
        <f t="shared" si="7"/>
        <v>x</v>
      </c>
      <c r="D30" s="858" t="s">
        <v>185</v>
      </c>
      <c r="E30" s="858"/>
      <c r="F30" s="859">
        <f>SUM(F31:F33)</f>
        <v>0</v>
      </c>
      <c r="G30" s="860">
        <f>IFERROR(SUMPRODUCT($E$31:$E$33,G31:G33)/$E$30,0)</f>
        <v>0</v>
      </c>
      <c r="H30" s="861">
        <f>IFERROR(SUMPRODUCT($F$31:$F$33,H31:H33)/$F$30,0)</f>
        <v>0</v>
      </c>
      <c r="I30" s="862">
        <f>IFERROR(SUMPRODUCT($E$31:$E$33,I31:I33)/$E$30,0)</f>
        <v>0</v>
      </c>
      <c r="J30" s="863">
        <f>IFERROR(SUMPRODUCT($F$31:$F$33,J31:J33)/$F$30,0)</f>
        <v>0</v>
      </c>
      <c r="K30" s="864">
        <f>IFERROR(SUMPRODUCT($E$31:$E$33,K31:K33)/$E$30,0)</f>
        <v>0</v>
      </c>
      <c r="L30" s="863">
        <f>IFERROR(SUMPRODUCT($F$31:$F$33,L31:L33)/$F$30,0)</f>
        <v>0</v>
      </c>
      <c r="M30" s="864">
        <f>IFERROR(SUMPRODUCT($E$31:$E$33,M31:M33)/$E$30,0)</f>
        <v>0</v>
      </c>
      <c r="N30" s="863">
        <f>IFERROR(SUMPRODUCT($F$31:$F$33,N31:N33)/$F$30,0)</f>
        <v>0</v>
      </c>
      <c r="O30" s="864">
        <f>IFERROR(SUMPRODUCT($E$31:$E$33,O31:O33)/$E$30,0)</f>
        <v>0</v>
      </c>
      <c r="P30" s="863">
        <f>IFERROR(SUMPRODUCT($F$31:$F$33,P31:P33)/$F$30,0)</f>
        <v>0</v>
      </c>
      <c r="Q30" s="865"/>
      <c r="AA30" s="683"/>
    </row>
    <row r="31" spans="1:28" ht="15" hidden="1" customHeight="1">
      <c r="A31" t="str">
        <f t="shared" si="5"/>
        <v>ROM 1-0</v>
      </c>
      <c r="B31" t="str">
        <f t="shared" si="6"/>
        <v>ROM 1</v>
      </c>
      <c r="C31" s="781" t="str">
        <f t="shared" si="7"/>
        <v>x</v>
      </c>
      <c r="D31" s="866" t="str">
        <f>[1]actual!B328</f>
        <v>ROM 1-01</v>
      </c>
      <c r="E31" s="867"/>
      <c r="F31" s="868">
        <f>IFERROR(HLOOKUP($C$5,base_all,R31,0)*1000,0)</f>
        <v>0</v>
      </c>
      <c r="G31" s="869"/>
      <c r="H31" s="870">
        <f>IFERROR(HLOOKUP($C$5,base_all,S31,0),0)</f>
        <v>0</v>
      </c>
      <c r="I31" s="871"/>
      <c r="J31" s="872">
        <f>IFERROR(HLOOKUP($C$5,base_all,T31,0),0)</f>
        <v>0</v>
      </c>
      <c r="K31" s="873"/>
      <c r="L31" s="872">
        <f>IFERROR(HLOOKUP($C$5,base_all,U31,0),0)</f>
        <v>0</v>
      </c>
      <c r="M31" s="873"/>
      <c r="N31" s="872">
        <f>IFERROR(HLOOKUP($C$5,base_all,V31,0),0)</f>
        <v>0</v>
      </c>
      <c r="O31" s="873"/>
      <c r="P31" s="872">
        <f t="shared" ref="P31:P33" si="31">IFERROR(HLOOKUP($C$5,base_all,W31,0),0)</f>
        <v>0</v>
      </c>
      <c r="Q31" s="874"/>
      <c r="R31" s="823">
        <f>IF(D31="","",VLOOKUP(D31,tsy_sb1,44,0))</f>
        <v>324</v>
      </c>
      <c r="S31" s="823">
        <f t="shared" ref="S31:W33" si="32">R31+1</f>
        <v>325</v>
      </c>
      <c r="T31" s="823">
        <f t="shared" si="32"/>
        <v>326</v>
      </c>
      <c r="U31" s="823">
        <f t="shared" si="32"/>
        <v>327</v>
      </c>
      <c r="V31" s="823">
        <f t="shared" si="32"/>
        <v>328</v>
      </c>
      <c r="W31" s="823">
        <f t="shared" si="32"/>
        <v>329</v>
      </c>
      <c r="X31" s="782" t="s">
        <v>186</v>
      </c>
    </row>
    <row r="32" spans="1:28" ht="14.4" hidden="1" customHeight="1">
      <c r="A32" t="str">
        <f t="shared" si="5"/>
        <v>ROM 4-0</v>
      </c>
      <c r="B32" t="str">
        <f t="shared" si="6"/>
        <v>ROM 4</v>
      </c>
      <c r="C32" s="781" t="str">
        <f t="shared" si="7"/>
        <v>x</v>
      </c>
      <c r="D32" s="875" t="str">
        <f>[1]actual!B334</f>
        <v>ROM 4-01</v>
      </c>
      <c r="E32" s="876"/>
      <c r="F32" s="877">
        <f>IFERROR(HLOOKUP($C$5,base_all,R32,0)*1000,0)</f>
        <v>0</v>
      </c>
      <c r="G32" s="878"/>
      <c r="H32" s="879">
        <f>IFERROR(HLOOKUP($C$5,base_all,S32,0),0)</f>
        <v>0</v>
      </c>
      <c r="I32" s="880"/>
      <c r="J32" s="881">
        <f>IFERROR(HLOOKUP($C$5,base_all,T32,0),0)</f>
        <v>0</v>
      </c>
      <c r="K32" s="882"/>
      <c r="L32" s="881">
        <f>IFERROR(HLOOKUP($C$5,base_all,U32,0),0)</f>
        <v>0</v>
      </c>
      <c r="M32" s="882"/>
      <c r="N32" s="881">
        <f>IFERROR(HLOOKUP($C$5,base_all,V32,0),0)</f>
        <v>0</v>
      </c>
      <c r="O32" s="882"/>
      <c r="P32" s="881">
        <f t="shared" si="31"/>
        <v>0</v>
      </c>
      <c r="Q32" s="822"/>
      <c r="R32" s="823">
        <f>IF(D32="","",VLOOKUP(D32,tsy_sb1,44,0))</f>
        <v>330</v>
      </c>
      <c r="S32" s="823">
        <f t="shared" si="32"/>
        <v>331</v>
      </c>
      <c r="T32" s="823">
        <f t="shared" si="32"/>
        <v>332</v>
      </c>
      <c r="U32" s="823">
        <f t="shared" si="32"/>
        <v>333</v>
      </c>
      <c r="V32" s="823">
        <f t="shared" si="32"/>
        <v>334</v>
      </c>
      <c r="W32" s="823">
        <f t="shared" si="32"/>
        <v>335</v>
      </c>
      <c r="X32" s="782" t="s">
        <v>186</v>
      </c>
    </row>
    <row r="33" spans="1:29" ht="15" hidden="1" customHeight="1" thickBot="1">
      <c r="A33" t="str">
        <f t="shared" si="5"/>
        <v/>
      </c>
      <c r="B33" t="str">
        <f t="shared" si="6"/>
        <v/>
      </c>
      <c r="C33" s="781" t="str">
        <f t="shared" si="7"/>
        <v>x</v>
      </c>
      <c r="D33" s="883" t="str">
        <f>[1]actual!B340</f>
        <v/>
      </c>
      <c r="E33" s="884"/>
      <c r="F33" s="885">
        <f>IFERROR(HLOOKUP($C$5,base_all,R33,0)*1000,0)</f>
        <v>0</v>
      </c>
      <c r="G33" s="886"/>
      <c r="H33" s="887">
        <f>IFERROR(HLOOKUP($C$5,base_all,S33,0),0)</f>
        <v>0</v>
      </c>
      <c r="I33" s="888"/>
      <c r="J33" s="889">
        <f>IFERROR(HLOOKUP($C$5,base_all,T33,0),0)</f>
        <v>0</v>
      </c>
      <c r="K33" s="890"/>
      <c r="L33" s="889">
        <f>IFERROR(HLOOKUP($C$5,base_all,U33,0),0)</f>
        <v>0</v>
      </c>
      <c r="M33" s="890"/>
      <c r="N33" s="889">
        <f>IFERROR(HLOOKUP($C$5,base_all,V33,0),0)</f>
        <v>0</v>
      </c>
      <c r="O33" s="890"/>
      <c r="P33" s="889">
        <f t="shared" si="31"/>
        <v>0</v>
      </c>
      <c r="Q33" s="891"/>
      <c r="R33" s="823" t="str">
        <f>IF(D33="","",VLOOKUP(D33,tsy_sb1,44,0))</f>
        <v/>
      </c>
      <c r="S33" s="823" t="e">
        <f t="shared" si="32"/>
        <v>#VALUE!</v>
      </c>
      <c r="T33" s="823" t="e">
        <f t="shared" si="32"/>
        <v>#VALUE!</v>
      </c>
      <c r="U33" s="823" t="e">
        <f t="shared" si="32"/>
        <v>#VALUE!</v>
      </c>
      <c r="V33" s="823" t="e">
        <f t="shared" si="32"/>
        <v>#VALUE!</v>
      </c>
      <c r="W33" s="823" t="e">
        <f t="shared" si="32"/>
        <v>#VALUE!</v>
      </c>
    </row>
    <row r="34" spans="1:29" ht="15" thickTop="1">
      <c r="C34" s="781" t="str">
        <f t="shared" si="7"/>
        <v/>
      </c>
      <c r="D34" s="892" t="s">
        <v>187</v>
      </c>
      <c r="E34" s="892">
        <f>SUM(E35:E37)</f>
        <v>317646.32518129487</v>
      </c>
      <c r="F34" s="893">
        <f>SUM(F35:F37)</f>
        <v>386970.98518129485</v>
      </c>
      <c r="G34" s="894">
        <f>SUMPRODUCT($E$35:$E$37,G35:G37)/$E$34</f>
        <v>6559.2569576434262</v>
      </c>
      <c r="H34" s="895">
        <f>SUMPRODUCT($F$35:$F$37,H35:H37)/$F$34</f>
        <v>6569.8241197996576</v>
      </c>
      <c r="I34" s="896">
        <f>SUMPRODUCT($E$35:$E$37,I35:I37)/$E$34</f>
        <v>0.71720398243622996</v>
      </c>
      <c r="J34" s="897">
        <f>SUMPRODUCT($F$35:$F$37,J35:J37)/$F$34</f>
        <v>0.87938067483076365</v>
      </c>
      <c r="K34" s="896">
        <f>SUMPRODUCT($E$35:$E$37,K35:K37)/$E$34</f>
        <v>4.6472394646381989</v>
      </c>
      <c r="L34" s="897">
        <f>SUMPRODUCT($F$35:$F$37,L35:L37)/$F$34</f>
        <v>4.7385102777053767</v>
      </c>
      <c r="M34" s="896">
        <f>SUMPRODUCT($E$35:$E$37,M35:M37)/$E$34</f>
        <v>9.7581384956816866</v>
      </c>
      <c r="N34" s="897">
        <f>SUMPRODUCT($F$35:$F$37,N35:N37)/$F$34</f>
        <v>9.488501361288856</v>
      </c>
      <c r="O34" s="896">
        <f>SUMPRODUCT($E$35:$E$37,O35:O37)/$E$34</f>
        <v>13.726021664270972</v>
      </c>
      <c r="P34" s="897">
        <f>SUMPRODUCT($F$35:$F$37,P35:P37)/$F$34</f>
        <v>13.408927809423259</v>
      </c>
      <c r="Q34" s="898">
        <f>F34-'Summary Sep26'!AE50</f>
        <v>0</v>
      </c>
      <c r="Z34" s="899">
        <f>SUM(Z11:Z19)</f>
        <v>42858.956162749993</v>
      </c>
      <c r="AA34" s="899">
        <f>SUM(AA11:AA19)</f>
        <v>468448.78381724999</v>
      </c>
      <c r="AB34" s="832"/>
    </row>
    <row r="35" spans="1:29">
      <c r="C35" s="781" t="str">
        <f t="shared" si="7"/>
        <v/>
      </c>
      <c r="D35" s="900" t="str">
        <f>[1]actual!B509</f>
        <v>BEK.HCV.LS</v>
      </c>
      <c r="E35" s="901">
        <f>IFERROR(HLOOKUP($C$5,[1]plan!$D$5:$AH$560,R35,0)*1000,0)</f>
        <v>210887.35048553531</v>
      </c>
      <c r="F35" s="902">
        <f>IFERROR(HLOOKUP($C$5,base_all,R35,0)*1000,0)</f>
        <v>182881.41048553528</v>
      </c>
      <c r="G35" s="903">
        <f>IFERROR(HLOOKUP($C$5,[1]plan!$D$5:$AH$560,S35,0),0)</f>
        <v>6649.7376902419619</v>
      </c>
      <c r="H35" s="904">
        <f>IFERROR(HLOOKUP($C$5,base_all,S35,0),0)</f>
        <v>6665.6640311511965</v>
      </c>
      <c r="I35" s="905">
        <f>IFERROR(HLOOKUP($C$5,[1]plan!$D$5:$AH$560,T35,0),0)</f>
        <v>0.56828617220367994</v>
      </c>
      <c r="J35" s="906">
        <f>IFERROR(HLOOKUP($C$5,base_all,T35,0),0)</f>
        <v>0.54013248230382727</v>
      </c>
      <c r="K35" s="907">
        <f>IFERROR(HLOOKUP($C$5,[1]plan!$D$5:$AH$560,U35,0),0)</f>
        <v>4.2475059511711901</v>
      </c>
      <c r="L35" s="906">
        <f>IFERROR(HLOOKUP($C$5,base_all,U35,0),0)</f>
        <v>4.3434042250733507</v>
      </c>
      <c r="M35" s="907">
        <f>IFERROR(HLOOKUP($C$5,[1]plan!$D$5:$AH$560,V35,0),0)</f>
        <v>9.336770234434848</v>
      </c>
      <c r="N35" s="906">
        <f>IFERROR(HLOOKUP($C$5,base_all,V35,0),0)</f>
        <v>9.0754111252856049</v>
      </c>
      <c r="O35" s="907">
        <f>IFERROR(HLOOKUP($C$5,[1]plan!$D$5:$AH$560,W35,0),0)</f>
        <v>13.097421406951065</v>
      </c>
      <c r="P35" s="906">
        <f t="shared" ref="P35:P37" si="33">IFERROR(HLOOKUP($C$5,base_all,W35,0),0)</f>
        <v>12.811028575736028</v>
      </c>
      <c r="Q35" s="908"/>
      <c r="R35" s="823">
        <f>IF(D35="","",VLOOKUP(D35,psy_bunyut,44,0))</f>
        <v>505</v>
      </c>
      <c r="S35" s="823">
        <f t="shared" ref="S35:W37" si="34">R35+1</f>
        <v>506</v>
      </c>
      <c r="T35" s="823">
        <f t="shared" si="34"/>
        <v>507</v>
      </c>
      <c r="U35" s="823">
        <f t="shared" si="34"/>
        <v>508</v>
      </c>
      <c r="V35" s="823">
        <f t="shared" si="34"/>
        <v>509</v>
      </c>
      <c r="W35" s="823">
        <f t="shared" si="34"/>
        <v>510</v>
      </c>
      <c r="Z35" s="909"/>
      <c r="AA35" s="910">
        <f>AA34/F8</f>
        <v>0.91617776768952008</v>
      </c>
      <c r="AB35" s="911"/>
      <c r="AC35" s="912"/>
    </row>
    <row r="36" spans="1:29">
      <c r="C36" s="781" t="str">
        <f t="shared" si="7"/>
        <v/>
      </c>
      <c r="D36" s="900" t="str">
        <f>[1]actual!B515</f>
        <v>BEK.HCV.HS</v>
      </c>
      <c r="E36" s="901">
        <f>IFERROR(HLOOKUP($C$5,[1]plan!$D$5:$AH$560,R36,0)*1000,0)</f>
        <v>58773.103456485187</v>
      </c>
      <c r="F36" s="902">
        <f>IFERROR(HLOOKUP($C$5,base_all,R36,0)*1000,0)</f>
        <v>139914.98345648521</v>
      </c>
      <c r="G36" s="903">
        <f>IFERROR(HLOOKUP($C$5,[1]plan!$D$5:$AH$560,S36,0),0)</f>
        <v>6560.0537627650956</v>
      </c>
      <c r="H36" s="904">
        <f>IFERROR(HLOOKUP($C$5,base_all,S36,0),0)</f>
        <v>6597.8284028843109</v>
      </c>
      <c r="I36" s="905">
        <f>IFERROR(HLOOKUP($C$5,[1]plan!$D$5:$AH$560,T36,0),0)</f>
        <v>1.6289199745413443</v>
      </c>
      <c r="J36" s="906">
        <f>IFERROR(HLOOKUP($C$5,base_all,T36,0),0)</f>
        <v>1.6232253866106003</v>
      </c>
      <c r="K36" s="907">
        <f>IFERROR(HLOOKUP($C$5,[1]plan!$D$5:$AH$560,U36,0),0)</f>
        <v>5.2848908657204126</v>
      </c>
      <c r="L36" s="906">
        <f>IFERROR(HLOOKUP($C$5,base_all,U36,0),0)</f>
        <v>5.0882126709354862</v>
      </c>
      <c r="M36" s="907">
        <f>IFERROR(HLOOKUP($C$5,[1]plan!$D$5:$AH$560,V36,0),0)</f>
        <v>9.0916769870612235</v>
      </c>
      <c r="N36" s="906">
        <f>IFERROR(HLOOKUP($C$5,base_all,V36,0),0)</f>
        <v>9.1009698451068335</v>
      </c>
      <c r="O36" s="907">
        <f>IFERROR(HLOOKUP($C$5,[1]plan!$D$5:$AH$560,W36,0),0)</f>
        <v>13.412066652580844</v>
      </c>
      <c r="P36" s="906">
        <f t="shared" ref="P36" si="35">IFERROR(HLOOKUP($C$5,base_all,W36,0),0)</f>
        <v>12.947198880598014</v>
      </c>
      <c r="Q36" s="908"/>
      <c r="R36" s="823">
        <f>IF(D36="","",VLOOKUP(D36,psy_bunyut,44,0))</f>
        <v>511</v>
      </c>
      <c r="S36" s="823">
        <f t="shared" si="34"/>
        <v>512</v>
      </c>
      <c r="T36" s="823">
        <f t="shared" si="34"/>
        <v>513</v>
      </c>
      <c r="U36" s="823">
        <f t="shared" si="34"/>
        <v>514</v>
      </c>
      <c r="V36" s="823">
        <f t="shared" si="34"/>
        <v>515</v>
      </c>
      <c r="W36" s="823">
        <f t="shared" si="34"/>
        <v>516</v>
      </c>
      <c r="Z36" s="909"/>
      <c r="AA36" s="911"/>
      <c r="AB36" s="911"/>
      <c r="AC36" s="912"/>
    </row>
    <row r="37" spans="1:29" ht="14.5" customHeight="1">
      <c r="C37" s="781" t="str">
        <f t="shared" si="7"/>
        <v/>
      </c>
      <c r="D37" s="913" t="str">
        <f>[1]actual!B521</f>
        <v>BEK.MCV.LS</v>
      </c>
      <c r="E37" s="914">
        <f>IFERROR(HLOOKUP($C$5,[1]plan!$D$5:$AH$560,R37,0)*1000,0)</f>
        <v>47985.871239274384</v>
      </c>
      <c r="F37" s="915">
        <f>IFERROR(HLOOKUP($C$5,base_all,R37,0)*1000,0)</f>
        <v>64174.591239274378</v>
      </c>
      <c r="G37" s="903">
        <f>IFERROR(HLOOKUP($C$5,[1]plan!$D$5:$AH$560,S37,0),0)</f>
        <v>6160.6381103963558</v>
      </c>
      <c r="H37" s="916">
        <f>IFERROR(HLOOKUP($C$5,base_all,S37,0),0)</f>
        <v>6235.6489180703775</v>
      </c>
      <c r="I37" s="905">
        <f>IFERROR(HLOOKUP($C$5,[1]plan!$D$5:$AH$560,T37,0),0)</f>
        <v>0.25499510065348674</v>
      </c>
      <c r="J37" s="917">
        <f>IFERROR(HLOOKUP($C$5,base_all,T37,0),0)</f>
        <v>0.22440443303194615</v>
      </c>
      <c r="K37" s="907">
        <f>IFERROR(HLOOKUP($C$5,[1]plan!$D$5:$AH$560,U37,0),0)</f>
        <v>5.6229847951102245</v>
      </c>
      <c r="L37" s="917">
        <f>IFERROR(HLOOKUP($C$5,base_all,U37,0),0)</f>
        <v>5.1020333977241883</v>
      </c>
      <c r="M37" s="907">
        <f>IFERROR(HLOOKUP($C$5,[1]plan!$D$5:$AH$560,V37,0),0)</f>
        <v>12.426241503555604</v>
      </c>
      <c r="N37" s="917">
        <f>IFERROR(HLOOKUP($C$5,base_all,V37,0),0)</f>
        <v>11.510609927741781</v>
      </c>
      <c r="O37" s="907">
        <f>IFERROR(HLOOKUP($C$5,[1]plan!$D$5:$AH$560,W37,0),0)</f>
        <v>16.873113699141999</v>
      </c>
      <c r="P37" s="917">
        <f t="shared" si="33"/>
        <v>16.119462419209</v>
      </c>
      <c r="Q37" s="908"/>
      <c r="R37" s="823">
        <f>IF(D37="","",VLOOKUP(D37,psy_bunyut,44,0))</f>
        <v>517</v>
      </c>
      <c r="S37" s="823">
        <f t="shared" si="34"/>
        <v>518</v>
      </c>
      <c r="T37" s="823">
        <f t="shared" si="34"/>
        <v>519</v>
      </c>
      <c r="U37" s="823">
        <f t="shared" si="34"/>
        <v>520</v>
      </c>
      <c r="V37" s="823">
        <f t="shared" si="34"/>
        <v>521</v>
      </c>
      <c r="W37" s="823">
        <f t="shared" si="34"/>
        <v>522</v>
      </c>
      <c r="Z37" s="918"/>
      <c r="AA37" s="911"/>
      <c r="AB37" s="825"/>
    </row>
    <row r="38" spans="1:29">
      <c r="D38" s="919" t="str">
        <f>"ROM Stock Status : "&amp; FIXED(SUM(F10,F11,F12,F13,F14,F15,F17,F18,F19,F20,F21,F22,F31,F32,))&amp;" Ton"&amp;" available in Bengkirai (based on transaction)_"</f>
        <v>ROM Stock Status : 511,307.74 Ton available in Bengkirai (based on transaction)_</v>
      </c>
      <c r="E38" s="919"/>
      <c r="F38" s="920"/>
      <c r="G38" s="920"/>
      <c r="H38" s="920"/>
      <c r="I38" s="920"/>
      <c r="J38" s="920"/>
      <c r="K38" s="920"/>
      <c r="L38" s="921"/>
      <c r="M38" s="921"/>
      <c r="N38" s="920"/>
      <c r="O38" s="920"/>
      <c r="P38" s="920"/>
      <c r="Q38" s="920"/>
      <c r="X38" s="804"/>
      <c r="AA38" s="825"/>
      <c r="AB38" s="825"/>
    </row>
    <row r="39" spans="1:29">
      <c r="D39" s="922" t="str">
        <f>"ROM Stock Status : "&amp; FIXED(SUM(F10,F11,F12,F13,F14,F15,F17,F18,F19,F20,F21,F22,F31,F32,)-$Z$34)&amp;" Ton ("&amp;FIXED(SUM($F$8-$Z$34)/(F8+F30)*100)&amp;"%)"&amp;"  Ready to Haul_"</f>
        <v>ROM Stock Status : 468,448.78 Ton (91.62%)  Ready to Haul_</v>
      </c>
      <c r="E39" s="923"/>
      <c r="F39" s="924"/>
      <c r="G39" s="924"/>
      <c r="H39" s="925"/>
      <c r="I39" s="925"/>
      <c r="J39" s="925"/>
      <c r="K39" s="925"/>
      <c r="L39" s="925"/>
      <c r="M39" s="925"/>
      <c r="N39" s="925"/>
      <c r="O39" s="925"/>
      <c r="P39" s="925"/>
      <c r="Q39" s="926"/>
      <c r="Y39" s="825"/>
      <c r="Z39" s="825"/>
    </row>
    <row r="40" spans="1:29">
      <c r="D40" s="927"/>
      <c r="E40" s="928"/>
      <c r="F40" s="927"/>
      <c r="G40" s="929"/>
      <c r="H40" s="930"/>
      <c r="I40" s="930"/>
      <c r="J40" s="931"/>
      <c r="K40" s="931"/>
      <c r="L40" s="932"/>
      <c r="M40" s="932"/>
      <c r="N40" s="931"/>
      <c r="O40" s="830"/>
      <c r="P40" s="830"/>
      <c r="Q40" s="834"/>
      <c r="Y40" s="825"/>
      <c r="Z40" s="825"/>
    </row>
    <row r="41" spans="1:29" hidden="1">
      <c r="D41" s="928"/>
      <c r="E41" s="928"/>
      <c r="F41" s="927"/>
      <c r="G41" s="931"/>
      <c r="H41" s="931"/>
      <c r="I41" s="931"/>
      <c r="J41" s="931"/>
      <c r="K41" s="931"/>
      <c r="L41" s="931"/>
      <c r="M41" s="931"/>
      <c r="N41" s="931"/>
      <c r="O41" s="830"/>
      <c r="P41" s="932"/>
      <c r="Q41" s="834"/>
      <c r="Y41" s="933"/>
      <c r="Z41" s="834"/>
      <c r="AA41" s="680"/>
    </row>
    <row r="42" spans="1:29" ht="13" customHeight="1" thickBot="1">
      <c r="D42" s="928"/>
      <c r="E42" s="928"/>
      <c r="F42" s="927"/>
      <c r="G42" s="927"/>
      <c r="H42" s="934"/>
      <c r="I42" s="934"/>
      <c r="J42" s="935"/>
      <c r="K42" s="935"/>
      <c r="L42" s="936"/>
      <c r="M42" s="936"/>
      <c r="N42" s="935"/>
      <c r="O42" s="937"/>
      <c r="P42" s="932"/>
      <c r="Q42" s="825"/>
      <c r="Y42" s="825"/>
      <c r="Z42" s="834"/>
      <c r="AA42" s="680"/>
      <c r="AB42" s="680"/>
    </row>
    <row r="43" spans="1:29" ht="15.5" customHeight="1">
      <c r="D43" s="938">
        <f>D5</f>
        <v>46272.439641550925</v>
      </c>
      <c r="E43" s="939"/>
      <c r="F43" s="939"/>
      <c r="G43" s="939"/>
      <c r="H43" s="939"/>
      <c r="I43" s="939"/>
      <c r="J43" s="939"/>
      <c r="K43" s="939"/>
      <c r="L43" s="939"/>
      <c r="M43" s="940"/>
      <c r="N43" s="932"/>
      <c r="O43" s="932"/>
      <c r="P43" s="932"/>
      <c r="Z43" s="680"/>
      <c r="AA43" s="680"/>
      <c r="AB43" s="680"/>
    </row>
    <row r="44" spans="1:29">
      <c r="D44" s="941"/>
      <c r="E44" s="942"/>
      <c r="F44" s="931"/>
      <c r="G44" s="931"/>
      <c r="H44" s="932"/>
      <c r="I44" s="932"/>
      <c r="J44" s="932"/>
      <c r="K44" s="932"/>
      <c r="L44" s="932"/>
      <c r="M44" s="943"/>
      <c r="N44" s="932"/>
      <c r="O44" s="932">
        <f>+Dashboard!T34/(24*(14+(('Summary Sep26'!E52))))</f>
        <v>7.0993021631733128E-2</v>
      </c>
      <c r="P44" s="932"/>
      <c r="Y44" s="944"/>
    </row>
    <row r="45" spans="1:29">
      <c r="D45" s="941"/>
      <c r="E45" s="942"/>
      <c r="F45" s="932"/>
      <c r="G45" s="932"/>
      <c r="H45" s="931"/>
      <c r="I45" s="931"/>
      <c r="J45" s="931"/>
      <c r="K45" s="931"/>
      <c r="L45" s="932"/>
      <c r="M45" s="943"/>
      <c r="N45" s="932"/>
      <c r="O45" s="932"/>
      <c r="P45" s="932"/>
    </row>
    <row r="46" spans="1:29">
      <c r="D46" s="941"/>
      <c r="E46" s="942"/>
      <c r="F46" s="932"/>
      <c r="G46" s="932"/>
      <c r="H46" s="931"/>
      <c r="I46" s="931"/>
      <c r="J46" s="932"/>
      <c r="K46" s="932"/>
      <c r="L46" s="932"/>
      <c r="M46" s="943"/>
      <c r="N46" s="932"/>
      <c r="O46" s="932"/>
      <c r="P46" s="932"/>
    </row>
    <row r="47" spans="1:29">
      <c r="D47" s="941"/>
      <c r="E47" s="942"/>
      <c r="F47" s="932"/>
      <c r="G47" s="932"/>
      <c r="H47" s="932"/>
      <c r="I47" s="932"/>
      <c r="J47" s="932"/>
      <c r="K47" s="932"/>
      <c r="L47" s="932"/>
      <c r="M47" s="943"/>
      <c r="N47" s="932"/>
      <c r="O47" s="932"/>
      <c r="P47" s="932"/>
    </row>
    <row r="48" spans="1:29">
      <c r="D48" s="941"/>
      <c r="E48" s="942"/>
      <c r="M48" s="945"/>
    </row>
    <row r="49" spans="4:13">
      <c r="D49" s="941"/>
      <c r="E49" s="942"/>
      <c r="M49" s="945"/>
    </row>
    <row r="50" spans="4:13">
      <c r="D50" s="941"/>
      <c r="E50" s="942"/>
      <c r="M50" s="945"/>
    </row>
    <row r="51" spans="4:13">
      <c r="D51" s="941"/>
      <c r="E51" s="942"/>
      <c r="M51" s="945"/>
    </row>
    <row r="52" spans="4:13">
      <c r="D52" s="941"/>
      <c r="E52" s="942"/>
      <c r="M52" s="945"/>
    </row>
    <row r="53" spans="4:13">
      <c r="D53" s="941"/>
      <c r="E53" s="942"/>
      <c r="M53" s="945"/>
    </row>
    <row r="54" spans="4:13">
      <c r="D54" s="941"/>
      <c r="E54" s="942"/>
      <c r="M54" s="945"/>
    </row>
    <row r="55" spans="4:13" ht="6" customHeight="1">
      <c r="D55" s="941"/>
      <c r="E55" s="942"/>
      <c r="M55" s="945"/>
    </row>
    <row r="56" spans="4:13" ht="15.5">
      <c r="D56" s="941"/>
      <c r="E56" s="942"/>
      <c r="H56" s="946"/>
      <c r="I56" s="946"/>
      <c r="J56" s="946"/>
      <c r="K56" s="946"/>
      <c r="L56" s="946"/>
      <c r="M56" s="945"/>
    </row>
    <row r="57" spans="4:13" ht="15" customHeight="1">
      <c r="D57" s="941"/>
      <c r="E57" s="942"/>
      <c r="H57" s="947"/>
      <c r="I57" s="947"/>
      <c r="J57" s="948"/>
      <c r="K57" s="948"/>
      <c r="L57" s="948"/>
      <c r="M57" s="945"/>
    </row>
    <row r="58" spans="4:13">
      <c r="D58" s="941"/>
      <c r="E58" s="942"/>
      <c r="H58" s="949"/>
      <c r="I58" s="950"/>
      <c r="J58" s="951"/>
      <c r="K58" s="951"/>
      <c r="L58" s="952"/>
      <c r="M58" s="945"/>
    </row>
    <row r="59" spans="4:13">
      <c r="D59" s="941"/>
      <c r="E59" s="942"/>
      <c r="M59" s="945"/>
    </row>
    <row r="60" spans="4:13">
      <c r="D60" s="953"/>
      <c r="E60" s="954"/>
      <c r="F60" s="955"/>
      <c r="G60" s="955"/>
      <c r="H60" s="956"/>
      <c r="I60" s="956"/>
      <c r="J60" s="956"/>
      <c r="K60" s="956"/>
      <c r="L60" s="956"/>
      <c r="M60" s="957"/>
    </row>
    <row r="61" spans="4:13" ht="16" customHeight="1" thickBot="1">
      <c r="D61" s="941"/>
      <c r="E61" s="942"/>
      <c r="F61" s="948"/>
      <c r="G61" s="948"/>
      <c r="M61" s="945"/>
    </row>
    <row r="62" spans="4:13" ht="15.5">
      <c r="D62" s="941"/>
      <c r="E62" s="942"/>
      <c r="F62" s="948"/>
      <c r="G62" s="948"/>
      <c r="H62" s="958" t="s">
        <v>54</v>
      </c>
      <c r="I62" s="959"/>
      <c r="J62" s="959"/>
      <c r="K62" s="959"/>
      <c r="L62" s="960"/>
      <c r="M62" s="945"/>
    </row>
    <row r="63" spans="4:13" ht="9" customHeight="1">
      <c r="D63" s="941"/>
      <c r="E63" s="942"/>
      <c r="F63" s="948"/>
      <c r="G63" s="948"/>
      <c r="H63" s="961"/>
      <c r="I63" s="962"/>
      <c r="J63" s="963"/>
      <c r="K63" s="963"/>
      <c r="L63" s="964"/>
      <c r="M63" s="945"/>
    </row>
    <row r="64" spans="4:13">
      <c r="D64" s="941"/>
      <c r="E64" s="942"/>
      <c r="F64" s="948"/>
      <c r="G64" s="948"/>
      <c r="H64" s="965" t="s">
        <v>188</v>
      </c>
      <c r="I64" s="966"/>
      <c r="J64" s="967">
        <f>AA34</f>
        <v>468448.78381724999</v>
      </c>
      <c r="K64" s="968" t="s">
        <v>189</v>
      </c>
      <c r="L64" s="969">
        <f>J64/J66</f>
        <v>0.91617776768952008</v>
      </c>
      <c r="M64" s="945"/>
    </row>
    <row r="65" spans="4:13">
      <c r="D65" s="941"/>
      <c r="E65" s="942"/>
      <c r="F65" s="948"/>
      <c r="G65" s="948"/>
      <c r="H65" s="965" t="s">
        <v>190</v>
      </c>
      <c r="I65" s="966"/>
      <c r="J65" s="967">
        <f>Z34</f>
        <v>42858.956162749993</v>
      </c>
      <c r="K65" s="968" t="s">
        <v>189</v>
      </c>
      <c r="L65" s="969">
        <f>J65/J66</f>
        <v>8.3822232310479861E-2</v>
      </c>
      <c r="M65" s="945"/>
    </row>
    <row r="66" spans="4:13" ht="16" thickBot="1">
      <c r="D66" s="941"/>
      <c r="E66" s="942"/>
      <c r="F66" s="948"/>
      <c r="G66" s="948"/>
      <c r="H66" s="970" t="s">
        <v>191</v>
      </c>
      <c r="I66" s="971"/>
      <c r="J66" s="972">
        <f>F8</f>
        <v>511307.73998000001</v>
      </c>
      <c r="K66" s="973" t="s">
        <v>189</v>
      </c>
      <c r="L66" s="974">
        <f>J66/F8</f>
        <v>1</v>
      </c>
      <c r="M66" s="945"/>
    </row>
    <row r="67" spans="4:13">
      <c r="D67" s="941"/>
      <c r="E67" s="942"/>
      <c r="F67" s="948"/>
      <c r="G67" s="948"/>
      <c r="H67" s="963"/>
      <c r="I67" s="963"/>
      <c r="J67" s="963"/>
      <c r="K67" s="963"/>
      <c r="L67" s="963"/>
      <c r="M67" s="945"/>
    </row>
    <row r="68" spans="4:13">
      <c r="D68" s="941"/>
      <c r="E68" s="942"/>
      <c r="F68" s="948"/>
      <c r="G68" s="948"/>
      <c r="M68" s="945"/>
    </row>
    <row r="69" spans="4:13">
      <c r="D69" s="941"/>
      <c r="E69" s="942"/>
      <c r="F69" s="948"/>
      <c r="G69" s="948"/>
      <c r="M69" s="945"/>
    </row>
    <row r="70" spans="4:13">
      <c r="D70" s="941"/>
      <c r="E70" s="942"/>
      <c r="F70" s="948"/>
      <c r="G70" s="948"/>
      <c r="M70" s="945"/>
    </row>
    <row r="71" spans="4:13" ht="15" thickBot="1">
      <c r="D71" s="975"/>
      <c r="E71" s="976"/>
      <c r="F71" s="977"/>
      <c r="G71" s="977"/>
      <c r="H71" s="978"/>
      <c r="I71" s="978"/>
      <c r="J71" s="978"/>
      <c r="K71" s="978"/>
      <c r="L71" s="978"/>
      <c r="M71" s="979"/>
    </row>
    <row r="72" spans="4:13" ht="16" customHeight="1" thickBot="1">
      <c r="D72" s="980"/>
      <c r="E72" s="981"/>
      <c r="F72" s="982"/>
      <c r="G72" s="982"/>
      <c r="H72" s="983"/>
      <c r="I72" s="983"/>
      <c r="J72" s="983"/>
      <c r="K72" s="983"/>
      <c r="L72" s="983"/>
      <c r="M72" s="984"/>
    </row>
    <row r="73" spans="4:13">
      <c r="D73" s="985"/>
      <c r="E73" s="985"/>
      <c r="F73" s="948"/>
      <c r="G73" s="948"/>
    </row>
    <row r="74" spans="4:13">
      <c r="D74" s="985"/>
      <c r="E74" s="985"/>
      <c r="F74" s="948"/>
      <c r="G74" s="948"/>
    </row>
    <row r="75" spans="4:13">
      <c r="F75" s="948"/>
      <c r="G75" s="948"/>
    </row>
    <row r="76" spans="4:13">
      <c r="F76" s="948"/>
      <c r="G76" s="948"/>
    </row>
    <row r="77" spans="4:13">
      <c r="F77" s="948"/>
      <c r="G77" s="948"/>
    </row>
    <row r="78" spans="4:13">
      <c r="D78" s="680" t="s">
        <v>192</v>
      </c>
      <c r="F78" s="948"/>
      <c r="G78" s="948"/>
    </row>
    <row r="79" spans="4:13">
      <c r="F79" s="948"/>
      <c r="G79" s="948"/>
    </row>
    <row r="80" spans="4:13">
      <c r="F80" s="948"/>
      <c r="G80" s="948"/>
    </row>
    <row r="81" spans="6:7">
      <c r="F81" s="948"/>
      <c r="G81" s="948"/>
    </row>
    <row r="82" spans="6:7">
      <c r="F82" s="948"/>
      <c r="G82" s="948"/>
    </row>
  </sheetData>
  <autoFilter ref="C5:C40">
    <filterColumn colId="0">
      <filters blank="1"/>
    </filterColumn>
  </autoFilter>
  <mergeCells count="14">
    <mergeCell ref="D43:M43"/>
    <mergeCell ref="H56:L56"/>
    <mergeCell ref="J58:K58"/>
    <mergeCell ref="H62:L62"/>
    <mergeCell ref="D3:Q4"/>
    <mergeCell ref="D5:Q5"/>
    <mergeCell ref="D6:D7"/>
    <mergeCell ref="E6:F6"/>
    <mergeCell ref="G6:H6"/>
    <mergeCell ref="I6:J6"/>
    <mergeCell ref="K6:L6"/>
    <mergeCell ref="M6:N6"/>
    <mergeCell ref="O6:P6"/>
    <mergeCell ref="Q6:Q7"/>
  </mergeCells>
  <conditionalFormatting sqref="F8:P37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ignoredErrors>
    <ignoredError sqref="H8:P10 P11:P37 H11:O37 C38:O44 C11:G37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66"/>
  </sheetPr>
  <dimension ref="A1:BM44"/>
  <sheetViews>
    <sheetView showGridLines="0" zoomScale="70" zoomScaleNormal="70" workbookViewId="0">
      <pane xSplit="2" topLeftCell="G1" activePane="topRight" state="frozen"/>
      <selection activeCell="O19" sqref="O19"/>
      <selection pane="topRight" activeCell="M21" sqref="M21"/>
    </sheetView>
  </sheetViews>
  <sheetFormatPr defaultRowHeight="14.5"/>
  <cols>
    <col min="1" max="1" width="6.54296875" style="683" customWidth="1"/>
    <col min="2" max="2" width="12.08984375" customWidth="1"/>
    <col min="3" max="6" width="13.6328125" hidden="1" customWidth="1"/>
    <col min="7" max="9" width="13.6328125" customWidth="1"/>
    <col min="10" max="12" width="13.6328125" hidden="1" customWidth="1"/>
    <col min="13" max="13" width="13.6328125" customWidth="1"/>
    <col min="14" max="26" width="13.6328125" hidden="1" customWidth="1"/>
    <col min="27" max="29" width="13.6328125" customWidth="1"/>
    <col min="30" max="32" width="13.6328125" hidden="1" customWidth="1"/>
    <col min="33" max="33" width="13.6328125" customWidth="1"/>
    <col min="34" max="46" width="13.6328125" hidden="1" customWidth="1"/>
    <col min="47" max="48" width="13.6328125" customWidth="1"/>
    <col min="49" max="54" width="13.6328125" hidden="1" customWidth="1"/>
    <col min="55" max="55" width="13.6328125" customWidth="1"/>
    <col min="56" max="56" width="13.54296875" customWidth="1"/>
    <col min="57" max="59" width="13.6328125" customWidth="1"/>
    <col min="60" max="60" width="11.08984375" bestFit="1" customWidth="1"/>
    <col min="61" max="61" width="14.08984375" hidden="1" customWidth="1"/>
    <col min="62" max="65" width="0" hidden="1" customWidth="1"/>
  </cols>
  <sheetData>
    <row r="1" spans="1:65">
      <c r="AD1" s="986">
        <v>548.099999999999</v>
      </c>
    </row>
    <row r="2" spans="1:65">
      <c r="AA2" s="683"/>
      <c r="AC2" s="825"/>
      <c r="AE2" s="987"/>
    </row>
    <row r="3" spans="1:65" ht="21">
      <c r="C3" s="988">
        <v>46266</v>
      </c>
      <c r="D3" s="988"/>
      <c r="E3" s="988"/>
      <c r="F3" s="988"/>
      <c r="G3" s="988"/>
      <c r="H3" s="988"/>
      <c r="I3" s="988"/>
      <c r="J3" s="988"/>
      <c r="K3" s="988"/>
      <c r="L3" s="988"/>
      <c r="M3" s="988"/>
      <c r="N3" s="988"/>
      <c r="O3" s="988"/>
      <c r="P3" s="988"/>
      <c r="Q3" s="988"/>
      <c r="R3" s="988"/>
      <c r="S3" s="988"/>
      <c r="T3" s="988"/>
      <c r="U3" s="988"/>
      <c r="V3" s="988"/>
      <c r="W3" s="988"/>
      <c r="X3" s="988"/>
      <c r="Y3" s="988"/>
      <c r="Z3" s="988"/>
      <c r="AA3" s="988"/>
      <c r="AB3" s="988"/>
      <c r="AC3" s="988"/>
      <c r="AD3" s="988"/>
      <c r="AE3" s="988"/>
      <c r="AF3" s="988"/>
      <c r="AG3" s="988"/>
      <c r="AH3" s="988"/>
      <c r="AI3" s="988"/>
      <c r="AJ3" s="988"/>
      <c r="AK3" s="988"/>
      <c r="AL3" s="988"/>
      <c r="AM3" s="988"/>
      <c r="AN3" s="988"/>
      <c r="AO3" s="988"/>
      <c r="AP3" s="988"/>
      <c r="AQ3" s="988"/>
      <c r="AR3" s="988"/>
      <c r="AS3" s="988"/>
      <c r="AT3" s="988"/>
      <c r="AU3" s="988"/>
      <c r="AV3" s="988"/>
      <c r="AW3" s="988"/>
      <c r="AX3" s="988"/>
      <c r="AY3" s="988"/>
      <c r="AZ3" s="988"/>
      <c r="BA3" s="988"/>
      <c r="BB3" s="988"/>
      <c r="BC3" s="988"/>
    </row>
    <row r="4" spans="1:65" s="825" customFormat="1">
      <c r="A4" s="989"/>
      <c r="C4" s="98" t="s">
        <v>193</v>
      </c>
      <c r="D4" s="98" t="s">
        <v>194</v>
      </c>
      <c r="E4" s="98" t="s">
        <v>195</v>
      </c>
      <c r="F4" s="98" t="s">
        <v>196</v>
      </c>
      <c r="G4" s="98" t="s">
        <v>197</v>
      </c>
      <c r="H4" s="98" t="s">
        <v>198</v>
      </c>
      <c r="I4" s="98"/>
      <c r="J4" s="98" t="s">
        <v>199</v>
      </c>
      <c r="K4" s="98" t="s">
        <v>200</v>
      </c>
      <c r="L4" s="98"/>
      <c r="M4" s="98"/>
      <c r="N4" s="98" t="s">
        <v>193</v>
      </c>
      <c r="O4" s="98" t="s">
        <v>194</v>
      </c>
      <c r="P4" s="98" t="s">
        <v>195</v>
      </c>
      <c r="Q4" s="98" t="s">
        <v>196</v>
      </c>
      <c r="R4" s="98" t="s">
        <v>197</v>
      </c>
      <c r="S4" s="98" t="s">
        <v>198</v>
      </c>
      <c r="T4" s="98"/>
      <c r="U4" s="98" t="s">
        <v>199</v>
      </c>
      <c r="V4" s="98" t="s">
        <v>200</v>
      </c>
      <c r="W4" s="98"/>
      <c r="X4" s="98"/>
      <c r="Y4" s="98" t="s">
        <v>193</v>
      </c>
      <c r="Z4" s="98" t="s">
        <v>194</v>
      </c>
      <c r="AA4" s="98" t="s">
        <v>197</v>
      </c>
      <c r="AB4" s="98" t="s">
        <v>198</v>
      </c>
      <c r="AC4" s="98"/>
      <c r="AD4" s="98" t="s">
        <v>199</v>
      </c>
      <c r="AE4" s="98" t="s">
        <v>200</v>
      </c>
      <c r="AF4" s="98"/>
      <c r="AG4" s="98"/>
      <c r="AH4" s="98" t="s">
        <v>193</v>
      </c>
      <c r="AI4" s="98" t="s">
        <v>194</v>
      </c>
      <c r="AJ4" s="98" t="s">
        <v>195</v>
      </c>
      <c r="AK4" s="98" t="s">
        <v>196</v>
      </c>
      <c r="AL4" s="98" t="s">
        <v>197</v>
      </c>
      <c r="AM4" s="98" t="s">
        <v>198</v>
      </c>
      <c r="AN4" s="98"/>
      <c r="AO4" s="98" t="s">
        <v>199</v>
      </c>
      <c r="AP4" s="98" t="s">
        <v>200</v>
      </c>
      <c r="AQ4" s="98"/>
      <c r="AR4" s="98"/>
      <c r="AS4" s="98" t="s">
        <v>193</v>
      </c>
      <c r="AT4" s="98" t="s">
        <v>194</v>
      </c>
      <c r="AU4" s="98" t="s">
        <v>197</v>
      </c>
      <c r="AV4" s="98" t="s">
        <v>198</v>
      </c>
      <c r="AW4" s="98"/>
      <c r="AX4" s="98"/>
      <c r="AY4" s="98"/>
      <c r="AZ4" s="98" t="s">
        <v>199</v>
      </c>
      <c r="BA4" s="98" t="s">
        <v>200</v>
      </c>
      <c r="BB4" s="98"/>
      <c r="BC4" s="98"/>
      <c r="BK4" s="990"/>
      <c r="BL4" s="990"/>
      <c r="BM4" s="990"/>
    </row>
    <row r="5" spans="1:65">
      <c r="B5" s="991" t="s">
        <v>21</v>
      </c>
      <c r="C5" s="992" t="s">
        <v>44</v>
      </c>
      <c r="D5" s="993"/>
      <c r="E5" s="993"/>
      <c r="F5" s="993"/>
      <c r="G5" s="993"/>
      <c r="H5" s="993"/>
      <c r="I5" s="993"/>
      <c r="J5" s="993"/>
      <c r="K5" s="993"/>
      <c r="L5" s="993"/>
      <c r="M5" s="994"/>
      <c r="N5" s="995" t="s">
        <v>76</v>
      </c>
      <c r="O5" s="996"/>
      <c r="P5" s="996"/>
      <c r="Q5" s="996"/>
      <c r="R5" s="996"/>
      <c r="S5" s="996"/>
      <c r="T5" s="996"/>
      <c r="U5" s="996"/>
      <c r="V5" s="996"/>
      <c r="W5" s="996"/>
      <c r="X5" s="997"/>
      <c r="Y5" s="995" t="s">
        <v>75</v>
      </c>
      <c r="Z5" s="996"/>
      <c r="AA5" s="996"/>
      <c r="AB5" s="996"/>
      <c r="AC5" s="996"/>
      <c r="AD5" s="996"/>
      <c r="AE5" s="996"/>
      <c r="AF5" s="996"/>
      <c r="AG5" s="997"/>
      <c r="AH5" s="998" t="s">
        <v>201</v>
      </c>
      <c r="AI5" s="999"/>
      <c r="AJ5" s="999"/>
      <c r="AK5" s="999"/>
      <c r="AL5" s="999"/>
      <c r="AM5" s="999"/>
      <c r="AN5" s="1000"/>
      <c r="AO5" s="1000"/>
      <c r="AP5" s="1000"/>
      <c r="AQ5" s="1000"/>
      <c r="AR5" s="1001"/>
      <c r="AS5" s="992" t="s">
        <v>39</v>
      </c>
      <c r="AT5" s="993"/>
      <c r="AU5" s="993"/>
      <c r="AV5" s="993"/>
      <c r="AW5" s="993"/>
      <c r="AX5" s="993"/>
      <c r="AY5" s="993"/>
      <c r="AZ5" s="993"/>
      <c r="BA5" s="993"/>
      <c r="BB5" s="993"/>
      <c r="BC5" s="994"/>
      <c r="BD5" s="1002" t="s">
        <v>68</v>
      </c>
      <c r="BE5" s="1003"/>
      <c r="BF5" s="1003"/>
      <c r="BG5" s="1004"/>
      <c r="BI5" s="1005" t="s">
        <v>202</v>
      </c>
      <c r="BJ5" s="1006"/>
      <c r="BK5" s="1007" t="s">
        <v>203</v>
      </c>
      <c r="BL5" s="1007" t="s">
        <v>9</v>
      </c>
      <c r="BM5" s="1007" t="s">
        <v>41</v>
      </c>
    </row>
    <row r="6" spans="1:65">
      <c r="B6" s="1008"/>
      <c r="C6" s="992" t="s">
        <v>204</v>
      </c>
      <c r="D6" s="994"/>
      <c r="E6" s="992" t="s">
        <v>205</v>
      </c>
      <c r="F6" s="994"/>
      <c r="G6" s="992" t="s">
        <v>206</v>
      </c>
      <c r="H6" s="994"/>
      <c r="I6" s="1007" t="s">
        <v>7</v>
      </c>
      <c r="J6" s="992" t="s">
        <v>186</v>
      </c>
      <c r="K6" s="994"/>
      <c r="L6" s="1007" t="s">
        <v>7</v>
      </c>
      <c r="M6" s="1007" t="s">
        <v>207</v>
      </c>
      <c r="N6" s="995" t="s">
        <v>204</v>
      </c>
      <c r="O6" s="997"/>
      <c r="P6" s="995" t="s">
        <v>205</v>
      </c>
      <c r="Q6" s="997"/>
      <c r="R6" s="995" t="s">
        <v>206</v>
      </c>
      <c r="S6" s="997"/>
      <c r="T6" s="1009" t="s">
        <v>7</v>
      </c>
      <c r="U6" s="995" t="s">
        <v>186</v>
      </c>
      <c r="V6" s="997"/>
      <c r="W6" s="1009" t="s">
        <v>7</v>
      </c>
      <c r="X6" s="1009" t="s">
        <v>207</v>
      </c>
      <c r="Y6" s="995" t="s">
        <v>204</v>
      </c>
      <c r="Z6" s="997"/>
      <c r="AA6" s="995" t="s">
        <v>206</v>
      </c>
      <c r="AB6" s="997"/>
      <c r="AC6" s="1009" t="s">
        <v>7</v>
      </c>
      <c r="AD6" s="995" t="s">
        <v>186</v>
      </c>
      <c r="AE6" s="997"/>
      <c r="AF6" s="1009" t="s">
        <v>7</v>
      </c>
      <c r="AG6" s="1009" t="s">
        <v>207</v>
      </c>
      <c r="AH6" s="998" t="s">
        <v>204</v>
      </c>
      <c r="AI6" s="1010"/>
      <c r="AJ6" s="998" t="s">
        <v>206</v>
      </c>
      <c r="AK6" s="1010"/>
      <c r="AL6" s="998"/>
      <c r="AM6" s="1010"/>
      <c r="AN6" s="1011" t="s">
        <v>7</v>
      </c>
      <c r="AO6" s="998" t="s">
        <v>186</v>
      </c>
      <c r="AP6" s="1010"/>
      <c r="AQ6" s="1011" t="s">
        <v>7</v>
      </c>
      <c r="AR6" s="1011" t="s">
        <v>207</v>
      </c>
      <c r="AS6" s="992" t="s">
        <v>204</v>
      </c>
      <c r="AT6" s="994"/>
      <c r="AU6" s="992" t="s">
        <v>206</v>
      </c>
      <c r="AV6" s="994"/>
      <c r="AW6" s="992"/>
      <c r="AX6" s="994"/>
      <c r="AY6" s="1007" t="s">
        <v>7</v>
      </c>
      <c r="AZ6" s="992" t="s">
        <v>186</v>
      </c>
      <c r="BA6" s="994"/>
      <c r="BB6" s="1007" t="s">
        <v>7</v>
      </c>
      <c r="BC6" s="1007" t="s">
        <v>207</v>
      </c>
      <c r="BD6" s="1012"/>
      <c r="BE6" s="1013"/>
      <c r="BF6" s="1014"/>
      <c r="BG6" s="1015" t="s">
        <v>7</v>
      </c>
      <c r="BI6" s="1016"/>
      <c r="BJ6" s="1017"/>
      <c r="BK6" s="1018"/>
      <c r="BL6" s="1018"/>
      <c r="BM6" s="1018"/>
    </row>
    <row r="7" spans="1:65">
      <c r="B7" s="1019"/>
      <c r="C7" s="1020" t="s">
        <v>55</v>
      </c>
      <c r="D7" s="1020" t="s">
        <v>57</v>
      </c>
      <c r="E7" s="1020" t="s">
        <v>55</v>
      </c>
      <c r="F7" s="1020" t="s">
        <v>57</v>
      </c>
      <c r="G7" s="1020" t="s">
        <v>55</v>
      </c>
      <c r="H7" s="1020" t="s">
        <v>57</v>
      </c>
      <c r="I7" s="1018"/>
      <c r="J7" s="1020" t="s">
        <v>55</v>
      </c>
      <c r="K7" s="1020" t="s">
        <v>57</v>
      </c>
      <c r="L7" s="1018"/>
      <c r="M7" s="1018"/>
      <c r="N7" s="1021" t="s">
        <v>55</v>
      </c>
      <c r="O7" s="1021" t="s">
        <v>57</v>
      </c>
      <c r="P7" s="1021" t="s">
        <v>55</v>
      </c>
      <c r="Q7" s="1021" t="s">
        <v>57</v>
      </c>
      <c r="R7" s="1021" t="s">
        <v>55</v>
      </c>
      <c r="S7" s="1021" t="s">
        <v>57</v>
      </c>
      <c r="T7" s="1022"/>
      <c r="U7" s="1021" t="s">
        <v>55</v>
      </c>
      <c r="V7" s="1021" t="s">
        <v>57</v>
      </c>
      <c r="W7" s="1022"/>
      <c r="X7" s="1022"/>
      <c r="Y7" s="1021" t="s">
        <v>55</v>
      </c>
      <c r="Z7" s="1021" t="s">
        <v>57</v>
      </c>
      <c r="AA7" s="1021" t="s">
        <v>55</v>
      </c>
      <c r="AB7" s="1021" t="s">
        <v>57</v>
      </c>
      <c r="AC7" s="1022"/>
      <c r="AD7" s="1021" t="s">
        <v>55</v>
      </c>
      <c r="AE7" s="1021" t="s">
        <v>57</v>
      </c>
      <c r="AF7" s="1022"/>
      <c r="AG7" s="1022"/>
      <c r="AH7" s="1023" t="s">
        <v>55</v>
      </c>
      <c r="AI7" s="1023" t="s">
        <v>57</v>
      </c>
      <c r="AJ7" s="1023" t="s">
        <v>55</v>
      </c>
      <c r="AK7" s="1023" t="s">
        <v>57</v>
      </c>
      <c r="AL7" s="1023"/>
      <c r="AM7" s="1023"/>
      <c r="AN7" s="1024"/>
      <c r="AO7" s="1023" t="s">
        <v>55</v>
      </c>
      <c r="AP7" s="1023" t="s">
        <v>57</v>
      </c>
      <c r="AQ7" s="1024"/>
      <c r="AR7" s="1024"/>
      <c r="AS7" s="1020" t="s">
        <v>55</v>
      </c>
      <c r="AT7" s="1020" t="s">
        <v>57</v>
      </c>
      <c r="AU7" s="1020" t="s">
        <v>55</v>
      </c>
      <c r="AV7" s="1020" t="s">
        <v>57</v>
      </c>
      <c r="AW7" s="1020"/>
      <c r="AX7" s="1020"/>
      <c r="AY7" s="1018"/>
      <c r="AZ7" s="1020" t="s">
        <v>55</v>
      </c>
      <c r="BA7" s="1020" t="s">
        <v>57</v>
      </c>
      <c r="BB7" s="1018"/>
      <c r="BC7" s="1018"/>
      <c r="BD7" s="1025" t="s">
        <v>88</v>
      </c>
      <c r="BE7" s="1026" t="s">
        <v>89</v>
      </c>
      <c r="BF7" s="1026" t="s">
        <v>90</v>
      </c>
      <c r="BG7" s="1027"/>
      <c r="BI7" s="1028" t="s">
        <v>130</v>
      </c>
      <c r="BJ7" s="1029"/>
      <c r="BK7" s="1030"/>
      <c r="BL7" s="1031"/>
      <c r="BM7" s="1032"/>
    </row>
    <row r="8" spans="1:65">
      <c r="B8" s="1033" t="s">
        <v>208</v>
      </c>
      <c r="C8" s="1034"/>
      <c r="D8" s="1035"/>
      <c r="E8" s="1035"/>
      <c r="F8" s="1035"/>
      <c r="G8" s="1035"/>
      <c r="H8" s="1035"/>
      <c r="I8" s="1035"/>
      <c r="J8" s="1035"/>
      <c r="K8" s="1035"/>
      <c r="L8" s="1035"/>
      <c r="M8" s="1036"/>
      <c r="N8" s="1037"/>
      <c r="O8" s="1038"/>
      <c r="P8" s="1038"/>
      <c r="Q8" s="1038"/>
      <c r="R8" s="1038"/>
      <c r="S8" s="1038"/>
      <c r="T8" s="1038"/>
      <c r="U8" s="1038"/>
      <c r="V8" s="1038"/>
      <c r="W8" s="1039"/>
      <c r="X8" s="1038"/>
      <c r="Y8" s="1037">
        <v>0</v>
      </c>
      <c r="Z8" s="1038">
        <v>0</v>
      </c>
      <c r="AA8" s="1038">
        <v>283574.75692000001</v>
      </c>
      <c r="AB8" s="1038">
        <v>198072.75306000002</v>
      </c>
      <c r="AC8" s="1038">
        <v>481647.50998000003</v>
      </c>
      <c r="AD8" s="1038">
        <v>0</v>
      </c>
      <c r="AE8" s="1038">
        <v>0</v>
      </c>
      <c r="AF8" s="1039">
        <v>0</v>
      </c>
      <c r="AG8" s="1038">
        <v>481647.50998000003</v>
      </c>
      <c r="AH8" s="1034"/>
      <c r="AI8" s="1035"/>
      <c r="AJ8" s="1035"/>
      <c r="AK8" s="1035"/>
      <c r="AL8" s="1035"/>
      <c r="AM8" s="1035"/>
      <c r="AN8" s="1035"/>
      <c r="AO8" s="1035"/>
      <c r="AP8" s="1035"/>
      <c r="AQ8" s="1035"/>
      <c r="AR8" s="1036"/>
      <c r="AS8" s="1034"/>
      <c r="AT8" s="1035"/>
      <c r="AU8" s="1035"/>
      <c r="AV8" s="1035"/>
      <c r="AW8" s="1035"/>
      <c r="AX8" s="1035"/>
      <c r="AY8" s="1035"/>
      <c r="AZ8" s="1035"/>
      <c r="BA8" s="1035"/>
      <c r="BB8" s="1035"/>
      <c r="BC8" s="1036"/>
      <c r="BD8" s="1040">
        <v>199887.35048553531</v>
      </c>
      <c r="BE8" s="1040">
        <v>74273.103456485187</v>
      </c>
      <c r="BF8" s="1040">
        <v>14985.87123927438</v>
      </c>
      <c r="BG8" s="1041">
        <v>214873.2217248097</v>
      </c>
      <c r="BI8" s="1042"/>
      <c r="BJ8" s="1043" t="s">
        <v>4</v>
      </c>
      <c r="BK8" s="1044"/>
      <c r="BL8" s="1045"/>
      <c r="BM8" s="1046"/>
    </row>
    <row r="9" spans="1:65">
      <c r="A9" s="833"/>
      <c r="B9" s="1047">
        <v>1</v>
      </c>
      <c r="C9" s="1048">
        <v>0</v>
      </c>
      <c r="D9" s="1049">
        <v>0</v>
      </c>
      <c r="E9" s="1049">
        <v>0</v>
      </c>
      <c r="F9" s="1049">
        <v>0</v>
      </c>
      <c r="G9" s="1049">
        <v>22364.939999999995</v>
      </c>
      <c r="H9" s="1049">
        <v>5563.3599999999988</v>
      </c>
      <c r="I9" s="1050">
        <v>27928.299999999996</v>
      </c>
      <c r="J9" s="1049">
        <v>0</v>
      </c>
      <c r="K9" s="1049">
        <v>0</v>
      </c>
      <c r="L9" s="1050">
        <v>0</v>
      </c>
      <c r="M9" s="1050">
        <v>27928.299999999996</v>
      </c>
      <c r="N9" s="1049"/>
      <c r="O9" s="1049"/>
      <c r="P9" s="1049"/>
      <c r="Q9" s="1051"/>
      <c r="R9" s="1049"/>
      <c r="S9" s="1049"/>
      <c r="T9" s="1052">
        <v>0</v>
      </c>
      <c r="U9" s="1049">
        <v>0</v>
      </c>
      <c r="V9" s="1049">
        <v>0</v>
      </c>
      <c r="W9" s="1052">
        <v>0</v>
      </c>
      <c r="X9" s="1052">
        <v>0</v>
      </c>
      <c r="Y9" s="1049">
        <v>0</v>
      </c>
      <c r="Z9" s="1049">
        <v>0</v>
      </c>
      <c r="AA9" s="1049">
        <v>305939.69692000002</v>
      </c>
      <c r="AB9" s="1049">
        <v>194223.13305999999</v>
      </c>
      <c r="AC9" s="1052">
        <v>500162.82998000004</v>
      </c>
      <c r="AD9" s="1049">
        <v>0</v>
      </c>
      <c r="AE9" s="1049">
        <v>0</v>
      </c>
      <c r="AF9" s="1052">
        <v>0</v>
      </c>
      <c r="AG9" s="1052">
        <v>500162.82998000004</v>
      </c>
      <c r="AH9" s="1049">
        <v>0</v>
      </c>
      <c r="AI9" s="1049">
        <v>0</v>
      </c>
      <c r="AJ9" s="1049">
        <v>0</v>
      </c>
      <c r="AK9" s="1049">
        <v>0</v>
      </c>
      <c r="AL9" s="1049">
        <v>0</v>
      </c>
      <c r="AM9" s="1049">
        <v>0</v>
      </c>
      <c r="AN9" s="1053">
        <v>0</v>
      </c>
      <c r="AO9" s="1049">
        <v>0</v>
      </c>
      <c r="AP9" s="1049">
        <v>0</v>
      </c>
      <c r="AQ9" s="1053">
        <v>0</v>
      </c>
      <c r="AR9" s="1053">
        <v>0</v>
      </c>
      <c r="AS9" s="1049">
        <v>0</v>
      </c>
      <c r="AT9" s="1049">
        <v>0</v>
      </c>
      <c r="AU9" s="1049">
        <v>0</v>
      </c>
      <c r="AV9" s="1049">
        <v>9412.98</v>
      </c>
      <c r="AW9" s="1049">
        <v>0</v>
      </c>
      <c r="AX9" s="1049">
        <v>0</v>
      </c>
      <c r="AY9" s="1050">
        <v>9412.98</v>
      </c>
      <c r="AZ9" s="1049">
        <v>0</v>
      </c>
      <c r="BA9" s="1049">
        <v>0</v>
      </c>
      <c r="BB9" s="1050">
        <v>0</v>
      </c>
      <c r="BC9" s="1050">
        <v>9412.98</v>
      </c>
      <c r="BD9" s="1054">
        <v>11211.95</v>
      </c>
      <c r="BE9" s="1054">
        <v>0</v>
      </c>
      <c r="BF9" s="1054">
        <v>0</v>
      </c>
      <c r="BG9" s="1055">
        <v>11211.95</v>
      </c>
      <c r="BI9" s="1042"/>
      <c r="BJ9" s="1043" t="s">
        <v>126</v>
      </c>
      <c r="BK9" s="1044"/>
      <c r="BL9" s="1045"/>
      <c r="BM9" s="1046"/>
    </row>
    <row r="10" spans="1:65">
      <c r="A10" s="833"/>
      <c r="B10" s="1056">
        <v>2</v>
      </c>
      <c r="C10" s="1057">
        <v>0</v>
      </c>
      <c r="D10" s="1057">
        <v>0</v>
      </c>
      <c r="E10" s="1057">
        <v>0</v>
      </c>
      <c r="F10" s="1057">
        <v>0</v>
      </c>
      <c r="G10" s="1057">
        <v>18526.319999999992</v>
      </c>
      <c r="H10" s="1057">
        <v>7030.38</v>
      </c>
      <c r="I10" s="1058">
        <v>25556.699999999993</v>
      </c>
      <c r="J10" s="1057">
        <v>0</v>
      </c>
      <c r="K10" s="1057">
        <v>0</v>
      </c>
      <c r="L10" s="1058">
        <v>0</v>
      </c>
      <c r="M10" s="1058">
        <v>25556.699999999993</v>
      </c>
      <c r="N10" s="1057"/>
      <c r="O10" s="1057"/>
      <c r="P10" s="1057"/>
      <c r="Q10" s="1057"/>
      <c r="R10" s="1057"/>
      <c r="S10" s="1057"/>
      <c r="T10" s="1059">
        <v>0</v>
      </c>
      <c r="U10" s="1057">
        <v>0</v>
      </c>
      <c r="V10" s="1057">
        <v>0</v>
      </c>
      <c r="W10" s="1059">
        <v>0</v>
      </c>
      <c r="X10" s="1059">
        <v>0</v>
      </c>
      <c r="Y10" s="1057">
        <v>0</v>
      </c>
      <c r="Z10" s="1057">
        <v>0</v>
      </c>
      <c r="AA10" s="1057">
        <v>324466.01692000002</v>
      </c>
      <c r="AB10" s="1057">
        <v>178473.90305999998</v>
      </c>
      <c r="AC10" s="1059">
        <v>502939.91998000001</v>
      </c>
      <c r="AD10" s="1057">
        <v>0</v>
      </c>
      <c r="AE10" s="1057">
        <v>0</v>
      </c>
      <c r="AF10" s="1059">
        <v>0</v>
      </c>
      <c r="AG10" s="1059">
        <v>502939.91998000001</v>
      </c>
      <c r="AH10" s="1057">
        <v>0</v>
      </c>
      <c r="AI10" s="1057">
        <v>0</v>
      </c>
      <c r="AJ10" s="1057">
        <v>0</v>
      </c>
      <c r="AK10" s="1057">
        <v>0</v>
      </c>
      <c r="AL10" s="1057">
        <v>0</v>
      </c>
      <c r="AM10" s="1057">
        <v>0</v>
      </c>
      <c r="AN10" s="1060">
        <v>0</v>
      </c>
      <c r="AO10" s="1057">
        <v>0</v>
      </c>
      <c r="AP10" s="1057">
        <v>0</v>
      </c>
      <c r="AQ10" s="1060">
        <v>0</v>
      </c>
      <c r="AR10" s="1060">
        <v>0</v>
      </c>
      <c r="AS10" s="1057">
        <v>0</v>
      </c>
      <c r="AT10" s="1057">
        <v>0</v>
      </c>
      <c r="AU10" s="1057">
        <v>0</v>
      </c>
      <c r="AV10" s="1057">
        <v>22779.61</v>
      </c>
      <c r="AW10" s="1057">
        <v>0</v>
      </c>
      <c r="AX10" s="1057">
        <v>0</v>
      </c>
      <c r="AY10" s="1058">
        <v>22779.61</v>
      </c>
      <c r="AZ10" s="1057">
        <v>0</v>
      </c>
      <c r="BA10" s="1057">
        <v>0</v>
      </c>
      <c r="BB10" s="1058">
        <v>0</v>
      </c>
      <c r="BC10" s="1058">
        <v>22779.61</v>
      </c>
      <c r="BD10" s="1057">
        <v>0</v>
      </c>
      <c r="BE10" s="1061">
        <v>0</v>
      </c>
      <c r="BF10" s="1061">
        <v>0</v>
      </c>
      <c r="BG10" s="1062">
        <v>0</v>
      </c>
      <c r="BI10" s="1063"/>
      <c r="BJ10" s="1064" t="s">
        <v>53</v>
      </c>
      <c r="BK10" s="1065"/>
      <c r="BL10" s="1066"/>
      <c r="BM10" s="1067"/>
    </row>
    <row r="11" spans="1:65">
      <c r="A11" s="833"/>
      <c r="B11" s="1056">
        <v>3</v>
      </c>
      <c r="C11" s="1057">
        <v>0</v>
      </c>
      <c r="D11" s="1057">
        <v>0</v>
      </c>
      <c r="E11" s="1057">
        <v>0</v>
      </c>
      <c r="F11" s="1057">
        <v>0</v>
      </c>
      <c r="G11" s="1057">
        <v>17667.400000000001</v>
      </c>
      <c r="H11" s="1057">
        <v>7480.6</v>
      </c>
      <c r="I11" s="1058">
        <v>25148</v>
      </c>
      <c r="J11" s="1057">
        <v>0</v>
      </c>
      <c r="K11" s="1057">
        <v>0</v>
      </c>
      <c r="L11" s="1058">
        <v>0</v>
      </c>
      <c r="M11" s="1058">
        <v>25148</v>
      </c>
      <c r="N11" s="1057"/>
      <c r="O11" s="1057"/>
      <c r="P11" s="1057"/>
      <c r="Q11" s="1057"/>
      <c r="R11" s="1057"/>
      <c r="S11" s="1057"/>
      <c r="T11" s="1059">
        <v>0</v>
      </c>
      <c r="U11" s="1057">
        <v>0</v>
      </c>
      <c r="V11" s="1057">
        <v>0</v>
      </c>
      <c r="W11" s="1059">
        <v>0</v>
      </c>
      <c r="X11" s="1059">
        <v>0</v>
      </c>
      <c r="Y11" s="1057">
        <v>0</v>
      </c>
      <c r="Z11" s="1057">
        <v>0</v>
      </c>
      <c r="AA11" s="1057">
        <v>329369.58692000003</v>
      </c>
      <c r="AB11" s="1057">
        <v>174687.21305999998</v>
      </c>
      <c r="AC11" s="1059">
        <v>504056.79998000001</v>
      </c>
      <c r="AD11" s="1057">
        <v>0</v>
      </c>
      <c r="AE11" s="1057">
        <v>0</v>
      </c>
      <c r="AF11" s="1059">
        <v>0</v>
      </c>
      <c r="AG11" s="1059">
        <v>504056.79998000001</v>
      </c>
      <c r="AH11" s="1057">
        <v>0</v>
      </c>
      <c r="AI11" s="1057">
        <v>0</v>
      </c>
      <c r="AJ11" s="1057">
        <v>0</v>
      </c>
      <c r="AK11" s="1057">
        <v>0</v>
      </c>
      <c r="AL11" s="1057">
        <v>0</v>
      </c>
      <c r="AM11" s="1057">
        <v>0</v>
      </c>
      <c r="AN11" s="1060">
        <v>0</v>
      </c>
      <c r="AO11" s="1057">
        <v>0</v>
      </c>
      <c r="AP11" s="1057">
        <v>0</v>
      </c>
      <c r="AQ11" s="1060">
        <v>0</v>
      </c>
      <c r="AR11" s="1060">
        <v>0</v>
      </c>
      <c r="AS11" s="1057">
        <v>0</v>
      </c>
      <c r="AT11" s="1057">
        <v>0</v>
      </c>
      <c r="AU11" s="1057">
        <v>12763.829999999998</v>
      </c>
      <c r="AV11" s="1057">
        <v>11267.29</v>
      </c>
      <c r="AW11" s="1057">
        <v>0</v>
      </c>
      <c r="AX11" s="1057">
        <v>0</v>
      </c>
      <c r="AY11" s="1058">
        <v>24031.119999999999</v>
      </c>
      <c r="AZ11" s="1057">
        <v>0</v>
      </c>
      <c r="BA11" s="1057">
        <v>0</v>
      </c>
      <c r="BB11" s="1058">
        <v>0</v>
      </c>
      <c r="BC11" s="1058">
        <v>24031.119999999999</v>
      </c>
      <c r="BD11" s="1057">
        <v>11044.79</v>
      </c>
      <c r="BE11" s="1061">
        <v>0</v>
      </c>
      <c r="BF11" s="1061">
        <v>0</v>
      </c>
      <c r="BG11" s="1062">
        <v>11044.79</v>
      </c>
      <c r="BI11" s="1028" t="s">
        <v>209</v>
      </c>
      <c r="BJ11" s="1029"/>
      <c r="BK11" s="1030"/>
      <c r="BL11" s="1031"/>
      <c r="BM11" s="1032"/>
    </row>
    <row r="12" spans="1:65">
      <c r="A12" s="833"/>
      <c r="B12" s="1056">
        <v>4</v>
      </c>
      <c r="C12" s="1057">
        <v>0</v>
      </c>
      <c r="D12" s="1057">
        <v>0</v>
      </c>
      <c r="E12" s="1057">
        <v>0</v>
      </c>
      <c r="F12" s="1057">
        <v>0</v>
      </c>
      <c r="G12" s="1057">
        <v>20092.14</v>
      </c>
      <c r="H12" s="1057">
        <v>5550.96</v>
      </c>
      <c r="I12" s="1058">
        <v>25643.1</v>
      </c>
      <c r="J12" s="1057">
        <v>0</v>
      </c>
      <c r="K12" s="1057">
        <v>0</v>
      </c>
      <c r="L12" s="1058">
        <v>0</v>
      </c>
      <c r="M12" s="1058">
        <v>25643.1</v>
      </c>
      <c r="N12" s="1057"/>
      <c r="O12" s="1057"/>
      <c r="P12" s="1057"/>
      <c r="Q12" s="1057"/>
      <c r="R12" s="1057"/>
      <c r="S12" s="1057"/>
      <c r="T12" s="1059">
        <v>0</v>
      </c>
      <c r="U12" s="1057">
        <v>0</v>
      </c>
      <c r="V12" s="1057">
        <v>0</v>
      </c>
      <c r="W12" s="1059">
        <v>0</v>
      </c>
      <c r="X12" s="1059">
        <v>0</v>
      </c>
      <c r="Y12" s="1057">
        <v>0</v>
      </c>
      <c r="Z12" s="1057">
        <v>0</v>
      </c>
      <c r="AA12" s="1057">
        <v>325995.25692000007</v>
      </c>
      <c r="AB12" s="1057">
        <v>180238.17305999997</v>
      </c>
      <c r="AC12" s="1059">
        <v>506233.42998000002</v>
      </c>
      <c r="AD12" s="1057">
        <v>0</v>
      </c>
      <c r="AE12" s="1057">
        <v>0</v>
      </c>
      <c r="AF12" s="1059">
        <v>0</v>
      </c>
      <c r="AG12" s="1059">
        <v>506233.42998000002</v>
      </c>
      <c r="AH12" s="1057">
        <v>0</v>
      </c>
      <c r="AI12" s="1057">
        <v>0</v>
      </c>
      <c r="AJ12" s="1057">
        <v>0</v>
      </c>
      <c r="AK12" s="1057">
        <v>0</v>
      </c>
      <c r="AL12" s="1057">
        <v>0</v>
      </c>
      <c r="AM12" s="1057">
        <v>0</v>
      </c>
      <c r="AN12" s="1060">
        <v>0</v>
      </c>
      <c r="AO12" s="1057">
        <v>0</v>
      </c>
      <c r="AP12" s="1057">
        <v>0</v>
      </c>
      <c r="AQ12" s="1060">
        <v>0</v>
      </c>
      <c r="AR12" s="1060">
        <v>0</v>
      </c>
      <c r="AS12" s="1057">
        <v>0</v>
      </c>
      <c r="AT12" s="1057">
        <v>0</v>
      </c>
      <c r="AU12" s="1057">
        <v>23466.47</v>
      </c>
      <c r="AV12" s="1057">
        <v>0</v>
      </c>
      <c r="AW12" s="1057">
        <v>0</v>
      </c>
      <c r="AX12" s="1057">
        <v>0</v>
      </c>
      <c r="AY12" s="1058">
        <v>23466.47</v>
      </c>
      <c r="AZ12" s="1057">
        <v>0</v>
      </c>
      <c r="BA12" s="1057">
        <v>0</v>
      </c>
      <c r="BB12" s="1058">
        <v>0</v>
      </c>
      <c r="BC12" s="1058">
        <v>23466.47</v>
      </c>
      <c r="BD12" s="1057">
        <v>10568.529999999999</v>
      </c>
      <c r="BE12" s="1061">
        <v>0</v>
      </c>
      <c r="BF12" s="1061">
        <v>0</v>
      </c>
      <c r="BG12" s="1062">
        <v>10568.529999999999</v>
      </c>
      <c r="BI12" s="1042"/>
      <c r="BJ12" s="1043" t="s">
        <v>4</v>
      </c>
      <c r="BK12" s="1044"/>
      <c r="BL12" s="1045"/>
      <c r="BM12" s="1046"/>
    </row>
    <row r="13" spans="1:65">
      <c r="A13" s="833"/>
      <c r="B13" s="1056">
        <v>5</v>
      </c>
      <c r="C13" s="1057">
        <v>0</v>
      </c>
      <c r="D13" s="1057">
        <v>0</v>
      </c>
      <c r="E13" s="1057">
        <v>0</v>
      </c>
      <c r="F13" s="1057">
        <v>0</v>
      </c>
      <c r="G13" s="1057">
        <v>15411.3</v>
      </c>
      <c r="H13" s="1057">
        <v>5440.6600000000008</v>
      </c>
      <c r="I13" s="1058">
        <v>20851.96</v>
      </c>
      <c r="J13" s="1057">
        <v>0</v>
      </c>
      <c r="K13" s="1057">
        <v>0</v>
      </c>
      <c r="L13" s="1058">
        <v>0</v>
      </c>
      <c r="M13" s="1058">
        <v>20851.96</v>
      </c>
      <c r="N13" s="1057"/>
      <c r="O13" s="1057"/>
      <c r="P13" s="1057"/>
      <c r="Q13" s="1057"/>
      <c r="R13" s="1057"/>
      <c r="S13" s="1057"/>
      <c r="T13" s="1059">
        <v>0</v>
      </c>
      <c r="U13" s="1057">
        <v>0</v>
      </c>
      <c r="V13" s="1057">
        <v>0</v>
      </c>
      <c r="W13" s="1059">
        <v>0</v>
      </c>
      <c r="X13" s="1059">
        <v>0</v>
      </c>
      <c r="Y13" s="1057">
        <v>0</v>
      </c>
      <c r="Z13" s="1057">
        <v>0</v>
      </c>
      <c r="AA13" s="1057">
        <v>328292.99692000006</v>
      </c>
      <c r="AB13" s="1057">
        <v>177937.10305999996</v>
      </c>
      <c r="AC13" s="1059">
        <v>506230.09998000006</v>
      </c>
      <c r="AD13" s="1057">
        <v>0</v>
      </c>
      <c r="AE13" s="1057">
        <v>0</v>
      </c>
      <c r="AF13" s="1059">
        <v>0</v>
      </c>
      <c r="AG13" s="1059">
        <v>506230.09998000006</v>
      </c>
      <c r="AH13" s="1057">
        <v>0</v>
      </c>
      <c r="AI13" s="1057">
        <v>0</v>
      </c>
      <c r="AJ13" s="1057">
        <v>0</v>
      </c>
      <c r="AK13" s="1057">
        <v>0</v>
      </c>
      <c r="AL13" s="1057">
        <v>0</v>
      </c>
      <c r="AM13" s="1057">
        <v>0</v>
      </c>
      <c r="AN13" s="1060">
        <v>0</v>
      </c>
      <c r="AO13" s="1057">
        <v>0</v>
      </c>
      <c r="AP13" s="1057">
        <v>0</v>
      </c>
      <c r="AQ13" s="1060">
        <v>0</v>
      </c>
      <c r="AR13" s="1060">
        <v>0</v>
      </c>
      <c r="AS13" s="1057">
        <v>0</v>
      </c>
      <c r="AT13" s="1057">
        <v>0</v>
      </c>
      <c r="AU13" s="1057">
        <v>13113.559999999996</v>
      </c>
      <c r="AV13" s="1057">
        <v>7741.73</v>
      </c>
      <c r="AW13" s="1057">
        <v>0</v>
      </c>
      <c r="AX13" s="1057">
        <v>0</v>
      </c>
      <c r="AY13" s="1058">
        <v>20855.289999999994</v>
      </c>
      <c r="AZ13" s="1057">
        <v>0</v>
      </c>
      <c r="BA13" s="1057">
        <v>0</v>
      </c>
      <c r="BB13" s="1058">
        <v>0</v>
      </c>
      <c r="BC13" s="1058">
        <v>20855.289999999994</v>
      </c>
      <c r="BD13" s="1057">
        <v>0</v>
      </c>
      <c r="BE13" s="1061">
        <v>0</v>
      </c>
      <c r="BF13" s="1061">
        <v>0</v>
      </c>
      <c r="BG13" s="1062">
        <v>0</v>
      </c>
      <c r="BI13" s="1042"/>
      <c r="BJ13" s="1043" t="s">
        <v>126</v>
      </c>
      <c r="BK13" s="1044"/>
      <c r="BL13" s="1045"/>
      <c r="BM13" s="1046"/>
    </row>
    <row r="14" spans="1:65">
      <c r="A14" s="833"/>
      <c r="B14" s="1056">
        <v>6</v>
      </c>
      <c r="C14" s="1057">
        <v>0</v>
      </c>
      <c r="D14" s="1057">
        <v>0</v>
      </c>
      <c r="E14" s="1057">
        <v>0</v>
      </c>
      <c r="F14" s="1057">
        <v>0</v>
      </c>
      <c r="G14" s="1057">
        <v>21110.880000000001</v>
      </c>
      <c r="H14" s="1057">
        <v>5695.44</v>
      </c>
      <c r="I14" s="1058">
        <v>26806.32</v>
      </c>
      <c r="J14" s="1057">
        <v>0</v>
      </c>
      <c r="K14" s="1057">
        <v>0</v>
      </c>
      <c r="L14" s="1058">
        <v>0</v>
      </c>
      <c r="M14" s="1058">
        <v>26806.32</v>
      </c>
      <c r="N14" s="1057"/>
      <c r="O14" s="1057"/>
      <c r="P14" s="1057"/>
      <c r="Q14" s="1057"/>
      <c r="R14" s="1057"/>
      <c r="S14" s="1057"/>
      <c r="T14" s="1059">
        <v>0</v>
      </c>
      <c r="U14" s="1057">
        <v>0</v>
      </c>
      <c r="V14" s="1057">
        <v>0</v>
      </c>
      <c r="W14" s="1059">
        <v>0</v>
      </c>
      <c r="X14" s="1059">
        <v>0</v>
      </c>
      <c r="Y14" s="1057">
        <v>0</v>
      </c>
      <c r="Z14" s="1057">
        <v>0</v>
      </c>
      <c r="AA14" s="1057">
        <v>340350.17692000006</v>
      </c>
      <c r="AB14" s="1057">
        <v>174044.95305999997</v>
      </c>
      <c r="AC14" s="1059">
        <v>514395.12998000003</v>
      </c>
      <c r="AD14" s="1057">
        <v>0</v>
      </c>
      <c r="AE14" s="1057">
        <v>0</v>
      </c>
      <c r="AF14" s="1059">
        <v>0</v>
      </c>
      <c r="AG14" s="1059">
        <v>514395.12998000003</v>
      </c>
      <c r="AH14" s="1057">
        <v>0</v>
      </c>
      <c r="AI14" s="1057">
        <v>0</v>
      </c>
      <c r="AJ14" s="1057">
        <v>0</v>
      </c>
      <c r="AK14" s="1057">
        <v>0</v>
      </c>
      <c r="AL14" s="1057">
        <v>0</v>
      </c>
      <c r="AM14" s="1057">
        <v>0</v>
      </c>
      <c r="AN14" s="1060">
        <v>0</v>
      </c>
      <c r="AO14" s="1057">
        <v>0</v>
      </c>
      <c r="AP14" s="1057">
        <v>0</v>
      </c>
      <c r="AQ14" s="1060">
        <v>0</v>
      </c>
      <c r="AR14" s="1060">
        <v>0</v>
      </c>
      <c r="AS14" s="1057">
        <v>0</v>
      </c>
      <c r="AT14" s="1057">
        <v>0</v>
      </c>
      <c r="AU14" s="1057">
        <v>9053.7000000000007</v>
      </c>
      <c r="AV14" s="1057">
        <v>9587.59</v>
      </c>
      <c r="AW14" s="1057">
        <v>0</v>
      </c>
      <c r="AX14" s="1057">
        <v>0</v>
      </c>
      <c r="AY14" s="1058">
        <v>18641.29</v>
      </c>
      <c r="AZ14" s="1057">
        <v>0</v>
      </c>
      <c r="BA14" s="1057">
        <v>0</v>
      </c>
      <c r="BB14" s="1058">
        <v>0</v>
      </c>
      <c r="BC14" s="1058">
        <v>18641.29</v>
      </c>
      <c r="BD14" s="1057">
        <v>5488.0199999999995</v>
      </c>
      <c r="BE14" s="1061">
        <v>8297.0400000000009</v>
      </c>
      <c r="BF14" s="1061">
        <v>0</v>
      </c>
      <c r="BG14" s="1062">
        <v>13785.060000000001</v>
      </c>
      <c r="BI14" s="1063"/>
      <c r="BJ14" s="1068" t="s">
        <v>53</v>
      </c>
      <c r="BK14" s="1069"/>
      <c r="BL14" s="1070"/>
      <c r="BM14" s="1071"/>
    </row>
    <row r="15" spans="1:65">
      <c r="A15" s="833"/>
      <c r="B15" s="1056">
        <v>7</v>
      </c>
      <c r="C15" s="1057">
        <v>0</v>
      </c>
      <c r="D15" s="1057">
        <v>0</v>
      </c>
      <c r="E15" s="1057">
        <v>0</v>
      </c>
      <c r="F15" s="1057">
        <v>0</v>
      </c>
      <c r="G15" s="1057">
        <v>14729.840000000004</v>
      </c>
      <c r="H15" s="1057">
        <v>7431.0000000000018</v>
      </c>
      <c r="I15" s="1058">
        <v>22160.840000000004</v>
      </c>
      <c r="J15" s="1057">
        <v>0</v>
      </c>
      <c r="K15" s="1057">
        <v>0</v>
      </c>
      <c r="L15" s="1058">
        <v>0</v>
      </c>
      <c r="M15" s="1058">
        <v>22160.840000000004</v>
      </c>
      <c r="N15" s="1057"/>
      <c r="O15" s="1057"/>
      <c r="P15" s="1057"/>
      <c r="Q15" s="1057"/>
      <c r="R15" s="1057"/>
      <c r="S15" s="1057"/>
      <c r="T15" s="1059">
        <v>0</v>
      </c>
      <c r="U15" s="1057">
        <v>0</v>
      </c>
      <c r="V15" s="1057">
        <v>0</v>
      </c>
      <c r="W15" s="1059">
        <v>0</v>
      </c>
      <c r="X15" s="1059">
        <v>0</v>
      </c>
      <c r="Y15" s="1057">
        <v>0</v>
      </c>
      <c r="Z15" s="1057">
        <v>0</v>
      </c>
      <c r="AA15" s="1057">
        <v>342654.36692000006</v>
      </c>
      <c r="AB15" s="1057">
        <v>168653.37305999995</v>
      </c>
      <c r="AC15" s="1059">
        <v>511307.73998000001</v>
      </c>
      <c r="AD15" s="1057">
        <v>0</v>
      </c>
      <c r="AE15" s="1057">
        <v>0</v>
      </c>
      <c r="AF15" s="1059">
        <v>0</v>
      </c>
      <c r="AG15" s="1059">
        <v>511307.73998000001</v>
      </c>
      <c r="AH15" s="1057">
        <v>0</v>
      </c>
      <c r="AI15" s="1057">
        <v>0</v>
      </c>
      <c r="AJ15" s="1057">
        <v>0</v>
      </c>
      <c r="AK15" s="1057">
        <v>0</v>
      </c>
      <c r="AL15" s="1057">
        <v>0</v>
      </c>
      <c r="AM15" s="1057">
        <v>0</v>
      </c>
      <c r="AN15" s="1060">
        <v>0</v>
      </c>
      <c r="AO15" s="1057">
        <v>0</v>
      </c>
      <c r="AP15" s="1057">
        <v>0</v>
      </c>
      <c r="AQ15" s="1060">
        <v>0</v>
      </c>
      <c r="AR15" s="1060">
        <v>0</v>
      </c>
      <c r="AS15" s="1057">
        <v>0</v>
      </c>
      <c r="AT15" s="1057">
        <v>0</v>
      </c>
      <c r="AU15" s="1057">
        <v>12425.650000000001</v>
      </c>
      <c r="AV15" s="1057">
        <v>12822.580000000002</v>
      </c>
      <c r="AW15" s="1057">
        <v>0</v>
      </c>
      <c r="AX15" s="1057">
        <v>0</v>
      </c>
      <c r="AY15" s="1058">
        <v>25248.230000000003</v>
      </c>
      <c r="AZ15" s="1057">
        <v>0</v>
      </c>
      <c r="BA15" s="1057">
        <v>0</v>
      </c>
      <c r="BB15" s="1058">
        <v>0</v>
      </c>
      <c r="BC15" s="1058">
        <v>25248.230000000003</v>
      </c>
      <c r="BD15" s="1057">
        <v>0</v>
      </c>
      <c r="BE15" s="1061">
        <v>0</v>
      </c>
      <c r="BF15" s="1061">
        <v>0</v>
      </c>
      <c r="BG15" s="1062">
        <v>0</v>
      </c>
      <c r="BI15" s="1028" t="s">
        <v>131</v>
      </c>
      <c r="BJ15" s="1072"/>
      <c r="BK15" s="1073"/>
      <c r="BL15" s="1074"/>
      <c r="BM15" s="1075"/>
    </row>
    <row r="16" spans="1:65">
      <c r="A16" s="833"/>
      <c r="B16" s="1056">
        <v>8</v>
      </c>
      <c r="C16" s="1057">
        <v>0</v>
      </c>
      <c r="D16" s="1057">
        <v>0</v>
      </c>
      <c r="E16" s="1057">
        <v>0</v>
      </c>
      <c r="F16" s="1057">
        <v>0</v>
      </c>
      <c r="G16" s="1057">
        <v>0</v>
      </c>
      <c r="H16" s="1057">
        <v>0</v>
      </c>
      <c r="I16" s="1058">
        <v>0</v>
      </c>
      <c r="J16" s="1057">
        <v>0</v>
      </c>
      <c r="K16" s="1057">
        <v>0</v>
      </c>
      <c r="L16" s="1058">
        <v>0</v>
      </c>
      <c r="M16" s="1058">
        <v>0</v>
      </c>
      <c r="N16" s="1057"/>
      <c r="O16" s="1057"/>
      <c r="P16" s="1057"/>
      <c r="Q16" s="1057"/>
      <c r="R16" s="1057"/>
      <c r="S16" s="1057"/>
      <c r="T16" s="1059">
        <v>0</v>
      </c>
      <c r="U16" s="1057">
        <v>0</v>
      </c>
      <c r="V16" s="1057">
        <v>0</v>
      </c>
      <c r="W16" s="1059">
        <v>0</v>
      </c>
      <c r="X16" s="1059">
        <v>0</v>
      </c>
      <c r="Y16" s="1057">
        <v>0</v>
      </c>
      <c r="Z16" s="1057">
        <v>0</v>
      </c>
      <c r="AA16" s="1057">
        <v>342654.36692000006</v>
      </c>
      <c r="AB16" s="1057">
        <v>168653.37305999995</v>
      </c>
      <c r="AC16" s="1059">
        <v>511307.73998000001</v>
      </c>
      <c r="AD16" s="1057">
        <v>0</v>
      </c>
      <c r="AE16" s="1057">
        <v>0</v>
      </c>
      <c r="AF16" s="1059">
        <v>0</v>
      </c>
      <c r="AG16" s="1059">
        <v>511307.73998000001</v>
      </c>
      <c r="AH16" s="1057">
        <v>0</v>
      </c>
      <c r="AI16" s="1057">
        <v>0</v>
      </c>
      <c r="AJ16" s="1057">
        <v>0</v>
      </c>
      <c r="AK16" s="1057">
        <v>0</v>
      </c>
      <c r="AL16" s="1057">
        <v>0</v>
      </c>
      <c r="AM16" s="1057">
        <v>0</v>
      </c>
      <c r="AN16" s="1060">
        <v>0</v>
      </c>
      <c r="AO16" s="1057">
        <v>0</v>
      </c>
      <c r="AP16" s="1057">
        <v>0</v>
      </c>
      <c r="AQ16" s="1060">
        <v>0</v>
      </c>
      <c r="AR16" s="1060">
        <v>0</v>
      </c>
      <c r="AS16" s="1057">
        <v>0</v>
      </c>
      <c r="AT16" s="1057">
        <v>0</v>
      </c>
      <c r="AU16" s="1057">
        <v>0</v>
      </c>
      <c r="AV16" s="1057">
        <v>0</v>
      </c>
      <c r="AW16" s="1057">
        <v>0</v>
      </c>
      <c r="AX16" s="1057">
        <v>0</v>
      </c>
      <c r="AY16" s="1058">
        <v>0</v>
      </c>
      <c r="AZ16" s="1057">
        <v>0</v>
      </c>
      <c r="BA16" s="1057">
        <v>0</v>
      </c>
      <c r="BB16" s="1058">
        <v>0</v>
      </c>
      <c r="BC16" s="1058">
        <v>0</v>
      </c>
      <c r="BD16" s="1057">
        <v>0</v>
      </c>
      <c r="BE16" s="1061">
        <v>0</v>
      </c>
      <c r="BF16" s="1061">
        <v>0</v>
      </c>
      <c r="BG16" s="1062">
        <v>0</v>
      </c>
      <c r="BI16" s="1042"/>
      <c r="BJ16" s="1043" t="s">
        <v>4</v>
      </c>
      <c r="BK16" s="1045"/>
      <c r="BL16" s="1043"/>
      <c r="BM16" s="1045"/>
    </row>
    <row r="17" spans="1:65">
      <c r="A17" s="833"/>
      <c r="B17" s="1056">
        <v>9</v>
      </c>
      <c r="C17" s="1057">
        <v>0</v>
      </c>
      <c r="D17" s="1057">
        <v>0</v>
      </c>
      <c r="E17" s="1057">
        <v>0</v>
      </c>
      <c r="F17" s="1057">
        <v>0</v>
      </c>
      <c r="G17" s="1057">
        <v>0</v>
      </c>
      <c r="H17" s="1057">
        <v>0</v>
      </c>
      <c r="I17" s="1058">
        <v>0</v>
      </c>
      <c r="J17" s="1057">
        <v>0</v>
      </c>
      <c r="K17" s="1057">
        <v>0</v>
      </c>
      <c r="L17" s="1058">
        <v>0</v>
      </c>
      <c r="M17" s="1058">
        <v>0</v>
      </c>
      <c r="N17" s="1057"/>
      <c r="O17" s="1057"/>
      <c r="P17" s="1057"/>
      <c r="Q17" s="1057"/>
      <c r="R17" s="1057"/>
      <c r="S17" s="1057"/>
      <c r="T17" s="1059">
        <v>0</v>
      </c>
      <c r="U17" s="1057">
        <v>0</v>
      </c>
      <c r="V17" s="1057">
        <v>0</v>
      </c>
      <c r="W17" s="1059">
        <v>0</v>
      </c>
      <c r="X17" s="1059">
        <v>0</v>
      </c>
      <c r="Y17" s="1057">
        <v>0</v>
      </c>
      <c r="Z17" s="1057">
        <v>0</v>
      </c>
      <c r="AA17" s="1057">
        <v>342654.36692000006</v>
      </c>
      <c r="AB17" s="1057">
        <v>168653.37305999995</v>
      </c>
      <c r="AC17" s="1059">
        <v>511307.73998000001</v>
      </c>
      <c r="AD17" s="1057">
        <v>0</v>
      </c>
      <c r="AE17" s="1057">
        <v>0</v>
      </c>
      <c r="AF17" s="1059">
        <v>0</v>
      </c>
      <c r="AG17" s="1059">
        <v>511307.73998000001</v>
      </c>
      <c r="AH17" s="1057">
        <v>0</v>
      </c>
      <c r="AI17" s="1057">
        <v>0</v>
      </c>
      <c r="AJ17" s="1057">
        <v>0</v>
      </c>
      <c r="AK17" s="1057">
        <v>0</v>
      </c>
      <c r="AL17" s="1057">
        <v>0</v>
      </c>
      <c r="AM17" s="1057">
        <v>0</v>
      </c>
      <c r="AN17" s="1060">
        <v>0</v>
      </c>
      <c r="AO17" s="1057">
        <v>0</v>
      </c>
      <c r="AP17" s="1057">
        <v>0</v>
      </c>
      <c r="AQ17" s="1060">
        <v>0</v>
      </c>
      <c r="AR17" s="1060">
        <v>0</v>
      </c>
      <c r="AS17" s="1057">
        <v>0</v>
      </c>
      <c r="AT17" s="1057">
        <v>0</v>
      </c>
      <c r="AU17" s="1057">
        <v>0</v>
      </c>
      <c r="AV17" s="1057">
        <v>0</v>
      </c>
      <c r="AW17" s="1057">
        <v>0</v>
      </c>
      <c r="AX17" s="1057">
        <v>0</v>
      </c>
      <c r="AY17" s="1058">
        <v>0</v>
      </c>
      <c r="AZ17" s="1057">
        <v>0</v>
      </c>
      <c r="BA17" s="1057">
        <v>0</v>
      </c>
      <c r="BB17" s="1058">
        <v>0</v>
      </c>
      <c r="BC17" s="1058">
        <v>0</v>
      </c>
      <c r="BD17" s="1057">
        <v>0</v>
      </c>
      <c r="BE17" s="1061">
        <v>0</v>
      </c>
      <c r="BF17" s="1061">
        <v>0</v>
      </c>
      <c r="BG17" s="1062">
        <v>0</v>
      </c>
      <c r="BI17" s="1042"/>
      <c r="BJ17" s="1043" t="s">
        <v>126</v>
      </c>
      <c r="BK17" s="1045"/>
      <c r="BL17" s="1043"/>
      <c r="BM17" s="1045"/>
    </row>
    <row r="18" spans="1:65">
      <c r="A18" s="833"/>
      <c r="B18" s="1056">
        <v>10</v>
      </c>
      <c r="C18" s="1057">
        <v>0</v>
      </c>
      <c r="D18" s="1057">
        <v>0</v>
      </c>
      <c r="E18" s="1057">
        <v>0</v>
      </c>
      <c r="F18" s="1057">
        <v>0</v>
      </c>
      <c r="G18" s="1057">
        <v>0</v>
      </c>
      <c r="H18" s="1057">
        <v>0</v>
      </c>
      <c r="I18" s="1058">
        <v>0</v>
      </c>
      <c r="J18" s="1057">
        <v>0</v>
      </c>
      <c r="K18" s="1057">
        <v>0</v>
      </c>
      <c r="L18" s="1058">
        <v>0</v>
      </c>
      <c r="M18" s="1058">
        <v>0</v>
      </c>
      <c r="N18" s="1057"/>
      <c r="O18" s="1057"/>
      <c r="P18" s="1057"/>
      <c r="Q18" s="1057"/>
      <c r="R18" s="1057"/>
      <c r="S18" s="1057"/>
      <c r="T18" s="1059">
        <v>0</v>
      </c>
      <c r="U18" s="1057">
        <v>0</v>
      </c>
      <c r="V18" s="1057">
        <v>0</v>
      </c>
      <c r="W18" s="1059">
        <v>0</v>
      </c>
      <c r="X18" s="1059">
        <v>0</v>
      </c>
      <c r="Y18" s="1057">
        <v>0</v>
      </c>
      <c r="Z18" s="1057">
        <v>0</v>
      </c>
      <c r="AA18" s="1057">
        <v>342654.36692000006</v>
      </c>
      <c r="AB18" s="1057">
        <v>168653.37305999995</v>
      </c>
      <c r="AC18" s="1059">
        <v>511307.73998000001</v>
      </c>
      <c r="AD18" s="1057">
        <v>0</v>
      </c>
      <c r="AE18" s="1057">
        <v>0</v>
      </c>
      <c r="AF18" s="1059">
        <v>0</v>
      </c>
      <c r="AG18" s="1059">
        <v>511307.73998000001</v>
      </c>
      <c r="AH18" s="1057">
        <v>0</v>
      </c>
      <c r="AI18" s="1057">
        <v>0</v>
      </c>
      <c r="AJ18" s="1057">
        <v>0</v>
      </c>
      <c r="AK18" s="1057">
        <v>0</v>
      </c>
      <c r="AL18" s="1057">
        <v>0</v>
      </c>
      <c r="AM18" s="1057">
        <v>0</v>
      </c>
      <c r="AN18" s="1060">
        <v>0</v>
      </c>
      <c r="AO18" s="1057">
        <v>0</v>
      </c>
      <c r="AP18" s="1057">
        <v>0</v>
      </c>
      <c r="AQ18" s="1060">
        <v>0</v>
      </c>
      <c r="AR18" s="1060">
        <v>0</v>
      </c>
      <c r="AS18" s="1057">
        <v>0</v>
      </c>
      <c r="AT18" s="1057">
        <v>0</v>
      </c>
      <c r="AU18" s="1057">
        <v>0</v>
      </c>
      <c r="AV18" s="1057">
        <v>0</v>
      </c>
      <c r="AW18" s="1057">
        <v>0</v>
      </c>
      <c r="AX18" s="1057">
        <v>0</v>
      </c>
      <c r="AY18" s="1058">
        <v>0</v>
      </c>
      <c r="AZ18" s="1057">
        <v>0</v>
      </c>
      <c r="BA18" s="1057">
        <v>0</v>
      </c>
      <c r="BB18" s="1058">
        <v>0</v>
      </c>
      <c r="BC18" s="1058">
        <v>0</v>
      </c>
      <c r="BD18" s="1057">
        <v>0</v>
      </c>
      <c r="BE18" s="1061">
        <v>0</v>
      </c>
      <c r="BF18" s="1061">
        <v>0</v>
      </c>
      <c r="BG18" s="1062">
        <v>0</v>
      </c>
      <c r="BI18" s="1063"/>
      <c r="BJ18" s="1068" t="s">
        <v>53</v>
      </c>
      <c r="BK18" s="1070"/>
      <c r="BL18" s="1068"/>
      <c r="BM18" s="1070"/>
    </row>
    <row r="19" spans="1:65">
      <c r="A19" s="833"/>
      <c r="B19" s="1056">
        <v>11</v>
      </c>
      <c r="C19" s="1057">
        <v>0</v>
      </c>
      <c r="D19" s="1057">
        <v>0</v>
      </c>
      <c r="E19" s="1057">
        <v>0</v>
      </c>
      <c r="F19" s="1057">
        <v>0</v>
      </c>
      <c r="G19" s="1057">
        <v>0</v>
      </c>
      <c r="H19" s="1057">
        <v>0</v>
      </c>
      <c r="I19" s="1058">
        <v>0</v>
      </c>
      <c r="J19" s="1057">
        <v>0</v>
      </c>
      <c r="K19" s="1057">
        <v>0</v>
      </c>
      <c r="L19" s="1058">
        <v>0</v>
      </c>
      <c r="M19" s="1058">
        <v>0</v>
      </c>
      <c r="N19" s="1057"/>
      <c r="O19" s="1057"/>
      <c r="P19" s="1057"/>
      <c r="Q19" s="1057"/>
      <c r="R19" s="1057"/>
      <c r="S19" s="1057"/>
      <c r="T19" s="1059">
        <v>0</v>
      </c>
      <c r="U19" s="1057">
        <v>0</v>
      </c>
      <c r="V19" s="1057">
        <v>0</v>
      </c>
      <c r="W19" s="1059">
        <v>0</v>
      </c>
      <c r="X19" s="1059">
        <v>0</v>
      </c>
      <c r="Y19" s="1057">
        <v>0</v>
      </c>
      <c r="Z19" s="1057">
        <v>0</v>
      </c>
      <c r="AA19" s="1057">
        <v>342654.36692000006</v>
      </c>
      <c r="AB19" s="1057">
        <v>168653.37305999995</v>
      </c>
      <c r="AC19" s="1059">
        <v>511307.73998000001</v>
      </c>
      <c r="AD19" s="1057">
        <v>0</v>
      </c>
      <c r="AE19" s="1057">
        <v>0</v>
      </c>
      <c r="AF19" s="1059">
        <v>0</v>
      </c>
      <c r="AG19" s="1059">
        <v>511307.73998000001</v>
      </c>
      <c r="AH19" s="1057">
        <v>0</v>
      </c>
      <c r="AI19" s="1057">
        <v>0</v>
      </c>
      <c r="AJ19" s="1057">
        <v>0</v>
      </c>
      <c r="AK19" s="1057">
        <v>0</v>
      </c>
      <c r="AL19" s="1057">
        <v>0</v>
      </c>
      <c r="AM19" s="1057">
        <v>0</v>
      </c>
      <c r="AN19" s="1060">
        <v>0</v>
      </c>
      <c r="AO19" s="1057">
        <v>0</v>
      </c>
      <c r="AP19" s="1057">
        <v>0</v>
      </c>
      <c r="AQ19" s="1060">
        <v>0</v>
      </c>
      <c r="AR19" s="1060">
        <v>0</v>
      </c>
      <c r="AS19" s="1057">
        <v>0</v>
      </c>
      <c r="AT19" s="1057">
        <v>0</v>
      </c>
      <c r="AU19" s="1057">
        <v>0</v>
      </c>
      <c r="AV19" s="1057">
        <v>0</v>
      </c>
      <c r="AW19" s="1057">
        <v>0</v>
      </c>
      <c r="AX19" s="1057">
        <v>0</v>
      </c>
      <c r="AY19" s="1058">
        <v>0</v>
      </c>
      <c r="AZ19" s="1057">
        <v>0</v>
      </c>
      <c r="BA19" s="1057">
        <v>0</v>
      </c>
      <c r="BB19" s="1058">
        <v>0</v>
      </c>
      <c r="BC19" s="1058">
        <v>0</v>
      </c>
      <c r="BD19" s="1057">
        <v>0</v>
      </c>
      <c r="BE19" s="1061">
        <v>0</v>
      </c>
      <c r="BF19" s="1061">
        <v>0</v>
      </c>
      <c r="BG19" s="1062">
        <v>0</v>
      </c>
    </row>
    <row r="20" spans="1:65">
      <c r="A20" s="833"/>
      <c r="B20" s="1056">
        <v>12</v>
      </c>
      <c r="C20" s="1057">
        <v>0</v>
      </c>
      <c r="D20" s="1057">
        <v>0</v>
      </c>
      <c r="E20" s="1057">
        <v>0</v>
      </c>
      <c r="F20" s="1057">
        <v>0</v>
      </c>
      <c r="G20" s="1057">
        <v>0</v>
      </c>
      <c r="H20" s="1057">
        <v>0</v>
      </c>
      <c r="I20" s="1058">
        <v>0</v>
      </c>
      <c r="J20" s="1057">
        <v>0</v>
      </c>
      <c r="K20" s="1057">
        <v>0</v>
      </c>
      <c r="L20" s="1058">
        <v>0</v>
      </c>
      <c r="M20" s="1058">
        <v>0</v>
      </c>
      <c r="N20" s="1057"/>
      <c r="O20" s="1057"/>
      <c r="P20" s="1057"/>
      <c r="Q20" s="1057"/>
      <c r="R20" s="1057"/>
      <c r="S20" s="1057"/>
      <c r="T20" s="1059">
        <v>0</v>
      </c>
      <c r="U20" s="1057">
        <v>0</v>
      </c>
      <c r="V20" s="1057">
        <v>0</v>
      </c>
      <c r="W20" s="1059">
        <v>0</v>
      </c>
      <c r="X20" s="1059">
        <v>0</v>
      </c>
      <c r="Y20" s="1057">
        <v>0</v>
      </c>
      <c r="Z20" s="1057">
        <v>0</v>
      </c>
      <c r="AA20" s="1057">
        <v>342654.36692000006</v>
      </c>
      <c r="AB20" s="1057">
        <v>168653.37305999995</v>
      </c>
      <c r="AC20" s="1059">
        <v>511307.73998000001</v>
      </c>
      <c r="AD20" s="1057">
        <v>0</v>
      </c>
      <c r="AE20" s="1057">
        <v>0</v>
      </c>
      <c r="AF20" s="1059">
        <v>0</v>
      </c>
      <c r="AG20" s="1059">
        <v>511307.73998000001</v>
      </c>
      <c r="AH20" s="1057">
        <v>0</v>
      </c>
      <c r="AI20" s="1057">
        <v>0</v>
      </c>
      <c r="AJ20" s="1057">
        <v>0</v>
      </c>
      <c r="AK20" s="1057">
        <v>0</v>
      </c>
      <c r="AL20" s="1057">
        <v>0</v>
      </c>
      <c r="AM20" s="1057">
        <v>0</v>
      </c>
      <c r="AN20" s="1060">
        <v>0</v>
      </c>
      <c r="AO20" s="1057">
        <v>0</v>
      </c>
      <c r="AP20" s="1057">
        <v>0</v>
      </c>
      <c r="AQ20" s="1060">
        <v>0</v>
      </c>
      <c r="AR20" s="1060">
        <v>0</v>
      </c>
      <c r="AS20" s="1057">
        <v>0</v>
      </c>
      <c r="AT20" s="1057">
        <v>0</v>
      </c>
      <c r="AU20" s="1057">
        <v>0</v>
      </c>
      <c r="AV20" s="1057">
        <v>0</v>
      </c>
      <c r="AW20" s="1057">
        <v>0</v>
      </c>
      <c r="AX20" s="1057">
        <v>0</v>
      </c>
      <c r="AY20" s="1058">
        <v>0</v>
      </c>
      <c r="AZ20" s="1057">
        <v>0</v>
      </c>
      <c r="BA20" s="1057">
        <v>0</v>
      </c>
      <c r="BB20" s="1058">
        <v>0</v>
      </c>
      <c r="BC20" s="1058">
        <v>0</v>
      </c>
      <c r="BD20" s="1057">
        <v>0</v>
      </c>
      <c r="BE20" s="1061">
        <v>0</v>
      </c>
      <c r="BF20" s="1061">
        <v>0</v>
      </c>
      <c r="BG20" s="1062">
        <v>0</v>
      </c>
    </row>
    <row r="21" spans="1:65">
      <c r="A21" s="833"/>
      <c r="B21" s="1056">
        <v>13</v>
      </c>
      <c r="C21" s="1057">
        <v>0</v>
      </c>
      <c r="D21" s="1057">
        <v>0</v>
      </c>
      <c r="E21" s="1057">
        <v>0</v>
      </c>
      <c r="F21" s="1057">
        <v>0</v>
      </c>
      <c r="G21" s="1057">
        <v>0</v>
      </c>
      <c r="H21" s="1057">
        <v>0</v>
      </c>
      <c r="I21" s="1058">
        <v>0</v>
      </c>
      <c r="J21" s="1057">
        <v>0</v>
      </c>
      <c r="K21" s="1057">
        <v>0</v>
      </c>
      <c r="L21" s="1058">
        <v>0</v>
      </c>
      <c r="M21" s="1058">
        <v>0</v>
      </c>
      <c r="N21" s="1057"/>
      <c r="O21" s="1057"/>
      <c r="P21" s="1057"/>
      <c r="Q21" s="1057"/>
      <c r="R21" s="1057"/>
      <c r="S21" s="1057"/>
      <c r="T21" s="1059">
        <v>0</v>
      </c>
      <c r="U21" s="1057">
        <v>0</v>
      </c>
      <c r="V21" s="1057">
        <v>0</v>
      </c>
      <c r="W21" s="1059">
        <v>0</v>
      </c>
      <c r="X21" s="1059">
        <v>0</v>
      </c>
      <c r="Y21" s="1057">
        <v>0</v>
      </c>
      <c r="Z21" s="1057">
        <v>0</v>
      </c>
      <c r="AA21" s="1057">
        <v>342654.36692000006</v>
      </c>
      <c r="AB21" s="1057">
        <v>168653.37305999995</v>
      </c>
      <c r="AC21" s="1059">
        <v>511307.73998000001</v>
      </c>
      <c r="AD21" s="1057">
        <v>0</v>
      </c>
      <c r="AE21" s="1057">
        <v>0</v>
      </c>
      <c r="AF21" s="1059">
        <v>0</v>
      </c>
      <c r="AG21" s="1059">
        <v>511307.73998000001</v>
      </c>
      <c r="AH21" s="1057">
        <v>0</v>
      </c>
      <c r="AI21" s="1057">
        <v>0</v>
      </c>
      <c r="AJ21" s="1057">
        <v>0</v>
      </c>
      <c r="AK21" s="1057">
        <v>0</v>
      </c>
      <c r="AL21" s="1057">
        <v>0</v>
      </c>
      <c r="AM21" s="1057">
        <v>0</v>
      </c>
      <c r="AN21" s="1060">
        <v>0</v>
      </c>
      <c r="AO21" s="1057">
        <v>0</v>
      </c>
      <c r="AP21" s="1057">
        <v>0</v>
      </c>
      <c r="AQ21" s="1060">
        <v>0</v>
      </c>
      <c r="AR21" s="1060">
        <v>0</v>
      </c>
      <c r="AS21" s="1057">
        <v>0</v>
      </c>
      <c r="AT21" s="1057">
        <v>0</v>
      </c>
      <c r="AU21" s="1057">
        <v>0</v>
      </c>
      <c r="AV21" s="1057">
        <v>0</v>
      </c>
      <c r="AW21" s="1057">
        <v>0</v>
      </c>
      <c r="AX21" s="1057">
        <v>0</v>
      </c>
      <c r="AY21" s="1058">
        <v>0</v>
      </c>
      <c r="AZ21" s="1057">
        <v>0</v>
      </c>
      <c r="BA21" s="1057">
        <v>0</v>
      </c>
      <c r="BB21" s="1058">
        <v>0</v>
      </c>
      <c r="BC21" s="1058">
        <v>0</v>
      </c>
      <c r="BD21" s="1057">
        <v>0</v>
      </c>
      <c r="BE21" s="1061">
        <v>0</v>
      </c>
      <c r="BF21" s="1061">
        <v>0</v>
      </c>
      <c r="BG21" s="1062">
        <v>0</v>
      </c>
    </row>
    <row r="22" spans="1:65">
      <c r="A22" s="833"/>
      <c r="B22" s="1056">
        <v>14</v>
      </c>
      <c r="C22" s="1057">
        <v>0</v>
      </c>
      <c r="D22" s="1057">
        <v>0</v>
      </c>
      <c r="E22" s="1057">
        <v>0</v>
      </c>
      <c r="F22" s="1057">
        <v>0</v>
      </c>
      <c r="G22" s="1057">
        <v>0</v>
      </c>
      <c r="H22" s="1057">
        <v>0</v>
      </c>
      <c r="I22" s="1058">
        <v>0</v>
      </c>
      <c r="J22" s="1057">
        <v>0</v>
      </c>
      <c r="K22" s="1057">
        <v>0</v>
      </c>
      <c r="L22" s="1058">
        <v>0</v>
      </c>
      <c r="M22" s="1058">
        <v>0</v>
      </c>
      <c r="N22" s="1057"/>
      <c r="O22" s="1057"/>
      <c r="P22" s="1057"/>
      <c r="Q22" s="1057"/>
      <c r="R22" s="1057"/>
      <c r="S22" s="1057"/>
      <c r="T22" s="1059">
        <v>0</v>
      </c>
      <c r="U22" s="1057">
        <v>0</v>
      </c>
      <c r="V22" s="1057">
        <v>0</v>
      </c>
      <c r="W22" s="1059">
        <v>0</v>
      </c>
      <c r="X22" s="1059">
        <v>0</v>
      </c>
      <c r="Y22" s="1057">
        <v>0</v>
      </c>
      <c r="Z22" s="1057">
        <v>0</v>
      </c>
      <c r="AA22" s="1057">
        <v>342654.36692000006</v>
      </c>
      <c r="AB22" s="1057">
        <v>168653.37305999995</v>
      </c>
      <c r="AC22" s="1059">
        <v>511307.73998000001</v>
      </c>
      <c r="AD22" s="1057">
        <v>0</v>
      </c>
      <c r="AE22" s="1057">
        <v>0</v>
      </c>
      <c r="AF22" s="1059">
        <v>0</v>
      </c>
      <c r="AG22" s="1059">
        <v>511307.73998000001</v>
      </c>
      <c r="AH22" s="1057">
        <v>0</v>
      </c>
      <c r="AI22" s="1057">
        <v>0</v>
      </c>
      <c r="AJ22" s="1057">
        <v>0</v>
      </c>
      <c r="AK22" s="1057">
        <v>0</v>
      </c>
      <c r="AL22" s="1057">
        <v>0</v>
      </c>
      <c r="AM22" s="1057">
        <v>0</v>
      </c>
      <c r="AN22" s="1060">
        <v>0</v>
      </c>
      <c r="AO22" s="1057">
        <v>0</v>
      </c>
      <c r="AP22" s="1057">
        <v>0</v>
      </c>
      <c r="AQ22" s="1060">
        <v>0</v>
      </c>
      <c r="AR22" s="1060">
        <v>0</v>
      </c>
      <c r="AS22" s="1057">
        <v>0</v>
      </c>
      <c r="AT22" s="1057">
        <v>0</v>
      </c>
      <c r="AU22" s="1057">
        <v>0</v>
      </c>
      <c r="AV22" s="1057">
        <v>0</v>
      </c>
      <c r="AW22" s="1057">
        <v>0</v>
      </c>
      <c r="AX22" s="1057">
        <v>0</v>
      </c>
      <c r="AY22" s="1058">
        <v>0</v>
      </c>
      <c r="AZ22" s="1057">
        <v>0</v>
      </c>
      <c r="BA22" s="1057">
        <v>0</v>
      </c>
      <c r="BB22" s="1058">
        <v>0</v>
      </c>
      <c r="BC22" s="1058">
        <v>0</v>
      </c>
      <c r="BD22" s="1057">
        <v>0</v>
      </c>
      <c r="BE22" s="1061">
        <v>0</v>
      </c>
      <c r="BF22" s="1061">
        <v>0</v>
      </c>
      <c r="BG22" s="1062">
        <v>0</v>
      </c>
    </row>
    <row r="23" spans="1:65">
      <c r="A23" s="833"/>
      <c r="B23" s="1056">
        <v>15</v>
      </c>
      <c r="C23" s="1057">
        <v>0</v>
      </c>
      <c r="D23" s="1057">
        <v>0</v>
      </c>
      <c r="E23" s="1057">
        <v>0</v>
      </c>
      <c r="F23" s="1057">
        <v>0</v>
      </c>
      <c r="G23" s="1057">
        <v>0</v>
      </c>
      <c r="H23" s="1057">
        <v>0</v>
      </c>
      <c r="I23" s="1058">
        <v>0</v>
      </c>
      <c r="J23" s="1057">
        <v>0</v>
      </c>
      <c r="K23" s="1057">
        <v>0</v>
      </c>
      <c r="L23" s="1058">
        <v>0</v>
      </c>
      <c r="M23" s="1058">
        <v>0</v>
      </c>
      <c r="N23" s="1057"/>
      <c r="O23" s="1057"/>
      <c r="P23" s="1057"/>
      <c r="Q23" s="1057"/>
      <c r="R23" s="1057"/>
      <c r="S23" s="1057"/>
      <c r="T23" s="1059">
        <v>0</v>
      </c>
      <c r="U23" s="1057">
        <v>0</v>
      </c>
      <c r="V23" s="1057">
        <v>0</v>
      </c>
      <c r="W23" s="1059">
        <v>0</v>
      </c>
      <c r="X23" s="1059">
        <v>0</v>
      </c>
      <c r="Y23" s="1057">
        <v>0</v>
      </c>
      <c r="Z23" s="1057">
        <v>0</v>
      </c>
      <c r="AA23" s="1057">
        <v>342654.36692000006</v>
      </c>
      <c r="AB23" s="1057">
        <v>168653.37305999995</v>
      </c>
      <c r="AC23" s="1059">
        <v>511307.73998000001</v>
      </c>
      <c r="AD23" s="1057">
        <v>0</v>
      </c>
      <c r="AE23" s="1057">
        <v>0</v>
      </c>
      <c r="AF23" s="1059">
        <v>0</v>
      </c>
      <c r="AG23" s="1059">
        <v>511307.73998000001</v>
      </c>
      <c r="AH23" s="1057">
        <v>0</v>
      </c>
      <c r="AI23" s="1057">
        <v>0</v>
      </c>
      <c r="AJ23" s="1057">
        <v>0</v>
      </c>
      <c r="AK23" s="1057">
        <v>0</v>
      </c>
      <c r="AL23" s="1057">
        <v>0</v>
      </c>
      <c r="AM23" s="1057">
        <v>0</v>
      </c>
      <c r="AN23" s="1060">
        <v>0</v>
      </c>
      <c r="AO23" s="1057">
        <v>0</v>
      </c>
      <c r="AP23" s="1057">
        <v>0</v>
      </c>
      <c r="AQ23" s="1060">
        <v>0</v>
      </c>
      <c r="AR23" s="1060">
        <v>0</v>
      </c>
      <c r="AS23" s="1057">
        <v>0</v>
      </c>
      <c r="AT23" s="1057">
        <v>0</v>
      </c>
      <c r="AU23" s="1057">
        <v>0</v>
      </c>
      <c r="AV23" s="1057">
        <v>0</v>
      </c>
      <c r="AW23" s="1057">
        <v>0</v>
      </c>
      <c r="AX23" s="1057">
        <v>0</v>
      </c>
      <c r="AY23" s="1058">
        <v>0</v>
      </c>
      <c r="AZ23" s="1057">
        <v>0</v>
      </c>
      <c r="BA23" s="1057">
        <v>0</v>
      </c>
      <c r="BB23" s="1058">
        <v>0</v>
      </c>
      <c r="BC23" s="1058">
        <v>0</v>
      </c>
      <c r="BD23" s="1057">
        <v>0</v>
      </c>
      <c r="BE23" s="1061">
        <v>0</v>
      </c>
      <c r="BF23" s="1061">
        <v>0</v>
      </c>
      <c r="BG23" s="1062">
        <v>0</v>
      </c>
    </row>
    <row r="24" spans="1:65">
      <c r="A24" s="833"/>
      <c r="B24" s="1056">
        <v>16</v>
      </c>
      <c r="C24" s="1057">
        <v>0</v>
      </c>
      <c r="D24" s="1057">
        <v>0</v>
      </c>
      <c r="E24" s="1057">
        <v>0</v>
      </c>
      <c r="F24" s="1057">
        <v>0</v>
      </c>
      <c r="G24" s="1057">
        <v>0</v>
      </c>
      <c r="H24" s="1057">
        <v>0</v>
      </c>
      <c r="I24" s="1058">
        <v>0</v>
      </c>
      <c r="J24" s="1057">
        <v>0</v>
      </c>
      <c r="K24" s="1057">
        <v>0</v>
      </c>
      <c r="L24" s="1058">
        <v>0</v>
      </c>
      <c r="M24" s="1058">
        <v>0</v>
      </c>
      <c r="N24" s="1057"/>
      <c r="O24" s="1057"/>
      <c r="P24" s="1057"/>
      <c r="Q24" s="1057"/>
      <c r="R24" s="1057"/>
      <c r="S24" s="1057"/>
      <c r="T24" s="1059">
        <v>0</v>
      </c>
      <c r="U24" s="1057">
        <v>0</v>
      </c>
      <c r="V24" s="1057">
        <v>0</v>
      </c>
      <c r="W24" s="1059">
        <v>0</v>
      </c>
      <c r="X24" s="1059">
        <v>0</v>
      </c>
      <c r="Y24" s="1057">
        <v>0</v>
      </c>
      <c r="Z24" s="1057">
        <v>0</v>
      </c>
      <c r="AA24" s="1057">
        <v>342654.36692000006</v>
      </c>
      <c r="AB24" s="1057">
        <v>168653.37305999995</v>
      </c>
      <c r="AC24" s="1059">
        <v>511307.73998000001</v>
      </c>
      <c r="AD24" s="1057">
        <v>0</v>
      </c>
      <c r="AE24" s="1057">
        <v>0</v>
      </c>
      <c r="AF24" s="1059">
        <v>0</v>
      </c>
      <c r="AG24" s="1059">
        <v>511307.73998000001</v>
      </c>
      <c r="AH24" s="1057">
        <v>0</v>
      </c>
      <c r="AI24" s="1057">
        <v>0</v>
      </c>
      <c r="AJ24" s="1057">
        <v>0</v>
      </c>
      <c r="AK24" s="1057">
        <v>0</v>
      </c>
      <c r="AL24" s="1057">
        <v>0</v>
      </c>
      <c r="AM24" s="1057">
        <v>0</v>
      </c>
      <c r="AN24" s="1060">
        <v>0</v>
      </c>
      <c r="AO24" s="1057">
        <v>0</v>
      </c>
      <c r="AP24" s="1057">
        <v>0</v>
      </c>
      <c r="AQ24" s="1060">
        <v>0</v>
      </c>
      <c r="AR24" s="1060">
        <v>0</v>
      </c>
      <c r="AS24" s="1057">
        <v>0</v>
      </c>
      <c r="AT24" s="1057">
        <v>0</v>
      </c>
      <c r="AU24" s="1057">
        <v>0</v>
      </c>
      <c r="AV24" s="1057">
        <v>0</v>
      </c>
      <c r="AW24" s="1057">
        <v>0</v>
      </c>
      <c r="AX24" s="1057">
        <v>0</v>
      </c>
      <c r="AY24" s="1058">
        <v>0</v>
      </c>
      <c r="AZ24" s="1057">
        <v>0</v>
      </c>
      <c r="BA24" s="1057">
        <v>0</v>
      </c>
      <c r="BB24" s="1058">
        <v>0</v>
      </c>
      <c r="BC24" s="1058">
        <v>0</v>
      </c>
      <c r="BD24" s="1057">
        <v>0</v>
      </c>
      <c r="BE24" s="1061">
        <v>0</v>
      </c>
      <c r="BF24" s="1061">
        <v>0</v>
      </c>
      <c r="BG24" s="1062">
        <v>0</v>
      </c>
    </row>
    <row r="25" spans="1:65">
      <c r="A25" s="833"/>
      <c r="B25" s="1056">
        <v>17</v>
      </c>
      <c r="C25" s="1057">
        <v>0</v>
      </c>
      <c r="D25" s="1057">
        <v>0</v>
      </c>
      <c r="E25" s="1057">
        <v>0</v>
      </c>
      <c r="F25" s="1057">
        <v>0</v>
      </c>
      <c r="G25" s="1057">
        <v>0</v>
      </c>
      <c r="H25" s="1057">
        <v>0</v>
      </c>
      <c r="I25" s="1058">
        <v>0</v>
      </c>
      <c r="J25" s="1057">
        <v>0</v>
      </c>
      <c r="K25" s="1057">
        <v>0</v>
      </c>
      <c r="L25" s="1058">
        <v>0</v>
      </c>
      <c r="M25" s="1058">
        <v>0</v>
      </c>
      <c r="N25" s="1057"/>
      <c r="O25" s="1057"/>
      <c r="P25" s="1057"/>
      <c r="Q25" s="1057"/>
      <c r="R25" s="1057"/>
      <c r="S25" s="1057"/>
      <c r="T25" s="1059">
        <v>0</v>
      </c>
      <c r="U25" s="1057">
        <v>0</v>
      </c>
      <c r="V25" s="1057">
        <v>0</v>
      </c>
      <c r="W25" s="1059">
        <v>0</v>
      </c>
      <c r="X25" s="1059">
        <v>0</v>
      </c>
      <c r="Y25" s="1057">
        <v>0</v>
      </c>
      <c r="Z25" s="1057">
        <v>0</v>
      </c>
      <c r="AA25" s="1057">
        <v>342654.36692000006</v>
      </c>
      <c r="AB25" s="1057">
        <v>168653.37305999995</v>
      </c>
      <c r="AC25" s="1059">
        <v>511307.73998000001</v>
      </c>
      <c r="AD25" s="1057">
        <v>0</v>
      </c>
      <c r="AE25" s="1057">
        <v>0</v>
      </c>
      <c r="AF25" s="1059">
        <v>0</v>
      </c>
      <c r="AG25" s="1059">
        <v>511307.73998000001</v>
      </c>
      <c r="AH25" s="1057">
        <v>0</v>
      </c>
      <c r="AI25" s="1057">
        <v>0</v>
      </c>
      <c r="AJ25" s="1057">
        <v>0</v>
      </c>
      <c r="AK25" s="1057">
        <v>0</v>
      </c>
      <c r="AL25" s="1057">
        <v>0</v>
      </c>
      <c r="AM25" s="1057">
        <v>0</v>
      </c>
      <c r="AN25" s="1060">
        <v>0</v>
      </c>
      <c r="AO25" s="1057">
        <v>0</v>
      </c>
      <c r="AP25" s="1057">
        <v>0</v>
      </c>
      <c r="AQ25" s="1060">
        <v>0</v>
      </c>
      <c r="AR25" s="1060">
        <v>0</v>
      </c>
      <c r="AS25" s="1057">
        <v>0</v>
      </c>
      <c r="AT25" s="1057">
        <v>0</v>
      </c>
      <c r="AU25" s="1057">
        <v>0</v>
      </c>
      <c r="AV25" s="1057">
        <v>0</v>
      </c>
      <c r="AW25" s="1057">
        <v>0</v>
      </c>
      <c r="AX25" s="1057">
        <v>0</v>
      </c>
      <c r="AY25" s="1058">
        <v>0</v>
      </c>
      <c r="AZ25" s="1057">
        <v>0</v>
      </c>
      <c r="BA25" s="1057">
        <v>0</v>
      </c>
      <c r="BB25" s="1058">
        <v>0</v>
      </c>
      <c r="BC25" s="1058">
        <v>0</v>
      </c>
      <c r="BD25" s="1057">
        <v>0</v>
      </c>
      <c r="BE25" s="1061">
        <v>0</v>
      </c>
      <c r="BF25" s="1061">
        <v>0</v>
      </c>
      <c r="BG25" s="1062">
        <v>0</v>
      </c>
    </row>
    <row r="26" spans="1:65">
      <c r="A26" s="833"/>
      <c r="B26" s="1056">
        <v>18</v>
      </c>
      <c r="C26" s="1057">
        <v>0</v>
      </c>
      <c r="D26" s="1057">
        <v>0</v>
      </c>
      <c r="E26" s="1057">
        <v>0</v>
      </c>
      <c r="F26" s="1057">
        <v>0</v>
      </c>
      <c r="G26" s="1057">
        <v>0</v>
      </c>
      <c r="H26" s="1057">
        <v>0</v>
      </c>
      <c r="I26" s="1058">
        <v>0</v>
      </c>
      <c r="J26" s="1057">
        <v>0</v>
      </c>
      <c r="K26" s="1057">
        <v>0</v>
      </c>
      <c r="L26" s="1058">
        <v>0</v>
      </c>
      <c r="M26" s="1058">
        <v>0</v>
      </c>
      <c r="N26" s="1057"/>
      <c r="O26" s="1057"/>
      <c r="P26" s="1057"/>
      <c r="Q26" s="1057"/>
      <c r="R26" s="1057"/>
      <c r="S26" s="1057"/>
      <c r="T26" s="1059">
        <v>0</v>
      </c>
      <c r="U26" s="1057">
        <v>0</v>
      </c>
      <c r="V26" s="1057">
        <v>0</v>
      </c>
      <c r="W26" s="1059">
        <v>0</v>
      </c>
      <c r="X26" s="1059">
        <v>0</v>
      </c>
      <c r="Y26" s="1057">
        <v>0</v>
      </c>
      <c r="Z26" s="1057">
        <v>0</v>
      </c>
      <c r="AA26" s="1057">
        <v>342654.36692000006</v>
      </c>
      <c r="AB26" s="1057">
        <v>168653.37305999995</v>
      </c>
      <c r="AC26" s="1059">
        <v>511307.73998000001</v>
      </c>
      <c r="AD26" s="1057">
        <v>0</v>
      </c>
      <c r="AE26" s="1057">
        <v>0</v>
      </c>
      <c r="AF26" s="1059">
        <v>0</v>
      </c>
      <c r="AG26" s="1059">
        <v>511307.73998000001</v>
      </c>
      <c r="AH26" s="1057">
        <v>0</v>
      </c>
      <c r="AI26" s="1057">
        <v>0</v>
      </c>
      <c r="AJ26" s="1057">
        <v>0</v>
      </c>
      <c r="AK26" s="1057">
        <v>0</v>
      </c>
      <c r="AL26" s="1057">
        <v>0</v>
      </c>
      <c r="AM26" s="1057">
        <v>0</v>
      </c>
      <c r="AN26" s="1060">
        <v>0</v>
      </c>
      <c r="AO26" s="1057">
        <v>0</v>
      </c>
      <c r="AP26" s="1057">
        <v>0</v>
      </c>
      <c r="AQ26" s="1060">
        <v>0</v>
      </c>
      <c r="AR26" s="1060">
        <v>0</v>
      </c>
      <c r="AS26" s="1057">
        <v>0</v>
      </c>
      <c r="AT26" s="1057">
        <v>0</v>
      </c>
      <c r="AU26" s="1057">
        <v>0</v>
      </c>
      <c r="AV26" s="1057">
        <v>0</v>
      </c>
      <c r="AW26" s="1057">
        <v>0</v>
      </c>
      <c r="AX26" s="1057">
        <v>0</v>
      </c>
      <c r="AY26" s="1058">
        <v>0</v>
      </c>
      <c r="AZ26" s="1057">
        <v>0</v>
      </c>
      <c r="BA26" s="1057">
        <v>0</v>
      </c>
      <c r="BB26" s="1058">
        <v>0</v>
      </c>
      <c r="BC26" s="1058">
        <v>0</v>
      </c>
      <c r="BD26" s="1057">
        <v>0</v>
      </c>
      <c r="BE26" s="1061">
        <v>0</v>
      </c>
      <c r="BF26" s="1061">
        <v>0</v>
      </c>
      <c r="BG26" s="1062">
        <v>0</v>
      </c>
    </row>
    <row r="27" spans="1:65">
      <c r="A27" s="833"/>
      <c r="B27" s="1056">
        <v>19</v>
      </c>
      <c r="C27" s="1057">
        <v>0</v>
      </c>
      <c r="D27" s="1057">
        <v>0</v>
      </c>
      <c r="E27" s="1057">
        <v>0</v>
      </c>
      <c r="F27" s="1057">
        <v>0</v>
      </c>
      <c r="G27" s="1057">
        <v>0</v>
      </c>
      <c r="H27" s="1057">
        <v>0</v>
      </c>
      <c r="I27" s="1058">
        <v>0</v>
      </c>
      <c r="J27" s="1057">
        <v>0</v>
      </c>
      <c r="K27" s="1057">
        <v>0</v>
      </c>
      <c r="L27" s="1058">
        <v>0</v>
      </c>
      <c r="M27" s="1058">
        <v>0</v>
      </c>
      <c r="N27" s="1057"/>
      <c r="O27" s="1057"/>
      <c r="P27" s="1057"/>
      <c r="Q27" s="1057"/>
      <c r="R27" s="1057"/>
      <c r="S27" s="1057"/>
      <c r="T27" s="1059">
        <v>0</v>
      </c>
      <c r="U27" s="1057">
        <v>0</v>
      </c>
      <c r="V27" s="1057">
        <v>0</v>
      </c>
      <c r="W27" s="1059">
        <v>0</v>
      </c>
      <c r="X27" s="1059">
        <v>0</v>
      </c>
      <c r="Y27" s="1057">
        <v>0</v>
      </c>
      <c r="Z27" s="1057">
        <v>0</v>
      </c>
      <c r="AA27" s="1057">
        <v>342654.36692000006</v>
      </c>
      <c r="AB27" s="1057">
        <v>168653.37305999995</v>
      </c>
      <c r="AC27" s="1059">
        <v>511307.73998000001</v>
      </c>
      <c r="AD27" s="1057">
        <v>0</v>
      </c>
      <c r="AE27" s="1057">
        <v>0</v>
      </c>
      <c r="AF27" s="1059">
        <v>0</v>
      </c>
      <c r="AG27" s="1059">
        <v>511307.73998000001</v>
      </c>
      <c r="AH27" s="1057">
        <v>0</v>
      </c>
      <c r="AI27" s="1057">
        <v>0</v>
      </c>
      <c r="AJ27" s="1057">
        <v>0</v>
      </c>
      <c r="AK27" s="1057">
        <v>0</v>
      </c>
      <c r="AL27" s="1057">
        <v>0</v>
      </c>
      <c r="AM27" s="1057">
        <v>0</v>
      </c>
      <c r="AN27" s="1060">
        <v>0</v>
      </c>
      <c r="AO27" s="1057">
        <v>0</v>
      </c>
      <c r="AP27" s="1057">
        <v>0</v>
      </c>
      <c r="AQ27" s="1060">
        <v>0</v>
      </c>
      <c r="AR27" s="1060">
        <v>0</v>
      </c>
      <c r="AS27" s="1057">
        <v>0</v>
      </c>
      <c r="AT27" s="1057">
        <v>0</v>
      </c>
      <c r="AU27" s="1057">
        <v>0</v>
      </c>
      <c r="AV27" s="1057">
        <v>0</v>
      </c>
      <c r="AW27" s="1057">
        <v>0</v>
      </c>
      <c r="AX27" s="1057">
        <v>0</v>
      </c>
      <c r="AY27" s="1058">
        <v>0</v>
      </c>
      <c r="AZ27" s="1057">
        <v>0</v>
      </c>
      <c r="BA27" s="1057">
        <v>0</v>
      </c>
      <c r="BB27" s="1058">
        <v>0</v>
      </c>
      <c r="BC27" s="1058">
        <v>0</v>
      </c>
      <c r="BD27" s="1057">
        <v>0</v>
      </c>
      <c r="BE27" s="1061">
        <v>0</v>
      </c>
      <c r="BF27" s="1061">
        <v>0</v>
      </c>
      <c r="BG27" s="1062">
        <v>0</v>
      </c>
    </row>
    <row r="28" spans="1:65">
      <c r="A28" s="833"/>
      <c r="B28" s="1056">
        <v>20</v>
      </c>
      <c r="C28" s="1057">
        <v>0</v>
      </c>
      <c r="D28" s="1057">
        <v>0</v>
      </c>
      <c r="E28" s="1057">
        <v>0</v>
      </c>
      <c r="F28" s="1057">
        <v>0</v>
      </c>
      <c r="G28" s="1057">
        <v>0</v>
      </c>
      <c r="H28" s="1057">
        <v>0</v>
      </c>
      <c r="I28" s="1058">
        <v>0</v>
      </c>
      <c r="J28" s="1057">
        <v>0</v>
      </c>
      <c r="K28" s="1057">
        <v>0</v>
      </c>
      <c r="L28" s="1058">
        <v>0</v>
      </c>
      <c r="M28" s="1058">
        <v>0</v>
      </c>
      <c r="N28" s="1057"/>
      <c r="O28" s="1057"/>
      <c r="P28" s="1057"/>
      <c r="Q28" s="1057"/>
      <c r="R28" s="1057"/>
      <c r="S28" s="1057"/>
      <c r="T28" s="1059">
        <v>0</v>
      </c>
      <c r="U28" s="1057">
        <v>0</v>
      </c>
      <c r="V28" s="1057">
        <v>0</v>
      </c>
      <c r="W28" s="1059">
        <v>0</v>
      </c>
      <c r="X28" s="1059">
        <v>0</v>
      </c>
      <c r="Y28" s="1057">
        <v>0</v>
      </c>
      <c r="Z28" s="1057">
        <v>0</v>
      </c>
      <c r="AA28" s="1057">
        <v>342654.36692000006</v>
      </c>
      <c r="AB28" s="1057">
        <v>168653.37305999995</v>
      </c>
      <c r="AC28" s="1059">
        <v>511307.73998000001</v>
      </c>
      <c r="AD28" s="1057">
        <v>0</v>
      </c>
      <c r="AE28" s="1057">
        <v>0</v>
      </c>
      <c r="AF28" s="1059">
        <v>0</v>
      </c>
      <c r="AG28" s="1059">
        <v>511307.73998000001</v>
      </c>
      <c r="AH28" s="1057">
        <v>0</v>
      </c>
      <c r="AI28" s="1057">
        <v>0</v>
      </c>
      <c r="AJ28" s="1057">
        <v>0</v>
      </c>
      <c r="AK28" s="1057">
        <v>0</v>
      </c>
      <c r="AL28" s="1057">
        <v>0</v>
      </c>
      <c r="AM28" s="1057">
        <v>0</v>
      </c>
      <c r="AN28" s="1060">
        <v>0</v>
      </c>
      <c r="AO28" s="1057">
        <v>0</v>
      </c>
      <c r="AP28" s="1057">
        <v>0</v>
      </c>
      <c r="AQ28" s="1060">
        <v>0</v>
      </c>
      <c r="AR28" s="1060">
        <v>0</v>
      </c>
      <c r="AS28" s="1057">
        <v>0</v>
      </c>
      <c r="AT28" s="1057">
        <v>0</v>
      </c>
      <c r="AU28" s="1057">
        <v>0</v>
      </c>
      <c r="AV28" s="1057">
        <v>0</v>
      </c>
      <c r="AW28" s="1057">
        <v>0</v>
      </c>
      <c r="AX28" s="1057">
        <v>0</v>
      </c>
      <c r="AY28" s="1058">
        <v>0</v>
      </c>
      <c r="AZ28" s="1057">
        <v>0</v>
      </c>
      <c r="BA28" s="1057">
        <v>0</v>
      </c>
      <c r="BB28" s="1058">
        <v>0</v>
      </c>
      <c r="BC28" s="1058">
        <v>0</v>
      </c>
      <c r="BD28" s="1057">
        <v>0</v>
      </c>
      <c r="BE28" s="1061">
        <v>0</v>
      </c>
      <c r="BF28" s="1061">
        <v>0</v>
      </c>
      <c r="BG28" s="1062">
        <v>0</v>
      </c>
    </row>
    <row r="29" spans="1:65">
      <c r="A29" s="833"/>
      <c r="B29" s="1056">
        <v>21</v>
      </c>
      <c r="C29" s="1057">
        <v>0</v>
      </c>
      <c r="D29" s="1057">
        <v>0</v>
      </c>
      <c r="E29" s="1057">
        <v>0</v>
      </c>
      <c r="F29" s="1057">
        <v>0</v>
      </c>
      <c r="G29" s="1057">
        <v>0</v>
      </c>
      <c r="H29" s="1057">
        <v>0</v>
      </c>
      <c r="I29" s="1058">
        <v>0</v>
      </c>
      <c r="J29" s="1057">
        <v>0</v>
      </c>
      <c r="K29" s="1057">
        <v>0</v>
      </c>
      <c r="L29" s="1058">
        <v>0</v>
      </c>
      <c r="M29" s="1058">
        <v>0</v>
      </c>
      <c r="N29" s="1057"/>
      <c r="O29" s="1057"/>
      <c r="P29" s="1057"/>
      <c r="Q29" s="1057"/>
      <c r="R29" s="1057"/>
      <c r="S29" s="1057"/>
      <c r="T29" s="1059">
        <v>0</v>
      </c>
      <c r="U29" s="1057">
        <v>0</v>
      </c>
      <c r="V29" s="1057">
        <v>0</v>
      </c>
      <c r="W29" s="1059">
        <v>0</v>
      </c>
      <c r="X29" s="1059">
        <v>0</v>
      </c>
      <c r="Y29" s="1057">
        <v>0</v>
      </c>
      <c r="Z29" s="1057">
        <v>0</v>
      </c>
      <c r="AA29" s="1057">
        <v>342654.36692000006</v>
      </c>
      <c r="AB29" s="1057">
        <v>168653.37305999995</v>
      </c>
      <c r="AC29" s="1059">
        <v>511307.73998000001</v>
      </c>
      <c r="AD29" s="1057">
        <v>0</v>
      </c>
      <c r="AE29" s="1057">
        <v>0</v>
      </c>
      <c r="AF29" s="1059">
        <v>0</v>
      </c>
      <c r="AG29" s="1059">
        <v>511307.73998000001</v>
      </c>
      <c r="AH29" s="1057">
        <v>0</v>
      </c>
      <c r="AI29" s="1057">
        <v>0</v>
      </c>
      <c r="AJ29" s="1057">
        <v>0</v>
      </c>
      <c r="AK29" s="1057">
        <v>0</v>
      </c>
      <c r="AL29" s="1057">
        <v>0</v>
      </c>
      <c r="AM29" s="1057">
        <v>0</v>
      </c>
      <c r="AN29" s="1060">
        <v>0</v>
      </c>
      <c r="AO29" s="1057">
        <v>0</v>
      </c>
      <c r="AP29" s="1057">
        <v>0</v>
      </c>
      <c r="AQ29" s="1060">
        <v>0</v>
      </c>
      <c r="AR29" s="1060">
        <v>0</v>
      </c>
      <c r="AS29" s="1057">
        <v>0</v>
      </c>
      <c r="AT29" s="1057">
        <v>0</v>
      </c>
      <c r="AU29" s="1057">
        <v>0</v>
      </c>
      <c r="AV29" s="1057">
        <v>0</v>
      </c>
      <c r="AW29" s="1057">
        <v>0</v>
      </c>
      <c r="AX29" s="1057">
        <v>0</v>
      </c>
      <c r="AY29" s="1058">
        <v>0</v>
      </c>
      <c r="AZ29" s="1057">
        <v>0</v>
      </c>
      <c r="BA29" s="1057">
        <v>0</v>
      </c>
      <c r="BB29" s="1058">
        <v>0</v>
      </c>
      <c r="BC29" s="1058">
        <v>0</v>
      </c>
      <c r="BD29" s="1057">
        <v>0</v>
      </c>
      <c r="BE29" s="1061">
        <v>0</v>
      </c>
      <c r="BF29" s="1061">
        <v>0</v>
      </c>
      <c r="BG29" s="1062">
        <v>0</v>
      </c>
    </row>
    <row r="30" spans="1:65">
      <c r="A30" s="833"/>
      <c r="B30" s="1056">
        <v>22</v>
      </c>
      <c r="C30" s="1057">
        <v>0</v>
      </c>
      <c r="D30" s="1057">
        <v>0</v>
      </c>
      <c r="E30" s="1057">
        <v>0</v>
      </c>
      <c r="F30" s="1057">
        <v>0</v>
      </c>
      <c r="G30" s="1057">
        <v>0</v>
      </c>
      <c r="H30" s="1057">
        <v>0</v>
      </c>
      <c r="I30" s="1058">
        <v>0</v>
      </c>
      <c r="J30" s="1057">
        <v>0</v>
      </c>
      <c r="K30" s="1057">
        <v>0</v>
      </c>
      <c r="L30" s="1058">
        <v>0</v>
      </c>
      <c r="M30" s="1058">
        <v>0</v>
      </c>
      <c r="N30" s="1057"/>
      <c r="O30" s="1057"/>
      <c r="P30" s="1057"/>
      <c r="Q30" s="1057"/>
      <c r="R30" s="1057"/>
      <c r="S30" s="1057"/>
      <c r="T30" s="1059">
        <v>0</v>
      </c>
      <c r="U30" s="1057">
        <v>0</v>
      </c>
      <c r="V30" s="1057">
        <v>0</v>
      </c>
      <c r="W30" s="1059">
        <v>0</v>
      </c>
      <c r="X30" s="1059">
        <v>0</v>
      </c>
      <c r="Y30" s="1057">
        <v>0</v>
      </c>
      <c r="Z30" s="1057">
        <v>0</v>
      </c>
      <c r="AA30" s="1057">
        <v>342654.36692000006</v>
      </c>
      <c r="AB30" s="1057">
        <v>168653.37305999995</v>
      </c>
      <c r="AC30" s="1059">
        <v>511307.73998000001</v>
      </c>
      <c r="AD30" s="1057">
        <v>0</v>
      </c>
      <c r="AE30" s="1057">
        <v>0</v>
      </c>
      <c r="AF30" s="1059">
        <v>0</v>
      </c>
      <c r="AG30" s="1059">
        <v>511307.73998000001</v>
      </c>
      <c r="AH30" s="1057">
        <v>0</v>
      </c>
      <c r="AI30" s="1057">
        <v>0</v>
      </c>
      <c r="AJ30" s="1057">
        <v>0</v>
      </c>
      <c r="AK30" s="1057">
        <v>0</v>
      </c>
      <c r="AL30" s="1057">
        <v>0</v>
      </c>
      <c r="AM30" s="1057">
        <v>0</v>
      </c>
      <c r="AN30" s="1060">
        <v>0</v>
      </c>
      <c r="AO30" s="1057">
        <v>0</v>
      </c>
      <c r="AP30" s="1057">
        <v>0</v>
      </c>
      <c r="AQ30" s="1060">
        <v>0</v>
      </c>
      <c r="AR30" s="1060">
        <v>0</v>
      </c>
      <c r="AS30" s="1057">
        <v>0</v>
      </c>
      <c r="AT30" s="1057">
        <v>0</v>
      </c>
      <c r="AU30" s="1057">
        <v>0</v>
      </c>
      <c r="AV30" s="1057">
        <v>0</v>
      </c>
      <c r="AW30" s="1057">
        <v>0</v>
      </c>
      <c r="AX30" s="1057">
        <v>0</v>
      </c>
      <c r="AY30" s="1058">
        <v>0</v>
      </c>
      <c r="AZ30" s="1057">
        <v>0</v>
      </c>
      <c r="BA30" s="1057">
        <v>0</v>
      </c>
      <c r="BB30" s="1058">
        <v>0</v>
      </c>
      <c r="BC30" s="1058">
        <v>0</v>
      </c>
      <c r="BD30" s="1057">
        <v>0</v>
      </c>
      <c r="BE30" s="1061">
        <v>0</v>
      </c>
      <c r="BF30" s="1061">
        <v>0</v>
      </c>
      <c r="BG30" s="1062">
        <v>0</v>
      </c>
    </row>
    <row r="31" spans="1:65">
      <c r="A31" s="833"/>
      <c r="B31" s="1056">
        <v>23</v>
      </c>
      <c r="C31" s="1057">
        <v>0</v>
      </c>
      <c r="D31" s="1057">
        <v>0</v>
      </c>
      <c r="E31" s="1057">
        <v>0</v>
      </c>
      <c r="F31" s="1057">
        <v>0</v>
      </c>
      <c r="G31" s="1057">
        <v>0</v>
      </c>
      <c r="H31" s="1057">
        <v>0</v>
      </c>
      <c r="I31" s="1058">
        <v>0</v>
      </c>
      <c r="J31" s="1057">
        <v>0</v>
      </c>
      <c r="K31" s="1057">
        <v>0</v>
      </c>
      <c r="L31" s="1058">
        <v>0</v>
      </c>
      <c r="M31" s="1058">
        <v>0</v>
      </c>
      <c r="N31" s="1057"/>
      <c r="O31" s="1057"/>
      <c r="P31" s="1057"/>
      <c r="Q31" s="1057"/>
      <c r="R31" s="1057"/>
      <c r="S31" s="1057"/>
      <c r="T31" s="1059">
        <v>0</v>
      </c>
      <c r="U31" s="1057">
        <v>0</v>
      </c>
      <c r="V31" s="1057">
        <v>0</v>
      </c>
      <c r="W31" s="1059">
        <v>0</v>
      </c>
      <c r="X31" s="1059">
        <v>0</v>
      </c>
      <c r="Y31" s="1057">
        <v>0</v>
      </c>
      <c r="Z31" s="1057">
        <v>0</v>
      </c>
      <c r="AA31" s="1057">
        <v>342654.36692000006</v>
      </c>
      <c r="AB31" s="1057">
        <v>168653.37305999995</v>
      </c>
      <c r="AC31" s="1059">
        <v>511307.73998000001</v>
      </c>
      <c r="AD31" s="1057">
        <v>0</v>
      </c>
      <c r="AE31" s="1057">
        <v>0</v>
      </c>
      <c r="AF31" s="1059">
        <v>0</v>
      </c>
      <c r="AG31" s="1059">
        <v>511307.73998000001</v>
      </c>
      <c r="AH31" s="1057">
        <v>0</v>
      </c>
      <c r="AI31" s="1057">
        <v>0</v>
      </c>
      <c r="AJ31" s="1057">
        <v>0</v>
      </c>
      <c r="AK31" s="1057">
        <v>0</v>
      </c>
      <c r="AL31" s="1057">
        <v>0</v>
      </c>
      <c r="AM31" s="1057">
        <v>0</v>
      </c>
      <c r="AN31" s="1060">
        <v>0</v>
      </c>
      <c r="AO31" s="1057">
        <v>0</v>
      </c>
      <c r="AP31" s="1057">
        <v>0</v>
      </c>
      <c r="AQ31" s="1060">
        <v>0</v>
      </c>
      <c r="AR31" s="1060">
        <v>0</v>
      </c>
      <c r="AS31" s="1057">
        <v>0</v>
      </c>
      <c r="AT31" s="1057">
        <v>0</v>
      </c>
      <c r="AU31" s="1057">
        <v>0</v>
      </c>
      <c r="AV31" s="1057">
        <v>0</v>
      </c>
      <c r="AW31" s="1057">
        <v>0</v>
      </c>
      <c r="AX31" s="1057">
        <v>0</v>
      </c>
      <c r="AY31" s="1058">
        <v>0</v>
      </c>
      <c r="AZ31" s="1057">
        <v>0</v>
      </c>
      <c r="BA31" s="1057">
        <v>0</v>
      </c>
      <c r="BB31" s="1058">
        <v>0</v>
      </c>
      <c r="BC31" s="1058">
        <v>0</v>
      </c>
      <c r="BD31" s="1057">
        <v>0</v>
      </c>
      <c r="BE31" s="1061">
        <v>0</v>
      </c>
      <c r="BF31" s="1061">
        <v>0</v>
      </c>
      <c r="BG31" s="1062">
        <v>0</v>
      </c>
    </row>
    <row r="32" spans="1:65">
      <c r="A32" s="833"/>
      <c r="B32" s="1056">
        <v>24</v>
      </c>
      <c r="C32" s="1057">
        <v>0</v>
      </c>
      <c r="D32" s="1057">
        <v>0</v>
      </c>
      <c r="E32" s="1057">
        <v>0</v>
      </c>
      <c r="F32" s="1057">
        <v>0</v>
      </c>
      <c r="G32" s="1057">
        <v>0</v>
      </c>
      <c r="H32" s="1057">
        <v>0</v>
      </c>
      <c r="I32" s="1058">
        <v>0</v>
      </c>
      <c r="J32" s="1057">
        <v>0</v>
      </c>
      <c r="K32" s="1057">
        <v>0</v>
      </c>
      <c r="L32" s="1058">
        <v>0</v>
      </c>
      <c r="M32" s="1058">
        <v>0</v>
      </c>
      <c r="N32" s="1057"/>
      <c r="O32" s="1057"/>
      <c r="P32" s="1057"/>
      <c r="Q32" s="1057"/>
      <c r="R32" s="1057"/>
      <c r="S32" s="1057"/>
      <c r="T32" s="1059">
        <v>0</v>
      </c>
      <c r="U32" s="1057">
        <v>0</v>
      </c>
      <c r="V32" s="1057">
        <v>0</v>
      </c>
      <c r="W32" s="1059">
        <v>0</v>
      </c>
      <c r="X32" s="1059">
        <v>0</v>
      </c>
      <c r="Y32" s="1057">
        <v>0</v>
      </c>
      <c r="Z32" s="1057">
        <v>0</v>
      </c>
      <c r="AA32" s="1057">
        <v>342654.36692000006</v>
      </c>
      <c r="AB32" s="1057">
        <v>168653.37305999995</v>
      </c>
      <c r="AC32" s="1059">
        <v>511307.73998000001</v>
      </c>
      <c r="AD32" s="1057">
        <v>0</v>
      </c>
      <c r="AE32" s="1057">
        <v>0</v>
      </c>
      <c r="AF32" s="1059">
        <v>0</v>
      </c>
      <c r="AG32" s="1059">
        <v>511307.73998000001</v>
      </c>
      <c r="AH32" s="1057">
        <v>0</v>
      </c>
      <c r="AI32" s="1057">
        <v>0</v>
      </c>
      <c r="AJ32" s="1057">
        <v>0</v>
      </c>
      <c r="AK32" s="1057">
        <v>0</v>
      </c>
      <c r="AL32" s="1057">
        <v>0</v>
      </c>
      <c r="AM32" s="1057">
        <v>0</v>
      </c>
      <c r="AN32" s="1060">
        <v>0</v>
      </c>
      <c r="AO32" s="1057">
        <v>0</v>
      </c>
      <c r="AP32" s="1057">
        <v>0</v>
      </c>
      <c r="AQ32" s="1060">
        <v>0</v>
      </c>
      <c r="AR32" s="1060">
        <v>0</v>
      </c>
      <c r="AS32" s="1057">
        <v>0</v>
      </c>
      <c r="AT32" s="1057">
        <v>0</v>
      </c>
      <c r="AU32" s="1057">
        <v>0</v>
      </c>
      <c r="AV32" s="1057">
        <v>0</v>
      </c>
      <c r="AW32" s="1057">
        <v>0</v>
      </c>
      <c r="AX32" s="1057">
        <v>0</v>
      </c>
      <c r="AY32" s="1058">
        <v>0</v>
      </c>
      <c r="AZ32" s="1057">
        <v>0</v>
      </c>
      <c r="BA32" s="1057">
        <v>0</v>
      </c>
      <c r="BB32" s="1058">
        <v>0</v>
      </c>
      <c r="BC32" s="1058">
        <v>0</v>
      </c>
      <c r="BD32" s="1057">
        <v>0</v>
      </c>
      <c r="BE32" s="1061">
        <v>0</v>
      </c>
      <c r="BF32" s="1061">
        <v>0</v>
      </c>
      <c r="BG32" s="1062">
        <v>0</v>
      </c>
    </row>
    <row r="33" spans="1:60">
      <c r="A33" s="833"/>
      <c r="B33" s="1056">
        <v>25</v>
      </c>
      <c r="C33" s="1057">
        <v>0</v>
      </c>
      <c r="D33" s="1057">
        <v>0</v>
      </c>
      <c r="E33" s="1057">
        <v>0</v>
      </c>
      <c r="F33" s="1057">
        <v>0</v>
      </c>
      <c r="G33" s="1057">
        <v>0</v>
      </c>
      <c r="H33" s="1057">
        <v>0</v>
      </c>
      <c r="I33" s="1058">
        <v>0</v>
      </c>
      <c r="J33" s="1057">
        <v>0</v>
      </c>
      <c r="K33" s="1057">
        <v>0</v>
      </c>
      <c r="L33" s="1058">
        <v>0</v>
      </c>
      <c r="M33" s="1058">
        <v>0</v>
      </c>
      <c r="N33" s="1057"/>
      <c r="O33" s="1057"/>
      <c r="P33" s="1057"/>
      <c r="Q33" s="1057"/>
      <c r="R33" s="1057"/>
      <c r="S33" s="1057"/>
      <c r="T33" s="1059">
        <v>0</v>
      </c>
      <c r="U33" s="1057">
        <v>0</v>
      </c>
      <c r="V33" s="1057">
        <v>0</v>
      </c>
      <c r="W33" s="1059">
        <v>0</v>
      </c>
      <c r="X33" s="1059">
        <v>0</v>
      </c>
      <c r="Y33" s="1057">
        <v>0</v>
      </c>
      <c r="Z33" s="1057">
        <v>0</v>
      </c>
      <c r="AA33" s="1057">
        <v>342654.36692000006</v>
      </c>
      <c r="AB33" s="1057">
        <v>168653.37305999995</v>
      </c>
      <c r="AC33" s="1059">
        <v>511307.73998000001</v>
      </c>
      <c r="AD33" s="1057">
        <v>0</v>
      </c>
      <c r="AE33" s="1057">
        <v>0</v>
      </c>
      <c r="AF33" s="1059">
        <v>0</v>
      </c>
      <c r="AG33" s="1059">
        <v>511307.73998000001</v>
      </c>
      <c r="AH33" s="1057">
        <v>0</v>
      </c>
      <c r="AI33" s="1057">
        <v>0</v>
      </c>
      <c r="AJ33" s="1057">
        <v>0</v>
      </c>
      <c r="AK33" s="1057">
        <v>0</v>
      </c>
      <c r="AL33" s="1057">
        <v>0</v>
      </c>
      <c r="AM33" s="1057">
        <v>0</v>
      </c>
      <c r="AN33" s="1060">
        <v>0</v>
      </c>
      <c r="AO33" s="1057">
        <v>0</v>
      </c>
      <c r="AP33" s="1057">
        <v>0</v>
      </c>
      <c r="AQ33" s="1060">
        <v>0</v>
      </c>
      <c r="AR33" s="1060">
        <v>0</v>
      </c>
      <c r="AS33" s="1057">
        <v>0</v>
      </c>
      <c r="AT33" s="1057">
        <v>0</v>
      </c>
      <c r="AU33" s="1057">
        <v>0</v>
      </c>
      <c r="AV33" s="1057">
        <v>0</v>
      </c>
      <c r="AW33" s="1057">
        <v>0</v>
      </c>
      <c r="AX33" s="1057">
        <v>0</v>
      </c>
      <c r="AY33" s="1058">
        <v>0</v>
      </c>
      <c r="AZ33" s="1057">
        <v>0</v>
      </c>
      <c r="BA33" s="1057">
        <v>0</v>
      </c>
      <c r="BB33" s="1058">
        <v>0</v>
      </c>
      <c r="BC33" s="1058">
        <v>0</v>
      </c>
      <c r="BD33" s="1057">
        <v>0</v>
      </c>
      <c r="BE33" s="1061">
        <v>0</v>
      </c>
      <c r="BF33" s="1061">
        <v>0</v>
      </c>
      <c r="BG33" s="1062">
        <v>0</v>
      </c>
    </row>
    <row r="34" spans="1:60">
      <c r="A34" s="833"/>
      <c r="B34" s="1056">
        <v>26</v>
      </c>
      <c r="C34" s="1057">
        <v>0</v>
      </c>
      <c r="D34" s="1057">
        <v>0</v>
      </c>
      <c r="E34" s="1057">
        <v>0</v>
      </c>
      <c r="F34" s="1057">
        <v>0</v>
      </c>
      <c r="G34" s="1057">
        <v>0</v>
      </c>
      <c r="H34" s="1057">
        <v>0</v>
      </c>
      <c r="I34" s="1058">
        <v>0</v>
      </c>
      <c r="J34" s="1057">
        <v>0</v>
      </c>
      <c r="K34" s="1057">
        <v>0</v>
      </c>
      <c r="L34" s="1058">
        <v>0</v>
      </c>
      <c r="M34" s="1058">
        <v>0</v>
      </c>
      <c r="N34" s="1057"/>
      <c r="O34" s="1057"/>
      <c r="P34" s="1057"/>
      <c r="Q34" s="1057"/>
      <c r="R34" s="1057"/>
      <c r="S34" s="1057"/>
      <c r="T34" s="1059">
        <v>0</v>
      </c>
      <c r="U34" s="1057">
        <v>0</v>
      </c>
      <c r="V34" s="1057">
        <v>0</v>
      </c>
      <c r="W34" s="1059">
        <v>0</v>
      </c>
      <c r="X34" s="1059">
        <v>0</v>
      </c>
      <c r="Y34" s="1057">
        <v>0</v>
      </c>
      <c r="Z34" s="1057">
        <v>0</v>
      </c>
      <c r="AA34" s="1057">
        <v>342654.36692000006</v>
      </c>
      <c r="AB34" s="1057">
        <v>168653.37305999995</v>
      </c>
      <c r="AC34" s="1059">
        <v>511307.73998000001</v>
      </c>
      <c r="AD34" s="1057">
        <v>0</v>
      </c>
      <c r="AE34" s="1057">
        <v>0</v>
      </c>
      <c r="AF34" s="1059">
        <v>0</v>
      </c>
      <c r="AG34" s="1059">
        <v>511307.73998000001</v>
      </c>
      <c r="AH34" s="1057">
        <v>0</v>
      </c>
      <c r="AI34" s="1057">
        <v>0</v>
      </c>
      <c r="AJ34" s="1057">
        <v>0</v>
      </c>
      <c r="AK34" s="1057">
        <v>0</v>
      </c>
      <c r="AL34" s="1057">
        <v>0</v>
      </c>
      <c r="AM34" s="1057">
        <v>0</v>
      </c>
      <c r="AN34" s="1060">
        <v>0</v>
      </c>
      <c r="AO34" s="1057">
        <v>0</v>
      </c>
      <c r="AP34" s="1057">
        <v>0</v>
      </c>
      <c r="AQ34" s="1060">
        <v>0</v>
      </c>
      <c r="AR34" s="1060">
        <v>0</v>
      </c>
      <c r="AS34" s="1057">
        <v>0</v>
      </c>
      <c r="AT34" s="1057">
        <v>0</v>
      </c>
      <c r="AU34" s="1057">
        <v>0</v>
      </c>
      <c r="AV34" s="1057">
        <v>0</v>
      </c>
      <c r="AW34" s="1057">
        <v>0</v>
      </c>
      <c r="AX34" s="1057">
        <v>0</v>
      </c>
      <c r="AY34" s="1058">
        <v>0</v>
      </c>
      <c r="AZ34" s="1057">
        <v>0</v>
      </c>
      <c r="BA34" s="1057">
        <v>0</v>
      </c>
      <c r="BB34" s="1058">
        <v>0</v>
      </c>
      <c r="BC34" s="1058">
        <v>0</v>
      </c>
      <c r="BD34" s="1057">
        <v>0</v>
      </c>
      <c r="BE34" s="1061">
        <v>0</v>
      </c>
      <c r="BF34" s="1061">
        <v>0</v>
      </c>
      <c r="BG34" s="1062">
        <v>0</v>
      </c>
    </row>
    <row r="35" spans="1:60">
      <c r="A35" s="833"/>
      <c r="B35" s="1056">
        <v>27</v>
      </c>
      <c r="C35" s="1057">
        <v>0</v>
      </c>
      <c r="D35" s="1057">
        <v>0</v>
      </c>
      <c r="E35" s="1057">
        <v>0</v>
      </c>
      <c r="F35" s="1057">
        <v>0</v>
      </c>
      <c r="G35" s="1057">
        <v>0</v>
      </c>
      <c r="H35" s="1057">
        <v>0</v>
      </c>
      <c r="I35" s="1058">
        <v>0</v>
      </c>
      <c r="J35" s="1057">
        <v>0</v>
      </c>
      <c r="K35" s="1057">
        <v>0</v>
      </c>
      <c r="L35" s="1058">
        <v>0</v>
      </c>
      <c r="M35" s="1058">
        <v>0</v>
      </c>
      <c r="N35" s="1057"/>
      <c r="O35" s="1057"/>
      <c r="P35" s="1057"/>
      <c r="Q35" s="1057"/>
      <c r="R35" s="1057"/>
      <c r="S35" s="1057"/>
      <c r="T35" s="1059">
        <v>0</v>
      </c>
      <c r="U35" s="1057">
        <v>0</v>
      </c>
      <c r="V35" s="1057">
        <v>0</v>
      </c>
      <c r="W35" s="1059">
        <v>0</v>
      </c>
      <c r="X35" s="1059">
        <v>0</v>
      </c>
      <c r="Y35" s="1057">
        <v>0</v>
      </c>
      <c r="Z35" s="1057">
        <v>0</v>
      </c>
      <c r="AA35" s="1057">
        <v>342654.36692000006</v>
      </c>
      <c r="AB35" s="1057">
        <v>168653.37305999995</v>
      </c>
      <c r="AC35" s="1059">
        <v>511307.73998000001</v>
      </c>
      <c r="AD35" s="1057">
        <v>0</v>
      </c>
      <c r="AE35" s="1057">
        <v>0</v>
      </c>
      <c r="AF35" s="1059">
        <v>0</v>
      </c>
      <c r="AG35" s="1059">
        <v>511307.73998000001</v>
      </c>
      <c r="AH35" s="1057">
        <v>0</v>
      </c>
      <c r="AI35" s="1057">
        <v>0</v>
      </c>
      <c r="AJ35" s="1057">
        <v>0</v>
      </c>
      <c r="AK35" s="1057">
        <v>0</v>
      </c>
      <c r="AL35" s="1057">
        <v>0</v>
      </c>
      <c r="AM35" s="1057">
        <v>0</v>
      </c>
      <c r="AN35" s="1060">
        <v>0</v>
      </c>
      <c r="AO35" s="1057">
        <v>0</v>
      </c>
      <c r="AP35" s="1057">
        <v>0</v>
      </c>
      <c r="AQ35" s="1060">
        <v>0</v>
      </c>
      <c r="AR35" s="1060">
        <v>0</v>
      </c>
      <c r="AS35" s="1057">
        <v>0</v>
      </c>
      <c r="AT35" s="1057">
        <v>0</v>
      </c>
      <c r="AU35" s="1057">
        <v>0</v>
      </c>
      <c r="AV35" s="1057">
        <v>0</v>
      </c>
      <c r="AW35" s="1057">
        <v>0</v>
      </c>
      <c r="AX35" s="1057">
        <v>0</v>
      </c>
      <c r="AY35" s="1058">
        <v>0</v>
      </c>
      <c r="AZ35" s="1057">
        <v>0</v>
      </c>
      <c r="BA35" s="1057">
        <v>0</v>
      </c>
      <c r="BB35" s="1058">
        <v>0</v>
      </c>
      <c r="BC35" s="1058">
        <v>0</v>
      </c>
      <c r="BD35" s="1057">
        <v>0</v>
      </c>
      <c r="BE35" s="1061">
        <v>0</v>
      </c>
      <c r="BF35" s="1061">
        <v>0</v>
      </c>
      <c r="BG35" s="1062">
        <v>0</v>
      </c>
    </row>
    <row r="36" spans="1:60">
      <c r="A36" s="833"/>
      <c r="B36" s="1056">
        <v>28</v>
      </c>
      <c r="C36" s="1057">
        <v>0</v>
      </c>
      <c r="D36" s="1057">
        <v>0</v>
      </c>
      <c r="E36" s="1057">
        <v>0</v>
      </c>
      <c r="F36" s="1057">
        <v>0</v>
      </c>
      <c r="G36" s="1057">
        <v>0</v>
      </c>
      <c r="H36" s="1057">
        <v>0</v>
      </c>
      <c r="I36" s="1058">
        <v>0</v>
      </c>
      <c r="J36" s="1057">
        <v>0</v>
      </c>
      <c r="K36" s="1057">
        <v>0</v>
      </c>
      <c r="L36" s="1058">
        <v>0</v>
      </c>
      <c r="M36" s="1058">
        <v>0</v>
      </c>
      <c r="N36" s="1057"/>
      <c r="O36" s="1057"/>
      <c r="P36" s="1057"/>
      <c r="Q36" s="1057"/>
      <c r="R36" s="1057"/>
      <c r="S36" s="1057"/>
      <c r="T36" s="1059">
        <v>0</v>
      </c>
      <c r="U36" s="1057">
        <v>0</v>
      </c>
      <c r="V36" s="1057">
        <v>0</v>
      </c>
      <c r="W36" s="1059">
        <v>0</v>
      </c>
      <c r="X36" s="1059">
        <v>0</v>
      </c>
      <c r="Y36" s="1057">
        <v>0</v>
      </c>
      <c r="Z36" s="1057">
        <v>0</v>
      </c>
      <c r="AA36" s="1057">
        <v>342654.36692000006</v>
      </c>
      <c r="AB36" s="1057">
        <v>168653.37305999995</v>
      </c>
      <c r="AC36" s="1059">
        <v>511307.73998000001</v>
      </c>
      <c r="AD36" s="1057">
        <v>0</v>
      </c>
      <c r="AE36" s="1057">
        <v>0</v>
      </c>
      <c r="AF36" s="1059">
        <v>0</v>
      </c>
      <c r="AG36" s="1059">
        <v>511307.73998000001</v>
      </c>
      <c r="AH36" s="1057">
        <v>0</v>
      </c>
      <c r="AI36" s="1057">
        <v>0</v>
      </c>
      <c r="AJ36" s="1057">
        <v>0</v>
      </c>
      <c r="AK36" s="1057">
        <v>0</v>
      </c>
      <c r="AL36" s="1057">
        <v>0</v>
      </c>
      <c r="AM36" s="1057">
        <v>0</v>
      </c>
      <c r="AN36" s="1060">
        <v>0</v>
      </c>
      <c r="AO36" s="1057">
        <v>0</v>
      </c>
      <c r="AP36" s="1057">
        <v>0</v>
      </c>
      <c r="AQ36" s="1060">
        <v>0</v>
      </c>
      <c r="AR36" s="1060">
        <v>0</v>
      </c>
      <c r="AS36" s="1057">
        <v>0</v>
      </c>
      <c r="AT36" s="1057">
        <v>0</v>
      </c>
      <c r="AU36" s="1057">
        <v>0</v>
      </c>
      <c r="AV36" s="1057">
        <v>0</v>
      </c>
      <c r="AW36" s="1057">
        <v>0</v>
      </c>
      <c r="AX36" s="1057">
        <v>0</v>
      </c>
      <c r="AY36" s="1058">
        <v>0</v>
      </c>
      <c r="AZ36" s="1057">
        <v>0</v>
      </c>
      <c r="BA36" s="1057">
        <v>0</v>
      </c>
      <c r="BB36" s="1058">
        <v>0</v>
      </c>
      <c r="BC36" s="1058">
        <v>0</v>
      </c>
      <c r="BD36" s="1057">
        <v>0</v>
      </c>
      <c r="BE36" s="1061">
        <v>0</v>
      </c>
      <c r="BF36" s="1061">
        <v>0</v>
      </c>
      <c r="BG36" s="1062">
        <v>0</v>
      </c>
    </row>
    <row r="37" spans="1:60">
      <c r="A37" s="833"/>
      <c r="B37" s="1056">
        <v>29</v>
      </c>
      <c r="C37" s="1057">
        <v>0</v>
      </c>
      <c r="D37" s="1057">
        <v>0</v>
      </c>
      <c r="E37" s="1057">
        <v>0</v>
      </c>
      <c r="F37" s="1057">
        <v>0</v>
      </c>
      <c r="G37" s="1057">
        <v>0</v>
      </c>
      <c r="H37" s="1057">
        <v>0</v>
      </c>
      <c r="I37" s="1058">
        <v>0</v>
      </c>
      <c r="J37" s="1057">
        <v>0</v>
      </c>
      <c r="K37" s="1057">
        <v>0</v>
      </c>
      <c r="L37" s="1058">
        <v>0</v>
      </c>
      <c r="M37" s="1058">
        <v>0</v>
      </c>
      <c r="N37" s="1057"/>
      <c r="O37" s="1057"/>
      <c r="P37" s="1057"/>
      <c r="Q37" s="1057"/>
      <c r="R37" s="1057"/>
      <c r="S37" s="1057"/>
      <c r="T37" s="1059">
        <v>0</v>
      </c>
      <c r="U37" s="1057">
        <v>0</v>
      </c>
      <c r="V37" s="1057">
        <v>0</v>
      </c>
      <c r="W37" s="1059">
        <v>0</v>
      </c>
      <c r="X37" s="1059">
        <v>0</v>
      </c>
      <c r="Y37" s="1057">
        <v>0</v>
      </c>
      <c r="Z37" s="1057">
        <v>0</v>
      </c>
      <c r="AA37" s="1057">
        <v>342654.36692000006</v>
      </c>
      <c r="AB37" s="1057">
        <v>168653.37305999995</v>
      </c>
      <c r="AC37" s="1059">
        <v>511307.73998000001</v>
      </c>
      <c r="AD37" s="1057">
        <v>0</v>
      </c>
      <c r="AE37" s="1057">
        <v>0</v>
      </c>
      <c r="AF37" s="1059">
        <v>0</v>
      </c>
      <c r="AG37" s="1059">
        <v>511307.73998000001</v>
      </c>
      <c r="AH37" s="1057">
        <v>0</v>
      </c>
      <c r="AI37" s="1057">
        <v>0</v>
      </c>
      <c r="AJ37" s="1057">
        <v>0</v>
      </c>
      <c r="AK37" s="1057">
        <v>0</v>
      </c>
      <c r="AL37" s="1057">
        <v>0</v>
      </c>
      <c r="AM37" s="1057">
        <v>0</v>
      </c>
      <c r="AN37" s="1060">
        <v>0</v>
      </c>
      <c r="AO37" s="1057">
        <v>0</v>
      </c>
      <c r="AP37" s="1057">
        <v>0</v>
      </c>
      <c r="AQ37" s="1060">
        <v>0</v>
      </c>
      <c r="AR37" s="1060">
        <v>0</v>
      </c>
      <c r="AS37" s="1057">
        <v>0</v>
      </c>
      <c r="AT37" s="1057">
        <v>0</v>
      </c>
      <c r="AU37" s="1057">
        <v>0</v>
      </c>
      <c r="AV37" s="1057">
        <v>0</v>
      </c>
      <c r="AW37" s="1057">
        <v>0</v>
      </c>
      <c r="AX37" s="1057">
        <v>0</v>
      </c>
      <c r="AY37" s="1058">
        <v>0</v>
      </c>
      <c r="AZ37" s="1057">
        <v>0</v>
      </c>
      <c r="BA37" s="1057">
        <v>0</v>
      </c>
      <c r="BB37" s="1058">
        <v>0</v>
      </c>
      <c r="BC37" s="1058">
        <v>0</v>
      </c>
      <c r="BD37" s="1057">
        <v>0</v>
      </c>
      <c r="BE37" s="1061">
        <v>0</v>
      </c>
      <c r="BF37" s="1061">
        <v>0</v>
      </c>
      <c r="BG37" s="1062">
        <v>0</v>
      </c>
    </row>
    <row r="38" spans="1:60">
      <c r="A38" s="833"/>
      <c r="B38" s="1056">
        <v>30</v>
      </c>
      <c r="C38" s="1057">
        <v>0</v>
      </c>
      <c r="D38" s="1057">
        <v>0</v>
      </c>
      <c r="E38" s="1057">
        <v>0</v>
      </c>
      <c r="F38" s="1057">
        <v>0</v>
      </c>
      <c r="G38" s="1057">
        <v>0</v>
      </c>
      <c r="H38" s="1057">
        <v>0</v>
      </c>
      <c r="I38" s="1058">
        <v>0</v>
      </c>
      <c r="J38" s="1057">
        <v>0</v>
      </c>
      <c r="K38" s="1057">
        <v>0</v>
      </c>
      <c r="L38" s="1058">
        <v>0</v>
      </c>
      <c r="M38" s="1058">
        <v>0</v>
      </c>
      <c r="N38" s="1057"/>
      <c r="O38" s="1057"/>
      <c r="P38" s="1057"/>
      <c r="Q38" s="1057"/>
      <c r="R38" s="1057"/>
      <c r="S38" s="1057"/>
      <c r="T38" s="1059">
        <v>0</v>
      </c>
      <c r="U38" s="1057">
        <v>0</v>
      </c>
      <c r="V38" s="1057">
        <v>0</v>
      </c>
      <c r="W38" s="1059">
        <v>0</v>
      </c>
      <c r="X38" s="1059">
        <v>0</v>
      </c>
      <c r="Y38" s="1057">
        <v>0</v>
      </c>
      <c r="Z38" s="1057">
        <v>0</v>
      </c>
      <c r="AA38" s="1057">
        <v>342654.36692000006</v>
      </c>
      <c r="AB38" s="1057">
        <v>168653.37305999995</v>
      </c>
      <c r="AC38" s="1059">
        <v>511307.73998000001</v>
      </c>
      <c r="AD38" s="1057">
        <v>0</v>
      </c>
      <c r="AE38" s="1057">
        <v>0</v>
      </c>
      <c r="AF38" s="1059">
        <v>0</v>
      </c>
      <c r="AG38" s="1059">
        <v>511307.73998000001</v>
      </c>
      <c r="AH38" s="1057">
        <v>0</v>
      </c>
      <c r="AI38" s="1057">
        <v>0</v>
      </c>
      <c r="AJ38" s="1057">
        <v>0</v>
      </c>
      <c r="AK38" s="1057">
        <v>0</v>
      </c>
      <c r="AL38" s="1057">
        <v>0</v>
      </c>
      <c r="AM38" s="1057">
        <v>0</v>
      </c>
      <c r="AN38" s="1060">
        <v>0</v>
      </c>
      <c r="AO38" s="1057">
        <v>0</v>
      </c>
      <c r="AP38" s="1057">
        <v>0</v>
      </c>
      <c r="AQ38" s="1060">
        <v>0</v>
      </c>
      <c r="AR38" s="1060">
        <v>0</v>
      </c>
      <c r="AS38" s="1057">
        <v>0</v>
      </c>
      <c r="AT38" s="1057">
        <v>0</v>
      </c>
      <c r="AU38" s="1057">
        <v>0</v>
      </c>
      <c r="AV38" s="1057">
        <v>0</v>
      </c>
      <c r="AW38" s="1057">
        <v>0</v>
      </c>
      <c r="AX38" s="1057">
        <v>0</v>
      </c>
      <c r="AY38" s="1058">
        <v>0</v>
      </c>
      <c r="AZ38" s="1057">
        <v>0</v>
      </c>
      <c r="BA38" s="1057">
        <v>0</v>
      </c>
      <c r="BB38" s="1058">
        <v>0</v>
      </c>
      <c r="BC38" s="1058">
        <v>0</v>
      </c>
      <c r="BD38" s="1057">
        <v>0</v>
      </c>
      <c r="BE38" s="1061">
        <v>0</v>
      </c>
      <c r="BF38" s="1061">
        <v>0</v>
      </c>
      <c r="BG38" s="1062">
        <v>0</v>
      </c>
    </row>
    <row r="39" spans="1:60">
      <c r="A39" s="833"/>
      <c r="B39" s="1076">
        <v>31</v>
      </c>
      <c r="C39" s="1077">
        <v>0</v>
      </c>
      <c r="D39" s="1077">
        <v>0</v>
      </c>
      <c r="E39" s="1077">
        <v>0</v>
      </c>
      <c r="F39" s="1077">
        <v>0</v>
      </c>
      <c r="G39" s="1077">
        <v>0</v>
      </c>
      <c r="H39" s="1077">
        <v>0</v>
      </c>
      <c r="I39" s="1078">
        <v>0</v>
      </c>
      <c r="J39" s="1077">
        <v>0</v>
      </c>
      <c r="K39" s="1077">
        <v>0</v>
      </c>
      <c r="L39" s="1078">
        <v>0</v>
      </c>
      <c r="M39" s="1078">
        <v>0</v>
      </c>
      <c r="N39" s="1077"/>
      <c r="O39" s="1077"/>
      <c r="P39" s="1077"/>
      <c r="Q39" s="1077"/>
      <c r="R39" s="1077"/>
      <c r="S39" s="1077"/>
      <c r="T39" s="1079">
        <v>0</v>
      </c>
      <c r="U39" s="1077">
        <v>0</v>
      </c>
      <c r="V39" s="1077">
        <v>0</v>
      </c>
      <c r="W39" s="1079">
        <v>0</v>
      </c>
      <c r="X39" s="1079">
        <v>0</v>
      </c>
      <c r="Y39" s="1077">
        <v>0</v>
      </c>
      <c r="Z39" s="1077">
        <v>0</v>
      </c>
      <c r="AA39" s="1077">
        <v>342654.36692000006</v>
      </c>
      <c r="AB39" s="1077">
        <v>168653.37305999995</v>
      </c>
      <c r="AC39" s="1079">
        <v>511307.73998000001</v>
      </c>
      <c r="AD39" s="1057">
        <v>0</v>
      </c>
      <c r="AE39" s="1057">
        <v>0</v>
      </c>
      <c r="AF39" s="1079">
        <v>0</v>
      </c>
      <c r="AG39" s="1079">
        <v>511307.73998000001</v>
      </c>
      <c r="AH39" s="1077">
        <v>0</v>
      </c>
      <c r="AI39" s="1077">
        <v>0</v>
      </c>
      <c r="AJ39" s="1077">
        <v>0</v>
      </c>
      <c r="AK39" s="1077">
        <v>0</v>
      </c>
      <c r="AL39" s="1077">
        <v>0</v>
      </c>
      <c r="AM39" s="1077">
        <v>0</v>
      </c>
      <c r="AN39" s="1080">
        <v>0</v>
      </c>
      <c r="AO39" s="1077">
        <v>0</v>
      </c>
      <c r="AP39" s="1077">
        <v>0</v>
      </c>
      <c r="AQ39" s="1080">
        <v>0</v>
      </c>
      <c r="AR39" s="1080">
        <v>0</v>
      </c>
      <c r="AS39" s="1077">
        <v>0</v>
      </c>
      <c r="AT39" s="1077">
        <v>0</v>
      </c>
      <c r="AU39" s="1077">
        <v>0</v>
      </c>
      <c r="AV39" s="1077">
        <v>0</v>
      </c>
      <c r="AW39" s="1077">
        <v>0</v>
      </c>
      <c r="AX39" s="1077">
        <v>0</v>
      </c>
      <c r="AY39" s="1078">
        <v>0</v>
      </c>
      <c r="AZ39" s="1077">
        <v>0</v>
      </c>
      <c r="BA39" s="1077">
        <v>0</v>
      </c>
      <c r="BB39" s="1078">
        <v>0</v>
      </c>
      <c r="BC39" s="1078">
        <v>0</v>
      </c>
      <c r="BD39" s="1081">
        <v>0</v>
      </c>
      <c r="BE39" s="1082">
        <v>0</v>
      </c>
      <c r="BF39" s="1082">
        <v>0</v>
      </c>
      <c r="BG39" s="1083">
        <v>0</v>
      </c>
    </row>
    <row r="40" spans="1:60">
      <c r="B40" s="1084" t="s">
        <v>7</v>
      </c>
      <c r="C40" s="1085">
        <v>0</v>
      </c>
      <c r="D40" s="1085">
        <v>0</v>
      </c>
      <c r="E40" s="1085">
        <v>0</v>
      </c>
      <c r="F40" s="1085">
        <v>0</v>
      </c>
      <c r="G40" s="1085">
        <v>129902.82</v>
      </c>
      <c r="H40" s="1085">
        <v>44192.399999999994</v>
      </c>
      <c r="I40" s="1086">
        <v>174095.21999999997</v>
      </c>
      <c r="J40" s="1085">
        <v>0</v>
      </c>
      <c r="K40" s="1085">
        <v>0</v>
      </c>
      <c r="L40" s="1086">
        <v>0</v>
      </c>
      <c r="M40" s="1087">
        <v>174095.21999999997</v>
      </c>
      <c r="N40" s="1088">
        <v>0</v>
      </c>
      <c r="O40" s="1088">
        <v>0</v>
      </c>
      <c r="P40" s="1088">
        <v>0</v>
      </c>
      <c r="Q40" s="1088">
        <v>0</v>
      </c>
      <c r="R40" s="1088">
        <v>0</v>
      </c>
      <c r="S40" s="1088">
        <v>0</v>
      </c>
      <c r="T40" s="1089">
        <v>0</v>
      </c>
      <c r="U40" s="1088">
        <v>0</v>
      </c>
      <c r="V40" s="1088">
        <v>0</v>
      </c>
      <c r="W40" s="1089">
        <v>0</v>
      </c>
      <c r="X40" s="1089">
        <v>0</v>
      </c>
      <c r="Y40" s="1088">
        <v>0</v>
      </c>
      <c r="Z40" s="1088">
        <v>0</v>
      </c>
      <c r="AA40" s="1088">
        <v>342654.36692000006</v>
      </c>
      <c r="AB40" s="1088">
        <v>168653.37305999995</v>
      </c>
      <c r="AC40" s="1090">
        <v>511307.73998000001</v>
      </c>
      <c r="AD40" s="1088">
        <v>0</v>
      </c>
      <c r="AE40" s="1088">
        <v>0</v>
      </c>
      <c r="AF40" s="1090">
        <v>0</v>
      </c>
      <c r="AG40" s="1090">
        <v>511307.73998000001</v>
      </c>
      <c r="AH40" s="1091">
        <v>0</v>
      </c>
      <c r="AI40" s="1091">
        <v>0</v>
      </c>
      <c r="AJ40" s="1091">
        <v>0</v>
      </c>
      <c r="AK40" s="1091">
        <v>0</v>
      </c>
      <c r="AL40" s="1091">
        <v>0</v>
      </c>
      <c r="AM40" s="1091">
        <v>0</v>
      </c>
      <c r="AN40" s="1092">
        <v>0</v>
      </c>
      <c r="AO40" s="1091">
        <v>0</v>
      </c>
      <c r="AP40" s="1091">
        <v>0</v>
      </c>
      <c r="AQ40" s="1092">
        <v>0</v>
      </c>
      <c r="AR40" s="1092">
        <v>0</v>
      </c>
      <c r="AS40" s="1085">
        <v>0</v>
      </c>
      <c r="AT40" s="1085">
        <v>0</v>
      </c>
      <c r="AU40" s="1085">
        <v>70823.209999999992</v>
      </c>
      <c r="AV40" s="1085">
        <v>73611.78</v>
      </c>
      <c r="AW40" s="1085">
        <v>0</v>
      </c>
      <c r="AX40" s="1085">
        <v>0</v>
      </c>
      <c r="AY40" s="1086">
        <v>144434.99</v>
      </c>
      <c r="AZ40" s="1085">
        <v>0</v>
      </c>
      <c r="BA40" s="1085">
        <v>0</v>
      </c>
      <c r="BB40" s="1086">
        <v>0</v>
      </c>
      <c r="BC40" s="1087">
        <v>144434.99</v>
      </c>
      <c r="BD40" s="1093">
        <v>38313.29</v>
      </c>
      <c r="BE40" s="1093">
        <v>8297.0400000000009</v>
      </c>
      <c r="BF40" s="1093">
        <v>0</v>
      </c>
      <c r="BG40" s="1094">
        <v>46610.33</v>
      </c>
      <c r="BH40" s="689">
        <v>0</v>
      </c>
    </row>
    <row r="41" spans="1:60">
      <c r="AF41" s="1095">
        <v>-7.2759576141834259E-12</v>
      </c>
      <c r="BD41" s="683"/>
      <c r="BE41" s="683"/>
      <c r="BF41" s="683"/>
    </row>
    <row r="42" spans="1:60">
      <c r="P42" s="989">
        <v>0</v>
      </c>
      <c r="Q42" s="825"/>
      <c r="R42" s="989">
        <v>0</v>
      </c>
      <c r="AA42" s="989">
        <v>511307.73998000001</v>
      </c>
      <c r="AD42" s="683">
        <v>0</v>
      </c>
      <c r="BD42" s="683"/>
      <c r="BE42" s="683"/>
      <c r="BF42" s="683"/>
    </row>
    <row r="43" spans="1:60">
      <c r="V43" s="683"/>
      <c r="AE43" s="683"/>
    </row>
    <row r="44" spans="1:60">
      <c r="O44">
        <v>7.0993021631733128E-2</v>
      </c>
    </row>
  </sheetData>
  <mergeCells count="54">
    <mergeCell ref="BI11:BI14"/>
    <mergeCell ref="BI15:BI18"/>
    <mergeCell ref="BB6:BB7"/>
    <mergeCell ref="BC6:BC7"/>
    <mergeCell ref="BD6:BF6"/>
    <mergeCell ref="BG6:BG7"/>
    <mergeCell ref="BI7:BI10"/>
    <mergeCell ref="C8:M8"/>
    <mergeCell ref="AH8:AR8"/>
    <mergeCell ref="AS8:BC8"/>
    <mergeCell ref="AR6:AR7"/>
    <mergeCell ref="AS6:AT6"/>
    <mergeCell ref="AU6:AV6"/>
    <mergeCell ref="AW6:AX6"/>
    <mergeCell ref="AY6:AY7"/>
    <mergeCell ref="AZ6:BA6"/>
    <mergeCell ref="AH6:AI6"/>
    <mergeCell ref="AJ6:AK6"/>
    <mergeCell ref="AL6:AM6"/>
    <mergeCell ref="AN6:AN7"/>
    <mergeCell ref="AO6:AP6"/>
    <mergeCell ref="AQ6:AQ7"/>
    <mergeCell ref="Y6:Z6"/>
    <mergeCell ref="AA6:AB6"/>
    <mergeCell ref="AC6:AC7"/>
    <mergeCell ref="AD6:AE6"/>
    <mergeCell ref="AF6:AF7"/>
    <mergeCell ref="AG6:AG7"/>
    <mergeCell ref="P6:Q6"/>
    <mergeCell ref="R6:S6"/>
    <mergeCell ref="T6:T7"/>
    <mergeCell ref="U6:V6"/>
    <mergeCell ref="W6:W7"/>
    <mergeCell ref="X6:X7"/>
    <mergeCell ref="BD5:BG5"/>
    <mergeCell ref="BI5:BJ6"/>
    <mergeCell ref="BK5:BK6"/>
    <mergeCell ref="BL5:BL6"/>
    <mergeCell ref="BM5:BM6"/>
    <mergeCell ref="C6:D6"/>
    <mergeCell ref="E6:F6"/>
    <mergeCell ref="G6:H6"/>
    <mergeCell ref="I6:I7"/>
    <mergeCell ref="J6:K6"/>
    <mergeCell ref="C3:BC3"/>
    <mergeCell ref="B5:B7"/>
    <mergeCell ref="C5:M5"/>
    <mergeCell ref="N5:X5"/>
    <mergeCell ref="Y5:AG5"/>
    <mergeCell ref="AH5:AM5"/>
    <mergeCell ref="AS5:BC5"/>
    <mergeCell ref="L6:L7"/>
    <mergeCell ref="M6:M7"/>
    <mergeCell ref="N6:O6"/>
  </mergeCells>
  <pageMargins left="0.7" right="0.7" top="0.75" bottom="0.75" header="0.3" footer="0.3"/>
  <pageSetup orientation="portrait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weather</vt:lpstr>
      <vt:lpstr>Dashboard</vt:lpstr>
      <vt:lpstr>Summary Sep26</vt:lpstr>
      <vt:lpstr>To Date Summary</vt:lpstr>
      <vt:lpstr>Portion Blending</vt:lpstr>
      <vt:lpstr>Stock Information</vt:lpstr>
      <vt:lpstr>Summary Coal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Afrina Amalia</dc:creator>
  <cp:lastModifiedBy>Afrina Amalia</cp:lastModifiedBy>
  <dcterms:created xsi:type="dcterms:W3CDTF">2026-09-08T02:32:45Z</dcterms:created>
  <dcterms:modified xsi:type="dcterms:W3CDTF">2026-09-08T02:39:06Z</dcterms:modified>
</cp:coreProperties>
</file>