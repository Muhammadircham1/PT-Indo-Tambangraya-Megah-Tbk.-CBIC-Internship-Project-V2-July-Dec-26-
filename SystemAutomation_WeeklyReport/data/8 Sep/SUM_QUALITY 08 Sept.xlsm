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326" codeName="{26A90621-87C4-6C01-FD6A-EE6E7C140903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1. IMM Daily Production 2026\9. Sep\"/>
    </mc:Choice>
  </mc:AlternateContent>
  <xr:revisionPtr revIDLastSave="0" documentId="13_ncr:1_{FE678B62-5D5D-424B-87FB-E2010BCD9DA1}" xr6:coauthVersionLast="47" xr6:coauthVersionMax="47" xr10:uidLastSave="{00000000-0000-0000-0000-000000000000}"/>
  <bookViews>
    <workbookView xWindow="-110" yWindow="-110" windowWidth="19420" windowHeight="11500" tabRatio="420" xr2:uid="{00000000-000D-0000-FFFF-FFFF00000000}"/>
  </bookViews>
  <sheets>
    <sheet name="sum_PSY" sheetId="18" r:id="rId1"/>
    <sheet name="sum_MSY" sheetId="20" r:id="rId2"/>
    <sheet name="summary production RTH IMM" sheetId="26" r:id="rId3"/>
    <sheet name="Sheet1" sheetId="24" r:id="rId4"/>
    <sheet name="Sheet3" sheetId="27" r:id="rId5"/>
    <sheet name="in vessel" sheetId="21" state="hidden" r:id="rId6"/>
    <sheet name="Sheet2" sheetId="22" state="hidden" r:id="rId7"/>
  </sheets>
  <externalReferences>
    <externalReference r:id="rId8"/>
  </externalReferences>
  <definedNames>
    <definedName name="_DATE" localSheetId="1">sum_MSY!$B$6</definedName>
    <definedName name="_DATE">sum_PSY!$B$6</definedName>
    <definedName name="_xleta.COUNT" hidden="1" xlm="1">#NAME?</definedName>
    <definedName name="_xleta.IF" hidden="1" xlm="1">#NAME?</definedName>
    <definedName name="_xleta.SUM" hidden="1" xlm="1">#NAME?</definedName>
    <definedName name="MEASTHITS">sum_MSY!$C$29:$I$29</definedName>
    <definedName name="MEASTMHITS">sum_MSY!$C$28:$I$28</definedName>
    <definedName name="MMHITS">sum_MSY!$C$30:$I$30</definedName>
    <definedName name="MSYINV">sum_MSY!$B$5</definedName>
    <definedName name="MTDMHCV">sum_MSY!$C$31:$I$31</definedName>
    <definedName name="MTOTAL">sum_MSY!$C$34:$I$34</definedName>
    <definedName name="MWASH">sum_MSY!$C$26:$I$26</definedName>
    <definedName name="MWESTHITS">sum_MSY!$C$25:$I$25</definedName>
    <definedName name="MWESTLOTS">sum_MSY!$C$24:$I$24</definedName>
    <definedName name="NAR">sum_MSY!#REF!</definedName>
    <definedName name="PASS">sum_MSY!$M$7</definedName>
    <definedName name="PASS1">sum_PSY!$M$7</definedName>
    <definedName name="PEASTHITS">sum_PSY!$C$49:$I$49</definedName>
    <definedName name="PEMB">sum_PSY!$C$54:$I$54</definedName>
    <definedName name="PJBG">sum_PSY!$C$50:$I$50</definedName>
    <definedName name="PMEASTHITS">sum_PSY!$C$48:$I$48</definedName>
    <definedName name="_xlnm.Print_Area" localSheetId="1">sum_MSY!$A$1:$M$34</definedName>
    <definedName name="_xlnm.Print_Area" localSheetId="0">sum_PSY!$A$1:$M$61</definedName>
    <definedName name="PSYINV2">sum_PSY!$B$5</definedName>
    <definedName name="PTCMHCVHITS">sum_PSY!$C$52:$I$52</definedName>
    <definedName name="PTCMHCVLOTS">sum_PSY!$C$53:$I$53</definedName>
    <definedName name="PTCMLCVLOTS">sum_PSY!$C$51:$I$51</definedName>
    <definedName name="PTDMHCV">sum_PSY!$C$45:$I$45</definedName>
    <definedName name="PTOTAL">sum_PSY!$C$90:$I$90</definedName>
    <definedName name="PWESTLOTS">sum_PSY!$C$44:$I$44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40" i="26" l="1"/>
  <c r="T40" i="26" s="1"/>
  <c r="F40" i="26"/>
  <c r="E40" i="26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8" i="18"/>
  <c r="L35" i="18"/>
  <c r="I10" i="20" l="1"/>
  <c r="I11" i="20"/>
  <c r="I12" i="20"/>
  <c r="I13" i="20"/>
  <c r="I14" i="20"/>
  <c r="I15" i="20"/>
  <c r="I16" i="20"/>
  <c r="O8" i="18"/>
  <c r="O9" i="18"/>
  <c r="O10" i="18"/>
  <c r="O11" i="18"/>
  <c r="O12" i="18"/>
  <c r="O13" i="18"/>
  <c r="O14" i="18"/>
  <c r="O15" i="18"/>
  <c r="O16" i="18"/>
  <c r="O17" i="18"/>
  <c r="O18" i="18"/>
  <c r="O19" i="18"/>
  <c r="O20" i="18"/>
  <c r="O21" i="18"/>
  <c r="O22" i="18"/>
  <c r="O23" i="18"/>
  <c r="O24" i="18"/>
  <c r="O25" i="18"/>
  <c r="O26" i="18"/>
  <c r="O27" i="18"/>
  <c r="O28" i="18"/>
  <c r="O29" i="18"/>
  <c r="O30" i="18"/>
  <c r="O31" i="18"/>
  <c r="O32" i="18"/>
  <c r="O33" i="18"/>
  <c r="O34" i="18"/>
  <c r="N34" i="26"/>
  <c r="O34" i="26"/>
  <c r="P34" i="26"/>
  <c r="Q34" i="26"/>
  <c r="R34" i="26"/>
  <c r="S34" i="26"/>
  <c r="M34" i="26"/>
  <c r="G7" i="27" l="1"/>
  <c r="G8" i="27"/>
  <c r="J9" i="27" s="1"/>
  <c r="K9" i="27" l="1"/>
  <c r="L9" i="27"/>
  <c r="H9" i="27"/>
  <c r="I9" i="27"/>
  <c r="L31" i="26"/>
  <c r="L32" i="26"/>
  <c r="L33" i="26"/>
  <c r="H3" i="26"/>
  <c r="H13" i="26"/>
  <c r="G40" i="26" l="1"/>
  <c r="C40" i="26"/>
  <c r="B40" i="26"/>
  <c r="T11" i="26" l="1"/>
  <c r="D40" i="26"/>
  <c r="H40" i="26" s="1"/>
  <c r="I40" i="26" s="1"/>
  <c r="T33" i="26" l="1"/>
  <c r="T32" i="26"/>
  <c r="T31" i="26"/>
  <c r="T30" i="26"/>
  <c r="T29" i="26"/>
  <c r="T28" i="26"/>
  <c r="T27" i="26"/>
  <c r="T26" i="26"/>
  <c r="T24" i="26"/>
  <c r="T25" i="26"/>
  <c r="T23" i="26"/>
  <c r="T22" i="26"/>
  <c r="T21" i="26"/>
  <c r="T20" i="26"/>
  <c r="T19" i="26"/>
  <c r="T18" i="26"/>
  <c r="T17" i="26"/>
  <c r="T16" i="26"/>
  <c r="T15" i="26"/>
  <c r="T14" i="26"/>
  <c r="C35" i="18"/>
  <c r="D35" i="18" s="1"/>
  <c r="T13" i="26"/>
  <c r="T12" i="26"/>
  <c r="C17" i="20"/>
  <c r="T10" i="26"/>
  <c r="T9" i="26"/>
  <c r="T8" i="26"/>
  <c r="T7" i="26"/>
  <c r="T6" i="26"/>
  <c r="T5" i="26"/>
  <c r="T4" i="26"/>
  <c r="T3" i="26"/>
  <c r="H4" i="26"/>
  <c r="H5" i="26"/>
  <c r="H6" i="26"/>
  <c r="H7" i="26"/>
  <c r="H8" i="26"/>
  <c r="H9" i="26"/>
  <c r="H10" i="26"/>
  <c r="H11" i="26"/>
  <c r="H12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44" i="26"/>
  <c r="I44" i="26" s="1"/>
  <c r="R41" i="26"/>
  <c r="R43" i="26" s="1"/>
  <c r="Q41" i="26"/>
  <c r="Q43" i="26" s="1"/>
  <c r="P41" i="26"/>
  <c r="O41" i="26"/>
  <c r="O43" i="26" s="1"/>
  <c r="N41" i="26"/>
  <c r="N43" i="26" s="1"/>
  <c r="M41" i="26"/>
  <c r="M43" i="26" s="1"/>
  <c r="L41" i="26"/>
  <c r="L43" i="26" s="1"/>
  <c r="G34" i="26"/>
  <c r="G41" i="26" s="1"/>
  <c r="G43" i="26" s="1"/>
  <c r="F34" i="26"/>
  <c r="E34" i="26"/>
  <c r="E41" i="26" s="1"/>
  <c r="E43" i="26" s="1"/>
  <c r="D34" i="26"/>
  <c r="D41" i="26" s="1"/>
  <c r="D43" i="26" s="1"/>
  <c r="C34" i="26"/>
  <c r="C41" i="26" s="1"/>
  <c r="C45" i="26" s="1"/>
  <c r="B34" i="26"/>
  <c r="B41" i="26" s="1"/>
  <c r="B43" i="26" s="1"/>
  <c r="L30" i="26"/>
  <c r="L29" i="26"/>
  <c r="L28" i="26"/>
  <c r="L27" i="26"/>
  <c r="L26" i="26"/>
  <c r="L25" i="26"/>
  <c r="L24" i="26"/>
  <c r="L23" i="26"/>
  <c r="L22" i="26"/>
  <c r="L21" i="26"/>
  <c r="L20" i="26"/>
  <c r="L19" i="26"/>
  <c r="L18" i="26"/>
  <c r="L17" i="26"/>
  <c r="L16" i="26"/>
  <c r="L15" i="26"/>
  <c r="L14" i="26"/>
  <c r="L13" i="26"/>
  <c r="L12" i="26"/>
  <c r="L11" i="26"/>
  <c r="L10" i="26"/>
  <c r="L9" i="26"/>
  <c r="L8" i="26"/>
  <c r="L7" i="26"/>
  <c r="L6" i="26"/>
  <c r="L5" i="26"/>
  <c r="L4" i="26"/>
  <c r="L3" i="26"/>
  <c r="F41" i="26" l="1"/>
  <c r="H41" i="26" s="1"/>
  <c r="I41" i="26" s="1"/>
  <c r="I42" i="26" s="1"/>
  <c r="H34" i="26"/>
  <c r="E17" i="20"/>
  <c r="H17" i="20"/>
  <c r="G17" i="20"/>
  <c r="F17" i="20"/>
  <c r="D17" i="20"/>
  <c r="H35" i="18"/>
  <c r="G35" i="18"/>
  <c r="F35" i="18"/>
  <c r="E35" i="18"/>
  <c r="P43" i="26"/>
  <c r="C43" i="26"/>
  <c r="D47" i="26"/>
  <c r="B47" i="26"/>
  <c r="T34" i="26"/>
  <c r="D46" i="26"/>
  <c r="C46" i="26"/>
  <c r="B46" i="26"/>
  <c r="B48" i="26"/>
  <c r="G42" i="26"/>
  <c r="G48" i="26"/>
  <c r="S41" i="26"/>
  <c r="T41" i="26" s="1"/>
  <c r="L42" i="26"/>
  <c r="M42" i="26"/>
  <c r="P42" i="26"/>
  <c r="E45" i="26"/>
  <c r="E42" i="26"/>
  <c r="E48" i="26"/>
  <c r="E46" i="26"/>
  <c r="N42" i="26"/>
  <c r="O42" i="26"/>
  <c r="Q42" i="26"/>
  <c r="C48" i="26"/>
  <c r="C42" i="26"/>
  <c r="D42" i="26"/>
  <c r="D48" i="26"/>
  <c r="C47" i="26"/>
  <c r="B42" i="26"/>
  <c r="R42" i="26"/>
  <c r="B45" i="26"/>
  <c r="E47" i="26"/>
  <c r="D45" i="26"/>
  <c r="F47" i="26"/>
  <c r="G47" i="26"/>
  <c r="F48" i="26" l="1"/>
  <c r="F46" i="26"/>
  <c r="F43" i="26"/>
  <c r="F42" i="26"/>
  <c r="F45" i="26"/>
  <c r="H45" i="26" s="1"/>
  <c r="N48" i="26"/>
  <c r="N47" i="26"/>
  <c r="M47" i="26"/>
  <c r="M48" i="26"/>
  <c r="L48" i="26"/>
  <c r="P47" i="26"/>
  <c r="Q48" i="26"/>
  <c r="R48" i="26"/>
  <c r="Q47" i="26"/>
  <c r="L47" i="26"/>
  <c r="R47" i="26"/>
  <c r="O48" i="26"/>
  <c r="O47" i="26"/>
  <c r="P48" i="26"/>
  <c r="S43" i="26"/>
  <c r="S42" i="26"/>
  <c r="H43" i="26"/>
  <c r="H42" i="26"/>
  <c r="H46" i="26"/>
  <c r="I45" i="26" l="1"/>
  <c r="I43" i="26"/>
  <c r="I46" i="26"/>
  <c r="T42" i="26"/>
  <c r="T43" i="26"/>
  <c r="I8" i="18" l="1"/>
  <c r="I9" i="18"/>
  <c r="I10" i="18"/>
  <c r="I11" i="18"/>
  <c r="I12" i="18"/>
  <c r="I13" i="18"/>
  <c r="I14" i="18"/>
  <c r="I15" i="18"/>
  <c r="I16" i="18"/>
  <c r="I17" i="18"/>
  <c r="I18" i="18"/>
  <c r="I19" i="18"/>
  <c r="I20" i="18"/>
  <c r="I21" i="18"/>
  <c r="I22" i="18"/>
  <c r="I23" i="18"/>
  <c r="I24" i="18"/>
  <c r="I25" i="18"/>
  <c r="I26" i="18"/>
  <c r="I27" i="18"/>
  <c r="I28" i="18"/>
  <c r="I29" i="18"/>
  <c r="I30" i="18"/>
  <c r="I31" i="18"/>
  <c r="I32" i="18"/>
  <c r="I33" i="18"/>
  <c r="I34" i="18"/>
  <c r="J22" i="18" l="1"/>
  <c r="J23" i="18"/>
  <c r="J34" i="18"/>
  <c r="J33" i="18"/>
  <c r="J32" i="18"/>
  <c r="J31" i="18"/>
  <c r="J30" i="18"/>
  <c r="J29" i="18"/>
  <c r="J28" i="18"/>
  <c r="J27" i="18"/>
  <c r="J26" i="18"/>
  <c r="J25" i="18"/>
  <c r="J24" i="18"/>
  <c r="J21" i="18"/>
  <c r="J20" i="18"/>
  <c r="J19" i="18"/>
  <c r="J18" i="18"/>
  <c r="J17" i="18"/>
  <c r="J16" i="18"/>
  <c r="J15" i="18"/>
  <c r="J14" i="18"/>
  <c r="J13" i="18"/>
  <c r="J12" i="18"/>
  <c r="J11" i="18"/>
  <c r="J10" i="18"/>
  <c r="J9" i="18"/>
  <c r="J8" i="18"/>
  <c r="DH7" i="18" l="1"/>
  <c r="DG7" i="18"/>
  <c r="DF7" i="18"/>
  <c r="DE7" i="18"/>
  <c r="DD7" i="18"/>
  <c r="DC7" i="18"/>
  <c r="DB7" i="18"/>
  <c r="DA7" i="18"/>
  <c r="CZ7" i="18"/>
  <c r="CY7" i="18"/>
  <c r="CX7" i="18"/>
  <c r="CW7" i="18"/>
  <c r="CU7" i="18"/>
  <c r="CT7" i="18"/>
  <c r="CS7" i="18"/>
  <c r="CR7" i="18"/>
  <c r="CQ7" i="18"/>
  <c r="CP7" i="18"/>
  <c r="CO7" i="18"/>
  <c r="CN7" i="18"/>
  <c r="CM7" i="18"/>
  <c r="CL7" i="18"/>
  <c r="CK7" i="18"/>
  <c r="CV7" i="18"/>
  <c r="BM7" i="18" l="1"/>
  <c r="BL7" i="18"/>
  <c r="BK7" i="18"/>
  <c r="BJ7" i="18"/>
  <c r="BI7" i="18"/>
  <c r="BH7" i="18"/>
  <c r="BG7" i="18"/>
  <c r="BF7" i="18"/>
  <c r="BE7" i="18"/>
  <c r="BD7" i="18"/>
  <c r="BD14" i="18" s="1"/>
  <c r="BC7" i="18"/>
  <c r="BB7" i="18"/>
  <c r="BA7" i="18"/>
  <c r="AZ7" i="18"/>
  <c r="AY7" i="18"/>
  <c r="AX7" i="18"/>
  <c r="AW7" i="18"/>
  <c r="AV7" i="18"/>
  <c r="AU7" i="18"/>
  <c r="AT7" i="18"/>
  <c r="AS7" i="18"/>
  <c r="AR7" i="18"/>
  <c r="AQ7" i="18"/>
  <c r="AQ23" i="18" s="1"/>
  <c r="AP7" i="18"/>
  <c r="AO7" i="18"/>
  <c r="AN7" i="18"/>
  <c r="AM7" i="18"/>
  <c r="AM18" i="18" s="1"/>
  <c r="AL7" i="18"/>
  <c r="AK7" i="18"/>
  <c r="AJ7" i="18"/>
  <c r="AI7" i="18"/>
  <c r="AH7" i="18"/>
  <c r="AG7" i="18"/>
  <c r="AF7" i="18"/>
  <c r="AE7" i="18"/>
  <c r="AE32" i="18" s="1"/>
  <c r="AD7" i="18"/>
  <c r="AC7" i="18"/>
  <c r="AB7" i="18"/>
  <c r="AA7" i="18"/>
  <c r="Z7" i="18"/>
  <c r="Y7" i="18"/>
  <c r="X7" i="18"/>
  <c r="W7" i="18"/>
  <c r="V7" i="18"/>
  <c r="V8" i="18" s="1"/>
  <c r="U7" i="18"/>
  <c r="T7" i="18"/>
  <c r="T34" i="18" s="1"/>
  <c r="E34" i="20"/>
  <c r="C19" i="20"/>
  <c r="C20" i="20" s="1"/>
  <c r="J14" i="20"/>
  <c r="J13" i="20"/>
  <c r="J10" i="20"/>
  <c r="M10" i="20"/>
  <c r="J11" i="20"/>
  <c r="M11" i="20"/>
  <c r="M12" i="20"/>
  <c r="M13" i="20"/>
  <c r="M14" i="20"/>
  <c r="J15" i="20"/>
  <c r="M15" i="20"/>
  <c r="T21" i="18" l="1"/>
  <c r="BA20" i="18"/>
  <c r="X15" i="18"/>
  <c r="W30" i="18"/>
  <c r="BF28" i="18"/>
  <c r="W27" i="18"/>
  <c r="X19" i="18"/>
  <c r="Z11" i="18"/>
  <c r="T26" i="18"/>
  <c r="AB33" i="18"/>
  <c r="W25" i="18"/>
  <c r="V24" i="18"/>
  <c r="AU28" i="18"/>
  <c r="BJ27" i="18"/>
  <c r="BF17" i="18"/>
  <c r="DH18" i="18"/>
  <c r="CZ18" i="18"/>
  <c r="CR18" i="18"/>
  <c r="CR15" i="18"/>
  <c r="CM15" i="18"/>
  <c r="DH15" i="18"/>
  <c r="DE15" i="18"/>
  <c r="BD22" i="18"/>
  <c r="CU15" i="18"/>
  <c r="CS15" i="18"/>
  <c r="DC15" i="18"/>
  <c r="V22" i="18"/>
  <c r="DA15" i="18"/>
  <c r="AX15" i="18"/>
  <c r="AS8" i="18"/>
  <c r="CT15" i="18"/>
  <c r="AP8" i="18"/>
  <c r="V20" i="18"/>
  <c r="BJ33" i="18"/>
  <c r="AW33" i="18"/>
  <c r="AM33" i="18"/>
  <c r="Y13" i="18"/>
  <c r="AZ30" i="18"/>
  <c r="AP32" i="18"/>
  <c r="T10" i="18"/>
  <c r="AB10" i="18"/>
  <c r="AN10" i="18"/>
  <c r="BF10" i="18"/>
  <c r="U10" i="18"/>
  <c r="AC10" i="18"/>
  <c r="AP10" i="18"/>
  <c r="V10" i="18"/>
  <c r="AD10" i="18"/>
  <c r="AR10" i="18"/>
  <c r="W10" i="18"/>
  <c r="AE10" i="18"/>
  <c r="AS10" i="18"/>
  <c r="BI10" i="18"/>
  <c r="X10" i="18"/>
  <c r="AF10" i="18"/>
  <c r="AT10" i="18"/>
  <c r="BH10" i="18"/>
  <c r="Y10" i="18"/>
  <c r="AG10" i="18"/>
  <c r="AW10" i="18"/>
  <c r="Z10" i="18"/>
  <c r="AH10" i="18"/>
  <c r="AX10" i="18"/>
  <c r="V33" i="18"/>
  <c r="W33" i="18"/>
  <c r="Z17" i="18"/>
  <c r="AH17" i="18"/>
  <c r="AZ17" i="18"/>
  <c r="AA17" i="18"/>
  <c r="AK17" i="18"/>
  <c r="BC17" i="18"/>
  <c r="T17" i="18"/>
  <c r="AB17" i="18"/>
  <c r="AM17" i="18"/>
  <c r="BD17" i="18"/>
  <c r="U17" i="18"/>
  <c r="AC17" i="18"/>
  <c r="AO17" i="18"/>
  <c r="BE17" i="18"/>
  <c r="V17" i="18"/>
  <c r="AD17" i="18"/>
  <c r="AR17" i="18"/>
  <c r="BH17" i="18"/>
  <c r="W17" i="18"/>
  <c r="AE17" i="18"/>
  <c r="AT17" i="18"/>
  <c r="BI17" i="18"/>
  <c r="X17" i="18"/>
  <c r="AF17" i="18"/>
  <c r="AW17" i="18"/>
  <c r="BJ17" i="18"/>
  <c r="AA9" i="18"/>
  <c r="AJ9" i="18"/>
  <c r="BL9" i="18"/>
  <c r="T9" i="18"/>
  <c r="AB9" i="18"/>
  <c r="AK9" i="18"/>
  <c r="U9" i="18"/>
  <c r="AC9" i="18"/>
  <c r="AL9" i="18"/>
  <c r="BJ9" i="18"/>
  <c r="V9" i="18"/>
  <c r="AD9" i="18"/>
  <c r="AU9" i="18"/>
  <c r="W9" i="18"/>
  <c r="AE9" i="18"/>
  <c r="AV9" i="18"/>
  <c r="X9" i="18"/>
  <c r="AF9" i="18"/>
  <c r="BA9" i="18"/>
  <c r="BF9" i="18"/>
  <c r="Y9" i="18"/>
  <c r="AG9" i="18"/>
  <c r="BD9" i="18"/>
  <c r="BI33" i="18"/>
  <c r="AU33" i="18"/>
  <c r="AK33" i="18"/>
  <c r="AA33" i="18"/>
  <c r="AP30" i="18"/>
  <c r="AY27" i="18"/>
  <c r="BC23" i="18"/>
  <c r="BC21" i="18"/>
  <c r="BA19" i="18"/>
  <c r="AX17" i="18"/>
  <c r="AF15" i="18"/>
  <c r="AX12" i="18"/>
  <c r="AA10" i="18"/>
  <c r="DG18" i="18"/>
  <c r="CP18" i="18"/>
  <c r="X32" i="18"/>
  <c r="AF32" i="18"/>
  <c r="AR32" i="18"/>
  <c r="BC32" i="18"/>
  <c r="Y32" i="18"/>
  <c r="AG32" i="18"/>
  <c r="AS32" i="18"/>
  <c r="BD32" i="18"/>
  <c r="Z32" i="18"/>
  <c r="AH32" i="18"/>
  <c r="AT32" i="18"/>
  <c r="BE32" i="18"/>
  <c r="AA32" i="18"/>
  <c r="AK32" i="18"/>
  <c r="AU32" i="18"/>
  <c r="BF32" i="18"/>
  <c r="T32" i="18"/>
  <c r="AB32" i="18"/>
  <c r="AM32" i="18"/>
  <c r="AW32" i="18"/>
  <c r="BH32" i="18"/>
  <c r="U32" i="18"/>
  <c r="AC32" i="18"/>
  <c r="AN32" i="18"/>
  <c r="AX32" i="18"/>
  <c r="BI32" i="18"/>
  <c r="V32" i="18"/>
  <c r="AD32" i="18"/>
  <c r="AO32" i="18"/>
  <c r="AZ32" i="18"/>
  <c r="BJ32" i="18"/>
  <c r="W24" i="18"/>
  <c r="AE24" i="18"/>
  <c r="AS24" i="18"/>
  <c r="BE24" i="18"/>
  <c r="X24" i="18"/>
  <c r="AF24" i="18"/>
  <c r="AT24" i="18"/>
  <c r="BF24" i="18"/>
  <c r="Y24" i="18"/>
  <c r="AG24" i="18"/>
  <c r="AV24" i="18"/>
  <c r="BI24" i="18"/>
  <c r="Z24" i="18"/>
  <c r="AH24" i="18"/>
  <c r="AW24" i="18"/>
  <c r="BJ24" i="18"/>
  <c r="AA24" i="18"/>
  <c r="AK24" i="18"/>
  <c r="AX24" i="18"/>
  <c r="T24" i="18"/>
  <c r="AB24" i="18"/>
  <c r="AM24" i="18"/>
  <c r="AZ24" i="18"/>
  <c r="U24" i="18"/>
  <c r="AC24" i="18"/>
  <c r="AN24" i="18"/>
  <c r="BC24" i="18"/>
  <c r="V16" i="18"/>
  <c r="AD16" i="18"/>
  <c r="AO16" i="18"/>
  <c r="BI16" i="18"/>
  <c r="W16" i="18"/>
  <c r="AE16" i="18"/>
  <c r="AT16" i="18"/>
  <c r="BJ16" i="18"/>
  <c r="X16" i="18"/>
  <c r="AF16" i="18"/>
  <c r="AU16" i="18"/>
  <c r="Y16" i="18"/>
  <c r="AG16" i="18"/>
  <c r="AW16" i="18"/>
  <c r="Z16" i="18"/>
  <c r="AH16" i="18"/>
  <c r="AX16" i="18"/>
  <c r="AA16" i="18"/>
  <c r="AJ16" i="18"/>
  <c r="AZ16" i="18"/>
  <c r="T16" i="18"/>
  <c r="AB16" i="18"/>
  <c r="AL16" i="18"/>
  <c r="BC16" i="18"/>
  <c r="BF33" i="18"/>
  <c r="AT33" i="18"/>
  <c r="AH33" i="18"/>
  <c r="Z33" i="18"/>
  <c r="W32" i="18"/>
  <c r="AE30" i="18"/>
  <c r="AP27" i="18"/>
  <c r="AL21" i="18"/>
  <c r="AS19" i="18"/>
  <c r="AG17" i="18"/>
  <c r="AF12" i="18"/>
  <c r="BM9" i="18"/>
  <c r="AL10" i="18"/>
  <c r="U31" i="18"/>
  <c r="AC31" i="18"/>
  <c r="AN31" i="18"/>
  <c r="AW31" i="18"/>
  <c r="BF31" i="18"/>
  <c r="V31" i="18"/>
  <c r="AD31" i="18"/>
  <c r="AP31" i="18"/>
  <c r="AX31" i="18"/>
  <c r="BI31" i="18"/>
  <c r="W31" i="18"/>
  <c r="AE31" i="18"/>
  <c r="AQ31" i="18"/>
  <c r="AY31" i="18"/>
  <c r="BJ31" i="18"/>
  <c r="X31" i="18"/>
  <c r="AF31" i="18"/>
  <c r="AR31" i="18"/>
  <c r="AZ31" i="18"/>
  <c r="BM31" i="18"/>
  <c r="Y31" i="18"/>
  <c r="AG31" i="18"/>
  <c r="AS31" i="18"/>
  <c r="BA31" i="18"/>
  <c r="Z31" i="18"/>
  <c r="AH31" i="18"/>
  <c r="AT31" i="18"/>
  <c r="BC31" i="18"/>
  <c r="AA31" i="18"/>
  <c r="AK31" i="18"/>
  <c r="AU31" i="18"/>
  <c r="BD31" i="18"/>
  <c r="X23" i="18"/>
  <c r="AF23" i="18"/>
  <c r="AS23" i="18"/>
  <c r="BD23" i="18"/>
  <c r="Y23" i="18"/>
  <c r="AG23" i="18"/>
  <c r="AT23" i="18"/>
  <c r="BE23" i="18"/>
  <c r="Z23" i="18"/>
  <c r="AH23" i="18"/>
  <c r="AV23" i="18"/>
  <c r="BF23" i="18"/>
  <c r="AA23" i="18"/>
  <c r="AK23" i="18"/>
  <c r="AW23" i="18"/>
  <c r="BI23" i="18"/>
  <c r="T23" i="18"/>
  <c r="AB23" i="18"/>
  <c r="AM23" i="18"/>
  <c r="AX23" i="18"/>
  <c r="BJ23" i="18"/>
  <c r="U23" i="18"/>
  <c r="AC23" i="18"/>
  <c r="AN23" i="18"/>
  <c r="AY23" i="18"/>
  <c r="V23" i="18"/>
  <c r="AD23" i="18"/>
  <c r="AP23" i="18"/>
  <c r="AZ23" i="18"/>
  <c r="Y15" i="18"/>
  <c r="AG15" i="18"/>
  <c r="AZ15" i="18"/>
  <c r="Z15" i="18"/>
  <c r="AH15" i="18"/>
  <c r="BC15" i="18"/>
  <c r="AA15" i="18"/>
  <c r="AL15" i="18"/>
  <c r="BD15" i="18"/>
  <c r="T15" i="18"/>
  <c r="AB15" i="18"/>
  <c r="AN15" i="18"/>
  <c r="BG15" i="18"/>
  <c r="U15" i="18"/>
  <c r="AC15" i="18"/>
  <c r="AQ15" i="18"/>
  <c r="BI15" i="18"/>
  <c r="V15" i="18"/>
  <c r="AD15" i="18"/>
  <c r="AR15" i="18"/>
  <c r="BJ15" i="18"/>
  <c r="W15" i="18"/>
  <c r="AE15" i="18"/>
  <c r="AT15" i="18"/>
  <c r="BE33" i="18"/>
  <c r="AS33" i="18"/>
  <c r="AG33" i="18"/>
  <c r="Y33" i="18"/>
  <c r="BE31" i="18"/>
  <c r="AE27" i="18"/>
  <c r="AE23" i="18"/>
  <c r="AB21" i="18"/>
  <c r="AF19" i="18"/>
  <c r="Y17" i="18"/>
  <c r="X12" i="18"/>
  <c r="AH9" i="18"/>
  <c r="DD18" i="18"/>
  <c r="CV18" i="18"/>
  <c r="CN18" i="18"/>
  <c r="DB15" i="18"/>
  <c r="CO15" i="18"/>
  <c r="X30" i="18"/>
  <c r="AF30" i="18"/>
  <c r="AR30" i="18"/>
  <c r="BC30" i="18"/>
  <c r="Y30" i="18"/>
  <c r="AG30" i="18"/>
  <c r="AS30" i="18"/>
  <c r="BD30" i="18"/>
  <c r="Z30" i="18"/>
  <c r="AH30" i="18"/>
  <c r="AT30" i="18"/>
  <c r="BE30" i="18"/>
  <c r="AA30" i="18"/>
  <c r="AK30" i="18"/>
  <c r="AU30" i="18"/>
  <c r="BF30" i="18"/>
  <c r="T30" i="18"/>
  <c r="AB30" i="18"/>
  <c r="AL30" i="18"/>
  <c r="AV30" i="18"/>
  <c r="BH30" i="18"/>
  <c r="U30" i="18"/>
  <c r="AC30" i="18"/>
  <c r="AM30" i="18"/>
  <c r="AW30" i="18"/>
  <c r="BI30" i="18"/>
  <c r="V30" i="18"/>
  <c r="AD30" i="18"/>
  <c r="AN30" i="18"/>
  <c r="AX30" i="18"/>
  <c r="BJ30" i="18"/>
  <c r="W22" i="18"/>
  <c r="AE22" i="18"/>
  <c r="AS22" i="18"/>
  <c r="BE22" i="18"/>
  <c r="X22" i="18"/>
  <c r="AF22" i="18"/>
  <c r="AT22" i="18"/>
  <c r="BF22" i="18"/>
  <c r="Y22" i="18"/>
  <c r="AG22" i="18"/>
  <c r="AW22" i="18"/>
  <c r="BI22" i="18"/>
  <c r="Z22" i="18"/>
  <c r="AH22" i="18"/>
  <c r="AX22" i="18"/>
  <c r="BJ22" i="18"/>
  <c r="AA22" i="18"/>
  <c r="AK22" i="18"/>
  <c r="AZ22" i="18"/>
  <c r="T22" i="18"/>
  <c r="AB22" i="18"/>
  <c r="AM22" i="18"/>
  <c r="BA22" i="18"/>
  <c r="U22" i="18"/>
  <c r="AC22" i="18"/>
  <c r="AN22" i="18"/>
  <c r="BC22" i="18"/>
  <c r="T14" i="18"/>
  <c r="AB14" i="18"/>
  <c r="AL14" i="18"/>
  <c r="BF14" i="18"/>
  <c r="U14" i="18"/>
  <c r="AC14" i="18"/>
  <c r="AN14" i="18"/>
  <c r="BI14" i="18"/>
  <c r="V14" i="18"/>
  <c r="AD14" i="18"/>
  <c r="AS14" i="18"/>
  <c r="BJ14" i="18"/>
  <c r="W14" i="18"/>
  <c r="AE14" i="18"/>
  <c r="AT14" i="18"/>
  <c r="X14" i="18"/>
  <c r="AF14" i="18"/>
  <c r="AV14" i="18"/>
  <c r="Y14" i="18"/>
  <c r="AG14" i="18"/>
  <c r="AW14" i="18"/>
  <c r="Z14" i="18"/>
  <c r="AH14" i="18"/>
  <c r="AZ14" i="18"/>
  <c r="BD33" i="18"/>
  <c r="AR33" i="18"/>
  <c r="AF33" i="18"/>
  <c r="X33" i="18"/>
  <c r="AV31" i="18"/>
  <c r="W23" i="18"/>
  <c r="BE16" i="18"/>
  <c r="AK14" i="18"/>
  <c r="AT11" i="18"/>
  <c r="Z9" i="18"/>
  <c r="T18" i="18"/>
  <c r="DE18" i="18"/>
  <c r="Z13" i="18"/>
  <c r="AH13" i="18"/>
  <c r="AA13" i="18"/>
  <c r="AK13" i="18"/>
  <c r="T13" i="18"/>
  <c r="AB13" i="18"/>
  <c r="AN13" i="18"/>
  <c r="U13" i="18"/>
  <c r="AC13" i="18"/>
  <c r="AX13" i="18"/>
  <c r="V13" i="18"/>
  <c r="AD13" i="18"/>
  <c r="BC13" i="18"/>
  <c r="W13" i="18"/>
  <c r="AE13" i="18"/>
  <c r="BD13" i="18"/>
  <c r="X13" i="18"/>
  <c r="AF13" i="18"/>
  <c r="BI13" i="18"/>
  <c r="BC33" i="18"/>
  <c r="AP33" i="18"/>
  <c r="AE33" i="18"/>
  <c r="U33" i="18"/>
  <c r="AM31" i="18"/>
  <c r="BD24" i="18"/>
  <c r="BD18" i="18"/>
  <c r="AM16" i="18"/>
  <c r="AA14" i="18"/>
  <c r="AH11" i="18"/>
  <c r="CY18" i="18"/>
  <c r="CX18" i="18"/>
  <c r="U21" i="18"/>
  <c r="AC21" i="18"/>
  <c r="AM21" i="18"/>
  <c r="BD21" i="18"/>
  <c r="V21" i="18"/>
  <c r="AD21" i="18"/>
  <c r="AN21" i="18"/>
  <c r="BE21" i="18"/>
  <c r="W21" i="18"/>
  <c r="AE21" i="18"/>
  <c r="AS21" i="18"/>
  <c r="BF21" i="18"/>
  <c r="X21" i="18"/>
  <c r="AF21" i="18"/>
  <c r="AT21" i="18"/>
  <c r="BI21" i="18"/>
  <c r="Y21" i="18"/>
  <c r="AG21" i="18"/>
  <c r="AW21" i="18"/>
  <c r="BJ21" i="18"/>
  <c r="Z21" i="18"/>
  <c r="AH21" i="18"/>
  <c r="AX21" i="18"/>
  <c r="AA21" i="18"/>
  <c r="AK21" i="18"/>
  <c r="AZ21" i="18"/>
  <c r="DB18" i="18"/>
  <c r="CT18" i="18"/>
  <c r="CL18" i="18"/>
  <c r="CZ15" i="18"/>
  <c r="CL15" i="18"/>
  <c r="AA28" i="18"/>
  <c r="AK28" i="18"/>
  <c r="AV28" i="18"/>
  <c r="BH28" i="18"/>
  <c r="T28" i="18"/>
  <c r="AB28" i="18"/>
  <c r="AM28" i="18"/>
  <c r="AW28" i="18"/>
  <c r="BI28" i="18"/>
  <c r="U28" i="18"/>
  <c r="AC28" i="18"/>
  <c r="AN28" i="18"/>
  <c r="AX28" i="18"/>
  <c r="BJ28" i="18"/>
  <c r="V28" i="18"/>
  <c r="AD28" i="18"/>
  <c r="AP28" i="18"/>
  <c r="AZ28" i="18"/>
  <c r="W28" i="18"/>
  <c r="AE28" i="18"/>
  <c r="AR28" i="18"/>
  <c r="BC28" i="18"/>
  <c r="X28" i="18"/>
  <c r="AF28" i="18"/>
  <c r="AS28" i="18"/>
  <c r="BD28" i="18"/>
  <c r="Y28" i="18"/>
  <c r="AG28" i="18"/>
  <c r="AT28" i="18"/>
  <c r="BE28" i="18"/>
  <c r="W20" i="18"/>
  <c r="AE20" i="18"/>
  <c r="AS20" i="18"/>
  <c r="BC20" i="18"/>
  <c r="X20" i="18"/>
  <c r="AF20" i="18"/>
  <c r="AT20" i="18"/>
  <c r="BD20" i="18"/>
  <c r="Y20" i="18"/>
  <c r="AG20" i="18"/>
  <c r="AU20" i="18"/>
  <c r="BE20" i="18"/>
  <c r="Z20" i="18"/>
  <c r="AH20" i="18"/>
  <c r="AV20" i="18"/>
  <c r="BF20" i="18"/>
  <c r="AA20" i="18"/>
  <c r="AK20" i="18"/>
  <c r="AW20" i="18"/>
  <c r="BI20" i="18"/>
  <c r="T20" i="18"/>
  <c r="AB20" i="18"/>
  <c r="AL20" i="18"/>
  <c r="AX20" i="18"/>
  <c r="BJ20" i="18"/>
  <c r="U20" i="18"/>
  <c r="AC20" i="18"/>
  <c r="AM20" i="18"/>
  <c r="AZ20" i="18"/>
  <c r="BM20" i="18"/>
  <c r="BM12" i="18"/>
  <c r="Y12" i="18"/>
  <c r="AG12" i="18"/>
  <c r="BD12" i="18"/>
  <c r="Z12" i="18"/>
  <c r="AH12" i="18"/>
  <c r="BF12" i="18"/>
  <c r="BK12" i="18"/>
  <c r="AA12" i="18"/>
  <c r="AO12" i="18"/>
  <c r="T12" i="18"/>
  <c r="AB12" i="18"/>
  <c r="AP12" i="18"/>
  <c r="U12" i="18"/>
  <c r="AC12" i="18"/>
  <c r="AR12" i="18"/>
  <c r="V12" i="18"/>
  <c r="AD12" i="18"/>
  <c r="AS12" i="18"/>
  <c r="W12" i="18"/>
  <c r="AE12" i="18"/>
  <c r="AT12" i="18"/>
  <c r="AZ33" i="18"/>
  <c r="AO33" i="18"/>
  <c r="AD33" i="18"/>
  <c r="T33" i="18"/>
  <c r="AB31" i="18"/>
  <c r="AH28" i="18"/>
  <c r="AP24" i="18"/>
  <c r="AP22" i="18"/>
  <c r="AN20" i="18"/>
  <c r="AC16" i="18"/>
  <c r="BJ13" i="18"/>
  <c r="U18" i="18"/>
  <c r="AC18" i="18"/>
  <c r="AS18" i="18"/>
  <c r="BF18" i="18"/>
  <c r="V18" i="18"/>
  <c r="AD18" i="18"/>
  <c r="AT18" i="18"/>
  <c r="BI18" i="18"/>
  <c r="W18" i="18"/>
  <c r="AE18" i="18"/>
  <c r="AW18" i="18"/>
  <c r="BJ18" i="18"/>
  <c r="X18" i="18"/>
  <c r="AF18" i="18"/>
  <c r="AX18" i="18"/>
  <c r="Y18" i="18"/>
  <c r="AG18" i="18"/>
  <c r="AZ18" i="18"/>
  <c r="Z18" i="18"/>
  <c r="AH18" i="18"/>
  <c r="BA18" i="18"/>
  <c r="AA18" i="18"/>
  <c r="AK18" i="18"/>
  <c r="BC18" i="18"/>
  <c r="CQ18" i="18"/>
  <c r="DF18" i="18"/>
  <c r="CW18" i="18"/>
  <c r="CO18" i="18"/>
  <c r="DC18" i="18"/>
  <c r="CU18" i="18"/>
  <c r="CM18" i="18"/>
  <c r="Z29" i="18"/>
  <c r="BC29" i="18"/>
  <c r="DA18" i="18"/>
  <c r="CS18" i="18"/>
  <c r="CK18" i="18"/>
  <c r="CW15" i="18"/>
  <c r="CK15" i="18"/>
  <c r="X27" i="18"/>
  <c r="AF27" i="18"/>
  <c r="AQ27" i="18"/>
  <c r="AZ27" i="18"/>
  <c r="BM27" i="18"/>
  <c r="Y27" i="18"/>
  <c r="AG27" i="18"/>
  <c r="AR27" i="18"/>
  <c r="BB27" i="18"/>
  <c r="Z27" i="18"/>
  <c r="AH27" i="18"/>
  <c r="AS27" i="18"/>
  <c r="BC27" i="18"/>
  <c r="AA27" i="18"/>
  <c r="AK27" i="18"/>
  <c r="AT27" i="18"/>
  <c r="BD27" i="18"/>
  <c r="T27" i="18"/>
  <c r="AB27" i="18"/>
  <c r="AM27" i="18"/>
  <c r="AV27" i="18"/>
  <c r="BE27" i="18"/>
  <c r="U27" i="18"/>
  <c r="AC27" i="18"/>
  <c r="AN27" i="18"/>
  <c r="AW27" i="18"/>
  <c r="BF27" i="18"/>
  <c r="V27" i="18"/>
  <c r="AD27" i="18"/>
  <c r="AO27" i="18"/>
  <c r="AX27" i="18"/>
  <c r="BI27" i="18"/>
  <c r="Y19" i="18"/>
  <c r="AG19" i="18"/>
  <c r="AT19" i="18"/>
  <c r="BC19" i="18"/>
  <c r="Z19" i="18"/>
  <c r="AH19" i="18"/>
  <c r="AU19" i="18"/>
  <c r="BD19" i="18"/>
  <c r="AA19" i="18"/>
  <c r="AK19" i="18"/>
  <c r="AV19" i="18"/>
  <c r="BE19" i="18"/>
  <c r="T19" i="18"/>
  <c r="AB19" i="18"/>
  <c r="AM19" i="18"/>
  <c r="AW19" i="18"/>
  <c r="BI19" i="18"/>
  <c r="U19" i="18"/>
  <c r="AC19" i="18"/>
  <c r="AN19" i="18"/>
  <c r="AX19" i="18"/>
  <c r="BJ19" i="18"/>
  <c r="V19" i="18"/>
  <c r="AD19" i="18"/>
  <c r="AP19" i="18"/>
  <c r="AY19" i="18"/>
  <c r="W19" i="18"/>
  <c r="AE19" i="18"/>
  <c r="AQ19" i="18"/>
  <c r="AZ19" i="18"/>
  <c r="AA11" i="18"/>
  <c r="AL11" i="18"/>
  <c r="BD11" i="18"/>
  <c r="T11" i="18"/>
  <c r="AB11" i="18"/>
  <c r="AM11" i="18"/>
  <c r="BI11" i="18"/>
  <c r="U11" i="18"/>
  <c r="AC11" i="18"/>
  <c r="AN11" i="18"/>
  <c r="BJ11" i="18"/>
  <c r="V11" i="18"/>
  <c r="AD11" i="18"/>
  <c r="AP11" i="18"/>
  <c r="W11" i="18"/>
  <c r="AE11" i="18"/>
  <c r="AQ11" i="18"/>
  <c r="X11" i="18"/>
  <c r="AF11" i="18"/>
  <c r="AR11" i="18"/>
  <c r="Y11" i="18"/>
  <c r="AG11" i="18"/>
  <c r="AS11" i="18"/>
  <c r="AX33" i="18"/>
  <c r="AN33" i="18"/>
  <c r="AC33" i="18"/>
  <c r="BA32" i="18"/>
  <c r="T31" i="18"/>
  <c r="Z28" i="18"/>
  <c r="AD24" i="18"/>
  <c r="AD22" i="18"/>
  <c r="AD20" i="18"/>
  <c r="AB18" i="18"/>
  <c r="U16" i="18"/>
  <c r="AG13" i="18"/>
  <c r="AZ10" i="18"/>
  <c r="AQ10" i="18"/>
  <c r="AO9" i="18"/>
  <c r="AW15" i="18"/>
  <c r="BE12" i="18"/>
  <c r="AP9" i="18"/>
  <c r="AX9" i="18"/>
  <c r="BG11" i="18"/>
  <c r="AH8" i="18"/>
  <c r="AI18" i="18"/>
  <c r="AY10" i="18"/>
  <c r="BH14" i="18"/>
  <c r="AC8" i="18"/>
  <c r="AJ12" i="18"/>
  <c r="AR16" i="18"/>
  <c r="AZ8" i="18"/>
  <c r="AB8" i="18"/>
  <c r="AK10" i="18"/>
  <c r="AS9" i="18"/>
  <c r="BA11" i="18"/>
  <c r="BJ12" i="18"/>
  <c r="Z8" i="18"/>
  <c r="AL17" i="18"/>
  <c r="AT8" i="18"/>
  <c r="BB8" i="18"/>
  <c r="U8" i="18"/>
  <c r="AM9" i="18"/>
  <c r="AU15" i="18"/>
  <c r="BC9" i="18"/>
  <c r="BC8" i="18"/>
  <c r="T8" i="18"/>
  <c r="AN9" i="18"/>
  <c r="AV18" i="18"/>
  <c r="BD16" i="18"/>
  <c r="BM17" i="18"/>
  <c r="AM34" i="18"/>
  <c r="BJ34" i="18"/>
  <c r="AJ34" i="18"/>
  <c r="BF34" i="18"/>
  <c r="AS34" i="18"/>
  <c r="AH34" i="18"/>
  <c r="Z34" i="18"/>
  <c r="V34" i="18"/>
  <c r="BH34" i="18"/>
  <c r="AA34" i="18"/>
  <c r="BE34" i="18"/>
  <c r="AR34" i="18"/>
  <c r="AG34" i="18"/>
  <c r="Y34" i="18"/>
  <c r="AD34" i="18"/>
  <c r="AT34" i="18"/>
  <c r="BD34" i="18"/>
  <c r="AP34" i="18"/>
  <c r="AF34" i="18"/>
  <c r="X34" i="18"/>
  <c r="BC34" i="18"/>
  <c r="AN34" i="18"/>
  <c r="AE34" i="18"/>
  <c r="W34" i="18"/>
  <c r="AZ34" i="18"/>
  <c r="AX34" i="18"/>
  <c r="AL34" i="18"/>
  <c r="AC34" i="18"/>
  <c r="U34" i="18"/>
  <c r="BI34" i="18"/>
  <c r="AW34" i="18"/>
  <c r="AK34" i="18"/>
  <c r="AB34" i="18"/>
  <c r="AP29" i="18"/>
  <c r="AG29" i="18"/>
  <c r="AF29" i="18"/>
  <c r="Y29" i="18"/>
  <c r="X29" i="18"/>
  <c r="AZ29" i="18"/>
  <c r="AR29" i="18"/>
  <c r="BM29" i="18"/>
  <c r="W29" i="18"/>
  <c r="BJ29" i="18"/>
  <c r="AW29" i="18"/>
  <c r="AN29" i="18"/>
  <c r="AD29" i="18"/>
  <c r="V29" i="18"/>
  <c r="AE29" i="18"/>
  <c r="BI29" i="18"/>
  <c r="AV29" i="18"/>
  <c r="AM29" i="18"/>
  <c r="AC29" i="18"/>
  <c r="U29" i="18"/>
  <c r="AO29" i="18"/>
  <c r="BF29" i="18"/>
  <c r="AU29" i="18"/>
  <c r="AL29" i="18"/>
  <c r="AB29" i="18"/>
  <c r="T29" i="18"/>
  <c r="AX29" i="18"/>
  <c r="BE29" i="18"/>
  <c r="AT29" i="18"/>
  <c r="AK29" i="18"/>
  <c r="AA29" i="18"/>
  <c r="BD29" i="18"/>
  <c r="AS29" i="18"/>
  <c r="AH29" i="18"/>
  <c r="AP25" i="18"/>
  <c r="AG25" i="18"/>
  <c r="Y25" i="18"/>
  <c r="BC25" i="18"/>
  <c r="BC26" i="18"/>
  <c r="AV26" i="18"/>
  <c r="AR26" i="18"/>
  <c r="AK26" i="18"/>
  <c r="AG26" i="18"/>
  <c r="BF26" i="18"/>
  <c r="AA26" i="18"/>
  <c r="AS26" i="18"/>
  <c r="BD26" i="18"/>
  <c r="Y26" i="18"/>
  <c r="BE26" i="18"/>
  <c r="AT26" i="18"/>
  <c r="AH26" i="18"/>
  <c r="Z26" i="18"/>
  <c r="X26" i="18"/>
  <c r="BB26" i="18"/>
  <c r="AP26" i="18"/>
  <c r="AE26" i="18"/>
  <c r="W26" i="18"/>
  <c r="AF26" i="18"/>
  <c r="BJ26" i="18"/>
  <c r="AZ26" i="18"/>
  <c r="AO26" i="18"/>
  <c r="AD26" i="18"/>
  <c r="V26" i="18"/>
  <c r="BI26" i="18"/>
  <c r="AX26" i="18"/>
  <c r="AN26" i="18"/>
  <c r="AC26" i="18"/>
  <c r="U26" i="18"/>
  <c r="BH26" i="18"/>
  <c r="AW26" i="18"/>
  <c r="AM26" i="18"/>
  <c r="AB26" i="18"/>
  <c r="BI25" i="18"/>
  <c r="AV25" i="18"/>
  <c r="AL25" i="18"/>
  <c r="AC25" i="18"/>
  <c r="U25" i="18"/>
  <c r="AZ25" i="18"/>
  <c r="X25" i="18"/>
  <c r="BJ25" i="18"/>
  <c r="AW25" i="18"/>
  <c r="AM25" i="18"/>
  <c r="AD25" i="18"/>
  <c r="V25" i="18"/>
  <c r="BF25" i="18"/>
  <c r="AK25" i="18"/>
  <c r="T25" i="18"/>
  <c r="BE25" i="18"/>
  <c r="AS25" i="18"/>
  <c r="AJ25" i="18"/>
  <c r="AA25" i="18"/>
  <c r="AT25" i="18"/>
  <c r="AB25" i="18"/>
  <c r="BD25" i="18"/>
  <c r="AR25" i="18"/>
  <c r="AH25" i="18"/>
  <c r="Z25" i="18"/>
  <c r="AO25" i="18"/>
  <c r="AF25" i="18"/>
  <c r="BM25" i="18"/>
  <c r="AX25" i="18"/>
  <c r="AN25" i="18"/>
  <c r="AE25" i="18"/>
  <c r="BM33" i="18"/>
  <c r="BM18" i="18"/>
  <c r="BM32" i="18"/>
  <c r="BM14" i="18"/>
  <c r="BM30" i="18"/>
  <c r="BM28" i="18"/>
  <c r="BM26" i="18"/>
  <c r="BM24" i="18"/>
  <c r="BM23" i="18"/>
  <c r="BM11" i="18"/>
  <c r="BM34" i="18"/>
  <c r="BM22" i="18"/>
  <c r="BM21" i="18"/>
  <c r="BJ10" i="18"/>
  <c r="BH31" i="18"/>
  <c r="BH23" i="18"/>
  <c r="BH18" i="18"/>
  <c r="BH15" i="18"/>
  <c r="BH33" i="18"/>
  <c r="BH27" i="18"/>
  <c r="BH13" i="18"/>
  <c r="BH11" i="18"/>
  <c r="BH25" i="18"/>
  <c r="BH21" i="18"/>
  <c r="BH16" i="18"/>
  <c r="BH19" i="18"/>
  <c r="BF19" i="18"/>
  <c r="BF15" i="18"/>
  <c r="BF16" i="18"/>
  <c r="BF13" i="18"/>
  <c r="BF11" i="18"/>
  <c r="BM19" i="18"/>
  <c r="BM15" i="18"/>
  <c r="BM16" i="18"/>
  <c r="BM10" i="18"/>
  <c r="BM13" i="18"/>
  <c r="BL34" i="18"/>
  <c r="BL32" i="18"/>
  <c r="BL13" i="18"/>
  <c r="BL29" i="18"/>
  <c r="BL26" i="18"/>
  <c r="BL22" i="18"/>
  <c r="BL20" i="18"/>
  <c r="BL17" i="18"/>
  <c r="BL16" i="18"/>
  <c r="BL15" i="18"/>
  <c r="BL14" i="18"/>
  <c r="BL33" i="18"/>
  <c r="BL30" i="18"/>
  <c r="BL24" i="18"/>
  <c r="BL18" i="18"/>
  <c r="BL11" i="18"/>
  <c r="BL21" i="18"/>
  <c r="BL10" i="18"/>
  <c r="BL31" i="18"/>
  <c r="BL23" i="18"/>
  <c r="BL8" i="18"/>
  <c r="BL27" i="18"/>
  <c r="BL12" i="18"/>
  <c r="BL28" i="18"/>
  <c r="BL25" i="18"/>
  <c r="BL19" i="18"/>
  <c r="BK20" i="18"/>
  <c r="BK32" i="18"/>
  <c r="BK10" i="18"/>
  <c r="BK11" i="18"/>
  <c r="BK28" i="18"/>
  <c r="BK18" i="18"/>
  <c r="BK17" i="18"/>
  <c r="BK33" i="18"/>
  <c r="BK22" i="18"/>
  <c r="BK13" i="18"/>
  <c r="BK29" i="18"/>
  <c r="BK24" i="18"/>
  <c r="BK15" i="18"/>
  <c r="BK14" i="18"/>
  <c r="BK27" i="18"/>
  <c r="BK19" i="18"/>
  <c r="BK16" i="18"/>
  <c r="BK25" i="18"/>
  <c r="BK21" i="18"/>
  <c r="BK9" i="18"/>
  <c r="BK8" i="18"/>
  <c r="BK26" i="18"/>
  <c r="BK34" i="18"/>
  <c r="BK31" i="18"/>
  <c r="BK30" i="18"/>
  <c r="BK23" i="18"/>
  <c r="BI12" i="18"/>
  <c r="BI9" i="18"/>
  <c r="BI8" i="18"/>
  <c r="BH20" i="18"/>
  <c r="BH12" i="18"/>
  <c r="BH29" i="18"/>
  <c r="BH24" i="18"/>
  <c r="BH22" i="18"/>
  <c r="BH9" i="18"/>
  <c r="BG31" i="18"/>
  <c r="BG27" i="18"/>
  <c r="BG23" i="18"/>
  <c r="BG19" i="18"/>
  <c r="BG10" i="18"/>
  <c r="BE15" i="18"/>
  <c r="BE14" i="18"/>
  <c r="BE13" i="18"/>
  <c r="BE11" i="18"/>
  <c r="BE10" i="18"/>
  <c r="BE9" i="18"/>
  <c r="BE18" i="18"/>
  <c r="BD10" i="18"/>
  <c r="BC12" i="18"/>
  <c r="BC11" i="18"/>
  <c r="BC10" i="18"/>
  <c r="BC14" i="18"/>
  <c r="BB31" i="18"/>
  <c r="BB29" i="18"/>
  <c r="BB28" i="18"/>
  <c r="BB22" i="18"/>
  <c r="BB17" i="18"/>
  <c r="BB30" i="18"/>
  <c r="BB13" i="18"/>
  <c r="BB10" i="18"/>
  <c r="BB20" i="18"/>
  <c r="BB11" i="18"/>
  <c r="BB16" i="18"/>
  <c r="BB34" i="18"/>
  <c r="BB21" i="18"/>
  <c r="BB9" i="18"/>
  <c r="BB14" i="18"/>
  <c r="BB33" i="18"/>
  <c r="BB25" i="18"/>
  <c r="BB24" i="18"/>
  <c r="BB32" i="18"/>
  <c r="BB23" i="18"/>
  <c r="BB19" i="18"/>
  <c r="BB18" i="18"/>
  <c r="BB15" i="18"/>
  <c r="BB12" i="18"/>
  <c r="BA33" i="18"/>
  <c r="BA30" i="18"/>
  <c r="BA29" i="18"/>
  <c r="BA23" i="18"/>
  <c r="BA17" i="18"/>
  <c r="BA15" i="18"/>
  <c r="BA10" i="18"/>
  <c r="BA34" i="18"/>
  <c r="BA28" i="18"/>
  <c r="BA27" i="18"/>
  <c r="BA25" i="18"/>
  <c r="BA26" i="18"/>
  <c r="BA24" i="18"/>
  <c r="BA14" i="18"/>
  <c r="BA21" i="18"/>
  <c r="BA16" i="18"/>
  <c r="BA12" i="18"/>
  <c r="BA13" i="18"/>
  <c r="AZ12" i="18"/>
  <c r="AZ13" i="18"/>
  <c r="AZ11" i="18"/>
  <c r="AZ9" i="18"/>
  <c r="AY15" i="18"/>
  <c r="AY11" i="18"/>
  <c r="AX11" i="18"/>
  <c r="AX14" i="18"/>
  <c r="AW11" i="18"/>
  <c r="AW9" i="18"/>
  <c r="AW13" i="18"/>
  <c r="AW12" i="18"/>
  <c r="AV21" i="18"/>
  <c r="AV10" i="18"/>
  <c r="AV11" i="18"/>
  <c r="AV17" i="18"/>
  <c r="AV34" i="18"/>
  <c r="AV33" i="18"/>
  <c r="AV32" i="18"/>
  <c r="AV15" i="18"/>
  <c r="AV13" i="18"/>
  <c r="AV22" i="18"/>
  <c r="AV16" i="18"/>
  <c r="AV12" i="18"/>
  <c r="AU27" i="18"/>
  <c r="AU21" i="18"/>
  <c r="AU11" i="18"/>
  <c r="AU10" i="18"/>
  <c r="AU26" i="18"/>
  <c r="AU25" i="18"/>
  <c r="AU17" i="18"/>
  <c r="AU12" i="18"/>
  <c r="AU13" i="18"/>
  <c r="AU22" i="18"/>
  <c r="AU14" i="18"/>
  <c r="AU34" i="18"/>
  <c r="AU24" i="18"/>
  <c r="AU23" i="18"/>
  <c r="AU18" i="18"/>
  <c r="AT13" i="18"/>
  <c r="AT9" i="18"/>
  <c r="AS16" i="18"/>
  <c r="AS15" i="18"/>
  <c r="AS17" i="18"/>
  <c r="AS13" i="18"/>
  <c r="AR20" i="18"/>
  <c r="AR24" i="18"/>
  <c r="AR21" i="18"/>
  <c r="AR19" i="18"/>
  <c r="AR18" i="18"/>
  <c r="AR13" i="18"/>
  <c r="AR23" i="18"/>
  <c r="AR22" i="18"/>
  <c r="AR14" i="18"/>
  <c r="AR9" i="18"/>
  <c r="AP16" i="18"/>
  <c r="AP13" i="18"/>
  <c r="AP21" i="18"/>
  <c r="AP20" i="18"/>
  <c r="AP17" i="18"/>
  <c r="AP14" i="18"/>
  <c r="AP18" i="18"/>
  <c r="AP15" i="18"/>
  <c r="AO11" i="18"/>
  <c r="AO24" i="18"/>
  <c r="AO19" i="18"/>
  <c r="AO18" i="18"/>
  <c r="AO14" i="18"/>
  <c r="AO13" i="18"/>
  <c r="AO10" i="18"/>
  <c r="AO31" i="18"/>
  <c r="AO30" i="18"/>
  <c r="AO15" i="18"/>
  <c r="AO28" i="18"/>
  <c r="AO23" i="18"/>
  <c r="AO22" i="18"/>
  <c r="AO21" i="18"/>
  <c r="AO34" i="18"/>
  <c r="AO20" i="18"/>
  <c r="AN18" i="18"/>
  <c r="AN17" i="18"/>
  <c r="AN16" i="18"/>
  <c r="AN12" i="18"/>
  <c r="AM15" i="18"/>
  <c r="AM14" i="18"/>
  <c r="AM13" i="18"/>
  <c r="AM12" i="18"/>
  <c r="AM10" i="18"/>
  <c r="AL33" i="18"/>
  <c r="AL28" i="18"/>
  <c r="AL24" i="18"/>
  <c r="AL32" i="18"/>
  <c r="AL19" i="18"/>
  <c r="AL13" i="18"/>
  <c r="AL27" i="18"/>
  <c r="AL23" i="18"/>
  <c r="AL18" i="18"/>
  <c r="AL12" i="18"/>
  <c r="AL31" i="18"/>
  <c r="AL26" i="18"/>
  <c r="AL22" i="18"/>
  <c r="AK16" i="18"/>
  <c r="AK12" i="18"/>
  <c r="AK8" i="18"/>
  <c r="AK11" i="18"/>
  <c r="AK15" i="18"/>
  <c r="AJ33" i="18"/>
  <c r="AJ24" i="18"/>
  <c r="AJ19" i="18"/>
  <c r="AJ22" i="18"/>
  <c r="AJ30" i="18"/>
  <c r="AJ21" i="18"/>
  <c r="AJ31" i="18"/>
  <c r="AJ32" i="18"/>
  <c r="AJ27" i="18"/>
  <c r="AJ18" i="18"/>
  <c r="AJ15" i="18"/>
  <c r="AJ26" i="18"/>
  <c r="AJ17" i="18"/>
  <c r="AJ29" i="18"/>
  <c r="AJ20" i="18"/>
  <c r="AJ28" i="18"/>
  <c r="AJ23" i="18"/>
  <c r="AJ14" i="18"/>
  <c r="AJ8" i="18"/>
  <c r="AJ11" i="18"/>
  <c r="AJ13" i="18"/>
  <c r="AJ10" i="18"/>
  <c r="AI19" i="18"/>
  <c r="AI21" i="18"/>
  <c r="AI23" i="18"/>
  <c r="AI13" i="18"/>
  <c r="AI29" i="18"/>
  <c r="AI33" i="18"/>
  <c r="AI27" i="18"/>
  <c r="AI20" i="18"/>
  <c r="AI31" i="18"/>
  <c r="AI24" i="18"/>
  <c r="AI28" i="18"/>
  <c r="AI22" i="18"/>
  <c r="AI15" i="18"/>
  <c r="AI12" i="18"/>
  <c r="AI34" i="18"/>
  <c r="AI26" i="18"/>
  <c r="AI25" i="18"/>
  <c r="AI32" i="18"/>
  <c r="AI30" i="18"/>
  <c r="AI9" i="18"/>
  <c r="AI17" i="18"/>
  <c r="AI11" i="18"/>
  <c r="AI16" i="18"/>
  <c r="AI10" i="18"/>
  <c r="AI14" i="18"/>
  <c r="BJ8" i="18"/>
  <c r="BA8" i="18"/>
  <c r="AR8" i="18"/>
  <c r="AI8" i="18"/>
  <c r="AA8" i="18"/>
  <c r="BH8" i="18"/>
  <c r="AX8" i="18"/>
  <c r="AO8" i="18"/>
  <c r="AG8" i="18"/>
  <c r="Y8" i="18"/>
  <c r="BF8" i="18"/>
  <c r="AW8" i="18"/>
  <c r="AN8" i="18"/>
  <c r="AF8" i="18"/>
  <c r="X8" i="18"/>
  <c r="BE8" i="18"/>
  <c r="AV8" i="18"/>
  <c r="AM8" i="18"/>
  <c r="AE8" i="18"/>
  <c r="W8" i="18"/>
  <c r="BM8" i="18"/>
  <c r="BD8" i="18"/>
  <c r="AU8" i="18"/>
  <c r="AL8" i="18"/>
  <c r="AD8" i="18"/>
  <c r="BG32" i="18"/>
  <c r="AY32" i="18"/>
  <c r="AQ32" i="18"/>
  <c r="BG28" i="18"/>
  <c r="AY28" i="18"/>
  <c r="AQ28" i="18"/>
  <c r="BG24" i="18"/>
  <c r="AY24" i="18"/>
  <c r="AQ24" i="18"/>
  <c r="BG20" i="18"/>
  <c r="AY20" i="18"/>
  <c r="AQ20" i="18"/>
  <c r="BG16" i="18"/>
  <c r="AY16" i="18"/>
  <c r="AQ16" i="18"/>
  <c r="BG12" i="18"/>
  <c r="AY12" i="18"/>
  <c r="AQ12" i="18"/>
  <c r="BG8" i="18"/>
  <c r="AY8" i="18"/>
  <c r="AQ8" i="18"/>
  <c r="BG33" i="18"/>
  <c r="AY33" i="18"/>
  <c r="AQ33" i="18"/>
  <c r="BG29" i="18"/>
  <c r="AY29" i="18"/>
  <c r="AQ29" i="18"/>
  <c r="BG25" i="18"/>
  <c r="AY25" i="18"/>
  <c r="AQ25" i="18"/>
  <c r="BG21" i="18"/>
  <c r="AY21" i="18"/>
  <c r="AQ21" i="18"/>
  <c r="BG17" i="18"/>
  <c r="AY17" i="18"/>
  <c r="AQ17" i="18"/>
  <c r="BG13" i="18"/>
  <c r="AY13" i="18"/>
  <c r="AQ13" i="18"/>
  <c r="BG9" i="18"/>
  <c r="AY9" i="18"/>
  <c r="AQ9" i="18"/>
  <c r="BG34" i="18"/>
  <c r="AY34" i="18"/>
  <c r="AQ34" i="18"/>
  <c r="BG30" i="18"/>
  <c r="AY30" i="18"/>
  <c r="AQ30" i="18"/>
  <c r="BG26" i="18"/>
  <c r="AY26" i="18"/>
  <c r="AQ26" i="18"/>
  <c r="BG22" i="18"/>
  <c r="AY22" i="18"/>
  <c r="AQ22" i="18"/>
  <c r="BG18" i="18"/>
  <c r="AY18" i="18"/>
  <c r="AQ18" i="18"/>
  <c r="BG14" i="18"/>
  <c r="AY14" i="18"/>
  <c r="AQ14" i="18"/>
  <c r="H34" i="20"/>
  <c r="G34" i="20"/>
  <c r="F34" i="20"/>
  <c r="J12" i="20"/>
  <c r="DG15" i="18"/>
  <c r="CY15" i="18"/>
  <c r="CQ15" i="18"/>
  <c r="DF15" i="18"/>
  <c r="CX15" i="18"/>
  <c r="CP15" i="18"/>
  <c r="DD15" i="18"/>
  <c r="CV15" i="18"/>
  <c r="CN15" i="18"/>
  <c r="CN11" i="18"/>
  <c r="DC11" i="18"/>
  <c r="CU11" i="18"/>
  <c r="CM11" i="18"/>
  <c r="DD11" i="18"/>
  <c r="CV11" i="18"/>
  <c r="DB11" i="18"/>
  <c r="CT11" i="18"/>
  <c r="CL11" i="18"/>
  <c r="CK11" i="18"/>
  <c r="DE11" i="18"/>
  <c r="CW11" i="18"/>
  <c r="DA11" i="18"/>
  <c r="CS11" i="18"/>
  <c r="DH11" i="18"/>
  <c r="CZ11" i="18"/>
  <c r="CR11" i="18"/>
  <c r="DG11" i="18"/>
  <c r="CY11" i="18"/>
  <c r="CQ11" i="18"/>
  <c r="DF11" i="18"/>
  <c r="CX11" i="18"/>
  <c r="CP11" i="18"/>
  <c r="CO11" i="18"/>
  <c r="DB9" i="18"/>
  <c r="CT9" i="18"/>
  <c r="CL9" i="18"/>
  <c r="DA9" i="18"/>
  <c r="CS9" i="18"/>
  <c r="CK9" i="18"/>
  <c r="DH9" i="18"/>
  <c r="CR9" i="18"/>
  <c r="DF9" i="18"/>
  <c r="CX9" i="18"/>
  <c r="CW9" i="18"/>
  <c r="DD9" i="18"/>
  <c r="CV9" i="18"/>
  <c r="CN9" i="18"/>
  <c r="CP9" i="18"/>
  <c r="DE9" i="18"/>
  <c r="CO9" i="18"/>
  <c r="DC9" i="18"/>
  <c r="CU9" i="18"/>
  <c r="CM9" i="18"/>
  <c r="CZ9" i="18"/>
  <c r="DG9" i="18"/>
  <c r="CY9" i="18"/>
  <c r="CQ9" i="18"/>
  <c r="DE22" i="18"/>
  <c r="DD22" i="18"/>
  <c r="CV22" i="18"/>
  <c r="CN22" i="18"/>
  <c r="DC22" i="18"/>
  <c r="CU22" i="18"/>
  <c r="CM22" i="18"/>
  <c r="CW22" i="18"/>
  <c r="DB22" i="18"/>
  <c r="CT22" i="18"/>
  <c r="CL22" i="18"/>
  <c r="CO22" i="18"/>
  <c r="DA22" i="18"/>
  <c r="CS22" i="18"/>
  <c r="CK22" i="18"/>
  <c r="DH22" i="18"/>
  <c r="CR22" i="18"/>
  <c r="DG22" i="18"/>
  <c r="CY22" i="18"/>
  <c r="CQ22" i="18"/>
  <c r="CZ22" i="18"/>
  <c r="DF22" i="18"/>
  <c r="CX22" i="18"/>
  <c r="CP22" i="18"/>
  <c r="CY20" i="18"/>
  <c r="CQ20" i="18"/>
  <c r="DG20" i="18"/>
  <c r="DF20" i="18"/>
  <c r="CX20" i="18"/>
  <c r="CP20" i="18"/>
  <c r="CO20" i="18"/>
  <c r="CV20" i="18"/>
  <c r="CN20" i="18"/>
  <c r="CW20" i="18"/>
  <c r="CU20" i="18"/>
  <c r="CM20" i="18"/>
  <c r="DE20" i="18"/>
  <c r="DC20" i="18"/>
  <c r="DB20" i="18"/>
  <c r="CT20" i="18"/>
  <c r="CL20" i="18"/>
  <c r="DD20" i="18"/>
  <c r="DA20" i="18"/>
  <c r="CS20" i="18"/>
  <c r="CK20" i="18"/>
  <c r="DH20" i="18"/>
  <c r="CZ20" i="18"/>
  <c r="CR20" i="18"/>
  <c r="CN21" i="18"/>
  <c r="DC21" i="18"/>
  <c r="CU21" i="18"/>
  <c r="CM21" i="18"/>
  <c r="DB21" i="18"/>
  <c r="CT21" i="18"/>
  <c r="CL21" i="18"/>
  <c r="CV21" i="18"/>
  <c r="DA21" i="18"/>
  <c r="CS21" i="18"/>
  <c r="CK21" i="18"/>
  <c r="DD21" i="18"/>
  <c r="DH21" i="18"/>
  <c r="CZ21" i="18"/>
  <c r="CR21" i="18"/>
  <c r="DG21" i="18"/>
  <c r="CY21" i="18"/>
  <c r="CQ21" i="18"/>
  <c r="DF21" i="18"/>
  <c r="CX21" i="18"/>
  <c r="CP21" i="18"/>
  <c r="DE21" i="18"/>
  <c r="CW21" i="18"/>
  <c r="CO21" i="18"/>
  <c r="DF10" i="18"/>
  <c r="CX10" i="18"/>
  <c r="CP10" i="18"/>
  <c r="DE10" i="18"/>
  <c r="CW10" i="18"/>
  <c r="CO10" i="18"/>
  <c r="DD10" i="18"/>
  <c r="CU10" i="18"/>
  <c r="DB10" i="18"/>
  <c r="CT10" i="18"/>
  <c r="CL10" i="18"/>
  <c r="CN10" i="18"/>
  <c r="CM10" i="18"/>
  <c r="DA10" i="18"/>
  <c r="CS10" i="18"/>
  <c r="CK10" i="18"/>
  <c r="CV10" i="18"/>
  <c r="DC10" i="18"/>
  <c r="DH10" i="18"/>
  <c r="CZ10" i="18"/>
  <c r="CR10" i="18"/>
  <c r="DG10" i="18"/>
  <c r="CY10" i="18"/>
  <c r="CQ10" i="18"/>
  <c r="CM17" i="18"/>
  <c r="CT17" i="18"/>
  <c r="CL17" i="18"/>
  <c r="DA17" i="18"/>
  <c r="CS17" i="18"/>
  <c r="CK17" i="18"/>
  <c r="DC17" i="18"/>
  <c r="CR17" i="18"/>
  <c r="DG17" i="18"/>
  <c r="CY17" i="18"/>
  <c r="CQ17" i="18"/>
  <c r="DB17" i="18"/>
  <c r="DH17" i="18"/>
  <c r="DF17" i="18"/>
  <c r="CX17" i="18"/>
  <c r="CP17" i="18"/>
  <c r="CU17" i="18"/>
  <c r="CZ17" i="18"/>
  <c r="DE17" i="18"/>
  <c r="CW17" i="18"/>
  <c r="CO17" i="18"/>
  <c r="DD17" i="18"/>
  <c r="CV17" i="18"/>
  <c r="CN17" i="18"/>
  <c r="CM16" i="18"/>
  <c r="DB16" i="18"/>
  <c r="CT16" i="18"/>
  <c r="CL16" i="18"/>
  <c r="DA16" i="18"/>
  <c r="CS16" i="18"/>
  <c r="CK16" i="18"/>
  <c r="DH16" i="18"/>
  <c r="CZ16" i="18"/>
  <c r="CR16" i="18"/>
  <c r="DC16" i="18"/>
  <c r="DG16" i="18"/>
  <c r="CY16" i="18"/>
  <c r="CQ16" i="18"/>
  <c r="CU16" i="18"/>
  <c r="DF16" i="18"/>
  <c r="CX16" i="18"/>
  <c r="CP16" i="18"/>
  <c r="DE16" i="18"/>
  <c r="CW16" i="18"/>
  <c r="CO16" i="18"/>
  <c r="DD16" i="18"/>
  <c r="CV16" i="18"/>
  <c r="CN16" i="18"/>
  <c r="DA8" i="18"/>
  <c r="CS8" i="18"/>
  <c r="CK8" i="18"/>
  <c r="DH8" i="18"/>
  <c r="CZ8" i="18"/>
  <c r="CR8" i="18"/>
  <c r="CL8" i="18"/>
  <c r="DG8" i="18"/>
  <c r="CY8" i="18"/>
  <c r="CQ8" i="18"/>
  <c r="DF8" i="18"/>
  <c r="CX8" i="18"/>
  <c r="CP8" i="18"/>
  <c r="DE8" i="18"/>
  <c r="CW8" i="18"/>
  <c r="CO8" i="18"/>
  <c r="DB8" i="18"/>
  <c r="DD8" i="18"/>
  <c r="CV8" i="18"/>
  <c r="CN8" i="18"/>
  <c r="CT8" i="18"/>
  <c r="DC8" i="18"/>
  <c r="CU8" i="18"/>
  <c r="CM8" i="18"/>
  <c r="DE23" i="18"/>
  <c r="DD23" i="18"/>
  <c r="CV23" i="18"/>
  <c r="CN23" i="18"/>
  <c r="DC23" i="18"/>
  <c r="CU23" i="18"/>
  <c r="CM23" i="18"/>
  <c r="DB23" i="18"/>
  <c r="CT23" i="18"/>
  <c r="CL23" i="18"/>
  <c r="CW23" i="18"/>
  <c r="DA23" i="18"/>
  <c r="CS23" i="18"/>
  <c r="CK23" i="18"/>
  <c r="CO23" i="18"/>
  <c r="DH23" i="18"/>
  <c r="CZ23" i="18"/>
  <c r="CR23" i="18"/>
  <c r="DG23" i="18"/>
  <c r="CY23" i="18"/>
  <c r="CQ23" i="18"/>
  <c r="DF23" i="18"/>
  <c r="CX23" i="18"/>
  <c r="CP23" i="18"/>
  <c r="DF12" i="18"/>
  <c r="CX12" i="18"/>
  <c r="CP12" i="18"/>
  <c r="DE12" i="18"/>
  <c r="CW12" i="18"/>
  <c r="CO12" i="18"/>
  <c r="DC12" i="18"/>
  <c r="CU12" i="18"/>
  <c r="CM12" i="18"/>
  <c r="CV12" i="18"/>
  <c r="DB12" i="18"/>
  <c r="CT12" i="18"/>
  <c r="CL12" i="18"/>
  <c r="CN12" i="18"/>
  <c r="DA12" i="18"/>
  <c r="CS12" i="18"/>
  <c r="CK12" i="18"/>
  <c r="DH12" i="18"/>
  <c r="CZ12" i="18"/>
  <c r="CR12" i="18"/>
  <c r="DD12" i="18"/>
  <c r="DG12" i="18"/>
  <c r="CY12" i="18"/>
  <c r="CQ12" i="18"/>
  <c r="DB27" i="18"/>
  <c r="CT27" i="18"/>
  <c r="CL27" i="18"/>
  <c r="CU27" i="18"/>
  <c r="DA27" i="18"/>
  <c r="CS27" i="18"/>
  <c r="CK27" i="18"/>
  <c r="CM27" i="18"/>
  <c r="DH27" i="18"/>
  <c r="CZ27" i="18"/>
  <c r="CR27" i="18"/>
  <c r="DC27" i="18"/>
  <c r="DG27" i="18"/>
  <c r="CY27" i="18"/>
  <c r="CQ27" i="18"/>
  <c r="CP27" i="18"/>
  <c r="CO27" i="18"/>
  <c r="DF27" i="18"/>
  <c r="CX27" i="18"/>
  <c r="DE27" i="18"/>
  <c r="CW27" i="18"/>
  <c r="DD27" i="18"/>
  <c r="CV27" i="18"/>
  <c r="CN27" i="18"/>
  <c r="DB31" i="18"/>
  <c r="DA31" i="18"/>
  <c r="CS31" i="18"/>
  <c r="CK31" i="18"/>
  <c r="DH31" i="18"/>
  <c r="CZ31" i="18"/>
  <c r="CR31" i="18"/>
  <c r="DG31" i="18"/>
  <c r="CY31" i="18"/>
  <c r="CQ31" i="18"/>
  <c r="DF31" i="18"/>
  <c r="CX31" i="18"/>
  <c r="CP31" i="18"/>
  <c r="DE31" i="18"/>
  <c r="CW31" i="18"/>
  <c r="CO31" i="18"/>
  <c r="CT31" i="18"/>
  <c r="DD31" i="18"/>
  <c r="CV31" i="18"/>
  <c r="CN31" i="18"/>
  <c r="CL31" i="18"/>
  <c r="DC31" i="18"/>
  <c r="CU31" i="18"/>
  <c r="CM31" i="18"/>
  <c r="CU14" i="18"/>
  <c r="CL14" i="18"/>
  <c r="DA14" i="18"/>
  <c r="CS14" i="18"/>
  <c r="CK14" i="18"/>
  <c r="DH14" i="18"/>
  <c r="CZ14" i="18"/>
  <c r="CR14" i="18"/>
  <c r="DG14" i="18"/>
  <c r="CY14" i="18"/>
  <c r="CQ14" i="18"/>
  <c r="DC14" i="18"/>
  <c r="DF14" i="18"/>
  <c r="CX14" i="18"/>
  <c r="CP14" i="18"/>
  <c r="CT14" i="18"/>
  <c r="DE14" i="18"/>
  <c r="CW14" i="18"/>
  <c r="CO14" i="18"/>
  <c r="CM14" i="18"/>
  <c r="DB14" i="18"/>
  <c r="DD14" i="18"/>
  <c r="CV14" i="18"/>
  <c r="CN14" i="18"/>
  <c r="CZ28" i="18"/>
  <c r="CT28" i="18"/>
  <c r="CR28" i="18"/>
  <c r="DG28" i="18"/>
  <c r="CY28" i="18"/>
  <c r="CQ28" i="18"/>
  <c r="CS28" i="18"/>
  <c r="DH28" i="18"/>
  <c r="DF28" i="18"/>
  <c r="CX28" i="18"/>
  <c r="CP28" i="18"/>
  <c r="CL28" i="18"/>
  <c r="DA28" i="18"/>
  <c r="DE28" i="18"/>
  <c r="CW28" i="18"/>
  <c r="CO28" i="18"/>
  <c r="DD28" i="18"/>
  <c r="CV28" i="18"/>
  <c r="CN28" i="18"/>
  <c r="DB28" i="18"/>
  <c r="CK28" i="18"/>
  <c r="DC28" i="18"/>
  <c r="CU28" i="18"/>
  <c r="CM28" i="18"/>
  <c r="DB25" i="18"/>
  <c r="CT25" i="18"/>
  <c r="CL25" i="18"/>
  <c r="DA25" i="18"/>
  <c r="CS25" i="18"/>
  <c r="CK25" i="18"/>
  <c r="DG25" i="18"/>
  <c r="CY25" i="18"/>
  <c r="CQ25" i="18"/>
  <c r="CZ25" i="18"/>
  <c r="DF25" i="18"/>
  <c r="CX25" i="18"/>
  <c r="CP25" i="18"/>
  <c r="CR25" i="18"/>
  <c r="DE25" i="18"/>
  <c r="CW25" i="18"/>
  <c r="CO25" i="18"/>
  <c r="DH25" i="18"/>
  <c r="DD25" i="18"/>
  <c r="CV25" i="18"/>
  <c r="CN25" i="18"/>
  <c r="DC25" i="18"/>
  <c r="CU25" i="18"/>
  <c r="CM25" i="18"/>
  <c r="DD30" i="18"/>
  <c r="CV30" i="18"/>
  <c r="CU30" i="18"/>
  <c r="CN30" i="18"/>
  <c r="DE13" i="18"/>
  <c r="CW13" i="18"/>
  <c r="CO13" i="18"/>
  <c r="CV13" i="18"/>
  <c r="DC13" i="18"/>
  <c r="CU13" i="18"/>
  <c r="CM13" i="18"/>
  <c r="DD13" i="18"/>
  <c r="DB13" i="18"/>
  <c r="CT13" i="18"/>
  <c r="CL13" i="18"/>
  <c r="DA13" i="18"/>
  <c r="CS13" i="18"/>
  <c r="CK13" i="18"/>
  <c r="CN13" i="18"/>
  <c r="DH13" i="18"/>
  <c r="CZ13" i="18"/>
  <c r="CR13" i="18"/>
  <c r="DG13" i="18"/>
  <c r="CY13" i="18"/>
  <c r="CQ13" i="18"/>
  <c r="DF13" i="18"/>
  <c r="CX13" i="18"/>
  <c r="CP13" i="18"/>
  <c r="DC30" i="18"/>
  <c r="CT30" i="18"/>
  <c r="DA30" i="18"/>
  <c r="CS30" i="18"/>
  <c r="CK30" i="18"/>
  <c r="DH30" i="18"/>
  <c r="CZ30" i="18"/>
  <c r="CR30" i="18"/>
  <c r="DF30" i="18"/>
  <c r="CX30" i="18"/>
  <c r="CP30" i="18"/>
  <c r="CM30" i="18"/>
  <c r="DB30" i="18"/>
  <c r="DG30" i="18"/>
  <c r="CY30" i="18"/>
  <c r="CQ30" i="18"/>
  <c r="DE30" i="18"/>
  <c r="CW30" i="18"/>
  <c r="CO30" i="18"/>
  <c r="CL30" i="18"/>
  <c r="DH29" i="18"/>
  <c r="CZ29" i="18"/>
  <c r="CR29" i="18"/>
  <c r="DG29" i="18"/>
  <c r="CY29" i="18"/>
  <c r="CQ29" i="18"/>
  <c r="DF29" i="18"/>
  <c r="CX29" i="18"/>
  <c r="CP29" i="18"/>
  <c r="CK29" i="18"/>
  <c r="DE29" i="18"/>
  <c r="CW29" i="18"/>
  <c r="CO29" i="18"/>
  <c r="DA29" i="18"/>
  <c r="DD29" i="18"/>
  <c r="CV29" i="18"/>
  <c r="CN29" i="18"/>
  <c r="DC29" i="18"/>
  <c r="CU29" i="18"/>
  <c r="CM29" i="18"/>
  <c r="CS29" i="18"/>
  <c r="DB29" i="18"/>
  <c r="CT29" i="18"/>
  <c r="CL29" i="18"/>
  <c r="DE24" i="18"/>
  <c r="CW24" i="18"/>
  <c r="CO24" i="18"/>
  <c r="CP24" i="18"/>
  <c r="CV24" i="18"/>
  <c r="DC24" i="18"/>
  <c r="CU24" i="18"/>
  <c r="CM24" i="18"/>
  <c r="DF24" i="18"/>
  <c r="DB24" i="18"/>
  <c r="CT24" i="18"/>
  <c r="CL24" i="18"/>
  <c r="DD24" i="18"/>
  <c r="DA24" i="18"/>
  <c r="CS24" i="18"/>
  <c r="CK24" i="18"/>
  <c r="CX24" i="18"/>
  <c r="CN24" i="18"/>
  <c r="DH24" i="18"/>
  <c r="CZ24" i="18"/>
  <c r="CR24" i="18"/>
  <c r="DG24" i="18"/>
  <c r="CY24" i="18"/>
  <c r="CQ24" i="18"/>
  <c r="DH26" i="18"/>
  <c r="CZ26" i="18"/>
  <c r="CR26" i="18"/>
  <c r="DG26" i="18"/>
  <c r="CY26" i="18"/>
  <c r="CQ26" i="18"/>
  <c r="CX26" i="18"/>
  <c r="DE26" i="18"/>
  <c r="CW26" i="18"/>
  <c r="CO26" i="18"/>
  <c r="DD26" i="18"/>
  <c r="CV26" i="18"/>
  <c r="CN26" i="18"/>
  <c r="DC26" i="18"/>
  <c r="CU26" i="18"/>
  <c r="CM26" i="18"/>
  <c r="DF26" i="18"/>
  <c r="DB26" i="18"/>
  <c r="CT26" i="18"/>
  <c r="CL26" i="18"/>
  <c r="CP26" i="18"/>
  <c r="DA26" i="18"/>
  <c r="CS26" i="18"/>
  <c r="CK26" i="18"/>
  <c r="CT32" i="18"/>
  <c r="DA32" i="18"/>
  <c r="CS32" i="18"/>
  <c r="CK32" i="18"/>
  <c r="CL32" i="18"/>
  <c r="DH32" i="18"/>
  <c r="CZ32" i="18"/>
  <c r="CR32" i="18"/>
  <c r="DG32" i="18"/>
  <c r="CY32" i="18"/>
  <c r="CQ32" i="18"/>
  <c r="DF32" i="18"/>
  <c r="CX32" i="18"/>
  <c r="CP32" i="18"/>
  <c r="DE32" i="18"/>
  <c r="CW32" i="18"/>
  <c r="CO32" i="18"/>
  <c r="DD32" i="18"/>
  <c r="CV32" i="18"/>
  <c r="CN32" i="18"/>
  <c r="DB32" i="18"/>
  <c r="DC32" i="18"/>
  <c r="CU32" i="18"/>
  <c r="CM32" i="18"/>
  <c r="DC33" i="18"/>
  <c r="CU33" i="18"/>
  <c r="CM33" i="18"/>
  <c r="DF33" i="18"/>
  <c r="DE33" i="18"/>
  <c r="DD33" i="18"/>
  <c r="DB33" i="18"/>
  <c r="CT33" i="18"/>
  <c r="CL33" i="18"/>
  <c r="CP33" i="18"/>
  <c r="CW33" i="18"/>
  <c r="CV33" i="18"/>
  <c r="DA33" i="18"/>
  <c r="CS33" i="18"/>
  <c r="CK33" i="18"/>
  <c r="DH33" i="18"/>
  <c r="CZ33" i="18"/>
  <c r="CR33" i="18"/>
  <c r="CX33" i="18"/>
  <c r="CO33" i="18"/>
  <c r="CN33" i="18"/>
  <c r="DG33" i="18"/>
  <c r="CY33" i="18"/>
  <c r="CQ33" i="18"/>
  <c r="DE34" i="18"/>
  <c r="CW34" i="18"/>
  <c r="CO34" i="18"/>
  <c r="DD34" i="18"/>
  <c r="CV34" i="18"/>
  <c r="CN34" i="18"/>
  <c r="CU34" i="18"/>
  <c r="DB34" i="18"/>
  <c r="CT34" i="18"/>
  <c r="CL34" i="18"/>
  <c r="DA34" i="18"/>
  <c r="CS34" i="18"/>
  <c r="CK34" i="18"/>
  <c r="CM34" i="18"/>
  <c r="DH34" i="18"/>
  <c r="CZ34" i="18"/>
  <c r="CR34" i="18"/>
  <c r="DC34" i="18"/>
  <c r="DG34" i="18"/>
  <c r="CY34" i="18"/>
  <c r="CQ34" i="18"/>
  <c r="DF34" i="18"/>
  <c r="CX34" i="18"/>
  <c r="CP34" i="18"/>
  <c r="CM19" i="18"/>
  <c r="DB19" i="18"/>
  <c r="CT19" i="18"/>
  <c r="CL19" i="18"/>
  <c r="DA19" i="18"/>
  <c r="CS19" i="18"/>
  <c r="CK19" i="18"/>
  <c r="DH19" i="18"/>
  <c r="CZ19" i="18"/>
  <c r="CR19" i="18"/>
  <c r="CU19" i="18"/>
  <c r="DG19" i="18"/>
  <c r="CY19" i="18"/>
  <c r="CQ19" i="18"/>
  <c r="DF19" i="18"/>
  <c r="CX19" i="18"/>
  <c r="CP19" i="18"/>
  <c r="DE19" i="18"/>
  <c r="CW19" i="18"/>
  <c r="CO19" i="18"/>
  <c r="DC19" i="18"/>
  <c r="DD19" i="18"/>
  <c r="CV19" i="18"/>
  <c r="CN19" i="18"/>
  <c r="DF35" i="18" l="1"/>
  <c r="D87" i="18" s="1"/>
  <c r="CX35" i="18"/>
  <c r="D79" i="18" s="1"/>
  <c r="DC35" i="18"/>
  <c r="D84" i="18" s="1"/>
  <c r="DA35" i="18"/>
  <c r="D82" i="18" s="1"/>
  <c r="DE35" i="18"/>
  <c r="D86" i="18" s="1"/>
  <c r="DH35" i="18"/>
  <c r="D89" i="18" s="1"/>
  <c r="DD35" i="18"/>
  <c r="D85" i="18" s="1"/>
  <c r="CY35" i="18"/>
  <c r="D80" i="18" s="1"/>
  <c r="DG35" i="18"/>
  <c r="D88" i="18" s="1"/>
  <c r="CZ35" i="18"/>
  <c r="D81" i="18" s="1"/>
  <c r="DB35" i="18"/>
  <c r="D83" i="18" s="1"/>
  <c r="BG35" i="18"/>
  <c r="C84" i="18" s="1"/>
  <c r="H84" i="18" s="1"/>
  <c r="BC35" i="18"/>
  <c r="C80" i="18" s="1"/>
  <c r="BF35" i="18"/>
  <c r="C83" i="18" s="1"/>
  <c r="G83" i="18" s="1"/>
  <c r="BB35" i="18"/>
  <c r="C79" i="18" s="1"/>
  <c r="G79" i="18" s="1"/>
  <c r="BI35" i="18"/>
  <c r="C86" i="18" s="1"/>
  <c r="E86" i="18" s="1"/>
  <c r="BD35" i="18"/>
  <c r="C81" i="18" s="1"/>
  <c r="G81" i="18" s="1"/>
  <c r="BK35" i="18"/>
  <c r="C88" i="18" s="1"/>
  <c r="H88" i="18" s="1"/>
  <c r="BH35" i="18"/>
  <c r="C85" i="18" s="1"/>
  <c r="G85" i="18" s="1"/>
  <c r="BL35" i="18"/>
  <c r="C89" i="18" s="1"/>
  <c r="E89" i="18" s="1"/>
  <c r="BJ35" i="18"/>
  <c r="C87" i="18" s="1"/>
  <c r="G87" i="18" s="1"/>
  <c r="BE35" i="18"/>
  <c r="C82" i="18" s="1"/>
  <c r="H82" i="18" s="1"/>
  <c r="G84" i="18" l="1"/>
  <c r="E85" i="18"/>
  <c r="I83" i="18"/>
  <c r="H86" i="18"/>
  <c r="G86" i="18"/>
  <c r="E88" i="18"/>
  <c r="E79" i="18"/>
  <c r="G82" i="18"/>
  <c r="F79" i="18"/>
  <c r="I88" i="18"/>
  <c r="F82" i="18"/>
  <c r="I79" i="18"/>
  <c r="E82" i="18"/>
  <c r="I86" i="18"/>
  <c r="F83" i="18"/>
  <c r="F89" i="18"/>
  <c r="I85" i="18"/>
  <c r="E81" i="18"/>
  <c r="E87" i="18"/>
  <c r="H83" i="18"/>
  <c r="H79" i="18"/>
  <c r="F86" i="18"/>
  <c r="G89" i="18"/>
  <c r="I89" i="18"/>
  <c r="F85" i="18"/>
  <c r="G88" i="18"/>
  <c r="H85" i="18"/>
  <c r="I81" i="18"/>
  <c r="I87" i="18"/>
  <c r="E83" i="18"/>
  <c r="F80" i="18"/>
  <c r="E80" i="18"/>
  <c r="G80" i="18"/>
  <c r="H80" i="18"/>
  <c r="I80" i="18"/>
  <c r="F84" i="18"/>
  <c r="F87" i="18"/>
  <c r="H89" i="18"/>
  <c r="F88" i="18"/>
  <c r="H81" i="18"/>
  <c r="I84" i="18"/>
  <c r="H87" i="18"/>
  <c r="I82" i="18"/>
  <c r="F81" i="18"/>
  <c r="E84" i="18"/>
  <c r="J89" i="18" l="1"/>
  <c r="K89" i="18" s="1"/>
  <c r="J82" i="18"/>
  <c r="K82" i="18" s="1"/>
  <c r="J86" i="18"/>
  <c r="K86" i="18" s="1"/>
  <c r="J88" i="18"/>
  <c r="K88" i="18" s="1"/>
  <c r="J79" i="18"/>
  <c r="K79" i="18" s="1"/>
  <c r="J83" i="18"/>
  <c r="K83" i="18" s="1"/>
  <c r="J87" i="18"/>
  <c r="K87" i="18" s="1"/>
  <c r="J81" i="18"/>
  <c r="K81" i="18" s="1"/>
  <c r="J80" i="18"/>
  <c r="K80" i="18" s="1"/>
  <c r="J84" i="18"/>
  <c r="K84" i="18" s="1"/>
  <c r="J85" i="18"/>
  <c r="K85" i="18" s="1"/>
  <c r="M9" i="20" l="1"/>
  <c r="M8" i="20"/>
  <c r="I9" i="20"/>
  <c r="J9" i="20" s="1"/>
  <c r="I8" i="20"/>
  <c r="I17" i="20" l="1"/>
  <c r="J8" i="20"/>
  <c r="CW35" i="18" l="1"/>
  <c r="D78" i="18" s="1"/>
  <c r="BA35" i="18"/>
  <c r="C78" i="18" s="1"/>
  <c r="F78" i="18" l="1"/>
  <c r="E78" i="18"/>
  <c r="G78" i="18"/>
  <c r="H78" i="18"/>
  <c r="I78" i="18"/>
  <c r="J29" i="20"/>
  <c r="J30" i="20"/>
  <c r="J31" i="20"/>
  <c r="K31" i="20"/>
  <c r="K32" i="20"/>
  <c r="J32" i="20"/>
  <c r="M16" i="20"/>
  <c r="J78" i="18" l="1"/>
  <c r="K78" i="18" s="1"/>
  <c r="L17" i="20"/>
  <c r="K29" i="20"/>
  <c r="K30" i="20"/>
  <c r="AR35" i="18" l="1"/>
  <c r="C69" i="18" s="1"/>
  <c r="CK35" i="18"/>
  <c r="D66" i="18" s="1"/>
  <c r="AZ35" i="18"/>
  <c r="C77" i="18" s="1"/>
  <c r="AU35" i="18"/>
  <c r="C72" i="18" s="1"/>
  <c r="AX35" i="18"/>
  <c r="C75" i="18" s="1"/>
  <c r="CT35" i="18"/>
  <c r="D75" i="18" s="1"/>
  <c r="CO35" i="18"/>
  <c r="D70" i="18" s="1"/>
  <c r="CL35" i="18"/>
  <c r="D67" i="18" s="1"/>
  <c r="AT35" i="18"/>
  <c r="C71" i="18" s="1"/>
  <c r="AW35" i="18"/>
  <c r="C74" i="18" s="1"/>
  <c r="CS35" i="18"/>
  <c r="D74" i="18" s="1"/>
  <c r="CV35" i="18"/>
  <c r="D77" i="18" s="1"/>
  <c r="CU35" i="18"/>
  <c r="D76" i="18" s="1"/>
  <c r="AV35" i="18"/>
  <c r="C73" i="18" s="1"/>
  <c r="AQ35" i="18"/>
  <c r="C68" i="18" s="1"/>
  <c r="AP35" i="18"/>
  <c r="C67" i="18" s="1"/>
  <c r="AS35" i="18"/>
  <c r="C70" i="18" s="1"/>
  <c r="CM35" i="18"/>
  <c r="D68" i="18" s="1"/>
  <c r="CR35" i="18"/>
  <c r="D73" i="18" s="1"/>
  <c r="AY35" i="18"/>
  <c r="C76" i="18" s="1"/>
  <c r="CP35" i="18"/>
  <c r="D71" i="18" s="1"/>
  <c r="AO35" i="18"/>
  <c r="C66" i="18" s="1"/>
  <c r="CQ35" i="18"/>
  <c r="D72" i="18" s="1"/>
  <c r="CN35" i="18"/>
  <c r="D69" i="18" s="1"/>
  <c r="E68" i="18" l="1"/>
  <c r="F68" i="18"/>
  <c r="G68" i="18"/>
  <c r="H68" i="18"/>
  <c r="G66" i="18"/>
  <c r="E66" i="18"/>
  <c r="F66" i="18"/>
  <c r="H66" i="18"/>
  <c r="E67" i="18"/>
  <c r="G67" i="18"/>
  <c r="F67" i="18"/>
  <c r="H67" i="18"/>
  <c r="G70" i="18"/>
  <c r="H70" i="18"/>
  <c r="E70" i="18"/>
  <c r="F70" i="18"/>
  <c r="E69" i="18"/>
  <c r="F69" i="18"/>
  <c r="H69" i="18"/>
  <c r="G69" i="18"/>
  <c r="I68" i="18"/>
  <c r="I67" i="18"/>
  <c r="H72" i="18"/>
  <c r="F72" i="18"/>
  <c r="G72" i="18"/>
  <c r="E72" i="18"/>
  <c r="I72" i="18"/>
  <c r="F75" i="18"/>
  <c r="E75" i="18"/>
  <c r="H75" i="18"/>
  <c r="I75" i="18"/>
  <c r="G75" i="18"/>
  <c r="H77" i="18"/>
  <c r="F77" i="18"/>
  <c r="I77" i="18"/>
  <c r="E77" i="18"/>
  <c r="G77" i="18"/>
  <c r="G73" i="18"/>
  <c r="E73" i="18"/>
  <c r="F73" i="18"/>
  <c r="H73" i="18"/>
  <c r="I73" i="18"/>
  <c r="E74" i="18"/>
  <c r="G74" i="18"/>
  <c r="H74" i="18"/>
  <c r="F74" i="18"/>
  <c r="I74" i="18"/>
  <c r="I66" i="18"/>
  <c r="H76" i="18"/>
  <c r="I76" i="18"/>
  <c r="E76" i="18"/>
  <c r="F76" i="18"/>
  <c r="G76" i="18"/>
  <c r="I70" i="18"/>
  <c r="F71" i="18"/>
  <c r="G71" i="18"/>
  <c r="H71" i="18"/>
  <c r="I71" i="18"/>
  <c r="E71" i="18"/>
  <c r="I69" i="18"/>
  <c r="J16" i="20"/>
  <c r="J17" i="20" s="1"/>
  <c r="J66" i="18" l="1"/>
  <c r="K66" i="18" s="1"/>
  <c r="J71" i="18"/>
  <c r="K71" i="18" s="1"/>
  <c r="J73" i="18"/>
  <c r="K73" i="18" s="1"/>
  <c r="J74" i="18"/>
  <c r="K74" i="18" s="1"/>
  <c r="J77" i="18"/>
  <c r="K77" i="18" s="1"/>
  <c r="J72" i="18"/>
  <c r="K72" i="18" s="1"/>
  <c r="J69" i="18"/>
  <c r="K69" i="18" s="1"/>
  <c r="J75" i="18"/>
  <c r="K75" i="18" s="1"/>
  <c r="J70" i="18"/>
  <c r="K70" i="18" s="1"/>
  <c r="J76" i="18"/>
  <c r="K76" i="18" s="1"/>
  <c r="J67" i="18"/>
  <c r="K67" i="18" s="1"/>
  <c r="J68" i="18"/>
  <c r="K68" i="18" s="1"/>
  <c r="I34" i="20"/>
  <c r="M17" i="20" l="1"/>
  <c r="D4" i="22" l="1"/>
  <c r="D5" i="22"/>
  <c r="D6" i="22"/>
  <c r="D7" i="22"/>
  <c r="D8" i="22"/>
  <c r="D9" i="22"/>
  <c r="D10" i="22"/>
  <c r="D11" i="22"/>
  <c r="D12" i="22"/>
  <c r="D13" i="22"/>
  <c r="D14" i="22"/>
  <c r="D15" i="22"/>
  <c r="D16" i="22"/>
  <c r="D17" i="22"/>
  <c r="D18" i="22"/>
  <c r="D3" i="22"/>
  <c r="I35" i="18" l="1"/>
  <c r="J35" i="18"/>
  <c r="N35" i="18" l="1"/>
  <c r="CJ7" i="18" l="1"/>
  <c r="CI7" i="18"/>
  <c r="CI12" i="18" s="1"/>
  <c r="CH7" i="18"/>
  <c r="CG7" i="18"/>
  <c r="CJ17" i="18" l="1"/>
  <c r="CJ14" i="18"/>
  <c r="CJ25" i="18"/>
  <c r="CJ30" i="18"/>
  <c r="CJ29" i="18"/>
  <c r="CJ32" i="18"/>
  <c r="CJ20" i="18"/>
  <c r="CJ23" i="18"/>
  <c r="CJ8" i="18"/>
  <c r="CJ12" i="18"/>
  <c r="CJ27" i="18"/>
  <c r="CJ13" i="18"/>
  <c r="CJ21" i="18"/>
  <c r="CJ15" i="18"/>
  <c r="CJ9" i="18"/>
  <c r="CJ28" i="18"/>
  <c r="CJ26" i="18"/>
  <c r="CJ18" i="18"/>
  <c r="CJ24" i="18"/>
  <c r="CJ33" i="18"/>
  <c r="CJ34" i="18"/>
  <c r="CJ31" i="18"/>
  <c r="CJ11" i="18"/>
  <c r="CJ22" i="18"/>
  <c r="CJ16" i="18"/>
  <c r="CJ10" i="18"/>
  <c r="CJ19" i="18"/>
  <c r="CI26" i="18"/>
  <c r="CI22" i="18"/>
  <c r="CI33" i="18"/>
  <c r="CI25" i="18"/>
  <c r="CI17" i="18"/>
  <c r="CI28" i="18"/>
  <c r="CI31" i="18"/>
  <c r="CI23" i="18"/>
  <c r="CI16" i="18"/>
  <c r="CI14" i="18"/>
  <c r="CI11" i="18"/>
  <c r="CI34" i="18"/>
  <c r="CI32" i="18"/>
  <c r="CH14" i="18"/>
  <c r="CI10" i="18"/>
  <c r="CI27" i="18"/>
  <c r="CI24" i="18"/>
  <c r="CI19" i="18"/>
  <c r="CI15" i="18"/>
  <c r="CI13" i="18"/>
  <c r="CI20" i="18"/>
  <c r="CI9" i="18"/>
  <c r="CI18" i="18"/>
  <c r="CI8" i="18"/>
  <c r="CI30" i="18"/>
  <c r="CH20" i="18"/>
  <c r="CI29" i="18"/>
  <c r="CI21" i="18"/>
  <c r="CH33" i="18"/>
  <c r="CG11" i="18"/>
  <c r="CH23" i="18"/>
  <c r="CG27" i="18"/>
  <c r="CH19" i="18"/>
  <c r="CG13" i="18"/>
  <c r="CH10" i="18"/>
  <c r="CH25" i="18"/>
  <c r="CH24" i="18"/>
  <c r="CG9" i="18"/>
  <c r="CH12" i="18"/>
  <c r="CG24" i="18"/>
  <c r="CH32" i="18"/>
  <c r="CG17" i="18"/>
  <c r="CG33" i="18"/>
  <c r="CH17" i="18"/>
  <c r="CH11" i="18"/>
  <c r="CH8" i="18"/>
  <c r="CH27" i="18"/>
  <c r="CH15" i="18"/>
  <c r="CG20" i="18"/>
  <c r="CH13" i="18"/>
  <c r="CG28" i="18"/>
  <c r="CH16" i="18"/>
  <c r="CG23" i="18"/>
  <c r="CG12" i="18"/>
  <c r="CG16" i="18"/>
  <c r="CG19" i="18"/>
  <c r="CG29" i="18"/>
  <c r="CG21" i="18"/>
  <c r="CG18" i="18"/>
  <c r="CG14" i="18"/>
  <c r="CH9" i="18"/>
  <c r="CG26" i="18"/>
  <c r="CG32" i="18"/>
  <c r="CG15" i="18"/>
  <c r="CH31" i="18"/>
  <c r="CG25" i="18"/>
  <c r="CG10" i="18"/>
  <c r="CG31" i="18"/>
  <c r="CH28" i="18"/>
  <c r="CG34" i="18"/>
  <c r="CH34" i="18"/>
  <c r="CH30" i="18"/>
  <c r="CH26" i="18"/>
  <c r="CH22" i="18"/>
  <c r="CH18" i="18"/>
  <c r="CH29" i="18"/>
  <c r="CH21" i="18"/>
  <c r="CG30" i="18"/>
  <c r="CG22" i="18"/>
  <c r="CG8" i="18"/>
  <c r="AN35" i="18" l="1"/>
  <c r="C65" i="18" s="1"/>
  <c r="AM35" i="18"/>
  <c r="C64" i="18" s="1"/>
  <c r="CI35" i="18"/>
  <c r="D64" i="18" s="1"/>
  <c r="CJ35" i="18"/>
  <c r="D65" i="18" s="1"/>
  <c r="AL35" i="18"/>
  <c r="C63" i="18" s="1"/>
  <c r="CG35" i="18"/>
  <c r="D62" i="18" s="1"/>
  <c r="CH35" i="18"/>
  <c r="D63" i="18" s="1"/>
  <c r="AK35" i="18"/>
  <c r="C62" i="18" s="1"/>
  <c r="E62" i="18" l="1"/>
  <c r="G62" i="18"/>
  <c r="H62" i="18"/>
  <c r="F62" i="18"/>
  <c r="F64" i="18"/>
  <c r="G64" i="18"/>
  <c r="H64" i="18"/>
  <c r="E64" i="18"/>
  <c r="F63" i="18"/>
  <c r="E63" i="18"/>
  <c r="H63" i="18"/>
  <c r="G63" i="18"/>
  <c r="E65" i="18"/>
  <c r="F65" i="18"/>
  <c r="G65" i="18"/>
  <c r="H65" i="18"/>
  <c r="I62" i="18"/>
  <c r="I65" i="18"/>
  <c r="I64" i="18"/>
  <c r="B6" i="18"/>
  <c r="J64" i="18" l="1"/>
  <c r="K64" i="18" s="1"/>
  <c r="J62" i="18"/>
  <c r="K62" i="18" s="1"/>
  <c r="I63" i="18"/>
  <c r="J65" i="18"/>
  <c r="K65" i="18" s="1"/>
  <c r="C11" i="21"/>
  <c r="J63" i="18" l="1"/>
  <c r="K63" i="18" s="1"/>
  <c r="CF7" i="18"/>
  <c r="CF26" i="18" l="1"/>
  <c r="CF18" i="18"/>
  <c r="CF20" i="18"/>
  <c r="CF10" i="18"/>
  <c r="CF9" i="18"/>
  <c r="CF28" i="18"/>
  <c r="CF17" i="18"/>
  <c r="CF32" i="18"/>
  <c r="CF16" i="18"/>
  <c r="CF29" i="18"/>
  <c r="CF11" i="18"/>
  <c r="CF25" i="18"/>
  <c r="CF30" i="18"/>
  <c r="CF22" i="18"/>
  <c r="CF12" i="18"/>
  <c r="CF21" i="18"/>
  <c r="CF33" i="18"/>
  <c r="CF14" i="18"/>
  <c r="CF23" i="18"/>
  <c r="CF34" i="18"/>
  <c r="CF24" i="18"/>
  <c r="CF13" i="18"/>
  <c r="CF15" i="18"/>
  <c r="CF19" i="18"/>
  <c r="CF27" i="18"/>
  <c r="CF8" i="18"/>
  <c r="CE7" i="18"/>
  <c r="CE34" i="18" s="1"/>
  <c r="CE11" i="18" l="1"/>
  <c r="CE14" i="18"/>
  <c r="CE17" i="18"/>
  <c r="CE21" i="18"/>
  <c r="CE26" i="18"/>
  <c r="CE29" i="18"/>
  <c r="CE12" i="18"/>
  <c r="CE19" i="18"/>
  <c r="CE27" i="18"/>
  <c r="CE18" i="18"/>
  <c r="CE13" i="18"/>
  <c r="CE20" i="18"/>
  <c r="CE28" i="18"/>
  <c r="CE22" i="18"/>
  <c r="CE30" i="18"/>
  <c r="CE8" i="18"/>
  <c r="CE23" i="18"/>
  <c r="CE32" i="18"/>
  <c r="CE9" i="18"/>
  <c r="CE15" i="18"/>
  <c r="CE24" i="18"/>
  <c r="CE33" i="18"/>
  <c r="CE10" i="18"/>
  <c r="CE16" i="18"/>
  <c r="CE25" i="18"/>
  <c r="CE31" i="18"/>
  <c r="CF31" i="18"/>
  <c r="CF35" i="18" s="1"/>
  <c r="D61" i="18" s="1"/>
  <c r="CD7" i="18"/>
  <c r="CD27" i="18" s="1"/>
  <c r="C37" i="18"/>
  <c r="CC7" i="18"/>
  <c r="CC25" i="18" s="1"/>
  <c r="CB7" i="18"/>
  <c r="CB15" i="18" s="1"/>
  <c r="C39" i="18"/>
  <c r="CA7" i="18"/>
  <c r="CA25" i="18" s="1"/>
  <c r="BZ7" i="18"/>
  <c r="BZ18" i="18" s="1"/>
  <c r="BY7" i="18"/>
  <c r="BY16" i="18" s="1"/>
  <c r="D42" i="18"/>
  <c r="D22" i="20" s="1"/>
  <c r="A39" i="26" s="1"/>
  <c r="K39" i="26" s="1"/>
  <c r="BX7" i="18"/>
  <c r="BX8" i="18" s="1"/>
  <c r="U7" i="20"/>
  <c r="V7" i="20"/>
  <c r="W7" i="20"/>
  <c r="X7" i="20"/>
  <c r="Y7" i="20"/>
  <c r="Z7" i="20"/>
  <c r="AA7" i="20"/>
  <c r="AB7" i="20"/>
  <c r="S6" i="18"/>
  <c r="A2" i="20"/>
  <c r="B6" i="20" s="1"/>
  <c r="U6" i="20" s="1"/>
  <c r="B115" i="20"/>
  <c r="AM7" i="20"/>
  <c r="AL7" i="20"/>
  <c r="AK7" i="20"/>
  <c r="AJ7" i="20"/>
  <c r="AI7" i="20"/>
  <c r="AH7" i="20"/>
  <c r="AG7" i="20"/>
  <c r="AF7" i="20"/>
  <c r="AE7" i="20"/>
  <c r="AC7" i="20"/>
  <c r="C38" i="18"/>
  <c r="BW7" i="18"/>
  <c r="BW23" i="18" s="1"/>
  <c r="BV7" i="18"/>
  <c r="BV9" i="18" s="1"/>
  <c r="BU7" i="18"/>
  <c r="BU20" i="18" s="1"/>
  <c r="BT7" i="18"/>
  <c r="BT31" i="18" s="1"/>
  <c r="BS7" i="18"/>
  <c r="BR7" i="18"/>
  <c r="BR13" i="18" s="1"/>
  <c r="BQ7" i="18"/>
  <c r="BQ22" i="18" s="1"/>
  <c r="BP7" i="18"/>
  <c r="BP34" i="18" s="1"/>
  <c r="BO7" i="18"/>
  <c r="BO17" i="18" s="1"/>
  <c r="S7" i="18"/>
  <c r="B171" i="18"/>
  <c r="AE12" i="20" l="1"/>
  <c r="AE15" i="20"/>
  <c r="AE10" i="20"/>
  <c r="AE13" i="20"/>
  <c r="AE11" i="20"/>
  <c r="AE14" i="20"/>
  <c r="AA13" i="20"/>
  <c r="AA15" i="20"/>
  <c r="AA12" i="20"/>
  <c r="AA14" i="20"/>
  <c r="AA10" i="20"/>
  <c r="AA11" i="20"/>
  <c r="Y11" i="20"/>
  <c r="Y14" i="20"/>
  <c r="Y12" i="20"/>
  <c r="Y10" i="20"/>
  <c r="Y13" i="20"/>
  <c r="Y15" i="20"/>
  <c r="U14" i="20"/>
  <c r="U10" i="20"/>
  <c r="U15" i="20"/>
  <c r="U11" i="20"/>
  <c r="U12" i="20"/>
  <c r="U13" i="20"/>
  <c r="AC14" i="20"/>
  <c r="AC10" i="20"/>
  <c r="AC13" i="20"/>
  <c r="AC12" i="20"/>
  <c r="AC15" i="20"/>
  <c r="AC11" i="20"/>
  <c r="X13" i="20"/>
  <c r="X11" i="20"/>
  <c r="X12" i="20"/>
  <c r="X14" i="20"/>
  <c r="X10" i="20"/>
  <c r="X15" i="20"/>
  <c r="W13" i="20"/>
  <c r="W14" i="20"/>
  <c r="W12" i="20"/>
  <c r="W11" i="20"/>
  <c r="W15" i="20"/>
  <c r="W10" i="20"/>
  <c r="V14" i="20"/>
  <c r="V12" i="20"/>
  <c r="V10" i="20"/>
  <c r="V11" i="20"/>
  <c r="V13" i="20"/>
  <c r="V15" i="20"/>
  <c r="AH14" i="20"/>
  <c r="AH15" i="20"/>
  <c r="AH11" i="20"/>
  <c r="AH12" i="20"/>
  <c r="AH13" i="20"/>
  <c r="AH10" i="20"/>
  <c r="AB12" i="20"/>
  <c r="AB10" i="20"/>
  <c r="AB13" i="20"/>
  <c r="AB15" i="20"/>
  <c r="AB11" i="20"/>
  <c r="AB14" i="20"/>
  <c r="Z10" i="20"/>
  <c r="Z15" i="20"/>
  <c r="Z11" i="20"/>
  <c r="Z13" i="20"/>
  <c r="Z12" i="20"/>
  <c r="Z14" i="20"/>
  <c r="AF13" i="20"/>
  <c r="AF10" i="20"/>
  <c r="AF11" i="20"/>
  <c r="AF14" i="20"/>
  <c r="AF12" i="20"/>
  <c r="AF15" i="20"/>
  <c r="AG14" i="20"/>
  <c r="AG12" i="20"/>
  <c r="AG10" i="20"/>
  <c r="AG13" i="20"/>
  <c r="AG11" i="20"/>
  <c r="AG15" i="20"/>
  <c r="S24" i="18"/>
  <c r="S20" i="18"/>
  <c r="S9" i="18"/>
  <c r="S31" i="18"/>
  <c r="S16" i="18"/>
  <c r="S32" i="18"/>
  <c r="S23" i="18"/>
  <c r="S21" i="18"/>
  <c r="S25" i="18"/>
  <c r="S22" i="18"/>
  <c r="S8" i="18"/>
  <c r="S15" i="18"/>
  <c r="S26" i="18"/>
  <c r="S13" i="18"/>
  <c r="S28" i="18"/>
  <c r="S34" i="18"/>
  <c r="S12" i="18"/>
  <c r="S10" i="18"/>
  <c r="S19" i="18"/>
  <c r="S11" i="18"/>
  <c r="S30" i="18"/>
  <c r="S33" i="18"/>
  <c r="S18" i="18"/>
  <c r="S27" i="18"/>
  <c r="S29" i="18"/>
  <c r="S14" i="18"/>
  <c r="S17" i="18"/>
  <c r="BY17" i="18"/>
  <c r="BY8" i="18"/>
  <c r="BY11" i="18"/>
  <c r="BY31" i="18"/>
  <c r="BY23" i="18"/>
  <c r="AI9" i="20"/>
  <c r="AI8" i="20"/>
  <c r="AB9" i="20"/>
  <c r="AB8" i="20"/>
  <c r="AH9" i="20"/>
  <c r="AH8" i="20"/>
  <c r="AJ9" i="20"/>
  <c r="AJ8" i="20"/>
  <c r="AK8" i="20"/>
  <c r="AK9" i="20"/>
  <c r="Z8" i="20"/>
  <c r="Z9" i="20"/>
  <c r="U9" i="20"/>
  <c r="U8" i="20"/>
  <c r="AC8" i="20"/>
  <c r="AC9" i="20"/>
  <c r="AL8" i="20"/>
  <c r="AL9" i="20"/>
  <c r="Y8" i="20"/>
  <c r="Y9" i="20"/>
  <c r="BX14" i="18"/>
  <c r="AM8" i="20"/>
  <c r="AM9" i="20"/>
  <c r="AF9" i="20"/>
  <c r="AF8" i="20"/>
  <c r="W9" i="20"/>
  <c r="W8" i="20"/>
  <c r="AA9" i="20"/>
  <c r="AA8" i="20"/>
  <c r="AE8" i="20"/>
  <c r="AE9" i="20"/>
  <c r="X8" i="20"/>
  <c r="X9" i="20"/>
  <c r="AG8" i="20"/>
  <c r="AG9" i="20"/>
  <c r="V8" i="20"/>
  <c r="V9" i="20"/>
  <c r="BX23" i="18"/>
  <c r="BX34" i="18"/>
  <c r="BX32" i="18"/>
  <c r="BX31" i="18"/>
  <c r="BY27" i="18"/>
  <c r="BY33" i="18"/>
  <c r="BY24" i="18"/>
  <c r="BY14" i="18"/>
  <c r="BY32" i="18"/>
  <c r="BY34" i="18"/>
  <c r="CD19" i="18"/>
  <c r="BY13" i="18"/>
  <c r="BY22" i="18"/>
  <c r="BY26" i="18"/>
  <c r="BY28" i="18"/>
  <c r="CD9" i="18"/>
  <c r="CD23" i="18"/>
  <c r="BW29" i="18"/>
  <c r="CD21" i="18"/>
  <c r="CD14" i="18"/>
  <c r="AM10" i="20"/>
  <c r="O35" i="18"/>
  <c r="BW19" i="18"/>
  <c r="BT34" i="18"/>
  <c r="BT20" i="18"/>
  <c r="CD31" i="18"/>
  <c r="BU10" i="18"/>
  <c r="CD16" i="18"/>
  <c r="BT21" i="18"/>
  <c r="BT11" i="18"/>
  <c r="BV25" i="18"/>
  <c r="BV28" i="18"/>
  <c r="BO10" i="18"/>
  <c r="BV13" i="18"/>
  <c r="BX21" i="18"/>
  <c r="BW31" i="18"/>
  <c r="BO11" i="18"/>
  <c r="BO30" i="18"/>
  <c r="BY20" i="18"/>
  <c r="CD15" i="18"/>
  <c r="BO21" i="18"/>
  <c r="BR15" i="18"/>
  <c r="BX30" i="18"/>
  <c r="BP29" i="18"/>
  <c r="BO18" i="18"/>
  <c r="BO8" i="18"/>
  <c r="CD18" i="18"/>
  <c r="CD13" i="18"/>
  <c r="BY19" i="18"/>
  <c r="BY18" i="18"/>
  <c r="BX11" i="18"/>
  <c r="BY15" i="18"/>
  <c r="BO16" i="18"/>
  <c r="BO13" i="18"/>
  <c r="BY9" i="18"/>
  <c r="CD11" i="18"/>
  <c r="CC8" i="18"/>
  <c r="BO20" i="18"/>
  <c r="BO29" i="18"/>
  <c r="BO19" i="18"/>
  <c r="BX28" i="18"/>
  <c r="BY10" i="18"/>
  <c r="BY29" i="18"/>
  <c r="BY21" i="18"/>
  <c r="BX29" i="18"/>
  <c r="BO28" i="18"/>
  <c r="BY30" i="18"/>
  <c r="BO27" i="18"/>
  <c r="BR17" i="18"/>
  <c r="BR23" i="18"/>
  <c r="BR18" i="18"/>
  <c r="BR11" i="18"/>
  <c r="BR8" i="18"/>
  <c r="BR29" i="18"/>
  <c r="BR34" i="18"/>
  <c r="BR9" i="18"/>
  <c r="BT28" i="18"/>
  <c r="CD28" i="18"/>
  <c r="CD24" i="18"/>
  <c r="CA26" i="18"/>
  <c r="BR20" i="18"/>
  <c r="BR30" i="18"/>
  <c r="BU22" i="18"/>
  <c r="CA22" i="18"/>
  <c r="BR24" i="18"/>
  <c r="BR22" i="18"/>
  <c r="BR19" i="18"/>
  <c r="BU14" i="18"/>
  <c r="BR14" i="18"/>
  <c r="CA30" i="18"/>
  <c r="BV33" i="18"/>
  <c r="BV34" i="18"/>
  <c r="BV12" i="18"/>
  <c r="BV31" i="18"/>
  <c r="CA14" i="18"/>
  <c r="BV17" i="18"/>
  <c r="BR16" i="18"/>
  <c r="BR27" i="18"/>
  <c r="CA29" i="18"/>
  <c r="CA10" i="18"/>
  <c r="CA13" i="18"/>
  <c r="BV21" i="18"/>
  <c r="BP19" i="18"/>
  <c r="BX9" i="18"/>
  <c r="BR28" i="18"/>
  <c r="BR25" i="18"/>
  <c r="BP10" i="18"/>
  <c r="BR31" i="18"/>
  <c r="CA19" i="18"/>
  <c r="BV29" i="18"/>
  <c r="BV22" i="18"/>
  <c r="CA24" i="18"/>
  <c r="BV27" i="18"/>
  <c r="CA20" i="18"/>
  <c r="CA15" i="18"/>
  <c r="BT10" i="18"/>
  <c r="CD22" i="18"/>
  <c r="BP31" i="18"/>
  <c r="CA23" i="18"/>
  <c r="BV16" i="18"/>
  <c r="BV30" i="18"/>
  <c r="CA31" i="18"/>
  <c r="CA9" i="18"/>
  <c r="CA27" i="18"/>
  <c r="CA21" i="18"/>
  <c r="CA16" i="18"/>
  <c r="BV19" i="18"/>
  <c r="BW12" i="18"/>
  <c r="BQ21" i="18"/>
  <c r="BR10" i="18"/>
  <c r="BV18" i="18"/>
  <c r="BV20" i="18"/>
  <c r="CA28" i="18"/>
  <c r="BV23" i="18"/>
  <c r="CA34" i="18"/>
  <c r="BR21" i="18"/>
  <c r="BQ10" i="18"/>
  <c r="BW22" i="18"/>
  <c r="BV26" i="18"/>
  <c r="BT27" i="18"/>
  <c r="BV8" i="18"/>
  <c r="BV24" i="18"/>
  <c r="BV11" i="18"/>
  <c r="CA17" i="18"/>
  <c r="CA18" i="18"/>
  <c r="CA11" i="18"/>
  <c r="BV14" i="18"/>
  <c r="CA8" i="18"/>
  <c r="BQ29" i="18"/>
  <c r="BZ28" i="18"/>
  <c r="BZ19" i="18"/>
  <c r="BX20" i="18"/>
  <c r="BX13" i="18"/>
  <c r="BQ24" i="18"/>
  <c r="BQ25" i="18"/>
  <c r="BW18" i="18"/>
  <c r="BX18" i="18"/>
  <c r="BX10" i="18"/>
  <c r="BX15" i="18"/>
  <c r="BX24" i="18"/>
  <c r="BT17" i="18"/>
  <c r="BT22" i="18"/>
  <c r="BT23" i="18"/>
  <c r="BV15" i="18"/>
  <c r="BV10" i="18"/>
  <c r="BZ34" i="18"/>
  <c r="BX19" i="18"/>
  <c r="BX17" i="18"/>
  <c r="BX27" i="18"/>
  <c r="BQ30" i="18"/>
  <c r="BX26" i="18"/>
  <c r="BX16" i="18"/>
  <c r="BT29" i="18"/>
  <c r="BT16" i="18"/>
  <c r="BX22" i="18"/>
  <c r="CD10" i="18"/>
  <c r="CD8" i="18"/>
  <c r="CD20" i="18"/>
  <c r="AM12" i="20"/>
  <c r="AM15" i="20"/>
  <c r="AJ10" i="20"/>
  <c r="Y16" i="20"/>
  <c r="AI10" i="20"/>
  <c r="AK14" i="20"/>
  <c r="AJ12" i="20"/>
  <c r="AM16" i="20"/>
  <c r="BS17" i="18"/>
  <c r="BS26" i="18"/>
  <c r="BS25" i="18"/>
  <c r="BS8" i="18"/>
  <c r="BS29" i="18"/>
  <c r="BS19" i="18"/>
  <c r="BS10" i="18"/>
  <c r="AF16" i="20"/>
  <c r="X16" i="20"/>
  <c r="AG16" i="20"/>
  <c r="AK16" i="20"/>
  <c r="AJ16" i="20"/>
  <c r="Z16" i="20"/>
  <c r="AH16" i="20"/>
  <c r="AC16" i="20"/>
  <c r="BS23" i="18"/>
  <c r="BS18" i="18"/>
  <c r="V16" i="20"/>
  <c r="BS22" i="18"/>
  <c r="BW10" i="18"/>
  <c r="BW24" i="18"/>
  <c r="BW28" i="18"/>
  <c r="BW14" i="18"/>
  <c r="BW8" i="18"/>
  <c r="BW26" i="18"/>
  <c r="BW16" i="18"/>
  <c r="BW20" i="18"/>
  <c r="BW21" i="18"/>
  <c r="BW34" i="18"/>
  <c r="BW17" i="18"/>
  <c r="BW30" i="18"/>
  <c r="BW27" i="18"/>
  <c r="BW15" i="18"/>
  <c r="BW9" i="18"/>
  <c r="BW11" i="18"/>
  <c r="BW13" i="18"/>
  <c r="BS31" i="18"/>
  <c r="BZ9" i="18"/>
  <c r="BT8" i="18"/>
  <c r="BT19" i="18"/>
  <c r="AJ14" i="20"/>
  <c r="BT9" i="18"/>
  <c r="BZ27" i="18"/>
  <c r="BZ10" i="18"/>
  <c r="AI14" i="20"/>
  <c r="AJ15" i="20"/>
  <c r="BZ14" i="18"/>
  <c r="BT15" i="18"/>
  <c r="BT13" i="18"/>
  <c r="BT14" i="18"/>
  <c r="BZ29" i="18"/>
  <c r="AK10" i="20"/>
  <c r="BT18" i="18"/>
  <c r="BT30" i="18"/>
  <c r="BZ21" i="18"/>
  <c r="CB23" i="18"/>
  <c r="BZ13" i="18"/>
  <c r="BZ31" i="18"/>
  <c r="AL15" i="20"/>
  <c r="BT24" i="18"/>
  <c r="AM14" i="20"/>
  <c r="CB14" i="18"/>
  <c r="AK11" i="20"/>
  <c r="AI11" i="20"/>
  <c r="AL11" i="20"/>
  <c r="AJ11" i="20"/>
  <c r="AM11" i="20"/>
  <c r="AK12" i="20"/>
  <c r="AL12" i="20"/>
  <c r="CC17" i="18"/>
  <c r="CC18" i="18"/>
  <c r="CC23" i="18"/>
  <c r="CC11" i="18"/>
  <c r="CC20" i="18"/>
  <c r="CC14" i="18"/>
  <c r="CC31" i="18"/>
  <c r="CC21" i="18"/>
  <c r="CC10" i="18"/>
  <c r="CC29" i="18"/>
  <c r="CC13" i="18"/>
  <c r="CC24" i="18"/>
  <c r="CC15" i="18"/>
  <c r="CC34" i="18"/>
  <c r="CC32" i="18"/>
  <c r="CC22" i="18"/>
  <c r="CC9" i="18"/>
  <c r="CC30" i="18"/>
  <c r="CC26" i="18"/>
  <c r="CC27" i="18"/>
  <c r="CC28" i="18"/>
  <c r="CC16" i="18"/>
  <c r="CC19" i="18"/>
  <c r="AL14" i="20"/>
  <c r="AL16" i="20"/>
  <c r="AL10" i="20"/>
  <c r="BU17" i="18"/>
  <c r="BU23" i="18"/>
  <c r="BU27" i="18"/>
  <c r="BU29" i="18"/>
  <c r="BU9" i="18"/>
  <c r="BU24" i="18"/>
  <c r="BU8" i="18"/>
  <c r="BU30" i="18"/>
  <c r="BU31" i="18"/>
  <c r="BU13" i="18"/>
  <c r="BU15" i="18"/>
  <c r="BU16" i="18"/>
  <c r="BU28" i="18"/>
  <c r="BU34" i="18"/>
  <c r="BU19" i="18"/>
  <c r="BU11" i="18"/>
  <c r="BU18" i="18"/>
  <c r="BU21" i="18"/>
  <c r="BP11" i="18"/>
  <c r="BP13" i="18"/>
  <c r="BP26" i="18"/>
  <c r="BP20" i="18"/>
  <c r="BP28" i="18"/>
  <c r="BP16" i="18"/>
  <c r="BP32" i="18"/>
  <c r="BP27" i="18"/>
  <c r="BP21" i="18"/>
  <c r="BP18" i="18"/>
  <c r="BP22" i="18"/>
  <c r="BP17" i="18"/>
  <c r="BP23" i="18"/>
  <c r="BP24" i="18"/>
  <c r="BP8" i="18"/>
  <c r="BP30" i="18"/>
  <c r="BP14" i="18"/>
  <c r="BP15" i="18"/>
  <c r="BP9" i="18"/>
  <c r="BQ23" i="18"/>
  <c r="BQ15" i="18"/>
  <c r="BQ31" i="18"/>
  <c r="BQ9" i="18"/>
  <c r="BQ18" i="18"/>
  <c r="BQ28" i="18"/>
  <c r="BQ17" i="18"/>
  <c r="BQ27" i="18"/>
  <c r="BQ13" i="18"/>
  <c r="CB31" i="18"/>
  <c r="CE35" i="18"/>
  <c r="D60" i="18" s="1"/>
  <c r="BQ34" i="18"/>
  <c r="BS13" i="18"/>
  <c r="BS11" i="18"/>
  <c r="BZ16" i="18"/>
  <c r="BZ11" i="18"/>
  <c r="BZ20" i="18"/>
  <c r="BZ17" i="18"/>
  <c r="BZ15" i="18"/>
  <c r="BZ8" i="18"/>
  <c r="BZ23" i="18"/>
  <c r="BZ24" i="18"/>
  <c r="BZ30" i="18"/>
  <c r="BZ22" i="18"/>
  <c r="U16" i="20"/>
  <c r="AI16" i="20"/>
  <c r="AA16" i="20"/>
  <c r="AB16" i="20"/>
  <c r="W16" i="20"/>
  <c r="CB18" i="18"/>
  <c r="CB10" i="18"/>
  <c r="CB27" i="18"/>
  <c r="CB34" i="18"/>
  <c r="CB26" i="18"/>
  <c r="CB16" i="18"/>
  <c r="CB29" i="18"/>
  <c r="CB30" i="18"/>
  <c r="CB19" i="18"/>
  <c r="CB9" i="18"/>
  <c r="CB13" i="18"/>
  <c r="CB20" i="18"/>
  <c r="AK15" i="20"/>
  <c r="BS28" i="18"/>
  <c r="BS21" i="18"/>
  <c r="BS9" i="18"/>
  <c r="BS15" i="18"/>
  <c r="BS24" i="18"/>
  <c r="BS34" i="18"/>
  <c r="CB22" i="18"/>
  <c r="BQ19" i="18"/>
  <c r="BQ11" i="18"/>
  <c r="CB24" i="18"/>
  <c r="CB17" i="18"/>
  <c r="BS30" i="18"/>
  <c r="BS27" i="18"/>
  <c r="BS16" i="18"/>
  <c r="BQ14" i="18"/>
  <c r="CB8" i="18"/>
  <c r="CB11" i="18"/>
  <c r="AI12" i="20"/>
  <c r="BQ8" i="18"/>
  <c r="BS14" i="18"/>
  <c r="BQ16" i="18"/>
  <c r="BQ20" i="18"/>
  <c r="BS20" i="18"/>
  <c r="AE16" i="20"/>
  <c r="AI15" i="20"/>
  <c r="BO34" i="18"/>
  <c r="BO24" i="18"/>
  <c r="BO9" i="18"/>
  <c r="BO23" i="18"/>
  <c r="BO14" i="18"/>
  <c r="BO15" i="18"/>
  <c r="BO22" i="18"/>
  <c r="BO31" i="18"/>
  <c r="BO26" i="18"/>
  <c r="CB21" i="18"/>
  <c r="CD17" i="18"/>
  <c r="CD30" i="18"/>
  <c r="CD29" i="18"/>
  <c r="CD34" i="18"/>
  <c r="AI35" i="18"/>
  <c r="C60" i="18" s="1"/>
  <c r="AJ13" i="20"/>
  <c r="AL13" i="20"/>
  <c r="AM13" i="20"/>
  <c r="AK13" i="20"/>
  <c r="AI13" i="20"/>
  <c r="AJ35" i="18"/>
  <c r="C61" i="18" s="1"/>
  <c r="BW32" i="18"/>
  <c r="BV32" i="18"/>
  <c r="CB32" i="18"/>
  <c r="BR32" i="18"/>
  <c r="BS32" i="18"/>
  <c r="BQ32" i="18"/>
  <c r="BT32" i="18"/>
  <c r="BU32" i="18"/>
  <c r="BZ32" i="18"/>
  <c r="CA32" i="18"/>
  <c r="BO32" i="18"/>
  <c r="CD32" i="18"/>
  <c r="BP12" i="18"/>
  <c r="BY12" i="18"/>
  <c r="CA12" i="18"/>
  <c r="BR12" i="18"/>
  <c r="CB12" i="18"/>
  <c r="BT25" i="18"/>
  <c r="BW25" i="18"/>
  <c r="BY25" i="18"/>
  <c r="BZ25" i="18"/>
  <c r="CD25" i="18"/>
  <c r="CB25" i="18"/>
  <c r="BO25" i="18"/>
  <c r="BP25" i="18"/>
  <c r="BU25" i="18"/>
  <c r="BX25" i="18"/>
  <c r="BX12" i="18"/>
  <c r="BQ12" i="18"/>
  <c r="BZ12" i="18"/>
  <c r="BS12" i="18"/>
  <c r="BO12" i="18"/>
  <c r="BT12" i="18"/>
  <c r="BU12" i="18"/>
  <c r="CD12" i="18"/>
  <c r="CC12" i="18"/>
  <c r="CB28" i="18"/>
  <c r="BZ33" i="18"/>
  <c r="BR33" i="18"/>
  <c r="BP33" i="18"/>
  <c r="CB33" i="18"/>
  <c r="CD33" i="18"/>
  <c r="BS33" i="18"/>
  <c r="BT33" i="18"/>
  <c r="CC33" i="18"/>
  <c r="BU33" i="18"/>
  <c r="BQ33" i="18"/>
  <c r="BX33" i="18"/>
  <c r="BW33" i="18"/>
  <c r="BO33" i="18"/>
  <c r="CA33" i="18"/>
  <c r="C40" i="18"/>
  <c r="BQ26" i="18"/>
  <c r="BR26" i="18"/>
  <c r="BU26" i="18"/>
  <c r="CD26" i="18"/>
  <c r="BZ26" i="18"/>
  <c r="BT26" i="18"/>
  <c r="K34" i="20"/>
  <c r="M7" i="20"/>
  <c r="M35" i="18"/>
  <c r="M7" i="18" s="1"/>
  <c r="J34" i="20"/>
  <c r="AD13" i="20" l="1"/>
  <c r="AD12" i="20"/>
  <c r="AD11" i="20"/>
  <c r="AD15" i="20"/>
  <c r="AD10" i="20"/>
  <c r="AD14" i="20"/>
  <c r="H60" i="18"/>
  <c r="E60" i="18"/>
  <c r="F60" i="18"/>
  <c r="G60" i="18"/>
  <c r="H61" i="18"/>
  <c r="G61" i="18"/>
  <c r="E61" i="18"/>
  <c r="F61" i="18"/>
  <c r="I61" i="18"/>
  <c r="AN8" i="20"/>
  <c r="AD8" i="20"/>
  <c r="AD9" i="20"/>
  <c r="AN9" i="20"/>
  <c r="AE17" i="20"/>
  <c r="D24" i="20" s="1"/>
  <c r="AL17" i="20"/>
  <c r="AH17" i="20"/>
  <c r="D27" i="20" s="1"/>
  <c r="AK17" i="20"/>
  <c r="AG17" i="20"/>
  <c r="D26" i="20" s="1"/>
  <c r="AM17" i="20"/>
  <c r="AF17" i="20"/>
  <c r="D25" i="20" s="1"/>
  <c r="AJ17" i="20"/>
  <c r="AI17" i="20"/>
  <c r="D28" i="20" s="1"/>
  <c r="Y17" i="20"/>
  <c r="C28" i="20" s="1"/>
  <c r="AB17" i="20"/>
  <c r="W17" i="20"/>
  <c r="C26" i="20" s="1"/>
  <c r="E26" i="20" s="1"/>
  <c r="AC17" i="20"/>
  <c r="U17" i="20"/>
  <c r="C24" i="20" s="1"/>
  <c r="AA17" i="20"/>
  <c r="Z17" i="20"/>
  <c r="X17" i="20"/>
  <c r="C27" i="20" s="1"/>
  <c r="V17" i="20"/>
  <c r="C25" i="20" s="1"/>
  <c r="H25" i="20" s="1"/>
  <c r="BN34" i="18"/>
  <c r="BN8" i="18"/>
  <c r="DJ8" i="18"/>
  <c r="DJ25" i="18"/>
  <c r="BN30" i="18"/>
  <c r="DJ31" i="18"/>
  <c r="DJ23" i="18"/>
  <c r="DJ17" i="18"/>
  <c r="BN15" i="18"/>
  <c r="BN32" i="18"/>
  <c r="BN24" i="18"/>
  <c r="BN10" i="18"/>
  <c r="DJ19" i="18"/>
  <c r="DJ13" i="18"/>
  <c r="BN11" i="18"/>
  <c r="BN25" i="18"/>
  <c r="DJ32" i="18"/>
  <c r="DJ22" i="18"/>
  <c r="BN18" i="18"/>
  <c r="BN27" i="18"/>
  <c r="DJ28" i="18"/>
  <c r="DJ29" i="18"/>
  <c r="DJ18" i="18"/>
  <c r="BN26" i="18"/>
  <c r="BN12" i="18"/>
  <c r="DJ15" i="18"/>
  <c r="BN21" i="18"/>
  <c r="BN13" i="18"/>
  <c r="BN29" i="18"/>
  <c r="BN17" i="18"/>
  <c r="DJ20" i="18"/>
  <c r="DJ21" i="18"/>
  <c r="DJ30" i="18"/>
  <c r="DJ10" i="18"/>
  <c r="DJ9" i="18"/>
  <c r="BN28" i="18"/>
  <c r="DJ16" i="18"/>
  <c r="BN31" i="18"/>
  <c r="DJ33" i="18"/>
  <c r="DJ24" i="18"/>
  <c r="BN33" i="18"/>
  <c r="BN16" i="18"/>
  <c r="DJ12" i="18"/>
  <c r="DJ26" i="18"/>
  <c r="DJ14" i="18"/>
  <c r="DJ34" i="18"/>
  <c r="BN23" i="18"/>
  <c r="BN9" i="18"/>
  <c r="BN19" i="18"/>
  <c r="BN20" i="18"/>
  <c r="BN14" i="18"/>
  <c r="DJ27" i="18"/>
  <c r="DJ11" i="18"/>
  <c r="BN22" i="18"/>
  <c r="BV35" i="18"/>
  <c r="D51" i="18" s="1"/>
  <c r="AN10" i="20"/>
  <c r="AH35" i="18"/>
  <c r="C59" i="18" s="1"/>
  <c r="AN14" i="20"/>
  <c r="AN11" i="20"/>
  <c r="AN16" i="20"/>
  <c r="AN12" i="20"/>
  <c r="AN15" i="20"/>
  <c r="AD16" i="20"/>
  <c r="AN13" i="20"/>
  <c r="V35" i="18"/>
  <c r="C47" i="18" s="1"/>
  <c r="AD35" i="18"/>
  <c r="C55" i="18" s="1"/>
  <c r="AC35" i="18"/>
  <c r="C54" i="18" s="1"/>
  <c r="S35" i="18"/>
  <c r="C44" i="18" s="1"/>
  <c r="BY35" i="18"/>
  <c r="D54" i="18" s="1"/>
  <c r="CA35" i="18"/>
  <c r="D56" i="18" s="1"/>
  <c r="T35" i="18"/>
  <c r="C45" i="18" s="1"/>
  <c r="X35" i="18"/>
  <c r="C49" i="18" s="1"/>
  <c r="Z35" i="18"/>
  <c r="C51" i="18" s="1"/>
  <c r="BS35" i="18"/>
  <c r="D48" i="18" s="1"/>
  <c r="BR35" i="18"/>
  <c r="D47" i="18" s="1"/>
  <c r="BX35" i="18"/>
  <c r="D53" i="18" s="1"/>
  <c r="CC35" i="18"/>
  <c r="D58" i="18" s="1"/>
  <c r="BZ35" i="18"/>
  <c r="D55" i="18" s="1"/>
  <c r="AA35" i="18"/>
  <c r="C52" i="18" s="1"/>
  <c r="AE35" i="18"/>
  <c r="C56" i="18" s="1"/>
  <c r="BO35" i="18"/>
  <c r="D44" i="18" s="1"/>
  <c r="BP35" i="18"/>
  <c r="D45" i="18" s="1"/>
  <c r="BW35" i="18"/>
  <c r="D52" i="18" s="1"/>
  <c r="U35" i="18"/>
  <c r="C46" i="18" s="1"/>
  <c r="BQ35" i="18"/>
  <c r="D46" i="18" s="1"/>
  <c r="AG35" i="18"/>
  <c r="C58" i="18" s="1"/>
  <c r="BU35" i="18"/>
  <c r="D50" i="18" s="1"/>
  <c r="AB35" i="18"/>
  <c r="C53" i="18" s="1"/>
  <c r="CD35" i="18"/>
  <c r="D59" i="18" s="1"/>
  <c r="CB35" i="18"/>
  <c r="D57" i="18" s="1"/>
  <c r="BT35" i="18"/>
  <c r="D49" i="18" s="1"/>
  <c r="Y35" i="18"/>
  <c r="C50" i="18" s="1"/>
  <c r="AF35" i="18"/>
  <c r="C57" i="18" s="1"/>
  <c r="W35" i="18"/>
  <c r="C48" i="18" s="1"/>
  <c r="H28" i="20" l="1"/>
  <c r="F27" i="20"/>
  <c r="F53" i="18"/>
  <c r="G53" i="18"/>
  <c r="H53" i="18"/>
  <c r="E53" i="18"/>
  <c r="E56" i="18"/>
  <c r="F56" i="18"/>
  <c r="G56" i="18"/>
  <c r="H56" i="18"/>
  <c r="H49" i="18"/>
  <c r="E49" i="18"/>
  <c r="F49" i="18"/>
  <c r="G49" i="18"/>
  <c r="E47" i="18"/>
  <c r="H47" i="18"/>
  <c r="G47" i="18"/>
  <c r="F47" i="18"/>
  <c r="E45" i="18"/>
  <c r="F45" i="18"/>
  <c r="G45" i="18"/>
  <c r="H45" i="18"/>
  <c r="E48" i="18"/>
  <c r="F48" i="18"/>
  <c r="G48" i="18"/>
  <c r="H48" i="18"/>
  <c r="G57" i="18"/>
  <c r="H57" i="18"/>
  <c r="F57" i="18"/>
  <c r="E57" i="18"/>
  <c r="E51" i="18"/>
  <c r="F51" i="18"/>
  <c r="G51" i="18"/>
  <c r="H51" i="18"/>
  <c r="E52" i="18"/>
  <c r="F52" i="18"/>
  <c r="G52" i="18"/>
  <c r="H52" i="18"/>
  <c r="E46" i="18"/>
  <c r="H46" i="18"/>
  <c r="G46" i="18"/>
  <c r="F46" i="18"/>
  <c r="E44" i="18"/>
  <c r="H44" i="18"/>
  <c r="F44" i="18"/>
  <c r="G44" i="18"/>
  <c r="E50" i="18"/>
  <c r="F50" i="18"/>
  <c r="G50" i="18"/>
  <c r="H50" i="18"/>
  <c r="E54" i="18"/>
  <c r="H54" i="18"/>
  <c r="G54" i="18"/>
  <c r="F54" i="18"/>
  <c r="G59" i="18"/>
  <c r="F59" i="18"/>
  <c r="H59" i="18"/>
  <c r="E59" i="18"/>
  <c r="G58" i="18"/>
  <c r="H58" i="18"/>
  <c r="E58" i="18"/>
  <c r="F58" i="18"/>
  <c r="G55" i="18"/>
  <c r="E55" i="18"/>
  <c r="F55" i="18"/>
  <c r="H55" i="18"/>
  <c r="I57" i="18"/>
  <c r="I44" i="18"/>
  <c r="I47" i="18"/>
  <c r="I53" i="18"/>
  <c r="I49" i="18"/>
  <c r="I55" i="18"/>
  <c r="I60" i="18"/>
  <c r="I51" i="18"/>
  <c r="I59" i="18"/>
  <c r="I56" i="18"/>
  <c r="I52" i="18"/>
  <c r="I45" i="18"/>
  <c r="I48" i="18"/>
  <c r="J61" i="18"/>
  <c r="K61" i="18" s="1"/>
  <c r="G25" i="20"/>
  <c r="C34" i="20"/>
  <c r="F25" i="20"/>
  <c r="F28" i="20"/>
  <c r="D34" i="20"/>
  <c r="H27" i="20"/>
  <c r="G27" i="20"/>
  <c r="H26" i="20"/>
  <c r="E27" i="20"/>
  <c r="F26" i="20"/>
  <c r="G26" i="20"/>
  <c r="F24" i="20"/>
  <c r="E25" i="20"/>
  <c r="E24" i="20"/>
  <c r="H24" i="20"/>
  <c r="G24" i="20"/>
  <c r="I25" i="20"/>
  <c r="I28" i="20"/>
  <c r="I26" i="20"/>
  <c r="I24" i="20"/>
  <c r="I27" i="20"/>
  <c r="AD17" i="20"/>
  <c r="AN17" i="20"/>
  <c r="D90" i="18"/>
  <c r="K33" i="20"/>
  <c r="DJ35" i="18"/>
  <c r="BN35" i="18"/>
  <c r="G28" i="20" l="1"/>
  <c r="E28" i="20"/>
  <c r="J28" i="20" s="1"/>
  <c r="K28" i="20" s="1"/>
  <c r="J53" i="18"/>
  <c r="K53" i="18" s="1"/>
  <c r="J52" i="18"/>
  <c r="K52" i="18" s="1"/>
  <c r="J47" i="18"/>
  <c r="K47" i="18" s="1"/>
  <c r="J57" i="18"/>
  <c r="K57" i="18" s="1"/>
  <c r="J48" i="18"/>
  <c r="K48" i="18" s="1"/>
  <c r="J45" i="18"/>
  <c r="K45" i="18" s="1"/>
  <c r="I46" i="18"/>
  <c r="I58" i="18"/>
  <c r="I54" i="18"/>
  <c r="J51" i="18"/>
  <c r="K51" i="18" s="1"/>
  <c r="J60" i="18"/>
  <c r="K60" i="18" s="1"/>
  <c r="I50" i="18"/>
  <c r="J56" i="18"/>
  <c r="K56" i="18" s="1"/>
  <c r="J59" i="18"/>
  <c r="K59" i="18" s="1"/>
  <c r="J55" i="18"/>
  <c r="K55" i="18" s="1"/>
  <c r="J44" i="18"/>
  <c r="J49" i="18"/>
  <c r="K49" i="18" s="1"/>
  <c r="C90" i="18"/>
  <c r="J24" i="20"/>
  <c r="K24" i="20" s="1"/>
  <c r="J27" i="20"/>
  <c r="K27" i="20" s="1"/>
  <c r="J25" i="20"/>
  <c r="K25" i="20" s="1"/>
  <c r="J26" i="20"/>
  <c r="K26" i="20" s="1"/>
  <c r="J33" i="20"/>
  <c r="K44" i="18" l="1"/>
  <c r="J46" i="18"/>
  <c r="K46" i="18" s="1"/>
  <c r="J54" i="18"/>
  <c r="K54" i="18" s="1"/>
  <c r="J58" i="18"/>
  <c r="K58" i="18" s="1"/>
  <c r="J50" i="18"/>
  <c r="K50" i="18" s="1"/>
  <c r="G90" i="18"/>
  <c r="F90" i="18"/>
  <c r="H90" i="18"/>
  <c r="I90" i="18"/>
  <c r="E90" i="18"/>
  <c r="J90" i="18" l="1"/>
  <c r="K90" i="18"/>
</calcChain>
</file>

<file path=xl/sharedStrings.xml><?xml version="1.0" encoding="utf-8"?>
<sst xmlns="http://schemas.openxmlformats.org/spreadsheetml/2006/main" count="305" uniqueCount="159">
  <si>
    <t>Total</t>
  </si>
  <si>
    <t>Hauling</t>
  </si>
  <si>
    <t>EMB</t>
  </si>
  <si>
    <t>TM</t>
  </si>
  <si>
    <t>Parameters</t>
  </si>
  <si>
    <t>TOTAL</t>
  </si>
  <si>
    <t>AM</t>
  </si>
  <si>
    <t>RF</t>
  </si>
  <si>
    <t>INV.</t>
  </si>
  <si>
    <t>M</t>
  </si>
  <si>
    <t>ASH</t>
  </si>
  <si>
    <t>TS</t>
  </si>
  <si>
    <t>CV (ADB)</t>
  </si>
  <si>
    <t>CV (AR)</t>
  </si>
  <si>
    <t>Product</t>
  </si>
  <si>
    <t>JBG</t>
  </si>
  <si>
    <t>INVENTORY</t>
  </si>
  <si>
    <t>HAULING</t>
  </si>
  <si>
    <t>COAL QUALITIES STATUS PSY</t>
  </si>
  <si>
    <t>RF 24-</t>
  </si>
  <si>
    <t>RF 25-</t>
  </si>
  <si>
    <t>RF 42-</t>
  </si>
  <si>
    <t>BC43-1</t>
  </si>
  <si>
    <t>BC43-2</t>
  </si>
  <si>
    <t>BC43-3</t>
  </si>
  <si>
    <t>BC43-4</t>
  </si>
  <si>
    <t>BC43-5</t>
  </si>
  <si>
    <t>BC43-6</t>
  </si>
  <si>
    <t>BC43-7</t>
  </si>
  <si>
    <t>COAL QUALITIES STATUS MSY</t>
  </si>
  <si>
    <t>CV (NAR)</t>
  </si>
  <si>
    <t>RF24-1</t>
  </si>
  <si>
    <t>TC24-1-A</t>
  </si>
  <si>
    <t>TC24- 1-B</t>
  </si>
  <si>
    <t>RF24-2-A</t>
  </si>
  <si>
    <t>RF24- 2-B</t>
  </si>
  <si>
    <t>RF25-1</t>
  </si>
  <si>
    <t>TC25-1-A</t>
  </si>
  <si>
    <t>TC25- 1-B</t>
  </si>
  <si>
    <t>RF25-2-A</t>
  </si>
  <si>
    <t>RF25- 2-B</t>
  </si>
  <si>
    <t>RF25-3-A</t>
  </si>
  <si>
    <t>RF25-3-B</t>
  </si>
  <si>
    <t>TC42-1A</t>
  </si>
  <si>
    <t>TC42-1B</t>
  </si>
  <si>
    <t>RF42-2</t>
  </si>
  <si>
    <t>TC42-2A</t>
  </si>
  <si>
    <t>TC42-2B</t>
  </si>
  <si>
    <t>RF42-4A</t>
  </si>
  <si>
    <t>RF42-4B</t>
  </si>
  <si>
    <t>RF42-5A</t>
  </si>
  <si>
    <t>RF42-5B</t>
  </si>
  <si>
    <t>RF42-6A</t>
  </si>
  <si>
    <t>RF42-6B</t>
  </si>
  <si>
    <t>TC24-2-A</t>
  </si>
  <si>
    <t>TC24-2-B</t>
  </si>
  <si>
    <t>TC 25-2-A</t>
  </si>
  <si>
    <t>TC 25-2-B</t>
  </si>
  <si>
    <t>FC</t>
  </si>
  <si>
    <t>Crushing</t>
  </si>
  <si>
    <t>CR3</t>
  </si>
  <si>
    <t>PSY</t>
  </si>
  <si>
    <t xml:space="preserve"> </t>
  </si>
  <si>
    <t>GAM</t>
  </si>
  <si>
    <t>IMM EB  LTS</t>
  </si>
  <si>
    <t>On Vessel MV HIGH GATE</t>
  </si>
  <si>
    <t>IMM EB MTS</t>
  </si>
  <si>
    <t>BBA</t>
  </si>
  <si>
    <t>Capacity</t>
  </si>
  <si>
    <t>Space</t>
  </si>
  <si>
    <t>PSY INVENTORY</t>
  </si>
  <si>
    <t>IMM-WB.HCV.LS</t>
  </si>
  <si>
    <t>IMM-WB.HCV.HS</t>
  </si>
  <si>
    <t>IMM-EB.MCV.LS</t>
  </si>
  <si>
    <t>IMM-EB.MCV.MS</t>
  </si>
  <si>
    <t>IMM-EB.MCV.HS</t>
  </si>
  <si>
    <t>TCM.HCV.LS</t>
  </si>
  <si>
    <t>TCM.HCV.MS</t>
  </si>
  <si>
    <t>TCM.HCV.HS</t>
  </si>
  <si>
    <t>BEK.MCV.LS</t>
  </si>
  <si>
    <t>GPK</t>
  </si>
  <si>
    <t>ALH.MCV.LS</t>
  </si>
  <si>
    <t>BBA.LCV</t>
  </si>
  <si>
    <t>BBE.LCV</t>
  </si>
  <si>
    <t>BEP.LCV</t>
  </si>
  <si>
    <t>BN.LCV.LS</t>
  </si>
  <si>
    <t>BOS.HCV</t>
  </si>
  <si>
    <t>BOS.HCV.LS</t>
  </si>
  <si>
    <t>EBH.HCV</t>
  </si>
  <si>
    <t>EBH.HCV.LS</t>
  </si>
  <si>
    <t>GAM.LCV.LS</t>
  </si>
  <si>
    <t>GBU.MCV</t>
  </si>
  <si>
    <t>IDX.LCV.LS</t>
  </si>
  <si>
    <t>JMB.MCV</t>
  </si>
  <si>
    <t>JMB.MCV.LS</t>
  </si>
  <si>
    <t>KBM.MCV</t>
  </si>
  <si>
    <t>KEI.LCV.LS</t>
  </si>
  <si>
    <t>KJA.LCV.LS</t>
  </si>
  <si>
    <t>KMIA.MCV.LS</t>
  </si>
  <si>
    <t>LSP.LCV</t>
  </si>
  <si>
    <t>MHU.MCV.LS</t>
  </si>
  <si>
    <t>MHU.MCV.HS</t>
  </si>
  <si>
    <r>
      <rPr>
        <b/>
        <sz val="12"/>
        <color theme="0"/>
        <rFont val="Arial"/>
        <family val="2"/>
      </rPr>
      <t xml:space="preserve">TABLE 2: </t>
    </r>
    <r>
      <rPr>
        <b/>
        <sz val="12"/>
        <rFont val="Arial"/>
        <family val="2"/>
      </rPr>
      <t>MSY DAILY INVENTORY</t>
    </r>
  </si>
  <si>
    <t>BEK.MCV.MS</t>
  </si>
  <si>
    <t>JHN.LCV.LS</t>
  </si>
  <si>
    <t>CR4-5 A</t>
  </si>
  <si>
    <t>CR4-5 B</t>
  </si>
  <si>
    <t>MSY INVENTORY</t>
  </si>
  <si>
    <t>Stockpile</t>
  </si>
  <si>
    <t>`</t>
  </si>
  <si>
    <t>IMM-WB.MCV.HS</t>
  </si>
  <si>
    <t>Date</t>
  </si>
  <si>
    <t>Actual MTD</t>
  </si>
  <si>
    <t>Balance</t>
  </si>
  <si>
    <t>Achievement</t>
  </si>
  <si>
    <t>Plan RTH</t>
  </si>
  <si>
    <t xml:space="preserve">Average </t>
  </si>
  <si>
    <t>EMJ.MCV</t>
  </si>
  <si>
    <t>TIS</t>
  </si>
  <si>
    <t>SHORE.HCV</t>
  </si>
  <si>
    <t>AMANAH.HCV</t>
  </si>
  <si>
    <t>BPC.HCV</t>
  </si>
  <si>
    <t>BBE.MCV</t>
  </si>
  <si>
    <t>MBL.MCV</t>
  </si>
  <si>
    <t>GHP.MCV</t>
  </si>
  <si>
    <t>PEY.MCV</t>
  </si>
  <si>
    <t>GPE.LCV</t>
  </si>
  <si>
    <t>AUB.LCV.LS</t>
  </si>
  <si>
    <t>JHN.LCV</t>
  </si>
  <si>
    <t>DMP.LCV</t>
  </si>
  <si>
    <t>MCM.LCV</t>
  </si>
  <si>
    <t>BMM.LCV</t>
  </si>
  <si>
    <t>MML.LCV</t>
  </si>
  <si>
    <t>SJA.LCV</t>
  </si>
  <si>
    <t>KWA.LCV</t>
  </si>
  <si>
    <t>KJM.LCV</t>
  </si>
  <si>
    <t>BISM.LCV</t>
  </si>
  <si>
    <t>IKJ.MCV</t>
  </si>
  <si>
    <t>IMM-EB.MCV.HS ext</t>
  </si>
  <si>
    <t>IMM-EB.MCV.HS Ext</t>
  </si>
  <si>
    <t>RTH</t>
  </si>
  <si>
    <t>Plan FC</t>
  </si>
  <si>
    <t>MKE.LCV</t>
  </si>
  <si>
    <t>IWM.LCV</t>
  </si>
  <si>
    <t xml:space="preserve">Outlook </t>
  </si>
  <si>
    <t>FINE COAL</t>
  </si>
  <si>
    <t xml:space="preserve">FINE COAL </t>
  </si>
  <si>
    <t>Plan RTH (%)</t>
  </si>
  <si>
    <t>Plan FC (%)</t>
  </si>
  <si>
    <t>Actual MTD (%)</t>
  </si>
  <si>
    <t xml:space="preserve"> -   </t>
  </si>
  <si>
    <t xml:space="preserve"> 7:00 AM</t>
  </si>
  <si>
    <t>NOTE</t>
  </si>
  <si>
    <t>JERA #6/12 (TS rej 1.3%)</t>
  </si>
  <si>
    <t>BEK.MCV.HS</t>
  </si>
  <si>
    <t>NEI</t>
  </si>
  <si>
    <t>HWA</t>
  </si>
  <si>
    <t>GIE</t>
  </si>
  <si>
    <t>GAM.LCV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</si>
</sst>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฿&quot;#,##0;\-&quot;฿&quot;#,##0"/>
    <numFmt numFmtId="165" formatCode="&quot;฿&quot;#,##0.00;[Red]\-&quot;฿&quot;#,##0.00"/>
    <numFmt numFmtId="166" formatCode="_-&quot;฿&quot;* #,##0_-;\-&quot;฿&quot;* #,##0_-;_-&quot;฿&quot;* &quot;-&quot;_-;_-@_-"/>
    <numFmt numFmtId="167" formatCode="_-&quot;฿&quot;* #,##0.00_-;\-&quot;฿&quot;* #,##0.00_-;_-&quot;฿&quot;* &quot;-&quot;??_-;_-@_-"/>
    <numFmt numFmtId="168" formatCode="000000"/>
    <numFmt numFmtId="169" formatCode="d\.mmm"/>
    <numFmt numFmtId="170" formatCode="#,##0\ &quot;FB&quot;;\-#,##0\ &quot;FB&quot;"/>
    <numFmt numFmtId="171" formatCode="mmmm\ d\,\ yyyy"/>
    <numFmt numFmtId="172" formatCode="0.0000E+00"/>
    <numFmt numFmtId="173" formatCode="[$-409]mmmm\-yy;@"/>
    <numFmt numFmtId="174" formatCode="_(* #,##0_);_(* \(#,##0\);_(* &quot;-&quot;??_);_(@_)"/>
    <numFmt numFmtId="175" formatCode="[$-409]m/d/yy\ h:mm\ AM/PM;@"/>
    <numFmt numFmtId="176" formatCode="mm/dd/yy;@"/>
    <numFmt numFmtId="177" formatCode="0_);[Red]\(0\)"/>
    <numFmt numFmtId="178" formatCode="[$-409]d\-mmm\-yy;@"/>
    <numFmt numFmtId="179" formatCode="[$-409]d\-mmm;@"/>
    <numFmt numFmtId="180" formatCode="0.0000"/>
  </numFmts>
  <fonts count="70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2"/>
      <name val="¹ÙÅÁÃ¼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2"/>
      <name val="Arial"/>
      <family val="2"/>
    </font>
    <font>
      <b/>
      <sz val="18"/>
      <name val="Arial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indexed="8"/>
      <name val="Calibri"/>
      <family val="2"/>
      <charset val="222"/>
    </font>
    <font>
      <sz val="11"/>
      <color indexed="9"/>
      <name val="Calibri"/>
      <family val="2"/>
      <charset val="222"/>
    </font>
    <font>
      <b/>
      <sz val="11"/>
      <color indexed="9"/>
      <name val="Calibri"/>
      <family val="2"/>
      <charset val="222"/>
    </font>
    <font>
      <sz val="11"/>
      <color indexed="52"/>
      <name val="Calibri"/>
      <family val="2"/>
      <charset val="222"/>
    </font>
    <font>
      <sz val="11"/>
      <color indexed="20"/>
      <name val="Calibri"/>
      <family val="2"/>
      <charset val="222"/>
    </font>
    <font>
      <b/>
      <sz val="11"/>
      <color indexed="63"/>
      <name val="Calibri"/>
      <family val="2"/>
      <charset val="222"/>
    </font>
    <font>
      <b/>
      <sz val="11"/>
      <color indexed="52"/>
      <name val="Calibri"/>
      <family val="2"/>
      <charset val="222"/>
    </font>
    <font>
      <sz val="11"/>
      <color indexed="10"/>
      <name val="Calibri"/>
      <family val="2"/>
      <charset val="222"/>
    </font>
    <font>
      <i/>
      <sz val="11"/>
      <color indexed="23"/>
      <name val="Calibri"/>
      <family val="2"/>
      <charset val="222"/>
    </font>
    <font>
      <b/>
      <sz val="18"/>
      <color indexed="56"/>
      <name val="Cambria"/>
      <family val="2"/>
      <charset val="222"/>
    </font>
    <font>
      <sz val="11"/>
      <color indexed="17"/>
      <name val="Calibri"/>
      <family val="2"/>
      <charset val="222"/>
    </font>
    <font>
      <sz val="11"/>
      <color indexed="62"/>
      <name val="Calibri"/>
      <family val="2"/>
      <charset val="222"/>
    </font>
    <font>
      <sz val="11"/>
      <color indexed="60"/>
      <name val="Calibri"/>
      <family val="2"/>
      <charset val="222"/>
    </font>
    <font>
      <b/>
      <sz val="11"/>
      <color indexed="8"/>
      <name val="Calibri"/>
      <family val="2"/>
      <charset val="222"/>
    </font>
    <font>
      <b/>
      <sz val="15"/>
      <color indexed="56"/>
      <name val="Calibri"/>
      <family val="2"/>
      <charset val="222"/>
    </font>
    <font>
      <b/>
      <sz val="13"/>
      <color indexed="56"/>
      <name val="Calibri"/>
      <family val="2"/>
      <charset val="222"/>
    </font>
    <font>
      <b/>
      <sz val="11"/>
      <color indexed="56"/>
      <name val="Calibri"/>
      <family val="2"/>
      <charset val="222"/>
    </font>
    <font>
      <b/>
      <sz val="10"/>
      <name val="Arial"/>
      <family val="2"/>
    </font>
    <font>
      <b/>
      <sz val="10"/>
      <color indexed="10"/>
      <name val="Arial"/>
      <family val="2"/>
    </font>
    <font>
      <sz val="11"/>
      <name val="Times New Roman"/>
      <family val="1"/>
    </font>
    <font>
      <sz val="10"/>
      <name val="Tahoma"/>
      <family val="2"/>
    </font>
    <font>
      <b/>
      <sz val="10"/>
      <name val="Tahoma"/>
      <family val="2"/>
    </font>
    <font>
      <b/>
      <sz val="10"/>
      <color indexed="10"/>
      <name val="Tahoma"/>
      <family val="2"/>
    </font>
    <font>
      <sz val="9"/>
      <color rgb="FF000000"/>
      <name val="Arial"/>
      <family val="2"/>
    </font>
    <font>
      <b/>
      <u/>
      <sz val="16"/>
      <name val="Tahoma"/>
      <family val="2"/>
    </font>
    <font>
      <b/>
      <u/>
      <sz val="14"/>
      <name val="Tahoma"/>
      <family val="2"/>
    </font>
    <font>
      <b/>
      <sz val="14"/>
      <name val="Tahoma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2"/>
      <name val="Tahoma"/>
      <family val="2"/>
    </font>
    <font>
      <sz val="12"/>
      <name val="Arial"/>
      <family val="2"/>
    </font>
    <font>
      <b/>
      <sz val="12"/>
      <name val="Tahoma"/>
      <family val="2"/>
    </font>
    <font>
      <b/>
      <sz val="12"/>
      <color indexed="10"/>
      <name val="Tahoma"/>
      <family val="2"/>
    </font>
    <font>
      <b/>
      <sz val="12"/>
      <color indexed="10"/>
      <name val="Arial"/>
      <family val="2"/>
    </font>
    <font>
      <sz val="12"/>
      <color theme="1"/>
      <name val="Tahoma"/>
      <family val="2"/>
    </font>
    <font>
      <b/>
      <sz val="12"/>
      <color theme="0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0"/>
      <color rgb="FFFF000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2"/>
      <name val="Georgia Pro Semibold"/>
      <family val="1"/>
    </font>
    <font>
      <sz val="12"/>
      <name val="Georgia Pro Cond Semibold"/>
      <family val="1"/>
    </font>
    <font>
      <sz val="12"/>
      <name val="Georgia Pro"/>
      <family val="1"/>
    </font>
    <font>
      <sz val="12"/>
      <color theme="1"/>
      <name val="Georgia Pro"/>
      <family val="1"/>
    </font>
    <font>
      <b/>
      <sz val="12"/>
      <color theme="1"/>
      <name val="Tahoma"/>
      <family val="2"/>
    </font>
    <font>
      <sz val="12"/>
      <color theme="1"/>
      <name val="Georgia Pro Cond Semibold"/>
      <family val="1"/>
    </font>
    <font>
      <b/>
      <sz val="12"/>
      <name val="Georgia Pro"/>
      <family val="1"/>
    </font>
  </fonts>
  <fills count="4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33"/>
        <bgColor indexed="64"/>
      </patternFill>
    </fill>
  </fills>
  <borders count="5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</borders>
  <cellStyleXfs count="112">
    <xf numFmtId="173" fontId="0" fillId="0" borderId="0"/>
    <xf numFmtId="168" fontId="1" fillId="0" borderId="0">
      <protection locked="0"/>
    </xf>
    <xf numFmtId="169" fontId="1" fillId="0" borderId="0">
      <protection locked="0"/>
    </xf>
    <xf numFmtId="168" fontId="1" fillId="0" borderId="0">
      <protection locked="0"/>
    </xf>
    <xf numFmtId="169" fontId="1" fillId="0" borderId="0">
      <protection locked="0"/>
    </xf>
    <xf numFmtId="9" fontId="3" fillId="0" borderId="0" applyFont="0" applyFill="0" applyBorder="0" applyAlignment="0" applyProtection="0"/>
    <xf numFmtId="173" fontId="4" fillId="2" borderId="0" applyNumberFormat="0" applyBorder="0" applyAlignment="0" applyProtection="0"/>
    <xf numFmtId="173" fontId="4" fillId="3" borderId="0" applyNumberFormat="0" applyBorder="0" applyAlignment="0" applyProtection="0"/>
    <xf numFmtId="173" fontId="4" fillId="4" borderId="0" applyNumberFormat="0" applyBorder="0" applyAlignment="0" applyProtection="0"/>
    <xf numFmtId="173" fontId="4" fillId="5" borderId="0" applyNumberFormat="0" applyBorder="0" applyAlignment="0" applyProtection="0"/>
    <xf numFmtId="173" fontId="4" fillId="6" borderId="0" applyNumberFormat="0" applyBorder="0" applyAlignment="0" applyProtection="0"/>
    <xf numFmtId="173" fontId="4" fillId="7" borderId="0" applyNumberFormat="0" applyBorder="0" applyAlignment="0" applyProtection="0"/>
    <xf numFmtId="173" fontId="21" fillId="2" borderId="0" applyNumberFormat="0" applyBorder="0" applyAlignment="0" applyProtection="0"/>
    <xf numFmtId="173" fontId="21" fillId="3" borderId="0" applyNumberFormat="0" applyBorder="0" applyAlignment="0" applyProtection="0"/>
    <xf numFmtId="173" fontId="21" fillId="4" borderId="0" applyNumberFormat="0" applyBorder="0" applyAlignment="0" applyProtection="0"/>
    <xf numFmtId="173" fontId="21" fillId="5" borderId="0" applyNumberFormat="0" applyBorder="0" applyAlignment="0" applyProtection="0"/>
    <xf numFmtId="173" fontId="21" fillId="6" borderId="0" applyNumberFormat="0" applyBorder="0" applyAlignment="0" applyProtection="0"/>
    <xf numFmtId="173" fontId="21" fillId="7" borderId="0" applyNumberFormat="0" applyBorder="0" applyAlignment="0" applyProtection="0"/>
    <xf numFmtId="173" fontId="4" fillId="8" borderId="0" applyNumberFormat="0" applyBorder="0" applyAlignment="0" applyProtection="0"/>
    <xf numFmtId="173" fontId="4" fillId="9" borderId="0" applyNumberFormat="0" applyBorder="0" applyAlignment="0" applyProtection="0"/>
    <xf numFmtId="173" fontId="4" fillId="10" borderId="0" applyNumberFormat="0" applyBorder="0" applyAlignment="0" applyProtection="0"/>
    <xf numFmtId="173" fontId="4" fillId="5" borderId="0" applyNumberFormat="0" applyBorder="0" applyAlignment="0" applyProtection="0"/>
    <xf numFmtId="173" fontId="4" fillId="8" borderId="0" applyNumberFormat="0" applyBorder="0" applyAlignment="0" applyProtection="0"/>
    <xf numFmtId="173" fontId="4" fillId="11" borderId="0" applyNumberFormat="0" applyBorder="0" applyAlignment="0" applyProtection="0"/>
    <xf numFmtId="173" fontId="21" fillId="8" borderId="0" applyNumberFormat="0" applyBorder="0" applyAlignment="0" applyProtection="0"/>
    <xf numFmtId="173" fontId="21" fillId="9" borderId="0" applyNumberFormat="0" applyBorder="0" applyAlignment="0" applyProtection="0"/>
    <xf numFmtId="173" fontId="21" fillId="10" borderId="0" applyNumberFormat="0" applyBorder="0" applyAlignment="0" applyProtection="0"/>
    <xf numFmtId="173" fontId="21" fillId="5" borderId="0" applyNumberFormat="0" applyBorder="0" applyAlignment="0" applyProtection="0"/>
    <xf numFmtId="173" fontId="21" fillId="8" borderId="0" applyNumberFormat="0" applyBorder="0" applyAlignment="0" applyProtection="0"/>
    <xf numFmtId="173" fontId="21" fillId="11" borderId="0" applyNumberFormat="0" applyBorder="0" applyAlignment="0" applyProtection="0"/>
    <xf numFmtId="173" fontId="5" fillId="12" borderId="0" applyNumberFormat="0" applyBorder="0" applyAlignment="0" applyProtection="0"/>
    <xf numFmtId="173" fontId="5" fillId="9" borderId="0" applyNumberFormat="0" applyBorder="0" applyAlignment="0" applyProtection="0"/>
    <xf numFmtId="173" fontId="5" fillId="10" borderId="0" applyNumberFormat="0" applyBorder="0" applyAlignment="0" applyProtection="0"/>
    <xf numFmtId="173" fontId="5" fillId="13" borderId="0" applyNumberFormat="0" applyBorder="0" applyAlignment="0" applyProtection="0"/>
    <xf numFmtId="173" fontId="5" fillId="14" borderId="0" applyNumberFormat="0" applyBorder="0" applyAlignment="0" applyProtection="0"/>
    <xf numFmtId="173" fontId="5" fillId="15" borderId="0" applyNumberFormat="0" applyBorder="0" applyAlignment="0" applyProtection="0"/>
    <xf numFmtId="173" fontId="22" fillId="12" borderId="0" applyNumberFormat="0" applyBorder="0" applyAlignment="0" applyProtection="0"/>
    <xf numFmtId="173" fontId="22" fillId="9" borderId="0" applyNumberFormat="0" applyBorder="0" applyAlignment="0" applyProtection="0"/>
    <xf numFmtId="173" fontId="22" fillId="10" borderId="0" applyNumberFormat="0" applyBorder="0" applyAlignment="0" applyProtection="0"/>
    <xf numFmtId="173" fontId="22" fillId="13" borderId="0" applyNumberFormat="0" applyBorder="0" applyAlignment="0" applyProtection="0"/>
    <xf numFmtId="173" fontId="22" fillId="14" borderId="0" applyNumberFormat="0" applyBorder="0" applyAlignment="0" applyProtection="0"/>
    <xf numFmtId="173" fontId="22" fillId="15" borderId="0" applyNumberFormat="0" applyBorder="0" applyAlignment="0" applyProtection="0"/>
    <xf numFmtId="173" fontId="5" fillId="16" borderId="0" applyNumberFormat="0" applyBorder="0" applyAlignment="0" applyProtection="0"/>
    <xf numFmtId="173" fontId="5" fillId="17" borderId="0" applyNumberFormat="0" applyBorder="0" applyAlignment="0" applyProtection="0"/>
    <xf numFmtId="173" fontId="5" fillId="18" borderId="0" applyNumberFormat="0" applyBorder="0" applyAlignment="0" applyProtection="0"/>
    <xf numFmtId="173" fontId="5" fillId="13" borderId="0" applyNumberFormat="0" applyBorder="0" applyAlignment="0" applyProtection="0"/>
    <xf numFmtId="173" fontId="5" fillId="14" borderId="0" applyNumberFormat="0" applyBorder="0" applyAlignment="0" applyProtection="0"/>
    <xf numFmtId="173" fontId="5" fillId="19" borderId="0" applyNumberFormat="0" applyBorder="0" applyAlignment="0" applyProtection="0"/>
    <xf numFmtId="165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3" fontId="6" fillId="3" borderId="0" applyNumberFormat="0" applyBorder="0" applyAlignment="0" applyProtection="0"/>
    <xf numFmtId="173" fontId="3" fillId="0" borderId="0"/>
    <xf numFmtId="173" fontId="7" fillId="20" borderId="1" applyNumberFormat="0" applyAlignment="0" applyProtection="0"/>
    <xf numFmtId="173" fontId="8" fillId="21" borderId="2" applyNumberFormat="0" applyAlignment="0" applyProtection="0"/>
    <xf numFmtId="43" fontId="1" fillId="0" borderId="0" applyFont="0" applyFill="0" applyBorder="0" applyAlignment="0" applyProtection="0"/>
    <xf numFmtId="3" fontId="1" fillId="0" borderId="0" applyFill="0" applyBorder="0" applyAlignment="0" applyProtection="0"/>
    <xf numFmtId="164" fontId="1" fillId="0" borderId="0" applyFill="0" applyBorder="0" applyAlignment="0" applyProtection="0"/>
    <xf numFmtId="171" fontId="1" fillId="0" borderId="0" applyFill="0" applyBorder="0" applyAlignment="0" applyProtection="0"/>
    <xf numFmtId="173" fontId="9" fillId="0" borderId="0" applyNumberFormat="0" applyFill="0" applyBorder="0" applyAlignment="0" applyProtection="0"/>
    <xf numFmtId="2" fontId="1" fillId="0" borderId="0" applyFill="0" applyBorder="0" applyAlignment="0" applyProtection="0"/>
    <xf numFmtId="173" fontId="10" fillId="4" borderId="0" applyNumberFormat="0" applyBorder="0" applyAlignment="0" applyProtection="0"/>
    <xf numFmtId="173" fontId="11" fillId="0" borderId="3" applyNumberFormat="0" applyAlignment="0" applyProtection="0">
      <alignment horizontal="left" vertical="center"/>
    </xf>
    <xf numFmtId="173" fontId="11" fillId="0" borderId="4">
      <alignment horizontal="left" vertical="center"/>
    </xf>
    <xf numFmtId="173" fontId="12" fillId="0" borderId="0" applyNumberFormat="0" applyFill="0" applyBorder="0" applyAlignment="0" applyProtection="0"/>
    <xf numFmtId="173" fontId="11" fillId="0" borderId="0" applyNumberFormat="0" applyFill="0" applyBorder="0" applyAlignment="0" applyProtection="0"/>
    <xf numFmtId="173" fontId="13" fillId="0" borderId="5" applyNumberFormat="0" applyFill="0" applyAlignment="0" applyProtection="0"/>
    <xf numFmtId="173" fontId="13" fillId="0" borderId="0" applyNumberFormat="0" applyFill="0" applyBorder="0" applyAlignment="0" applyProtection="0"/>
    <xf numFmtId="168" fontId="1" fillId="0" borderId="0">
      <protection locked="0"/>
    </xf>
    <xf numFmtId="168" fontId="1" fillId="0" borderId="0">
      <protection locked="0"/>
    </xf>
    <xf numFmtId="173" fontId="14" fillId="7" borderId="1" applyNumberFormat="0" applyAlignment="0" applyProtection="0"/>
    <xf numFmtId="173" fontId="15" fillId="0" borderId="6" applyNumberFormat="0" applyFill="0" applyAlignment="0" applyProtection="0"/>
    <xf numFmtId="173" fontId="16" fillId="22" borderId="0" applyNumberFormat="0" applyBorder="0" applyAlignment="0" applyProtection="0"/>
    <xf numFmtId="172" fontId="1" fillId="0" borderId="0"/>
    <xf numFmtId="173" fontId="17" fillId="0" borderId="0"/>
    <xf numFmtId="173" fontId="17" fillId="23" borderId="7" applyNumberFormat="0" applyFont="0" applyAlignment="0" applyProtection="0"/>
    <xf numFmtId="173" fontId="18" fillId="20" borderId="8" applyNumberFormat="0" applyAlignment="0" applyProtection="0"/>
    <xf numFmtId="173" fontId="19" fillId="0" borderId="0" applyNumberFormat="0" applyFill="0" applyBorder="0" applyAlignment="0" applyProtection="0"/>
    <xf numFmtId="173" fontId="1" fillId="0" borderId="9" applyNumberFormat="0" applyFill="0" applyAlignment="0" applyProtection="0"/>
    <xf numFmtId="173" fontId="20" fillId="0" borderId="0" applyNumberFormat="0" applyFill="0" applyBorder="0" applyAlignment="0" applyProtection="0"/>
    <xf numFmtId="173" fontId="23" fillId="21" borderId="2" applyNumberFormat="0" applyAlignment="0" applyProtection="0"/>
    <xf numFmtId="173" fontId="24" fillId="0" borderId="6" applyNumberFormat="0" applyFill="0" applyAlignment="0" applyProtection="0"/>
    <xf numFmtId="173" fontId="25" fillId="3" borderId="0" applyNumberFormat="0" applyBorder="0" applyAlignment="0" applyProtection="0"/>
    <xf numFmtId="173" fontId="26" fillId="20" borderId="8" applyNumberFormat="0" applyAlignment="0" applyProtection="0"/>
    <xf numFmtId="173" fontId="27" fillId="20" borderId="1" applyNumberFormat="0" applyAlignment="0" applyProtection="0"/>
    <xf numFmtId="173" fontId="28" fillId="0" borderId="0" applyNumberFormat="0" applyFill="0" applyBorder="0" applyAlignment="0" applyProtection="0"/>
    <xf numFmtId="173" fontId="29" fillId="0" borderId="0" applyNumberFormat="0" applyFill="0" applyBorder="0" applyAlignment="0" applyProtection="0"/>
    <xf numFmtId="173" fontId="30" fillId="0" borderId="0" applyNumberFormat="0" applyFill="0" applyBorder="0" applyAlignment="0" applyProtection="0"/>
    <xf numFmtId="173" fontId="31" fillId="4" borderId="0" applyNumberFormat="0" applyBorder="0" applyAlignment="0" applyProtection="0"/>
    <xf numFmtId="173" fontId="40" fillId="0" borderId="0"/>
    <xf numFmtId="173" fontId="32" fillId="7" borderId="1" applyNumberFormat="0" applyAlignment="0" applyProtection="0"/>
    <xf numFmtId="173" fontId="33" fillId="22" borderId="0" applyNumberFormat="0" applyBorder="0" applyAlignment="0" applyProtection="0"/>
    <xf numFmtId="173" fontId="34" fillId="0" borderId="10" applyNumberFormat="0" applyFill="0" applyAlignment="0" applyProtection="0"/>
    <xf numFmtId="173" fontId="22" fillId="16" borderId="0" applyNumberFormat="0" applyBorder="0" applyAlignment="0" applyProtection="0"/>
    <xf numFmtId="173" fontId="22" fillId="17" borderId="0" applyNumberFormat="0" applyBorder="0" applyAlignment="0" applyProtection="0"/>
    <xf numFmtId="173" fontId="22" fillId="18" borderId="0" applyNumberFormat="0" applyBorder="0" applyAlignment="0" applyProtection="0"/>
    <xf numFmtId="173" fontId="22" fillId="13" borderId="0" applyNumberFormat="0" applyBorder="0" applyAlignment="0" applyProtection="0"/>
    <xf numFmtId="173" fontId="22" fillId="14" borderId="0" applyNumberFormat="0" applyBorder="0" applyAlignment="0" applyProtection="0"/>
    <xf numFmtId="173" fontId="22" fillId="19" borderId="0" applyNumberFormat="0" applyBorder="0" applyAlignment="0" applyProtection="0"/>
    <xf numFmtId="173" fontId="1" fillId="23" borderId="7" applyNumberFormat="0" applyFont="0" applyAlignment="0" applyProtection="0"/>
    <xf numFmtId="173" fontId="35" fillId="0" borderId="11" applyNumberFormat="0" applyFill="0" applyAlignment="0" applyProtection="0"/>
    <xf numFmtId="173" fontId="36" fillId="0" borderId="12" applyNumberFormat="0" applyFill="0" applyAlignment="0" applyProtection="0"/>
    <xf numFmtId="173" fontId="37" fillId="0" borderId="5" applyNumberFormat="0" applyFill="0" applyAlignment="0" applyProtection="0"/>
    <xf numFmtId="173" fontId="37" fillId="0" borderId="0" applyNumberForma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9" fontId="57" fillId="0" borderId="0" applyFont="0" applyFill="0" applyBorder="0" applyAlignment="0" applyProtection="0"/>
    <xf numFmtId="44" fontId="61" fillId="0" borderId="0" applyFont="0" applyFill="0" applyBorder="0" applyAlignment="0" applyProtection="0"/>
  </cellStyleXfs>
  <cellXfs count="482">
    <xf numFmtId="173" fontId="0" fillId="0" borderId="0" xfId="0"/>
    <xf numFmtId="1" fontId="0" fillId="0" borderId="0" xfId="0" applyNumberFormat="1"/>
    <xf numFmtId="2" fontId="0" fillId="0" borderId="0" xfId="0" applyNumberFormat="1"/>
    <xf numFmtId="20" fontId="41" fillId="0" borderId="3" xfId="0" applyNumberFormat="1" applyFont="1" applyBorder="1"/>
    <xf numFmtId="173" fontId="42" fillId="24" borderId="36" xfId="0" applyFont="1" applyFill="1" applyBorder="1" applyAlignment="1">
      <alignment horizontal="center"/>
    </xf>
    <xf numFmtId="173" fontId="42" fillId="24" borderId="23" xfId="0" applyFont="1" applyFill="1" applyBorder="1" applyAlignment="1">
      <alignment horizontal="center"/>
    </xf>
    <xf numFmtId="173" fontId="0" fillId="26" borderId="0" xfId="0" applyFill="1"/>
    <xf numFmtId="173" fontId="41" fillId="26" borderId="0" xfId="0" applyFont="1" applyFill="1" applyAlignment="1">
      <alignment horizontal="center"/>
    </xf>
    <xf numFmtId="43" fontId="42" fillId="26" borderId="0" xfId="56" applyFont="1" applyFill="1" applyBorder="1" applyAlignment="1">
      <alignment horizontal="center" vertical="center"/>
    </xf>
    <xf numFmtId="1" fontId="41" fillId="26" borderId="0" xfId="56" applyNumberFormat="1" applyFont="1" applyFill="1" applyBorder="1" applyAlignment="1">
      <alignment horizontal="center" vertical="center"/>
    </xf>
    <xf numFmtId="2" fontId="41" fillId="26" borderId="0" xfId="56" applyNumberFormat="1" applyFont="1" applyFill="1" applyBorder="1" applyAlignment="1">
      <alignment horizontal="center" vertical="center"/>
    </xf>
    <xf numFmtId="43" fontId="41" fillId="26" borderId="0" xfId="56" applyFont="1" applyFill="1" applyBorder="1" applyAlignment="1">
      <alignment vertical="center"/>
    </xf>
    <xf numFmtId="173" fontId="42" fillId="26" borderId="0" xfId="0" applyFont="1" applyFill="1" applyAlignment="1">
      <alignment horizontal="center" vertical="center"/>
    </xf>
    <xf numFmtId="1" fontId="41" fillId="26" borderId="0" xfId="0" applyNumberFormat="1" applyFont="1" applyFill="1" applyAlignment="1">
      <alignment horizontal="center" vertical="center"/>
    </xf>
    <xf numFmtId="2" fontId="41" fillId="26" borderId="0" xfId="0" applyNumberFormat="1" applyFont="1" applyFill="1" applyAlignment="1">
      <alignment horizontal="center" vertical="center"/>
    </xf>
    <xf numFmtId="43" fontId="41" fillId="26" borderId="0" xfId="0" applyNumberFormat="1" applyFont="1" applyFill="1" applyAlignment="1">
      <alignment vertical="center"/>
    </xf>
    <xf numFmtId="1" fontId="41" fillId="25" borderId="13" xfId="56" applyNumberFormat="1" applyFont="1" applyFill="1" applyBorder="1" applyAlignment="1">
      <alignment horizontal="center" vertical="center"/>
    </xf>
    <xf numFmtId="1" fontId="41" fillId="25" borderId="19" xfId="56" applyNumberFormat="1" applyFont="1" applyFill="1" applyBorder="1" applyAlignment="1">
      <alignment horizontal="center" vertical="center"/>
    </xf>
    <xf numFmtId="15" fontId="43" fillId="0" borderId="3" xfId="0" applyNumberFormat="1" applyFont="1" applyBorder="1"/>
    <xf numFmtId="20" fontId="41" fillId="0" borderId="40" xfId="0" applyNumberFormat="1" applyFont="1" applyBorder="1"/>
    <xf numFmtId="173" fontId="42" fillId="24" borderId="41" xfId="0" applyFont="1" applyFill="1" applyBorder="1" applyAlignment="1">
      <alignment horizontal="center"/>
    </xf>
    <xf numFmtId="1" fontId="41" fillId="25" borderId="28" xfId="56" applyNumberFormat="1" applyFont="1" applyFill="1" applyBorder="1" applyAlignment="1">
      <alignment horizontal="center" vertical="center"/>
    </xf>
    <xf numFmtId="1" fontId="41" fillId="25" borderId="18" xfId="56" applyNumberFormat="1" applyFont="1" applyFill="1" applyBorder="1" applyAlignment="1">
      <alignment horizontal="center" vertical="center"/>
    </xf>
    <xf numFmtId="1" fontId="41" fillId="25" borderId="15" xfId="56" applyNumberFormat="1" applyFont="1" applyFill="1" applyBorder="1" applyAlignment="1">
      <alignment horizontal="center" vertical="center"/>
    </xf>
    <xf numFmtId="1" fontId="41" fillId="25" borderId="16" xfId="56" applyNumberFormat="1" applyFont="1" applyFill="1" applyBorder="1" applyAlignment="1">
      <alignment horizontal="center" vertical="center"/>
    </xf>
    <xf numFmtId="1" fontId="41" fillId="25" borderId="17" xfId="56" applyNumberFormat="1" applyFont="1" applyFill="1" applyBorder="1" applyAlignment="1">
      <alignment horizontal="center" vertical="center"/>
    </xf>
    <xf numFmtId="1" fontId="41" fillId="25" borderId="30" xfId="56" applyNumberFormat="1" applyFont="1" applyFill="1" applyBorder="1" applyAlignment="1">
      <alignment horizontal="center" vertical="center"/>
    </xf>
    <xf numFmtId="1" fontId="41" fillId="25" borderId="33" xfId="56" applyNumberFormat="1" applyFont="1" applyFill="1" applyBorder="1" applyAlignment="1">
      <alignment horizontal="center" vertical="center"/>
    </xf>
    <xf numFmtId="1" fontId="41" fillId="25" borderId="25" xfId="56" applyNumberFormat="1" applyFont="1" applyFill="1" applyBorder="1" applyAlignment="1">
      <alignment horizontal="center" vertical="center"/>
    </xf>
    <xf numFmtId="1" fontId="41" fillId="25" borderId="35" xfId="56" applyNumberFormat="1" applyFont="1" applyFill="1" applyBorder="1" applyAlignment="1">
      <alignment horizontal="center" vertical="center"/>
    </xf>
    <xf numFmtId="1" fontId="41" fillId="25" borderId="32" xfId="56" applyNumberFormat="1" applyFont="1" applyFill="1" applyBorder="1" applyAlignment="1">
      <alignment horizontal="center" vertical="center"/>
    </xf>
    <xf numFmtId="3" fontId="39" fillId="24" borderId="39" xfId="0" applyNumberFormat="1" applyFont="1" applyFill="1" applyBorder="1" applyAlignment="1">
      <alignment horizontal="center"/>
    </xf>
    <xf numFmtId="173" fontId="1" fillId="26" borderId="0" xfId="0" applyFont="1" applyFill="1"/>
    <xf numFmtId="43" fontId="0" fillId="0" borderId="0" xfId="56" applyFont="1"/>
    <xf numFmtId="1" fontId="41" fillId="25" borderId="31" xfId="56" applyNumberFormat="1" applyFont="1" applyFill="1" applyBorder="1" applyAlignment="1">
      <alignment horizontal="center" vertical="center"/>
    </xf>
    <xf numFmtId="1" fontId="41" fillId="25" borderId="24" xfId="56" applyNumberFormat="1" applyFont="1" applyFill="1" applyBorder="1" applyAlignment="1">
      <alignment horizontal="center" vertical="center"/>
    </xf>
    <xf numFmtId="1" fontId="41" fillId="25" borderId="34" xfId="56" applyNumberFormat="1" applyFont="1" applyFill="1" applyBorder="1" applyAlignment="1">
      <alignment horizontal="center" vertical="center"/>
    </xf>
    <xf numFmtId="1" fontId="41" fillId="25" borderId="27" xfId="56" applyNumberFormat="1" applyFont="1" applyFill="1" applyBorder="1" applyAlignment="1">
      <alignment horizontal="center" vertical="center"/>
    </xf>
    <xf numFmtId="1" fontId="41" fillId="25" borderId="20" xfId="56" applyNumberFormat="1" applyFont="1" applyFill="1" applyBorder="1" applyAlignment="1">
      <alignment horizontal="center" vertical="center"/>
    </xf>
    <xf numFmtId="3" fontId="41" fillId="26" borderId="0" xfId="56" applyNumberFormat="1" applyFont="1" applyFill="1" applyBorder="1" applyAlignment="1">
      <alignment horizontal="center" vertical="center"/>
    </xf>
    <xf numFmtId="3" fontId="42" fillId="26" borderId="0" xfId="56" applyNumberFormat="1" applyFont="1" applyFill="1" applyBorder="1" applyAlignment="1">
      <alignment horizontal="center" vertical="center"/>
    </xf>
    <xf numFmtId="2" fontId="42" fillId="26" borderId="0" xfId="56" applyNumberFormat="1" applyFont="1" applyFill="1" applyBorder="1" applyAlignment="1">
      <alignment horizontal="center" vertical="center"/>
    </xf>
    <xf numFmtId="1" fontId="42" fillId="26" borderId="0" xfId="56" applyNumberFormat="1" applyFont="1" applyFill="1" applyBorder="1" applyAlignment="1">
      <alignment horizontal="center" vertical="center"/>
    </xf>
    <xf numFmtId="173" fontId="47" fillId="0" borderId="0" xfId="0" applyFont="1" applyAlignment="1">
      <alignment horizontal="right"/>
    </xf>
    <xf numFmtId="1" fontId="41" fillId="25" borderId="26" xfId="56" applyNumberFormat="1" applyFont="1" applyFill="1" applyBorder="1" applyAlignment="1">
      <alignment horizontal="center" vertical="center"/>
    </xf>
    <xf numFmtId="173" fontId="1" fillId="0" borderId="0" xfId="0" applyFont="1"/>
    <xf numFmtId="0" fontId="0" fillId="0" borderId="0" xfId="0" applyNumberFormat="1"/>
    <xf numFmtId="174" fontId="41" fillId="0" borderId="0" xfId="56" applyNumberFormat="1" applyFont="1" applyFill="1" applyBorder="1" applyAlignment="1">
      <alignment horizontal="center" vertical="center"/>
    </xf>
    <xf numFmtId="1" fontId="41" fillId="0" borderId="0" xfId="56" applyNumberFormat="1" applyFont="1" applyFill="1" applyBorder="1" applyAlignment="1">
      <alignment horizontal="center" vertical="center"/>
    </xf>
    <xf numFmtId="2" fontId="41" fillId="0" borderId="0" xfId="56" applyNumberFormat="1" applyFont="1" applyFill="1" applyBorder="1" applyAlignment="1">
      <alignment horizontal="center" vertical="center"/>
    </xf>
    <xf numFmtId="43" fontId="0" fillId="0" borderId="0" xfId="56" applyFont="1" applyFill="1" applyBorder="1"/>
    <xf numFmtId="2" fontId="0" fillId="26" borderId="0" xfId="0" applyNumberFormat="1" applyFill="1"/>
    <xf numFmtId="2" fontId="41" fillId="26" borderId="0" xfId="0" applyNumberFormat="1" applyFont="1" applyFill="1" applyAlignment="1">
      <alignment vertical="center"/>
    </xf>
    <xf numFmtId="0" fontId="1" fillId="0" borderId="0" xfId="0" applyNumberFormat="1" applyFont="1"/>
    <xf numFmtId="43" fontId="0" fillId="0" borderId="0" xfId="0" applyNumberFormat="1"/>
    <xf numFmtId="0" fontId="0" fillId="0" borderId="0" xfId="0" applyNumberFormat="1" applyAlignment="1">
      <alignment horizontal="center"/>
    </xf>
    <xf numFmtId="43" fontId="0" fillId="0" borderId="0" xfId="56" applyFont="1" applyAlignment="1">
      <alignment horizontal="center"/>
    </xf>
    <xf numFmtId="43" fontId="49" fillId="0" borderId="0" xfId="56" applyFont="1" applyFill="1" applyBorder="1" applyAlignment="1">
      <alignment horizontal="center"/>
    </xf>
    <xf numFmtId="174" fontId="49" fillId="0" borderId="0" xfId="56" applyNumberFormat="1" applyFont="1" applyAlignment="1">
      <alignment vertical="center"/>
    </xf>
    <xf numFmtId="43" fontId="49" fillId="0" borderId="0" xfId="56" applyFont="1" applyAlignment="1">
      <alignment horizontal="center"/>
    </xf>
    <xf numFmtId="174" fontId="49" fillId="0" borderId="0" xfId="56" applyNumberFormat="1" applyFont="1" applyAlignment="1">
      <alignment horizontal="center"/>
    </xf>
    <xf numFmtId="43" fontId="49" fillId="0" borderId="0" xfId="56" applyFont="1" applyAlignment="1">
      <alignment vertical="center"/>
    </xf>
    <xf numFmtId="43" fontId="49" fillId="0" borderId="0" xfId="56" applyFont="1" applyAlignment="1"/>
    <xf numFmtId="174" fontId="49" fillId="0" borderId="0" xfId="56" applyNumberFormat="1" applyFont="1" applyAlignment="1"/>
    <xf numFmtId="174" fontId="48" fillId="0" borderId="0" xfId="56" applyNumberFormat="1" applyFont="1" applyAlignment="1">
      <alignment vertical="center"/>
    </xf>
    <xf numFmtId="43" fontId="48" fillId="0" borderId="0" xfId="56" applyFont="1" applyAlignment="1">
      <alignment horizontal="center"/>
    </xf>
    <xf numFmtId="174" fontId="48" fillId="0" borderId="0" xfId="56" applyNumberFormat="1" applyFont="1" applyAlignment="1">
      <alignment horizontal="center"/>
    </xf>
    <xf numFmtId="173" fontId="1" fillId="0" borderId="0" xfId="0" applyFont="1" applyAlignment="1">
      <alignment horizontal="center"/>
    </xf>
    <xf numFmtId="174" fontId="41" fillId="0" borderId="44" xfId="56" quotePrefix="1" applyNumberFormat="1" applyFont="1" applyFill="1" applyBorder="1" applyAlignment="1">
      <alignment horizontal="center" vertical="center"/>
    </xf>
    <xf numFmtId="173" fontId="0" fillId="0" borderId="46" xfId="0" applyBorder="1"/>
    <xf numFmtId="173" fontId="42" fillId="0" borderId="40" xfId="0" applyFont="1" applyBorder="1" applyAlignment="1">
      <alignment horizontal="center"/>
    </xf>
    <xf numFmtId="173" fontId="38" fillId="0" borderId="47" xfId="0" applyFont="1" applyBorder="1" applyAlignment="1">
      <alignment horizontal="center"/>
    </xf>
    <xf numFmtId="0" fontId="42" fillId="24" borderId="22" xfId="0" applyNumberFormat="1" applyFont="1" applyFill="1" applyBorder="1" applyAlignment="1">
      <alignment horizontal="center"/>
    </xf>
    <xf numFmtId="0" fontId="42" fillId="24" borderId="48" xfId="0" applyNumberFormat="1" applyFont="1" applyFill="1" applyBorder="1" applyAlignment="1">
      <alignment horizontal="center"/>
    </xf>
    <xf numFmtId="20" fontId="41" fillId="0" borderId="48" xfId="0" applyNumberFormat="1" applyFont="1" applyBorder="1"/>
    <xf numFmtId="173" fontId="0" fillId="0" borderId="48" xfId="0" applyBorder="1"/>
    <xf numFmtId="20" fontId="41" fillId="0" borderId="0" xfId="0" applyNumberFormat="1" applyFont="1"/>
    <xf numFmtId="15" fontId="43" fillId="0" borderId="14" xfId="0" applyNumberFormat="1" applyFont="1" applyBorder="1"/>
    <xf numFmtId="0" fontId="42" fillId="24" borderId="37" xfId="0" applyNumberFormat="1" applyFont="1" applyFill="1" applyBorder="1" applyAlignment="1">
      <alignment horizontal="center"/>
    </xf>
    <xf numFmtId="174" fontId="0" fillId="26" borderId="0" xfId="56" applyNumberFormat="1" applyFont="1" applyFill="1"/>
    <xf numFmtId="174" fontId="38" fillId="26" borderId="0" xfId="56" applyNumberFormat="1" applyFont="1" applyFill="1"/>
    <xf numFmtId="173" fontId="38" fillId="26" borderId="0" xfId="0" applyFont="1" applyFill="1"/>
    <xf numFmtId="174" fontId="1" fillId="26" borderId="0" xfId="56" applyNumberFormat="1" applyFont="1" applyFill="1"/>
    <xf numFmtId="174" fontId="47" fillId="0" borderId="0" xfId="56" applyNumberFormat="1" applyFont="1" applyFill="1"/>
    <xf numFmtId="174" fontId="47" fillId="0" borderId="0" xfId="56" applyNumberFormat="1" applyFont="1" applyBorder="1" applyAlignment="1">
      <alignment vertical="center"/>
    </xf>
    <xf numFmtId="174" fontId="47" fillId="0" borderId="0" xfId="56" applyNumberFormat="1" applyFont="1" applyBorder="1" applyAlignment="1">
      <alignment horizontal="center"/>
    </xf>
    <xf numFmtId="174" fontId="1" fillId="0" borderId="0" xfId="56" applyNumberFormat="1" applyFont="1" applyFill="1"/>
    <xf numFmtId="38" fontId="1" fillId="0" borderId="0" xfId="56" applyNumberFormat="1" applyFont="1" applyFill="1"/>
    <xf numFmtId="174" fontId="0" fillId="0" borderId="0" xfId="56" applyNumberFormat="1" applyFont="1"/>
    <xf numFmtId="177" fontId="0" fillId="0" borderId="0" xfId="0" applyNumberFormat="1"/>
    <xf numFmtId="174" fontId="41" fillId="26" borderId="0" xfId="0" applyNumberFormat="1" applyFont="1" applyFill="1" applyAlignment="1">
      <alignment horizontal="center" vertical="center"/>
    </xf>
    <xf numFmtId="3" fontId="0" fillId="26" borderId="0" xfId="0" applyNumberFormat="1" applyFill="1"/>
    <xf numFmtId="4" fontId="0" fillId="26" borderId="0" xfId="0" applyNumberFormat="1" applyFill="1"/>
    <xf numFmtId="43" fontId="0" fillId="26" borderId="0" xfId="56" applyFont="1" applyFill="1"/>
    <xf numFmtId="173" fontId="42" fillId="0" borderId="0" xfId="0" applyFont="1" applyAlignment="1">
      <alignment horizontal="center"/>
    </xf>
    <xf numFmtId="174" fontId="41" fillId="0" borderId="0" xfId="56" quotePrefix="1" applyNumberFormat="1" applyFont="1" applyFill="1" applyBorder="1" applyAlignment="1">
      <alignment horizontal="center" vertical="center"/>
    </xf>
    <xf numFmtId="173" fontId="11" fillId="0" borderId="0" xfId="0" applyFont="1"/>
    <xf numFmtId="173" fontId="51" fillId="0" borderId="0" xfId="0" applyFont="1"/>
    <xf numFmtId="176" fontId="11" fillId="0" borderId="0" xfId="0" applyNumberFormat="1" applyFont="1"/>
    <xf numFmtId="173" fontId="51" fillId="26" borderId="0" xfId="0" applyFont="1" applyFill="1"/>
    <xf numFmtId="2" fontId="50" fillId="30" borderId="13" xfId="56" applyNumberFormat="1" applyFont="1" applyFill="1" applyBorder="1" applyAlignment="1">
      <alignment horizontal="center" vertical="center"/>
    </xf>
    <xf numFmtId="1" fontId="50" fillId="30" borderId="13" xfId="56" applyNumberFormat="1" applyFont="1" applyFill="1" applyBorder="1" applyAlignment="1">
      <alignment horizontal="center" vertical="center"/>
    </xf>
    <xf numFmtId="173" fontId="50" fillId="0" borderId="0" xfId="0" applyFont="1"/>
    <xf numFmtId="15" fontId="53" fillId="0" borderId="28" xfId="0" applyNumberFormat="1" applyFont="1" applyBorder="1"/>
    <xf numFmtId="20" fontId="50" fillId="0" borderId="31" xfId="0" applyNumberFormat="1" applyFont="1" applyBorder="1"/>
    <xf numFmtId="173" fontId="50" fillId="0" borderId="43" xfId="0" applyFont="1" applyBorder="1"/>
    <xf numFmtId="173" fontId="50" fillId="0" borderId="46" xfId="0" applyFont="1" applyBorder="1"/>
    <xf numFmtId="173" fontId="52" fillId="34" borderId="16" xfId="0" applyFont="1" applyFill="1" applyBorder="1" applyAlignment="1">
      <alignment horizontal="center"/>
    </xf>
    <xf numFmtId="173" fontId="52" fillId="34" borderId="13" xfId="0" applyFont="1" applyFill="1" applyBorder="1" applyAlignment="1">
      <alignment horizontal="center"/>
    </xf>
    <xf numFmtId="173" fontId="52" fillId="34" borderId="17" xfId="0" applyFont="1" applyFill="1" applyBorder="1" applyAlignment="1">
      <alignment horizontal="center"/>
    </xf>
    <xf numFmtId="174" fontId="50" fillId="30" borderId="16" xfId="56" applyNumberFormat="1" applyFont="1" applyFill="1" applyBorder="1" applyAlignment="1">
      <alignment horizontal="center" vertical="center"/>
    </xf>
    <xf numFmtId="1" fontId="50" fillId="30" borderId="13" xfId="56" quotePrefix="1" applyNumberFormat="1" applyFont="1" applyFill="1" applyBorder="1" applyAlignment="1">
      <alignment horizontal="center" vertical="center"/>
    </xf>
    <xf numFmtId="173" fontId="54" fillId="34" borderId="32" xfId="0" applyFont="1" applyFill="1" applyBorder="1" applyAlignment="1">
      <alignment horizontal="center"/>
    </xf>
    <xf numFmtId="1" fontId="11" fillId="34" borderId="19" xfId="0" applyNumberFormat="1" applyFont="1" applyFill="1" applyBorder="1" applyAlignment="1">
      <alignment horizontal="center"/>
    </xf>
    <xf numFmtId="2" fontId="11" fillId="34" borderId="19" xfId="56" applyNumberFormat="1" applyFont="1" applyFill="1" applyBorder="1" applyAlignment="1">
      <alignment horizontal="center"/>
    </xf>
    <xf numFmtId="1" fontId="11" fillId="34" borderId="19" xfId="56" applyNumberFormat="1" applyFont="1" applyFill="1" applyBorder="1" applyAlignment="1">
      <alignment horizontal="center"/>
    </xf>
    <xf numFmtId="173" fontId="11" fillId="34" borderId="19" xfId="0" applyFont="1" applyFill="1" applyBorder="1" applyAlignment="1">
      <alignment horizontal="center"/>
    </xf>
    <xf numFmtId="1" fontId="11" fillId="34" borderId="29" xfId="0" applyNumberFormat="1" applyFont="1" applyFill="1" applyBorder="1" applyAlignment="1">
      <alignment horizontal="center"/>
    </xf>
    <xf numFmtId="15" fontId="53" fillId="0" borderId="14" xfId="0" applyNumberFormat="1" applyFont="1" applyBorder="1"/>
    <xf numFmtId="20" fontId="50" fillId="0" borderId="3" xfId="0" applyNumberFormat="1" applyFont="1" applyBorder="1"/>
    <xf numFmtId="173" fontId="50" fillId="0" borderId="3" xfId="0" applyFont="1" applyBorder="1"/>
    <xf numFmtId="173" fontId="50" fillId="0" borderId="40" xfId="0" applyFont="1" applyBorder="1"/>
    <xf numFmtId="173" fontId="50" fillId="30" borderId="45" xfId="0" applyFont="1" applyFill="1" applyBorder="1" applyAlignment="1">
      <alignment horizontal="center" vertical="center"/>
    </xf>
    <xf numFmtId="173" fontId="11" fillId="28" borderId="39" xfId="0" applyFont="1" applyFill="1" applyBorder="1" applyAlignment="1">
      <alignment horizontal="center"/>
    </xf>
    <xf numFmtId="1" fontId="11" fillId="28" borderId="39" xfId="0" applyNumberFormat="1" applyFont="1" applyFill="1" applyBorder="1" applyAlignment="1">
      <alignment horizontal="center"/>
    </xf>
    <xf numFmtId="173" fontId="50" fillId="28" borderId="28" xfId="0" applyFont="1" applyFill="1" applyBorder="1" applyAlignment="1">
      <alignment horizontal="left"/>
    </xf>
    <xf numFmtId="173" fontId="50" fillId="28" borderId="18" xfId="0" applyFont="1" applyFill="1" applyBorder="1" applyAlignment="1">
      <alignment horizontal="center"/>
    </xf>
    <xf numFmtId="173" fontId="50" fillId="28" borderId="31" xfId="0" applyFont="1" applyFill="1" applyBorder="1" applyAlignment="1">
      <alignment horizontal="center"/>
    </xf>
    <xf numFmtId="173" fontId="50" fillId="28" borderId="15" xfId="0" applyFont="1" applyFill="1" applyBorder="1" applyAlignment="1">
      <alignment horizontal="center"/>
    </xf>
    <xf numFmtId="3" fontId="50" fillId="0" borderId="13" xfId="56" applyNumberFormat="1" applyFont="1" applyFill="1" applyBorder="1" applyAlignment="1">
      <alignment horizontal="center" vertical="center"/>
    </xf>
    <xf numFmtId="3" fontId="50" fillId="0" borderId="24" xfId="56" applyNumberFormat="1" applyFont="1" applyFill="1" applyBorder="1" applyAlignment="1">
      <alignment horizontal="center" vertical="center"/>
    </xf>
    <xf numFmtId="2" fontId="50" fillId="0" borderId="13" xfId="56" applyNumberFormat="1" applyFont="1" applyFill="1" applyBorder="1" applyAlignment="1">
      <alignment horizontal="center" vertical="center"/>
    </xf>
    <xf numFmtId="1" fontId="50" fillId="0" borderId="25" xfId="56" quotePrefix="1" applyNumberFormat="1" applyFont="1" applyFill="1" applyBorder="1" applyAlignment="1">
      <alignment horizontal="center" vertical="center"/>
    </xf>
    <xf numFmtId="173" fontId="50" fillId="0" borderId="35" xfId="0" applyFont="1" applyBorder="1" applyAlignment="1">
      <alignment horizontal="left" vertical="center"/>
    </xf>
    <xf numFmtId="1" fontId="50" fillId="0" borderId="13" xfId="56" applyNumberFormat="1" applyFont="1" applyFill="1" applyBorder="1" applyAlignment="1">
      <alignment horizontal="center" vertical="center"/>
    </xf>
    <xf numFmtId="2" fontId="50" fillId="0" borderId="16" xfId="56" applyNumberFormat="1" applyFont="1" applyFill="1" applyBorder="1" applyAlignment="1">
      <alignment horizontal="left" vertical="center"/>
    </xf>
    <xf numFmtId="2" fontId="50" fillId="0" borderId="35" xfId="56" applyNumberFormat="1" applyFont="1" applyFill="1" applyBorder="1" applyAlignment="1">
      <alignment horizontal="left" vertical="center"/>
    </xf>
    <xf numFmtId="3" fontId="50" fillId="0" borderId="26" xfId="56" applyNumberFormat="1" applyFont="1" applyFill="1" applyBorder="1" applyAlignment="1">
      <alignment horizontal="center" vertical="center"/>
    </xf>
    <xf numFmtId="2" fontId="50" fillId="0" borderId="26" xfId="56" applyNumberFormat="1" applyFont="1" applyFill="1" applyBorder="1" applyAlignment="1">
      <alignment horizontal="center" vertical="center"/>
    </xf>
    <xf numFmtId="1" fontId="50" fillId="0" borderId="26" xfId="56" applyNumberFormat="1" applyFont="1" applyFill="1" applyBorder="1" applyAlignment="1">
      <alignment horizontal="center" vertical="center"/>
    </xf>
    <xf numFmtId="1" fontId="50" fillId="0" borderId="16" xfId="56" applyNumberFormat="1" applyFont="1" applyFill="1" applyBorder="1" applyAlignment="1">
      <alignment horizontal="left" vertical="center"/>
    </xf>
    <xf numFmtId="3" fontId="50" fillId="0" borderId="17" xfId="56" applyNumberFormat="1" applyFont="1" applyFill="1" applyBorder="1" applyAlignment="1">
      <alignment horizontal="center" vertical="center"/>
    </xf>
    <xf numFmtId="173" fontId="52" fillId="28" borderId="30" xfId="0" applyFont="1" applyFill="1" applyBorder="1" applyAlignment="1">
      <alignment horizontal="left" vertical="center"/>
    </xf>
    <xf numFmtId="3" fontId="52" fillId="28" borderId="33" xfId="0" applyNumberFormat="1" applyFont="1" applyFill="1" applyBorder="1" applyAlignment="1">
      <alignment horizontal="center" vertical="center"/>
    </xf>
    <xf numFmtId="3" fontId="52" fillId="28" borderId="34" xfId="56" applyNumberFormat="1" applyFont="1" applyFill="1" applyBorder="1" applyAlignment="1">
      <alignment horizontal="center" vertical="center"/>
    </xf>
    <xf numFmtId="174" fontId="50" fillId="30" borderId="35" xfId="56" applyNumberFormat="1" applyFont="1" applyFill="1" applyBorder="1" applyAlignment="1">
      <alignment horizontal="center" vertical="center"/>
    </xf>
    <xf numFmtId="1" fontId="50" fillId="30" borderId="26" xfId="56" applyNumberFormat="1" applyFont="1" applyFill="1" applyBorder="1" applyAlignment="1">
      <alignment horizontal="center" vertical="center"/>
    </xf>
    <xf numFmtId="2" fontId="50" fillId="30" borderId="26" xfId="56" applyNumberFormat="1" applyFont="1" applyFill="1" applyBorder="1" applyAlignment="1">
      <alignment horizontal="center" vertical="center"/>
    </xf>
    <xf numFmtId="1" fontId="50" fillId="30" borderId="26" xfId="56" quotePrefix="1" applyNumberFormat="1" applyFont="1" applyFill="1" applyBorder="1" applyAlignment="1">
      <alignment horizontal="center" vertical="center"/>
    </xf>
    <xf numFmtId="3" fontId="39" fillId="24" borderId="49" xfId="0" applyNumberFormat="1" applyFont="1" applyFill="1" applyBorder="1" applyAlignment="1">
      <alignment horizontal="center"/>
    </xf>
    <xf numFmtId="173" fontId="49" fillId="26" borderId="0" xfId="0" applyFont="1" applyFill="1"/>
    <xf numFmtId="173" fontId="42" fillId="0" borderId="51" xfId="0" applyFont="1" applyBorder="1" applyAlignment="1">
      <alignment horizontal="center"/>
    </xf>
    <xf numFmtId="173" fontId="42" fillId="0" borderId="49" xfId="0" applyFont="1" applyBorder="1" applyAlignment="1">
      <alignment horizontal="center"/>
    </xf>
    <xf numFmtId="173" fontId="42" fillId="24" borderId="42" xfId="0" applyFont="1" applyFill="1" applyBorder="1" applyAlignment="1">
      <alignment horizontal="center"/>
    </xf>
    <xf numFmtId="173" fontId="42" fillId="24" borderId="52" xfId="0" applyFont="1" applyFill="1" applyBorder="1" applyAlignment="1">
      <alignment horizontal="center"/>
    </xf>
    <xf numFmtId="173" fontId="42" fillId="24" borderId="50" xfId="0" applyFont="1" applyFill="1" applyBorder="1" applyAlignment="1">
      <alignment horizontal="center"/>
    </xf>
    <xf numFmtId="0" fontId="41" fillId="0" borderId="13" xfId="0" applyNumberFormat="1" applyFont="1" applyBorder="1" applyAlignment="1">
      <alignment horizontal="center"/>
    </xf>
    <xf numFmtId="173" fontId="52" fillId="28" borderId="18" xfId="0" applyFont="1" applyFill="1" applyBorder="1" applyAlignment="1">
      <alignment horizontal="center"/>
    </xf>
    <xf numFmtId="1" fontId="50" fillId="30" borderId="19" xfId="56" applyNumberFormat="1" applyFont="1" applyFill="1" applyBorder="1" applyAlignment="1">
      <alignment horizontal="center" vertical="center"/>
    </xf>
    <xf numFmtId="173" fontId="50" fillId="30" borderId="32" xfId="0" applyFont="1" applyFill="1" applyBorder="1" applyAlignment="1">
      <alignment horizontal="center"/>
    </xf>
    <xf numFmtId="0" fontId="50" fillId="30" borderId="19" xfId="0" applyNumberFormat="1" applyFont="1" applyFill="1" applyBorder="1" applyAlignment="1">
      <alignment horizontal="center"/>
    </xf>
    <xf numFmtId="2" fontId="50" fillId="30" borderId="19" xfId="56" applyNumberFormat="1" applyFont="1" applyFill="1" applyBorder="1" applyAlignment="1">
      <alignment horizontal="center"/>
    </xf>
    <xf numFmtId="1" fontId="50" fillId="30" borderId="19" xfId="0" applyNumberFormat="1" applyFont="1" applyFill="1" applyBorder="1" applyAlignment="1">
      <alignment horizontal="center"/>
    </xf>
    <xf numFmtId="173" fontId="50" fillId="30" borderId="53" xfId="0" applyFont="1" applyFill="1" applyBorder="1" applyAlignment="1">
      <alignment horizontal="center" vertical="center"/>
    </xf>
    <xf numFmtId="173" fontId="52" fillId="30" borderId="21" xfId="0" applyFont="1" applyFill="1" applyBorder="1" applyAlignment="1">
      <alignment horizontal="center"/>
    </xf>
    <xf numFmtId="173" fontId="50" fillId="30" borderId="16" xfId="0" applyFont="1" applyFill="1" applyBorder="1" applyAlignment="1">
      <alignment horizontal="center"/>
    </xf>
    <xf numFmtId="0" fontId="50" fillId="30" borderId="13" xfId="0" applyNumberFormat="1" applyFont="1" applyFill="1" applyBorder="1" applyAlignment="1">
      <alignment horizontal="center"/>
    </xf>
    <xf numFmtId="2" fontId="50" fillId="30" borderId="13" xfId="56" applyNumberFormat="1" applyFont="1" applyFill="1" applyBorder="1" applyAlignment="1">
      <alignment horizontal="center"/>
    </xf>
    <xf numFmtId="1" fontId="50" fillId="30" borderId="13" xfId="0" applyNumberFormat="1" applyFont="1" applyFill="1" applyBorder="1" applyAlignment="1">
      <alignment horizontal="center"/>
    </xf>
    <xf numFmtId="173" fontId="52" fillId="30" borderId="17" xfId="0" applyFont="1" applyFill="1" applyBorder="1" applyAlignment="1">
      <alignment horizontal="center"/>
    </xf>
    <xf numFmtId="173" fontId="52" fillId="28" borderId="28" xfId="0" applyFont="1" applyFill="1" applyBorder="1" applyAlignment="1">
      <alignment horizontal="center"/>
    </xf>
    <xf numFmtId="173" fontId="52" fillId="28" borderId="15" xfId="0" applyFont="1" applyFill="1" applyBorder="1" applyAlignment="1">
      <alignment horizontal="center"/>
    </xf>
    <xf numFmtId="0" fontId="1" fillId="0" borderId="0" xfId="0" applyNumberFormat="1" applyFont="1" applyAlignment="1">
      <alignment horizontal="center"/>
    </xf>
    <xf numFmtId="173" fontId="38" fillId="24" borderId="0" xfId="0" applyFont="1" applyFill="1" applyAlignment="1">
      <alignment horizontal="center"/>
    </xf>
    <xf numFmtId="173" fontId="52" fillId="0" borderId="0" xfId="0" applyFont="1"/>
    <xf numFmtId="2" fontId="11" fillId="28" borderId="39" xfId="0" applyNumberFormat="1" applyFont="1" applyFill="1" applyBorder="1" applyAlignment="1">
      <alignment horizontal="center"/>
    </xf>
    <xf numFmtId="173" fontId="0" fillId="0" borderId="13" xfId="0" applyBorder="1"/>
    <xf numFmtId="173" fontId="1" fillId="0" borderId="13" xfId="0" applyFont="1" applyBorder="1"/>
    <xf numFmtId="174" fontId="0" fillId="0" borderId="13" xfId="56" applyNumberFormat="1" applyFont="1" applyBorder="1"/>
    <xf numFmtId="179" fontId="0" fillId="0" borderId="13" xfId="0" applyNumberFormat="1" applyBorder="1"/>
    <xf numFmtId="173" fontId="38" fillId="34" borderId="13" xfId="0" applyFont="1" applyFill="1" applyBorder="1"/>
    <xf numFmtId="178" fontId="1" fillId="45" borderId="13" xfId="0" applyNumberFormat="1" applyFont="1" applyFill="1" applyBorder="1"/>
    <xf numFmtId="174" fontId="0" fillId="0" borderId="13" xfId="56" applyNumberFormat="1" applyFont="1" applyFill="1" applyBorder="1"/>
    <xf numFmtId="43" fontId="1" fillId="0" borderId="0" xfId="56" applyFont="1"/>
    <xf numFmtId="0" fontId="42" fillId="28" borderId="22" xfId="0" applyNumberFormat="1" applyFont="1" applyFill="1" applyBorder="1" applyAlignment="1">
      <alignment horizontal="center"/>
    </xf>
    <xf numFmtId="174" fontId="50" fillId="30" borderId="16" xfId="56" quotePrefix="1" applyNumberFormat="1" applyFont="1" applyFill="1" applyBorder="1" applyAlignment="1">
      <alignment horizontal="center" vertical="center"/>
    </xf>
    <xf numFmtId="2" fontId="50" fillId="30" borderId="13" xfId="56" quotePrefix="1" applyNumberFormat="1" applyFont="1" applyFill="1" applyBorder="1" applyAlignment="1">
      <alignment horizontal="center" vertical="center"/>
    </xf>
    <xf numFmtId="43" fontId="60" fillId="0" borderId="0" xfId="56" applyFont="1"/>
    <xf numFmtId="2" fontId="50" fillId="30" borderId="26" xfId="56" quotePrefix="1" applyNumberFormat="1" applyFont="1" applyFill="1" applyBorder="1" applyAlignment="1">
      <alignment horizontal="center" vertical="center"/>
    </xf>
    <xf numFmtId="174" fontId="49" fillId="0" borderId="0" xfId="56" applyNumberFormat="1" applyFont="1" applyFill="1"/>
    <xf numFmtId="173" fontId="42" fillId="0" borderId="0" xfId="0" applyFont="1" applyAlignment="1">
      <alignment horizontal="center" vertical="center"/>
    </xf>
    <xf numFmtId="3" fontId="41" fillId="0" borderId="0" xfId="56" applyNumberFormat="1" applyFont="1" applyFill="1" applyBorder="1" applyAlignment="1">
      <alignment horizontal="center" vertical="center"/>
    </xf>
    <xf numFmtId="173" fontId="41" fillId="0" borderId="0" xfId="0" applyFont="1" applyAlignment="1">
      <alignment horizontal="center"/>
    </xf>
    <xf numFmtId="43" fontId="42" fillId="0" borderId="0" xfId="56" applyFont="1" applyFill="1" applyBorder="1" applyAlignment="1">
      <alignment horizontal="center" vertical="center"/>
    </xf>
    <xf numFmtId="3" fontId="42" fillId="0" borderId="0" xfId="56" applyNumberFormat="1" applyFont="1" applyFill="1" applyBorder="1" applyAlignment="1">
      <alignment horizontal="center" vertical="center"/>
    </xf>
    <xf numFmtId="2" fontId="42" fillId="0" borderId="0" xfId="56" applyNumberFormat="1" applyFont="1" applyFill="1" applyBorder="1" applyAlignment="1">
      <alignment horizontal="center" vertical="center"/>
    </xf>
    <xf numFmtId="1" fontId="42" fillId="0" borderId="0" xfId="56" applyNumberFormat="1" applyFont="1" applyFill="1" applyBorder="1" applyAlignment="1">
      <alignment horizontal="center" vertical="center"/>
    </xf>
    <xf numFmtId="2" fontId="1" fillId="0" borderId="0" xfId="0" applyNumberFormat="1" applyFont="1"/>
    <xf numFmtId="1" fontId="50" fillId="30" borderId="17" xfId="56" quotePrefix="1" applyNumberFormat="1" applyFont="1" applyFill="1" applyBorder="1" applyAlignment="1">
      <alignment horizontal="center" vertical="center"/>
    </xf>
    <xf numFmtId="1" fontId="50" fillId="30" borderId="17" xfId="56" applyNumberFormat="1" applyFont="1" applyFill="1" applyBorder="1" applyAlignment="1">
      <alignment horizontal="center" vertical="center"/>
    </xf>
    <xf numFmtId="1" fontId="50" fillId="30" borderId="25" xfId="56" applyNumberFormat="1" applyFont="1" applyFill="1" applyBorder="1" applyAlignment="1">
      <alignment horizontal="center" vertical="center"/>
    </xf>
    <xf numFmtId="173" fontId="52" fillId="34" borderId="49" xfId="0" applyFont="1" applyFill="1" applyBorder="1" applyAlignment="1">
      <alignment horizontal="left"/>
    </xf>
    <xf numFmtId="173" fontId="52" fillId="34" borderId="49" xfId="0" applyFont="1" applyFill="1" applyBorder="1" applyAlignment="1">
      <alignment horizontal="center"/>
    </xf>
    <xf numFmtId="43" fontId="62" fillId="0" borderId="0" xfId="56" applyFont="1" applyFill="1"/>
    <xf numFmtId="43" fontId="62" fillId="0" borderId="0" xfId="56" applyFont="1"/>
    <xf numFmtId="2" fontId="63" fillId="29" borderId="16" xfId="56" applyNumberFormat="1" applyFont="1" applyFill="1" applyBorder="1" applyAlignment="1">
      <alignment vertical="center"/>
    </xf>
    <xf numFmtId="173" fontId="63" fillId="43" borderId="35" xfId="0" applyFont="1" applyFill="1" applyBorder="1" applyAlignment="1">
      <alignment horizontal="left" vertical="center"/>
    </xf>
    <xf numFmtId="173" fontId="63" fillId="42" borderId="38" xfId="0" applyFont="1" applyFill="1" applyBorder="1"/>
    <xf numFmtId="173" fontId="63" fillId="30" borderId="35" xfId="0" applyFont="1" applyFill="1" applyBorder="1" applyAlignment="1">
      <alignment horizontal="left" vertical="center"/>
    </xf>
    <xf numFmtId="173" fontId="63" fillId="47" borderId="38" xfId="0" applyFont="1" applyFill="1" applyBorder="1"/>
    <xf numFmtId="1" fontId="65" fillId="43" borderId="26" xfId="56" applyNumberFormat="1" applyFont="1" applyFill="1" applyBorder="1" applyAlignment="1">
      <alignment horizontal="center" vertical="center"/>
    </xf>
    <xf numFmtId="2" fontId="65" fillId="43" borderId="26" xfId="56" applyNumberFormat="1" applyFont="1" applyFill="1" applyBorder="1" applyAlignment="1">
      <alignment horizontal="center" vertical="center"/>
    </xf>
    <xf numFmtId="1" fontId="65" fillId="47" borderId="13" xfId="56" applyNumberFormat="1" applyFont="1" applyFill="1" applyBorder="1" applyAlignment="1">
      <alignment horizontal="center" vertical="center"/>
    </xf>
    <xf numFmtId="2" fontId="65" fillId="47" borderId="13" xfId="56" applyNumberFormat="1" applyFont="1" applyFill="1" applyBorder="1" applyAlignment="1">
      <alignment horizontal="center" vertical="center"/>
    </xf>
    <xf numFmtId="2" fontId="65" fillId="29" borderId="13" xfId="56" applyNumberFormat="1" applyFont="1" applyFill="1" applyBorder="1" applyAlignment="1">
      <alignment horizontal="center" vertical="center"/>
    </xf>
    <xf numFmtId="1" fontId="65" fillId="29" borderId="13" xfId="56" applyNumberFormat="1" applyFont="1" applyFill="1" applyBorder="1" applyAlignment="1">
      <alignment horizontal="center" vertical="center"/>
    </xf>
    <xf numFmtId="1" fontId="65" fillId="29" borderId="25" xfId="56" quotePrefix="1" applyNumberFormat="1" applyFont="1" applyFill="1" applyBorder="1" applyAlignment="1">
      <alignment horizontal="center" vertical="center"/>
    </xf>
    <xf numFmtId="2" fontId="65" fillId="43" borderId="13" xfId="56" applyNumberFormat="1" applyFont="1" applyFill="1" applyBorder="1" applyAlignment="1">
      <alignment horizontal="center" vertical="center"/>
    </xf>
    <xf numFmtId="1" fontId="65" fillId="43" borderId="13" xfId="56" applyNumberFormat="1" applyFont="1" applyFill="1" applyBorder="1" applyAlignment="1">
      <alignment horizontal="center" vertical="center"/>
    </xf>
    <xf numFmtId="1" fontId="65" fillId="43" borderId="25" xfId="56" quotePrefix="1" applyNumberFormat="1" applyFont="1" applyFill="1" applyBorder="1" applyAlignment="1">
      <alignment horizontal="center" vertical="center"/>
    </xf>
    <xf numFmtId="2" fontId="65" fillId="42" borderId="13" xfId="56" applyNumberFormat="1" applyFont="1" applyFill="1" applyBorder="1" applyAlignment="1">
      <alignment horizontal="center" vertical="center"/>
    </xf>
    <xf numFmtId="1" fontId="65" fillId="42" borderId="13" xfId="56" applyNumberFormat="1" applyFont="1" applyFill="1" applyBorder="1" applyAlignment="1">
      <alignment horizontal="center" vertical="center"/>
    </xf>
    <xf numFmtId="1" fontId="65" fillId="42" borderId="25" xfId="56" quotePrefix="1" applyNumberFormat="1" applyFont="1" applyFill="1" applyBorder="1" applyAlignment="1">
      <alignment horizontal="center" vertical="center"/>
    </xf>
    <xf numFmtId="2" fontId="65" fillId="30" borderId="13" xfId="56" applyNumberFormat="1" applyFont="1" applyFill="1" applyBorder="1" applyAlignment="1">
      <alignment horizontal="center" vertical="center"/>
    </xf>
    <xf numFmtId="1" fontId="65" fillId="30" borderId="13" xfId="56" applyNumberFormat="1" applyFont="1" applyFill="1" applyBorder="1" applyAlignment="1">
      <alignment horizontal="center" vertical="center"/>
    </xf>
    <xf numFmtId="1" fontId="65" fillId="30" borderId="25" xfId="56" quotePrefix="1" applyNumberFormat="1" applyFont="1" applyFill="1" applyBorder="1" applyAlignment="1">
      <alignment horizontal="center" vertical="center"/>
    </xf>
    <xf numFmtId="1" fontId="65" fillId="47" borderId="25" xfId="56" quotePrefix="1" applyNumberFormat="1" applyFont="1" applyFill="1" applyBorder="1" applyAlignment="1">
      <alignment horizontal="center" vertical="center"/>
    </xf>
    <xf numFmtId="1" fontId="63" fillId="26" borderId="28" xfId="56" applyNumberFormat="1" applyFont="1" applyFill="1" applyBorder="1" applyAlignment="1">
      <alignment horizontal="left" vertical="center"/>
    </xf>
    <xf numFmtId="1" fontId="65" fillId="26" borderId="18" xfId="56" applyNumberFormat="1" applyFont="1" applyFill="1" applyBorder="1" applyAlignment="1">
      <alignment horizontal="center" vertical="center"/>
    </xf>
    <xf numFmtId="2" fontId="65" fillId="26" borderId="18" xfId="56" applyNumberFormat="1" applyFont="1" applyFill="1" applyBorder="1" applyAlignment="1">
      <alignment horizontal="center" vertical="center"/>
    </xf>
    <xf numFmtId="1" fontId="65" fillId="26" borderId="15" xfId="56" quotePrefix="1" applyNumberFormat="1" applyFont="1" applyFill="1" applyBorder="1" applyAlignment="1">
      <alignment horizontal="center" vertical="center"/>
    </xf>
    <xf numFmtId="2" fontId="63" fillId="29" borderId="16" xfId="56" applyNumberFormat="1" applyFont="1" applyFill="1" applyBorder="1" applyAlignment="1">
      <alignment horizontal="left" vertical="center"/>
    </xf>
    <xf numFmtId="1" fontId="63" fillId="43" borderId="35" xfId="56" applyNumberFormat="1" applyFont="1" applyFill="1" applyBorder="1" applyAlignment="1">
      <alignment horizontal="left" vertical="center"/>
    </xf>
    <xf numFmtId="2" fontId="63" fillId="42" borderId="16" xfId="56" applyNumberFormat="1" applyFont="1" applyFill="1" applyBorder="1" applyAlignment="1">
      <alignment horizontal="left" vertical="center"/>
    </xf>
    <xf numFmtId="1" fontId="63" fillId="30" borderId="35" xfId="56" applyNumberFormat="1" applyFont="1" applyFill="1" applyBorder="1" applyAlignment="1">
      <alignment horizontal="left" vertical="center"/>
    </xf>
    <xf numFmtId="1" fontId="63" fillId="40" borderId="16" xfId="56" applyNumberFormat="1" applyFont="1" applyFill="1" applyBorder="1" applyAlignment="1">
      <alignment horizontal="left" vertical="center"/>
    </xf>
    <xf numFmtId="1" fontId="65" fillId="40" borderId="13" xfId="56" applyNumberFormat="1" applyFont="1" applyFill="1" applyBorder="1" applyAlignment="1">
      <alignment horizontal="center" vertical="center"/>
    </xf>
    <xf numFmtId="2" fontId="65" fillId="40" borderId="13" xfId="56" applyNumberFormat="1" applyFont="1" applyFill="1" applyBorder="1" applyAlignment="1">
      <alignment horizontal="center" vertical="center"/>
    </xf>
    <xf numFmtId="1" fontId="65" fillId="40" borderId="25" xfId="56" quotePrefix="1" applyNumberFormat="1" applyFont="1" applyFill="1" applyBorder="1" applyAlignment="1">
      <alignment horizontal="center" vertical="center"/>
    </xf>
    <xf numFmtId="1" fontId="63" fillId="41" borderId="35" xfId="56" applyNumberFormat="1" applyFont="1" applyFill="1" applyBorder="1" applyAlignment="1">
      <alignment horizontal="left" vertical="center"/>
    </xf>
    <xf numFmtId="1" fontId="65" fillId="41" borderId="26" xfId="56" applyNumberFormat="1" applyFont="1" applyFill="1" applyBorder="1" applyAlignment="1">
      <alignment horizontal="center" vertical="center"/>
    </xf>
    <xf numFmtId="2" fontId="65" fillId="41" borderId="26" xfId="56" applyNumberFormat="1" applyFont="1" applyFill="1" applyBorder="1" applyAlignment="1">
      <alignment horizontal="center" vertical="center"/>
    </xf>
    <xf numFmtId="180" fontId="65" fillId="41" borderId="26" xfId="56" applyNumberFormat="1" applyFont="1" applyFill="1" applyBorder="1" applyAlignment="1">
      <alignment horizontal="center" vertical="center"/>
    </xf>
    <xf numFmtId="2" fontId="65" fillId="41" borderId="13" xfId="56" applyNumberFormat="1" applyFont="1" applyFill="1" applyBorder="1" applyAlignment="1">
      <alignment horizontal="center" vertical="center"/>
    </xf>
    <xf numFmtId="1" fontId="65" fillId="41" borderId="25" xfId="56" quotePrefix="1" applyNumberFormat="1" applyFont="1" applyFill="1" applyBorder="1" applyAlignment="1">
      <alignment horizontal="center" vertical="center"/>
    </xf>
    <xf numFmtId="173" fontId="63" fillId="32" borderId="35" xfId="0" applyFont="1" applyFill="1" applyBorder="1" applyAlignment="1">
      <alignment horizontal="left" vertical="center"/>
    </xf>
    <xf numFmtId="1" fontId="65" fillId="32" borderId="13" xfId="56" applyNumberFormat="1" applyFont="1" applyFill="1" applyBorder="1" applyAlignment="1">
      <alignment horizontal="center" vertical="center"/>
    </xf>
    <xf numFmtId="2" fontId="65" fillId="32" borderId="13" xfId="56" applyNumberFormat="1" applyFont="1" applyFill="1" applyBorder="1" applyAlignment="1">
      <alignment horizontal="center" vertical="center"/>
    </xf>
    <xf numFmtId="1" fontId="65" fillId="32" borderId="25" xfId="56" quotePrefix="1" applyNumberFormat="1" applyFont="1" applyFill="1" applyBorder="1" applyAlignment="1">
      <alignment horizontal="center" vertical="center"/>
    </xf>
    <xf numFmtId="173" fontId="63" fillId="35" borderId="35" xfId="0" applyFont="1" applyFill="1" applyBorder="1" applyAlignment="1">
      <alignment horizontal="left" vertical="center"/>
    </xf>
    <xf numFmtId="1" fontId="65" fillId="35" borderId="13" xfId="56" applyNumberFormat="1" applyFont="1" applyFill="1" applyBorder="1" applyAlignment="1">
      <alignment horizontal="center" vertical="center"/>
    </xf>
    <xf numFmtId="2" fontId="65" fillId="35" borderId="13" xfId="56" applyNumberFormat="1" applyFont="1" applyFill="1" applyBorder="1" applyAlignment="1">
      <alignment horizontal="center" vertical="center"/>
    </xf>
    <xf numFmtId="1" fontId="65" fillId="35" borderId="25" xfId="56" quotePrefix="1" applyNumberFormat="1" applyFont="1" applyFill="1" applyBorder="1" applyAlignment="1">
      <alignment horizontal="center" vertical="center"/>
    </xf>
    <xf numFmtId="173" fontId="63" fillId="44" borderId="16" xfId="0" applyFont="1" applyFill="1" applyBorder="1" applyAlignment="1">
      <alignment horizontal="left"/>
    </xf>
    <xf numFmtId="1" fontId="65" fillId="44" borderId="13" xfId="56" applyNumberFormat="1" applyFont="1" applyFill="1" applyBorder="1" applyAlignment="1">
      <alignment horizontal="center" vertical="center"/>
    </xf>
    <xf numFmtId="2" fontId="65" fillId="44" borderId="13" xfId="56" applyNumberFormat="1" applyFont="1" applyFill="1" applyBorder="1" applyAlignment="1">
      <alignment horizontal="center" vertical="center"/>
    </xf>
    <xf numFmtId="1" fontId="65" fillId="44" borderId="25" xfId="56" quotePrefix="1" applyNumberFormat="1" applyFont="1" applyFill="1" applyBorder="1" applyAlignment="1">
      <alignment horizontal="center" vertical="center"/>
    </xf>
    <xf numFmtId="173" fontId="63" fillId="28" borderId="16" xfId="0" applyFont="1" applyFill="1" applyBorder="1" applyAlignment="1">
      <alignment horizontal="left"/>
    </xf>
    <xf numFmtId="1" fontId="65" fillId="28" borderId="13" xfId="56" applyNumberFormat="1" applyFont="1" applyFill="1" applyBorder="1" applyAlignment="1">
      <alignment horizontal="center" vertical="center"/>
    </xf>
    <xf numFmtId="2" fontId="65" fillId="28" borderId="13" xfId="56" applyNumberFormat="1" applyFont="1" applyFill="1" applyBorder="1" applyAlignment="1">
      <alignment horizontal="center" vertical="center"/>
    </xf>
    <xf numFmtId="180" fontId="65" fillId="28" borderId="13" xfId="56" applyNumberFormat="1" applyFont="1" applyFill="1" applyBorder="1" applyAlignment="1">
      <alignment horizontal="center" vertical="center"/>
    </xf>
    <xf numFmtId="1" fontId="65" fillId="28" borderId="25" xfId="56" quotePrefix="1" applyNumberFormat="1" applyFont="1" applyFill="1" applyBorder="1" applyAlignment="1">
      <alignment horizontal="center" vertical="center"/>
    </xf>
    <xf numFmtId="173" fontId="63" fillId="36" borderId="35" xfId="0" applyFont="1" applyFill="1" applyBorder="1" applyAlignment="1">
      <alignment horizontal="left"/>
    </xf>
    <xf numFmtId="1" fontId="65" fillId="36" borderId="26" xfId="56" applyNumberFormat="1" applyFont="1" applyFill="1" applyBorder="1" applyAlignment="1">
      <alignment horizontal="center" vertical="center"/>
    </xf>
    <xf numFmtId="2" fontId="65" fillId="36" borderId="26" xfId="56" applyNumberFormat="1" applyFont="1" applyFill="1" applyBorder="1" applyAlignment="1">
      <alignment horizontal="center" vertical="center"/>
    </xf>
    <xf numFmtId="1" fontId="65" fillId="36" borderId="13" xfId="56" applyNumberFormat="1" applyFont="1" applyFill="1" applyBorder="1" applyAlignment="1">
      <alignment horizontal="center" vertical="center"/>
    </xf>
    <xf numFmtId="1" fontId="65" fillId="36" borderId="25" xfId="56" quotePrefix="1" applyNumberFormat="1" applyFont="1" applyFill="1" applyBorder="1" applyAlignment="1">
      <alignment horizontal="center" vertical="center"/>
    </xf>
    <xf numFmtId="2" fontId="63" fillId="31" borderId="16" xfId="56" applyNumberFormat="1" applyFont="1" applyFill="1" applyBorder="1" applyAlignment="1">
      <alignment horizontal="left" vertical="center"/>
    </xf>
    <xf numFmtId="1" fontId="65" fillId="31" borderId="26" xfId="56" applyNumberFormat="1" applyFont="1" applyFill="1" applyBorder="1" applyAlignment="1">
      <alignment horizontal="center" vertical="center"/>
    </xf>
    <xf numFmtId="2" fontId="65" fillId="31" borderId="26" xfId="56" applyNumberFormat="1" applyFont="1" applyFill="1" applyBorder="1" applyAlignment="1">
      <alignment horizontal="center" vertical="center"/>
    </xf>
    <xf numFmtId="1" fontId="65" fillId="31" borderId="13" xfId="56" applyNumberFormat="1" applyFont="1" applyFill="1" applyBorder="1" applyAlignment="1">
      <alignment horizontal="center" vertical="center"/>
    </xf>
    <xf numFmtId="1" fontId="65" fillId="31" borderId="25" xfId="56" quotePrefix="1" applyNumberFormat="1" applyFont="1" applyFill="1" applyBorder="1" applyAlignment="1">
      <alignment horizontal="center" vertical="center"/>
    </xf>
    <xf numFmtId="2" fontId="63" fillId="37" borderId="16" xfId="56" applyNumberFormat="1" applyFont="1" applyFill="1" applyBorder="1" applyAlignment="1">
      <alignment horizontal="left" vertical="center"/>
    </xf>
    <xf numFmtId="1" fontId="65" fillId="37" borderId="13" xfId="56" applyNumberFormat="1" applyFont="1" applyFill="1" applyBorder="1" applyAlignment="1">
      <alignment horizontal="center" vertical="center"/>
    </xf>
    <xf numFmtId="2" fontId="65" fillId="37" borderId="13" xfId="56" applyNumberFormat="1" applyFont="1" applyFill="1" applyBorder="1" applyAlignment="1">
      <alignment horizontal="center" vertical="center"/>
    </xf>
    <xf numFmtId="1" fontId="65" fillId="37" borderId="25" xfId="56" quotePrefix="1" applyNumberFormat="1" applyFont="1" applyFill="1" applyBorder="1" applyAlignment="1">
      <alignment horizontal="center" vertical="center"/>
    </xf>
    <xf numFmtId="1" fontId="65" fillId="37" borderId="26" xfId="56" applyNumberFormat="1" applyFont="1" applyFill="1" applyBorder="1" applyAlignment="1">
      <alignment horizontal="center" vertical="center"/>
    </xf>
    <xf numFmtId="2" fontId="63" fillId="37" borderId="35" xfId="56" applyNumberFormat="1" applyFont="1" applyFill="1" applyBorder="1" applyAlignment="1">
      <alignment horizontal="left" vertical="center"/>
    </xf>
    <xf numFmtId="2" fontId="63" fillId="33" borderId="16" xfId="56" applyNumberFormat="1" applyFont="1" applyFill="1" applyBorder="1" applyAlignment="1">
      <alignment horizontal="left" vertical="center"/>
    </xf>
    <xf numFmtId="1" fontId="65" fillId="33" borderId="13" xfId="56" applyNumberFormat="1" applyFont="1" applyFill="1" applyBorder="1" applyAlignment="1">
      <alignment horizontal="center" vertical="center"/>
    </xf>
    <xf numFmtId="2" fontId="65" fillId="33" borderId="13" xfId="56" applyNumberFormat="1" applyFont="1" applyFill="1" applyBorder="1" applyAlignment="1">
      <alignment horizontal="center" vertical="center"/>
    </xf>
    <xf numFmtId="1" fontId="65" fillId="33" borderId="25" xfId="56" quotePrefix="1" applyNumberFormat="1" applyFont="1" applyFill="1" applyBorder="1" applyAlignment="1">
      <alignment horizontal="center" vertical="center"/>
    </xf>
    <xf numFmtId="2" fontId="63" fillId="27" borderId="16" xfId="56" applyNumberFormat="1" applyFont="1" applyFill="1" applyBorder="1" applyAlignment="1">
      <alignment horizontal="left" vertical="center"/>
    </xf>
    <xf numFmtId="1" fontId="65" fillId="27" borderId="13" xfId="56" applyNumberFormat="1" applyFont="1" applyFill="1" applyBorder="1" applyAlignment="1">
      <alignment horizontal="center" vertical="center"/>
    </xf>
    <xf numFmtId="2" fontId="65" fillId="27" borderId="13" xfId="56" applyNumberFormat="1" applyFont="1" applyFill="1" applyBorder="1" applyAlignment="1">
      <alignment horizontal="center" vertical="center"/>
    </xf>
    <xf numFmtId="1" fontId="65" fillId="27" borderId="25" xfId="56" quotePrefix="1" applyNumberFormat="1" applyFont="1" applyFill="1" applyBorder="1" applyAlignment="1">
      <alignment horizontal="center" vertical="center"/>
    </xf>
    <xf numFmtId="2" fontId="63" fillId="38" borderId="16" xfId="56" applyNumberFormat="1" applyFont="1" applyFill="1" applyBorder="1" applyAlignment="1">
      <alignment horizontal="left" vertical="center"/>
    </xf>
    <xf numFmtId="1" fontId="65" fillId="38" borderId="13" xfId="56" applyNumberFormat="1" applyFont="1" applyFill="1" applyBorder="1" applyAlignment="1">
      <alignment horizontal="center" vertical="center"/>
    </xf>
    <xf numFmtId="2" fontId="65" fillId="38" borderId="13" xfId="56" applyNumberFormat="1" applyFont="1" applyFill="1" applyBorder="1" applyAlignment="1">
      <alignment horizontal="center" vertical="center"/>
    </xf>
    <xf numFmtId="1" fontId="65" fillId="38" borderId="25" xfId="56" quotePrefix="1" applyNumberFormat="1" applyFont="1" applyFill="1" applyBorder="1" applyAlignment="1">
      <alignment horizontal="center" vertical="center"/>
    </xf>
    <xf numFmtId="2" fontId="63" fillId="39" borderId="16" xfId="56" applyNumberFormat="1" applyFont="1" applyFill="1" applyBorder="1" applyAlignment="1">
      <alignment horizontal="left" vertical="center"/>
    </xf>
    <xf numFmtId="1" fontId="65" fillId="39" borderId="13" xfId="56" applyNumberFormat="1" applyFont="1" applyFill="1" applyBorder="1" applyAlignment="1">
      <alignment horizontal="center" vertical="center"/>
    </xf>
    <xf numFmtId="2" fontId="65" fillId="39" borderId="13" xfId="56" applyNumberFormat="1" applyFont="1" applyFill="1" applyBorder="1" applyAlignment="1">
      <alignment horizontal="center" vertical="center"/>
    </xf>
    <xf numFmtId="1" fontId="65" fillId="39" borderId="25" xfId="56" quotePrefix="1" applyNumberFormat="1" applyFont="1" applyFill="1" applyBorder="1" applyAlignment="1">
      <alignment horizontal="center" vertical="center"/>
    </xf>
    <xf numFmtId="2" fontId="63" fillId="39" borderId="54" xfId="56" applyNumberFormat="1" applyFont="1" applyFill="1" applyBorder="1" applyAlignment="1">
      <alignment horizontal="left" vertical="center"/>
    </xf>
    <xf numFmtId="1" fontId="65" fillId="39" borderId="55" xfId="56" applyNumberFormat="1" applyFont="1" applyFill="1" applyBorder="1" applyAlignment="1">
      <alignment horizontal="center" vertical="center"/>
    </xf>
    <xf numFmtId="2" fontId="65" fillId="39" borderId="55" xfId="56" applyNumberFormat="1" applyFont="1" applyFill="1" applyBorder="1" applyAlignment="1">
      <alignment horizontal="center" vertical="center"/>
    </xf>
    <xf numFmtId="1" fontId="65" fillId="39" borderId="56" xfId="56" quotePrefix="1" applyNumberFormat="1" applyFont="1" applyFill="1" applyBorder="1" applyAlignment="1">
      <alignment horizontal="center" vertical="center"/>
    </xf>
    <xf numFmtId="3" fontId="52" fillId="34" borderId="49" xfId="0" applyNumberFormat="1" applyFont="1" applyFill="1" applyBorder="1" applyAlignment="1">
      <alignment horizontal="center" vertical="center"/>
    </xf>
    <xf numFmtId="3" fontId="52" fillId="34" borderId="49" xfId="56" applyNumberFormat="1" applyFont="1" applyFill="1" applyBorder="1" applyAlignment="1">
      <alignment horizontal="center" vertical="center"/>
    </xf>
    <xf numFmtId="2" fontId="52" fillId="34" borderId="49" xfId="56" applyNumberFormat="1" applyFont="1" applyFill="1" applyBorder="1" applyAlignment="1">
      <alignment horizontal="center" vertical="center"/>
    </xf>
    <xf numFmtId="1" fontId="52" fillId="34" borderId="49" xfId="56" applyNumberFormat="1" applyFont="1" applyFill="1" applyBorder="1" applyAlignment="1">
      <alignment horizontal="center" vertical="center"/>
    </xf>
    <xf numFmtId="1" fontId="65" fillId="29" borderId="24" xfId="56" applyNumberFormat="1" applyFont="1" applyFill="1" applyBorder="1" applyAlignment="1">
      <alignment horizontal="center" vertical="center"/>
    </xf>
    <xf numFmtId="1" fontId="65" fillId="43" borderId="24" xfId="56" applyNumberFormat="1" applyFont="1" applyFill="1" applyBorder="1" applyAlignment="1">
      <alignment horizontal="center" vertical="center"/>
    </xf>
    <xf numFmtId="1" fontId="65" fillId="42" borderId="24" xfId="56" applyNumberFormat="1" applyFont="1" applyFill="1" applyBorder="1" applyAlignment="1">
      <alignment horizontal="center" vertical="center"/>
    </xf>
    <xf numFmtId="1" fontId="65" fillId="30" borderId="24" xfId="56" applyNumberFormat="1" applyFont="1" applyFill="1" applyBorder="1" applyAlignment="1">
      <alignment horizontal="center" vertical="center"/>
    </xf>
    <xf numFmtId="1" fontId="65" fillId="47" borderId="24" xfId="56" applyNumberFormat="1" applyFont="1" applyFill="1" applyBorder="1" applyAlignment="1">
      <alignment horizontal="center" vertical="center"/>
    </xf>
    <xf numFmtId="174" fontId="58" fillId="0" borderId="13" xfId="108" applyNumberFormat="1" applyFont="1" applyBorder="1"/>
    <xf numFmtId="174" fontId="58" fillId="29" borderId="13" xfId="108" applyNumberFormat="1" applyFont="1" applyFill="1" applyBorder="1"/>
    <xf numFmtId="174" fontId="58" fillId="43" borderId="13" xfId="108" applyNumberFormat="1" applyFont="1" applyFill="1" applyBorder="1"/>
    <xf numFmtId="174" fontId="58" fillId="42" borderId="13" xfId="108" applyNumberFormat="1" applyFont="1" applyFill="1" applyBorder="1"/>
    <xf numFmtId="174" fontId="58" fillId="30" borderId="13" xfId="108" applyNumberFormat="1" applyFont="1" applyFill="1" applyBorder="1"/>
    <xf numFmtId="174" fontId="58" fillId="40" borderId="13" xfId="108" applyNumberFormat="1" applyFont="1" applyFill="1" applyBorder="1" applyAlignment="1">
      <alignment horizontal="center"/>
    </xf>
    <xf numFmtId="174" fontId="0" fillId="0" borderId="13" xfId="108" applyNumberFormat="1" applyFont="1" applyBorder="1"/>
    <xf numFmtId="174" fontId="59" fillId="0" borderId="13" xfId="108" applyNumberFormat="1" applyFont="1" applyBorder="1"/>
    <xf numFmtId="174" fontId="59" fillId="29" borderId="13" xfId="108" applyNumberFormat="1" applyFont="1" applyFill="1" applyBorder="1"/>
    <xf numFmtId="174" fontId="59" fillId="43" borderId="13" xfId="108" applyNumberFormat="1" applyFont="1" applyFill="1" applyBorder="1"/>
    <xf numFmtId="174" fontId="59" fillId="42" borderId="13" xfId="108" applyNumberFormat="1" applyFont="1" applyFill="1" applyBorder="1"/>
    <xf numFmtId="174" fontId="59" fillId="30" borderId="13" xfId="108" applyNumberFormat="1" applyFont="1" applyFill="1" applyBorder="1"/>
    <xf numFmtId="174" fontId="38" fillId="28" borderId="13" xfId="108" applyNumberFormat="1" applyFont="1" applyFill="1" applyBorder="1" applyAlignment="1">
      <alignment horizontal="center"/>
    </xf>
    <xf numFmtId="174" fontId="1" fillId="0" borderId="13" xfId="108" applyNumberFormat="1" applyFont="1" applyBorder="1"/>
    <xf numFmtId="43" fontId="1" fillId="28" borderId="13" xfId="108" applyFont="1" applyFill="1" applyBorder="1" applyAlignment="1">
      <alignment horizontal="center"/>
    </xf>
    <xf numFmtId="2" fontId="67" fillId="28" borderId="33" xfId="56" applyNumberFormat="1" applyFont="1" applyFill="1" applyBorder="1" applyAlignment="1">
      <alignment horizontal="center" vertical="center"/>
    </xf>
    <xf numFmtId="1" fontId="67" fillId="28" borderId="33" xfId="56" applyNumberFormat="1" applyFont="1" applyFill="1" applyBorder="1" applyAlignment="1">
      <alignment horizontal="center" vertical="center"/>
    </xf>
    <xf numFmtId="1" fontId="67" fillId="28" borderId="29" xfId="56" applyNumberFormat="1" applyFont="1" applyFill="1" applyBorder="1" applyAlignment="1">
      <alignment horizontal="center" vertical="center"/>
    </xf>
    <xf numFmtId="9" fontId="1" fillId="0" borderId="13" xfId="107" applyFont="1" applyFill="1" applyBorder="1"/>
    <xf numFmtId="174" fontId="0" fillId="0" borderId="13" xfId="108" applyNumberFormat="1" applyFont="1" applyFill="1" applyBorder="1"/>
    <xf numFmtId="173" fontId="38" fillId="48" borderId="13" xfId="0" applyFont="1" applyFill="1" applyBorder="1"/>
    <xf numFmtId="9" fontId="0" fillId="0" borderId="13" xfId="110" applyFont="1" applyBorder="1"/>
    <xf numFmtId="173" fontId="38" fillId="48" borderId="26" xfId="0" applyFont="1" applyFill="1" applyBorder="1"/>
    <xf numFmtId="173" fontId="38" fillId="34" borderId="19" xfId="0" applyFont="1" applyFill="1" applyBorder="1"/>
    <xf numFmtId="1" fontId="11" fillId="28" borderId="49" xfId="0" applyNumberFormat="1" applyFont="1" applyFill="1" applyBorder="1" applyAlignment="1">
      <alignment horizontal="center"/>
    </xf>
    <xf numFmtId="174" fontId="59" fillId="30" borderId="13" xfId="108" applyNumberFormat="1" applyFont="1" applyFill="1" applyBorder="1" applyAlignment="1">
      <alignment horizontal="center"/>
    </xf>
    <xf numFmtId="174" fontId="58" fillId="30" borderId="13" xfId="108" applyNumberFormat="1" applyFont="1" applyFill="1" applyBorder="1" applyAlignment="1">
      <alignment horizontal="center"/>
    </xf>
    <xf numFmtId="174" fontId="0" fillId="0" borderId="0" xfId="108" applyNumberFormat="1" applyFont="1"/>
    <xf numFmtId="174" fontId="1" fillId="0" borderId="0" xfId="108" applyNumberFormat="1" applyFont="1"/>
    <xf numFmtId="174" fontId="1" fillId="35" borderId="13" xfId="108" applyNumberFormat="1" applyFont="1" applyFill="1" applyBorder="1"/>
    <xf numFmtId="174" fontId="49" fillId="0" borderId="0" xfId="108" applyNumberFormat="1" applyFont="1"/>
    <xf numFmtId="174" fontId="38" fillId="0" borderId="0" xfId="108" applyNumberFormat="1" applyFont="1"/>
    <xf numFmtId="0" fontId="0" fillId="46" borderId="0" xfId="108" applyNumberFormat="1" applyFont="1" applyFill="1"/>
    <xf numFmtId="0" fontId="1" fillId="28" borderId="0" xfId="108" applyNumberFormat="1" applyFont="1" applyFill="1"/>
    <xf numFmtId="174" fontId="0" fillId="26" borderId="0" xfId="108" applyNumberFormat="1" applyFont="1" applyFill="1"/>
    <xf numFmtId="9" fontId="1" fillId="0" borderId="19" xfId="107" applyFont="1" applyFill="1" applyBorder="1"/>
    <xf numFmtId="174" fontId="0" fillId="0" borderId="26" xfId="108" applyNumberFormat="1" applyFont="1" applyBorder="1"/>
    <xf numFmtId="38" fontId="0" fillId="0" borderId="13" xfId="108" applyNumberFormat="1" applyFont="1" applyBorder="1"/>
    <xf numFmtId="9" fontId="0" fillId="34" borderId="13" xfId="107" applyFont="1" applyFill="1" applyBorder="1"/>
    <xf numFmtId="9" fontId="0" fillId="0" borderId="13" xfId="107" applyFont="1" applyBorder="1"/>
    <xf numFmtId="173" fontId="0" fillId="34" borderId="13" xfId="0" applyFill="1" applyBorder="1"/>
    <xf numFmtId="174" fontId="0" fillId="48" borderId="26" xfId="108" applyNumberFormat="1" applyFont="1" applyFill="1" applyBorder="1"/>
    <xf numFmtId="38" fontId="0" fillId="48" borderId="13" xfId="108" applyNumberFormat="1" applyFont="1" applyFill="1" applyBorder="1"/>
    <xf numFmtId="9" fontId="0" fillId="48" borderId="13" xfId="107" applyFont="1" applyFill="1" applyBorder="1"/>
    <xf numFmtId="174" fontId="1" fillId="0" borderId="13" xfId="56" applyNumberFormat="1" applyFont="1" applyFill="1" applyBorder="1"/>
    <xf numFmtId="174" fontId="1" fillId="0" borderId="13" xfId="108" applyNumberFormat="1" applyFont="1" applyFill="1" applyBorder="1"/>
    <xf numFmtId="1" fontId="65" fillId="0" borderId="0" xfId="56" applyNumberFormat="1" applyFont="1" applyAlignment="1">
      <alignment horizontal="center" vertical="center"/>
    </xf>
    <xf numFmtId="1" fontId="65" fillId="34" borderId="13" xfId="56" applyNumberFormat="1" applyFont="1" applyFill="1" applyBorder="1" applyAlignment="1">
      <alignment horizontal="center" vertical="center"/>
    </xf>
    <xf numFmtId="173" fontId="52" fillId="34" borderId="51" xfId="0" applyFont="1" applyFill="1" applyBorder="1" applyAlignment="1">
      <alignment horizontal="left" vertical="center"/>
    </xf>
    <xf numFmtId="1" fontId="69" fillId="34" borderId="18" xfId="56" applyNumberFormat="1" applyFont="1" applyFill="1" applyBorder="1" applyAlignment="1">
      <alignment horizontal="center" vertical="center"/>
    </xf>
    <xf numFmtId="2" fontId="69" fillId="34" borderId="18" xfId="56" applyNumberFormat="1" applyFont="1" applyFill="1" applyBorder="1" applyAlignment="1">
      <alignment horizontal="center" vertical="center"/>
    </xf>
    <xf numFmtId="1" fontId="65" fillId="34" borderId="32" xfId="56" applyNumberFormat="1" applyFont="1" applyFill="1" applyBorder="1" applyAlignment="1">
      <alignment horizontal="center" vertical="center"/>
    </xf>
    <xf numFmtId="1" fontId="65" fillId="34" borderId="19" xfId="56" applyNumberFormat="1" applyFont="1" applyFill="1" applyBorder="1" applyAlignment="1">
      <alignment horizontal="center" vertical="center"/>
    </xf>
    <xf numFmtId="2" fontId="69" fillId="34" borderId="13" xfId="56" applyNumberFormat="1" applyFont="1" applyFill="1" applyBorder="1" applyAlignment="1">
      <alignment horizontal="center" vertical="center"/>
    </xf>
    <xf numFmtId="1" fontId="69" fillId="34" borderId="13" xfId="56" applyNumberFormat="1" applyFont="1" applyFill="1" applyBorder="1" applyAlignment="1">
      <alignment horizontal="center" vertical="center"/>
    </xf>
    <xf numFmtId="2" fontId="69" fillId="34" borderId="19" xfId="56" applyNumberFormat="1" applyFont="1" applyFill="1" applyBorder="1" applyAlignment="1">
      <alignment horizontal="center" vertical="center"/>
    </xf>
    <xf numFmtId="1" fontId="69" fillId="34" borderId="17" xfId="56" applyNumberFormat="1" applyFont="1" applyFill="1" applyBorder="1" applyAlignment="1">
      <alignment horizontal="center" vertical="center"/>
    </xf>
    <xf numFmtId="38" fontId="1" fillId="0" borderId="13" xfId="108" applyNumberFormat="1" applyFont="1" applyFill="1" applyBorder="1"/>
    <xf numFmtId="3" fontId="69" fillId="34" borderId="18" xfId="56" applyNumberFormat="1" applyFont="1" applyFill="1" applyBorder="1" applyAlignment="1">
      <alignment horizontal="center" vertical="center"/>
    </xf>
    <xf numFmtId="3" fontId="69" fillId="34" borderId="13" xfId="56" applyNumberFormat="1" applyFont="1" applyFill="1" applyBorder="1" applyAlignment="1">
      <alignment horizontal="center" vertical="center"/>
    </xf>
    <xf numFmtId="3" fontId="69" fillId="34" borderId="19" xfId="56" applyNumberFormat="1" applyFont="1" applyFill="1" applyBorder="1" applyAlignment="1">
      <alignment horizontal="center" vertical="center"/>
    </xf>
    <xf numFmtId="1" fontId="69" fillId="34" borderId="15" xfId="56" applyNumberFormat="1" applyFont="1" applyFill="1" applyBorder="1" applyAlignment="1">
      <alignment horizontal="center" vertical="center"/>
    </xf>
    <xf numFmtId="9" fontId="0" fillId="0" borderId="0" xfId="110" applyFont="1"/>
    <xf numFmtId="1" fontId="65" fillId="34" borderId="28" xfId="56" applyNumberFormat="1" applyFont="1" applyFill="1" applyBorder="1" applyAlignment="1">
      <alignment horizontal="left" vertical="center"/>
    </xf>
    <xf numFmtId="1" fontId="65" fillId="34" borderId="16" xfId="56" applyNumberFormat="1" applyFont="1" applyFill="1" applyBorder="1" applyAlignment="1">
      <alignment horizontal="left" vertical="center"/>
    </xf>
    <xf numFmtId="173" fontId="1" fillId="0" borderId="0" xfId="0" quotePrefix="1" applyFont="1"/>
    <xf numFmtId="1" fontId="69" fillId="34" borderId="19" xfId="56" applyNumberFormat="1" applyFont="1" applyFill="1" applyBorder="1" applyAlignment="1">
      <alignment horizontal="center" vertical="center"/>
    </xf>
    <xf numFmtId="174" fontId="55" fillId="26" borderId="32" xfId="56" applyNumberFormat="1" applyFont="1" applyFill="1" applyBorder="1" applyAlignment="1">
      <alignment horizontal="center" vertical="center"/>
    </xf>
    <xf numFmtId="1" fontId="55" fillId="26" borderId="19" xfId="56" applyNumberFormat="1" applyFont="1" applyFill="1" applyBorder="1" applyAlignment="1">
      <alignment horizontal="center" vertical="center"/>
    </xf>
    <xf numFmtId="2" fontId="55" fillId="26" borderId="19" xfId="56" applyNumberFormat="1" applyFont="1" applyFill="1" applyBorder="1" applyAlignment="1">
      <alignment horizontal="center" vertical="center"/>
    </xf>
    <xf numFmtId="1" fontId="55" fillId="26" borderId="19" xfId="56" quotePrefix="1" applyNumberFormat="1" applyFont="1" applyFill="1" applyBorder="1" applyAlignment="1">
      <alignment horizontal="center" vertical="center"/>
    </xf>
    <xf numFmtId="2" fontId="55" fillId="26" borderId="19" xfId="56" quotePrefix="1" applyNumberFormat="1" applyFont="1" applyFill="1" applyBorder="1" applyAlignment="1">
      <alignment horizontal="center" vertical="center"/>
    </xf>
    <xf numFmtId="1" fontId="55" fillId="26" borderId="21" xfId="56" applyNumberFormat="1" applyFont="1" applyFill="1" applyBorder="1" applyAlignment="1">
      <alignment horizontal="center" vertical="center"/>
    </xf>
    <xf numFmtId="43" fontId="65" fillId="0" borderId="0" xfId="56" applyFont="1" applyAlignment="1">
      <alignment horizontal="center" vertical="center"/>
    </xf>
    <xf numFmtId="1" fontId="66" fillId="30" borderId="13" xfId="56" quotePrefix="1" applyNumberFormat="1" applyFont="1" applyFill="1" applyBorder="1" applyAlignment="1">
      <alignment horizontal="center" vertical="center"/>
    </xf>
    <xf numFmtId="173" fontId="68" fillId="30" borderId="45" xfId="0" applyFont="1" applyFill="1" applyBorder="1" applyAlignment="1">
      <alignment horizontal="center" vertical="center"/>
    </xf>
    <xf numFmtId="174" fontId="66" fillId="30" borderId="16" xfId="56" applyNumberFormat="1" applyFont="1" applyFill="1" applyBorder="1" applyAlignment="1">
      <alignment horizontal="center" vertical="center"/>
    </xf>
    <xf numFmtId="174" fontId="55" fillId="30" borderId="17" xfId="56" applyNumberFormat="1" applyFont="1" applyFill="1" applyBorder="1" applyAlignment="1">
      <alignment horizontal="center" vertical="center"/>
    </xf>
    <xf numFmtId="174" fontId="55" fillId="26" borderId="16" xfId="56" applyNumberFormat="1" applyFont="1" applyFill="1" applyBorder="1" applyAlignment="1">
      <alignment horizontal="center" vertical="center"/>
    </xf>
    <xf numFmtId="1" fontId="55" fillId="26" borderId="13" xfId="111" applyNumberFormat="1" applyFont="1" applyFill="1" applyBorder="1" applyAlignment="1">
      <alignment horizontal="center" vertical="center"/>
    </xf>
    <xf numFmtId="2" fontId="55" fillId="26" borderId="13" xfId="56" applyNumberFormat="1" applyFont="1" applyFill="1" applyBorder="1" applyAlignment="1">
      <alignment horizontal="center" vertical="center"/>
    </xf>
    <xf numFmtId="1" fontId="55" fillId="26" borderId="13" xfId="56" applyNumberFormat="1" applyFont="1" applyFill="1" applyBorder="1" applyAlignment="1">
      <alignment horizontal="center" vertical="center"/>
    </xf>
    <xf numFmtId="1" fontId="55" fillId="26" borderId="13" xfId="56" quotePrefix="1" applyNumberFormat="1" applyFont="1" applyFill="1" applyBorder="1" applyAlignment="1">
      <alignment horizontal="center" vertical="center"/>
    </xf>
    <xf numFmtId="2" fontId="55" fillId="26" borderId="13" xfId="56" quotePrefix="1" applyNumberFormat="1" applyFont="1" applyFill="1" applyBorder="1" applyAlignment="1">
      <alignment horizontal="center" vertical="center"/>
    </xf>
    <xf numFmtId="1" fontId="55" fillId="26" borderId="17" xfId="56" applyNumberFormat="1" applyFont="1" applyFill="1" applyBorder="1" applyAlignment="1">
      <alignment horizontal="center" vertical="center"/>
    </xf>
    <xf numFmtId="38" fontId="1" fillId="0" borderId="13" xfId="56" applyNumberFormat="1" applyFont="1" applyFill="1" applyBorder="1"/>
    <xf numFmtId="174" fontId="50" fillId="26" borderId="16" xfId="56" applyNumberFormat="1" applyFont="1" applyFill="1" applyBorder="1" applyAlignment="1">
      <alignment horizontal="center" vertical="center"/>
    </xf>
    <xf numFmtId="1" fontId="50" fillId="26" borderId="13" xfId="56" applyNumberFormat="1" applyFont="1" applyFill="1" applyBorder="1" applyAlignment="1">
      <alignment horizontal="center" vertical="center"/>
    </xf>
    <xf numFmtId="2" fontId="50" fillId="26" borderId="13" xfId="56" applyNumberFormat="1" applyFont="1" applyFill="1" applyBorder="1" applyAlignment="1">
      <alignment horizontal="center" vertical="center"/>
    </xf>
    <xf numFmtId="1" fontId="50" fillId="26" borderId="13" xfId="56" quotePrefix="1" applyNumberFormat="1" applyFont="1" applyFill="1" applyBorder="1" applyAlignment="1">
      <alignment horizontal="center" vertical="center"/>
    </xf>
    <xf numFmtId="2" fontId="50" fillId="26" borderId="13" xfId="56" quotePrefix="1" applyNumberFormat="1" applyFont="1" applyFill="1" applyBorder="1" applyAlignment="1">
      <alignment horizontal="center" vertical="center"/>
    </xf>
    <xf numFmtId="1" fontId="50" fillId="26" borderId="17" xfId="56" applyNumberFormat="1" applyFont="1" applyFill="1" applyBorder="1" applyAlignment="1">
      <alignment horizontal="center" vertical="center"/>
    </xf>
    <xf numFmtId="38" fontId="62" fillId="0" borderId="13" xfId="108" applyNumberFormat="1" applyFont="1" applyFill="1" applyBorder="1"/>
    <xf numFmtId="1" fontId="66" fillId="30" borderId="13" xfId="56" applyNumberFormat="1" applyFont="1" applyFill="1" applyBorder="1" applyAlignment="1">
      <alignment horizontal="center" vertical="center"/>
    </xf>
    <xf numFmtId="2" fontId="66" fillId="30" borderId="13" xfId="56" applyNumberFormat="1" applyFont="1" applyFill="1" applyBorder="1" applyAlignment="1">
      <alignment horizontal="center" vertical="center"/>
    </xf>
    <xf numFmtId="174" fontId="50" fillId="43" borderId="16" xfId="56" applyNumberFormat="1" applyFont="1" applyFill="1" applyBorder="1" applyAlignment="1">
      <alignment horizontal="center" vertical="center"/>
    </xf>
    <xf numFmtId="1" fontId="50" fillId="43" borderId="13" xfId="56" applyNumberFormat="1" applyFont="1" applyFill="1" applyBorder="1" applyAlignment="1">
      <alignment horizontal="center" vertical="center"/>
    </xf>
    <xf numFmtId="2" fontId="50" fillId="43" borderId="13" xfId="56" applyNumberFormat="1" applyFont="1" applyFill="1" applyBorder="1" applyAlignment="1">
      <alignment horizontal="center" vertical="center"/>
    </xf>
    <xf numFmtId="1" fontId="50" fillId="43" borderId="13" xfId="56" quotePrefix="1" applyNumberFormat="1" applyFont="1" applyFill="1" applyBorder="1" applyAlignment="1">
      <alignment horizontal="center" vertical="center"/>
    </xf>
    <xf numFmtId="2" fontId="50" fillId="43" borderId="13" xfId="56" quotePrefix="1" applyNumberFormat="1" applyFont="1" applyFill="1" applyBorder="1" applyAlignment="1">
      <alignment horizontal="center" vertical="center"/>
    </xf>
    <xf numFmtId="1" fontId="50" fillId="43" borderId="17" xfId="56" applyNumberFormat="1" applyFont="1" applyFill="1" applyBorder="1" applyAlignment="1">
      <alignment horizontal="center" vertical="center"/>
    </xf>
    <xf numFmtId="174" fontId="50" fillId="31" borderId="16" xfId="56" applyNumberFormat="1" applyFont="1" applyFill="1" applyBorder="1" applyAlignment="1">
      <alignment horizontal="center" vertical="center"/>
    </xf>
    <xf numFmtId="1" fontId="50" fillId="31" borderId="13" xfId="56" applyNumberFormat="1" applyFont="1" applyFill="1" applyBorder="1" applyAlignment="1">
      <alignment horizontal="center" vertical="center"/>
    </xf>
    <xf numFmtId="2" fontId="50" fillId="31" borderId="13" xfId="56" applyNumberFormat="1" applyFont="1" applyFill="1" applyBorder="1" applyAlignment="1">
      <alignment horizontal="center" vertical="center"/>
    </xf>
    <xf numFmtId="1" fontId="50" fillId="31" borderId="13" xfId="56" quotePrefix="1" applyNumberFormat="1" applyFont="1" applyFill="1" applyBorder="1" applyAlignment="1">
      <alignment horizontal="center" vertical="center"/>
    </xf>
    <xf numFmtId="2" fontId="50" fillId="31" borderId="13" xfId="0" applyNumberFormat="1" applyFont="1" applyFill="1" applyBorder="1" applyAlignment="1">
      <alignment horizontal="center" vertical="center"/>
    </xf>
    <xf numFmtId="1" fontId="50" fillId="31" borderId="17" xfId="56" applyNumberFormat="1" applyFont="1" applyFill="1" applyBorder="1" applyAlignment="1">
      <alignment horizontal="center" vertical="center"/>
    </xf>
    <xf numFmtId="174" fontId="50" fillId="38" borderId="16" xfId="56" applyNumberFormat="1" applyFont="1" applyFill="1" applyBorder="1" applyAlignment="1">
      <alignment horizontal="center" vertical="center"/>
    </xf>
    <xf numFmtId="1" fontId="50" fillId="38" borderId="13" xfId="56" applyNumberFormat="1" applyFont="1" applyFill="1" applyBorder="1" applyAlignment="1">
      <alignment horizontal="center" vertical="center"/>
    </xf>
    <xf numFmtId="2" fontId="50" fillId="38" borderId="13" xfId="56" applyNumberFormat="1" applyFont="1" applyFill="1" applyBorder="1" applyAlignment="1">
      <alignment horizontal="center" vertical="center"/>
    </xf>
    <xf numFmtId="1" fontId="50" fillId="38" borderId="13" xfId="56" quotePrefix="1" applyNumberFormat="1" applyFont="1" applyFill="1" applyBorder="1" applyAlignment="1">
      <alignment horizontal="center" vertical="center"/>
    </xf>
    <xf numFmtId="2" fontId="50" fillId="38" borderId="13" xfId="0" applyNumberFormat="1" applyFont="1" applyFill="1" applyBorder="1" applyAlignment="1">
      <alignment horizontal="center" vertical="center"/>
    </xf>
    <xf numFmtId="1" fontId="50" fillId="38" borderId="17" xfId="56" applyNumberFormat="1" applyFont="1" applyFill="1" applyBorder="1" applyAlignment="1">
      <alignment horizontal="center" vertical="center"/>
    </xf>
    <xf numFmtId="174" fontId="55" fillId="32" borderId="32" xfId="56" applyNumberFormat="1" applyFont="1" applyFill="1" applyBorder="1" applyAlignment="1">
      <alignment horizontal="center" vertical="center"/>
    </xf>
    <xf numFmtId="1" fontId="55" fillId="32" borderId="19" xfId="56" applyNumberFormat="1" applyFont="1" applyFill="1" applyBorder="1" applyAlignment="1">
      <alignment horizontal="center" vertical="center"/>
    </xf>
    <xf numFmtId="2" fontId="55" fillId="32" borderId="19" xfId="56" applyNumberFormat="1" applyFont="1" applyFill="1" applyBorder="1" applyAlignment="1">
      <alignment horizontal="center" vertical="center"/>
    </xf>
    <xf numFmtId="1" fontId="55" fillId="32" borderId="55" xfId="56" quotePrefix="1" applyNumberFormat="1" applyFont="1" applyFill="1" applyBorder="1" applyAlignment="1">
      <alignment horizontal="center" vertical="center"/>
    </xf>
    <xf numFmtId="1" fontId="55" fillId="32" borderId="20" xfId="56" quotePrefix="1" applyNumberFormat="1" applyFont="1" applyFill="1" applyBorder="1" applyAlignment="1">
      <alignment horizontal="center" vertical="center"/>
    </xf>
    <xf numFmtId="2" fontId="55" fillId="32" borderId="19" xfId="56" quotePrefix="1" applyNumberFormat="1" applyFont="1" applyFill="1" applyBorder="1" applyAlignment="1">
      <alignment horizontal="center" vertical="center"/>
    </xf>
    <xf numFmtId="1" fontId="55" fillId="32" borderId="21" xfId="56" applyNumberFormat="1" applyFont="1" applyFill="1" applyBorder="1" applyAlignment="1">
      <alignment horizontal="center" vertical="center"/>
    </xf>
    <xf numFmtId="174" fontId="50" fillId="44" borderId="16" xfId="56" applyNumberFormat="1" applyFont="1" applyFill="1" applyBorder="1" applyAlignment="1">
      <alignment horizontal="center" vertical="center"/>
    </xf>
    <xf numFmtId="1" fontId="50" fillId="44" borderId="13" xfId="56" applyNumberFormat="1" applyFont="1" applyFill="1" applyBorder="1" applyAlignment="1">
      <alignment horizontal="center" vertical="center"/>
    </xf>
    <xf numFmtId="2" fontId="50" fillId="44" borderId="13" xfId="56" applyNumberFormat="1" applyFont="1" applyFill="1" applyBorder="1" applyAlignment="1">
      <alignment horizontal="center" vertical="center"/>
    </xf>
    <xf numFmtId="1" fontId="50" fillId="44" borderId="13" xfId="56" quotePrefix="1" applyNumberFormat="1" applyFont="1" applyFill="1" applyBorder="1" applyAlignment="1">
      <alignment horizontal="center" vertical="center"/>
    </xf>
    <xf numFmtId="1" fontId="50" fillId="44" borderId="17" xfId="56" applyNumberFormat="1" applyFont="1" applyFill="1" applyBorder="1" applyAlignment="1">
      <alignment horizontal="center" vertical="center"/>
    </xf>
    <xf numFmtId="174" fontId="65" fillId="30" borderId="32" xfId="56" applyNumberFormat="1" applyFont="1" applyFill="1" applyBorder="1" applyAlignment="1">
      <alignment horizontal="center" vertical="center"/>
    </xf>
    <xf numFmtId="1" fontId="65" fillId="30" borderId="19" xfId="56" applyNumberFormat="1" applyFont="1" applyFill="1" applyBorder="1" applyAlignment="1">
      <alignment horizontal="center" vertical="center"/>
    </xf>
    <xf numFmtId="2" fontId="65" fillId="30" borderId="19" xfId="56" applyNumberFormat="1" applyFont="1" applyFill="1" applyBorder="1" applyAlignment="1">
      <alignment horizontal="center" vertical="center"/>
    </xf>
    <xf numFmtId="1" fontId="65" fillId="30" borderId="19" xfId="56" quotePrefix="1" applyNumberFormat="1" applyFont="1" applyFill="1" applyBorder="1" applyAlignment="1">
      <alignment horizontal="center" vertical="center"/>
    </xf>
    <xf numFmtId="173" fontId="64" fillId="30" borderId="57" xfId="0" applyFont="1" applyFill="1" applyBorder="1" applyAlignment="1">
      <alignment horizontal="center" vertical="center"/>
    </xf>
    <xf numFmtId="174" fontId="50" fillId="30" borderId="21" xfId="56" applyNumberFormat="1" applyFont="1" applyFill="1" applyBorder="1" applyAlignment="1">
      <alignment horizontal="center" vertical="center"/>
    </xf>
    <xf numFmtId="1" fontId="50" fillId="38" borderId="24" xfId="56" quotePrefix="1" applyNumberFormat="1" applyFont="1" applyFill="1" applyBorder="1" applyAlignment="1">
      <alignment horizontal="center" vertical="center"/>
    </xf>
    <xf numFmtId="174" fontId="50" fillId="37" borderId="16" xfId="56" applyNumberFormat="1" applyFont="1" applyFill="1" applyBorder="1" applyAlignment="1">
      <alignment horizontal="center" vertical="center"/>
    </xf>
    <xf numFmtId="1" fontId="50" fillId="37" borderId="13" xfId="56" applyNumberFormat="1" applyFont="1" applyFill="1" applyBorder="1" applyAlignment="1">
      <alignment horizontal="center" vertical="center"/>
    </xf>
    <xf numFmtId="2" fontId="50" fillId="37" borderId="13" xfId="56" applyNumberFormat="1" applyFont="1" applyFill="1" applyBorder="1" applyAlignment="1">
      <alignment horizontal="center" vertical="center"/>
    </xf>
    <xf numFmtId="1" fontId="50" fillId="37" borderId="13" xfId="56" quotePrefix="1" applyNumberFormat="1" applyFont="1" applyFill="1" applyBorder="1" applyAlignment="1">
      <alignment horizontal="center" vertical="center"/>
    </xf>
    <xf numFmtId="1" fontId="50" fillId="37" borderId="24" xfId="56" quotePrefix="1" applyNumberFormat="1" applyFont="1" applyFill="1" applyBorder="1" applyAlignment="1">
      <alignment horizontal="center" vertical="center"/>
    </xf>
    <xf numFmtId="1" fontId="50" fillId="37" borderId="17" xfId="56" applyNumberFormat="1" applyFont="1" applyFill="1" applyBorder="1" applyAlignment="1">
      <alignment horizontal="center" vertical="center"/>
    </xf>
    <xf numFmtId="174" fontId="50" fillId="38" borderId="35" xfId="56" applyNumberFormat="1" applyFont="1" applyFill="1" applyBorder="1" applyAlignment="1">
      <alignment horizontal="center" vertical="center"/>
    </xf>
    <xf numFmtId="1" fontId="50" fillId="38" borderId="26" xfId="56" applyNumberFormat="1" applyFont="1" applyFill="1" applyBorder="1" applyAlignment="1">
      <alignment horizontal="center" vertical="center"/>
    </xf>
    <xf numFmtId="2" fontId="50" fillId="38" borderId="26" xfId="56" applyNumberFormat="1" applyFont="1" applyFill="1" applyBorder="1" applyAlignment="1">
      <alignment horizontal="center" vertical="center"/>
    </xf>
    <xf numFmtId="1" fontId="50" fillId="38" borderId="18" xfId="56" quotePrefix="1" applyNumberFormat="1" applyFont="1" applyFill="1" applyBorder="1" applyAlignment="1">
      <alignment horizontal="center" vertical="center"/>
    </xf>
    <xf numFmtId="1" fontId="50" fillId="38" borderId="26" xfId="56" quotePrefix="1" applyNumberFormat="1" applyFont="1" applyFill="1" applyBorder="1" applyAlignment="1">
      <alignment horizontal="center" vertical="center"/>
    </xf>
    <xf numFmtId="2" fontId="50" fillId="38" borderId="45" xfId="56" applyNumberFormat="1" applyFont="1" applyFill="1" applyBorder="1" applyAlignment="1">
      <alignment horizontal="center" vertical="center"/>
    </xf>
    <xf numFmtId="1" fontId="50" fillId="38" borderId="25" xfId="56" applyNumberFormat="1" applyFont="1" applyFill="1" applyBorder="1" applyAlignment="1">
      <alignment horizontal="center" vertical="center"/>
    </xf>
    <xf numFmtId="2" fontId="50" fillId="38" borderId="13" xfId="56" quotePrefix="1" applyNumberFormat="1" applyFont="1" applyFill="1" applyBorder="1" applyAlignment="1">
      <alignment horizontal="center" vertical="center"/>
    </xf>
    <xf numFmtId="174" fontId="65" fillId="29" borderId="35" xfId="56" applyNumberFormat="1" applyFont="1" applyFill="1" applyBorder="1" applyAlignment="1">
      <alignment horizontal="center" vertical="center"/>
    </xf>
    <xf numFmtId="1" fontId="65" fillId="29" borderId="26" xfId="56" applyNumberFormat="1" applyFont="1" applyFill="1" applyBorder="1" applyAlignment="1">
      <alignment horizontal="center" vertical="center"/>
    </xf>
    <xf numFmtId="2" fontId="65" fillId="29" borderId="26" xfId="56" applyNumberFormat="1" applyFont="1" applyFill="1" applyBorder="1" applyAlignment="1">
      <alignment horizontal="center" vertical="center"/>
    </xf>
    <xf numFmtId="1" fontId="65" fillId="29" borderId="26" xfId="56" quotePrefix="1" applyNumberFormat="1" applyFont="1" applyFill="1" applyBorder="1" applyAlignment="1">
      <alignment horizontal="center" vertical="center"/>
    </xf>
    <xf numFmtId="173" fontId="64" fillId="29" borderId="45" xfId="0" applyFont="1" applyFill="1" applyBorder="1" applyAlignment="1">
      <alignment horizontal="center" vertical="center"/>
    </xf>
    <xf numFmtId="174" fontId="50" fillId="29" borderId="25" xfId="56" applyNumberFormat="1" applyFont="1" applyFill="1" applyBorder="1" applyAlignment="1">
      <alignment horizontal="center" vertical="center"/>
    </xf>
    <xf numFmtId="174" fontId="50" fillId="27" borderId="16" xfId="56" applyNumberFormat="1" applyFont="1" applyFill="1" applyBorder="1" applyAlignment="1">
      <alignment horizontal="center" vertical="center"/>
    </xf>
    <xf numFmtId="1" fontId="50" fillId="27" borderId="13" xfId="56" applyNumberFormat="1" applyFont="1" applyFill="1" applyBorder="1" applyAlignment="1">
      <alignment horizontal="center" vertical="center"/>
    </xf>
    <xf numFmtId="2" fontId="50" fillId="27" borderId="13" xfId="56" applyNumberFormat="1" applyFont="1" applyFill="1" applyBorder="1" applyAlignment="1">
      <alignment horizontal="center" vertical="center"/>
    </xf>
    <xf numFmtId="1" fontId="50" fillId="27" borderId="13" xfId="56" quotePrefix="1" applyNumberFormat="1" applyFont="1" applyFill="1" applyBorder="1" applyAlignment="1">
      <alignment horizontal="center" vertical="center"/>
    </xf>
    <xf numFmtId="1" fontId="50" fillId="27" borderId="17" xfId="56" applyNumberFormat="1" applyFont="1" applyFill="1" applyBorder="1" applyAlignment="1">
      <alignment horizontal="center" vertical="center"/>
    </xf>
    <xf numFmtId="174" fontId="65" fillId="30" borderId="16" xfId="56" applyNumberFormat="1" applyFont="1" applyFill="1" applyBorder="1" applyAlignment="1">
      <alignment horizontal="center" vertical="center"/>
    </xf>
    <xf numFmtId="1" fontId="65" fillId="30" borderId="13" xfId="56" quotePrefix="1" applyNumberFormat="1" applyFont="1" applyFill="1" applyBorder="1" applyAlignment="1">
      <alignment horizontal="center" vertical="center"/>
    </xf>
    <xf numFmtId="173" fontId="64" fillId="30" borderId="45" xfId="0" applyFont="1" applyFill="1" applyBorder="1" applyAlignment="1">
      <alignment horizontal="center" vertical="center"/>
    </xf>
    <xf numFmtId="174" fontId="50" fillId="30" borderId="17" xfId="56" applyNumberFormat="1" applyFont="1" applyFill="1" applyBorder="1" applyAlignment="1">
      <alignment horizontal="center" vertical="center"/>
    </xf>
    <xf numFmtId="15" fontId="43" fillId="0" borderId="14" xfId="0" applyNumberFormat="1" applyFont="1" applyBorder="1" applyAlignment="1">
      <alignment horizontal="left"/>
    </xf>
    <xf numFmtId="15" fontId="43" fillId="0" borderId="3" xfId="0" applyNumberFormat="1" applyFont="1" applyBorder="1" applyAlignment="1">
      <alignment horizontal="left"/>
    </xf>
    <xf numFmtId="173" fontId="45" fillId="0" borderId="0" xfId="0" applyFont="1" applyAlignment="1">
      <alignment horizontal="center"/>
    </xf>
    <xf numFmtId="175" fontId="46" fillId="0" borderId="0" xfId="0" applyNumberFormat="1" applyFont="1" applyAlignment="1">
      <alignment horizontal="center"/>
    </xf>
    <xf numFmtId="1" fontId="69" fillId="28" borderId="14" xfId="56" applyNumberFormat="1" applyFont="1" applyFill="1" applyBorder="1" applyAlignment="1">
      <alignment horizontal="center" vertical="center"/>
    </xf>
    <xf numFmtId="1" fontId="69" fillId="28" borderId="3" xfId="56" applyNumberFormat="1" applyFont="1" applyFill="1" applyBorder="1" applyAlignment="1">
      <alignment horizontal="center" vertical="center"/>
    </xf>
    <xf numFmtId="1" fontId="69" fillId="28" borderId="40" xfId="56" applyNumberFormat="1" applyFont="1" applyFill="1" applyBorder="1" applyAlignment="1">
      <alignment horizontal="center" vertical="center"/>
    </xf>
    <xf numFmtId="1" fontId="66" fillId="30" borderId="13" xfId="108" applyNumberFormat="1" applyFont="1" applyFill="1" applyBorder="1" applyAlignment="1">
      <alignment horizontal="center" vertical="center"/>
    </xf>
    <xf numFmtId="2" fontId="66" fillId="30" borderId="13" xfId="108" applyNumberFormat="1" applyFont="1" applyFill="1" applyBorder="1" applyAlignment="1">
      <alignment horizontal="center" vertical="center"/>
    </xf>
    <xf numFmtId="1" fontId="66" fillId="30" borderId="13" xfId="108" quotePrefix="1" applyNumberFormat="1" applyFont="1" applyFill="1" applyBorder="1" applyAlignment="1">
      <alignment horizontal="center" vertical="center"/>
    </xf>
    <xf numFmtId="174" fontId="66" fillId="30" borderId="35" xfId="56" applyNumberFormat="1" applyFont="1" applyFill="1" applyBorder="1" applyAlignment="1">
      <alignment horizontal="center" vertical="center"/>
    </xf>
    <xf numFmtId="1" fontId="66" fillId="30" borderId="26" xfId="56" applyNumberFormat="1" applyFont="1" applyFill="1" applyBorder="1" applyAlignment="1">
      <alignment horizontal="center" vertical="center"/>
    </xf>
    <xf numFmtId="2" fontId="66" fillId="30" borderId="26" xfId="56" applyNumberFormat="1" applyFont="1" applyFill="1" applyBorder="1" applyAlignment="1">
      <alignment horizontal="center" vertical="center"/>
    </xf>
    <xf numFmtId="174" fontId="55" fillId="30" borderId="25" xfId="56" applyNumberFormat="1" applyFont="1" applyFill="1" applyBorder="1" applyAlignment="1">
      <alignment horizontal="center" vertical="center"/>
    </xf>
  </cellXfs>
  <cellStyles count="112">
    <cellStyle name="‡" xfId="1" xr:uid="{00000000-0005-0000-0000-000000000000}"/>
    <cellStyle name="‡_BOOK1" xfId="2" xr:uid="{00000000-0005-0000-0000-000001000000}"/>
    <cellStyle name="‡_STA-DRP" xfId="3" xr:uid="{00000000-0005-0000-0000-000002000000}"/>
    <cellStyle name="‡_STA-DRP_BOOK1" xfId="4" xr:uid="{00000000-0005-0000-0000-000003000000}"/>
    <cellStyle name="¹éºÐÀ²_±âÅ¸" xfId="5" xr:uid="{00000000-0005-0000-0000-000004000000}"/>
    <cellStyle name="20% - Accent1" xfId="6" builtinId="30" customBuiltin="1"/>
    <cellStyle name="20% - Accent2" xfId="7" builtinId="34" customBuiltin="1"/>
    <cellStyle name="20% - Accent3" xfId="8" builtinId="38" customBuiltin="1"/>
    <cellStyle name="20% - Accent4" xfId="9" builtinId="42" customBuiltin="1"/>
    <cellStyle name="20% - Accent5" xfId="10" builtinId="46" customBuiltin="1"/>
    <cellStyle name="20% - Accent6" xfId="11" builtinId="50" customBuiltin="1"/>
    <cellStyle name="20% - ส่วนที่ถูกเน้น1" xfId="12" xr:uid="{00000000-0005-0000-0000-00000B000000}"/>
    <cellStyle name="20% - ส่วนที่ถูกเน้น2" xfId="13" xr:uid="{00000000-0005-0000-0000-00000C000000}"/>
    <cellStyle name="20% - ส่วนที่ถูกเน้น3" xfId="14" xr:uid="{00000000-0005-0000-0000-00000D000000}"/>
    <cellStyle name="20% - ส่วนที่ถูกเน้น4" xfId="15" xr:uid="{00000000-0005-0000-0000-00000E000000}"/>
    <cellStyle name="20% - ส่วนที่ถูกเน้น5" xfId="16" xr:uid="{00000000-0005-0000-0000-00000F000000}"/>
    <cellStyle name="20% - ส่วนที่ถูกเน้น6" xfId="17" xr:uid="{00000000-0005-0000-0000-000010000000}"/>
    <cellStyle name="40% - Accent1" xfId="18" builtinId="31" customBuiltin="1"/>
    <cellStyle name="40% - Accent2" xfId="19" builtinId="35" customBuiltin="1"/>
    <cellStyle name="40% - Accent3" xfId="20" builtinId="39" customBuiltin="1"/>
    <cellStyle name="40% - Accent4" xfId="21" builtinId="43" customBuiltin="1"/>
    <cellStyle name="40% - Accent5" xfId="22" builtinId="47" customBuiltin="1"/>
    <cellStyle name="40% - Accent6" xfId="23" builtinId="51" customBuiltin="1"/>
    <cellStyle name="40% - ส่วนที่ถูกเน้น1" xfId="24" xr:uid="{00000000-0005-0000-0000-000017000000}"/>
    <cellStyle name="40% - ส่วนที่ถูกเน้น2" xfId="25" xr:uid="{00000000-0005-0000-0000-000018000000}"/>
    <cellStyle name="40% - ส่วนที่ถูกเน้น3" xfId="26" xr:uid="{00000000-0005-0000-0000-000019000000}"/>
    <cellStyle name="40% - ส่วนที่ถูกเน้น4" xfId="27" xr:uid="{00000000-0005-0000-0000-00001A000000}"/>
    <cellStyle name="40% - ส่วนที่ถูกเน้น5" xfId="28" xr:uid="{00000000-0005-0000-0000-00001B000000}"/>
    <cellStyle name="40% - ส่วนที่ถูกเน้น6" xfId="29" xr:uid="{00000000-0005-0000-0000-00001C000000}"/>
    <cellStyle name="60% - Accent1" xfId="30" builtinId="32" customBuiltin="1"/>
    <cellStyle name="60% - Accent2" xfId="31" builtinId="36" customBuiltin="1"/>
    <cellStyle name="60% - Accent3" xfId="32" builtinId="40" customBuiltin="1"/>
    <cellStyle name="60% - Accent4" xfId="33" builtinId="44" customBuiltin="1"/>
    <cellStyle name="60% - Accent5" xfId="34" builtinId="48" customBuiltin="1"/>
    <cellStyle name="60% - Accent6" xfId="35" builtinId="52" customBuiltin="1"/>
    <cellStyle name="60% - ส่วนที่ถูกเน้น1" xfId="36" xr:uid="{00000000-0005-0000-0000-000023000000}"/>
    <cellStyle name="60% - ส่วนที่ถูกเน้น2" xfId="37" xr:uid="{00000000-0005-0000-0000-000024000000}"/>
    <cellStyle name="60% - ส่วนที่ถูกเน้น3" xfId="38" xr:uid="{00000000-0005-0000-0000-000025000000}"/>
    <cellStyle name="60% - ส่วนที่ถูกเน้น4" xfId="39" xr:uid="{00000000-0005-0000-0000-000026000000}"/>
    <cellStyle name="60% - ส่วนที่ถูกเน้น5" xfId="40" xr:uid="{00000000-0005-0000-0000-000027000000}"/>
    <cellStyle name="60% - ส่วนที่ถูกเน้น6" xfId="41" xr:uid="{00000000-0005-0000-0000-000028000000}"/>
    <cellStyle name="Accent1" xfId="42" builtinId="29" customBuiltin="1"/>
    <cellStyle name="Accent2" xfId="43" builtinId="33" customBuiltin="1"/>
    <cellStyle name="Accent3" xfId="44" builtinId="37" customBuiltin="1"/>
    <cellStyle name="Accent4" xfId="45" builtinId="41" customBuiltin="1"/>
    <cellStyle name="Accent5" xfId="46" builtinId="45" customBuiltin="1"/>
    <cellStyle name="Accent6" xfId="47" builtinId="49" customBuiltin="1"/>
    <cellStyle name="ÅëÈ­ [0]_±âÅ¸" xfId="48" xr:uid="{00000000-0005-0000-0000-00002F000000}"/>
    <cellStyle name="ÅëÈ­_±âÅ¸" xfId="49" xr:uid="{00000000-0005-0000-0000-000030000000}"/>
    <cellStyle name="ÄÞ¸¶ [0]_±âÅ¸" xfId="50" xr:uid="{00000000-0005-0000-0000-000031000000}"/>
    <cellStyle name="ÄÞ¸¶_±âÅ¸" xfId="51" xr:uid="{00000000-0005-0000-0000-000032000000}"/>
    <cellStyle name="Bad" xfId="52" builtinId="27" customBuiltin="1"/>
    <cellStyle name="Ç¥ÁØ_¿¬°£´©°è¿¹»ó" xfId="53" xr:uid="{00000000-0005-0000-0000-000034000000}"/>
    <cellStyle name="Calculation" xfId="54" builtinId="22" customBuiltin="1"/>
    <cellStyle name="Check Cell" xfId="55" builtinId="23" customBuiltin="1"/>
    <cellStyle name="Comma" xfId="56" builtinId="3"/>
    <cellStyle name="Comma 10" xfId="108" xr:uid="{00000000-0005-0000-0000-000038000000}"/>
    <cellStyle name="Comma 2" xfId="106" xr:uid="{00000000-0005-0000-0000-000039000000}"/>
    <cellStyle name="Comma0" xfId="57" xr:uid="{00000000-0005-0000-0000-00003A000000}"/>
    <cellStyle name="Currency" xfId="111" builtinId="4"/>
    <cellStyle name="Currency0" xfId="58" xr:uid="{00000000-0005-0000-0000-00003B000000}"/>
    <cellStyle name="Date" xfId="59" xr:uid="{00000000-0005-0000-0000-00003C000000}"/>
    <cellStyle name="Explanatory Text" xfId="60" builtinId="53" customBuiltin="1"/>
    <cellStyle name="Fixed" xfId="61" xr:uid="{00000000-0005-0000-0000-00003E000000}"/>
    <cellStyle name="Good" xfId="62" builtinId="26" customBuiltin="1"/>
    <cellStyle name="Header1" xfId="63" xr:uid="{00000000-0005-0000-0000-000040000000}"/>
    <cellStyle name="Header2" xfId="64" xr:uid="{00000000-0005-0000-0000-000041000000}"/>
    <cellStyle name="Heading 1" xfId="65" builtinId="16" customBuiltin="1"/>
    <cellStyle name="Heading 2" xfId="66" builtinId="17" customBuiltin="1"/>
    <cellStyle name="Heading 3" xfId="67" builtinId="18" customBuiltin="1"/>
    <cellStyle name="Heading 4" xfId="68" builtinId="19" customBuiltin="1"/>
    <cellStyle name="Heading1" xfId="69" xr:uid="{00000000-0005-0000-0000-000046000000}"/>
    <cellStyle name="Heading2" xfId="70" xr:uid="{00000000-0005-0000-0000-000047000000}"/>
    <cellStyle name="Input" xfId="71" builtinId="20" customBuiltin="1"/>
    <cellStyle name="Linked Cell" xfId="72" builtinId="24" customBuiltin="1"/>
    <cellStyle name="Neutral" xfId="73" builtinId="28" customBuiltin="1"/>
    <cellStyle name="Normal" xfId="0" builtinId="0"/>
    <cellStyle name="Normal - Style1" xfId="74" xr:uid="{00000000-0005-0000-0000-00004C000000}"/>
    <cellStyle name="Normal 10 2" xfId="109" xr:uid="{00000000-0005-0000-0000-00004D000000}"/>
    <cellStyle name="Normal 2" xfId="75" xr:uid="{00000000-0005-0000-0000-00004E000000}"/>
    <cellStyle name="Normal 3" xfId="105" xr:uid="{00000000-0005-0000-0000-00004F000000}"/>
    <cellStyle name="Note" xfId="76" builtinId="10" customBuiltin="1"/>
    <cellStyle name="Output" xfId="77" builtinId="21" customBuiltin="1"/>
    <cellStyle name="Percent" xfId="110" builtinId="5"/>
    <cellStyle name="Percent 2" xfId="107" xr:uid="{00000000-0005-0000-0000-000052000000}"/>
    <cellStyle name="Title" xfId="78" builtinId="15" customBuiltin="1"/>
    <cellStyle name="Total" xfId="79" builtinId="25" customBuiltin="1"/>
    <cellStyle name="Warning Text" xfId="80" builtinId="11" customBuiltin="1"/>
    <cellStyle name="เซลล์ตรวจสอบ" xfId="81" xr:uid="{00000000-0005-0000-0000-000056000000}"/>
    <cellStyle name="เซลล์ที่มีการเชื่อมโยง" xfId="82" xr:uid="{00000000-0005-0000-0000-000057000000}"/>
    <cellStyle name="แย่" xfId="83" xr:uid="{00000000-0005-0000-0000-000058000000}"/>
    <cellStyle name="แสดงผล" xfId="84" xr:uid="{00000000-0005-0000-0000-000059000000}"/>
    <cellStyle name="การคำนวณ" xfId="85" xr:uid="{00000000-0005-0000-0000-00005A000000}"/>
    <cellStyle name="ข้อความเตือน" xfId="86" xr:uid="{00000000-0005-0000-0000-00005B000000}"/>
    <cellStyle name="ข้อความอธิบาย" xfId="87" xr:uid="{00000000-0005-0000-0000-00005C000000}"/>
    <cellStyle name="ชื่อเรื่อง" xfId="88" xr:uid="{00000000-0005-0000-0000-00005D000000}"/>
    <cellStyle name="ดี" xfId="89" xr:uid="{00000000-0005-0000-0000-00005E000000}"/>
    <cellStyle name="ปกติ_INVEN-06" xfId="90" xr:uid="{00000000-0005-0000-0000-00005F000000}"/>
    <cellStyle name="ป้อนค่า" xfId="91" xr:uid="{00000000-0005-0000-0000-000060000000}"/>
    <cellStyle name="ปานกลาง" xfId="92" xr:uid="{00000000-0005-0000-0000-000061000000}"/>
    <cellStyle name="ผลรวม" xfId="93" xr:uid="{00000000-0005-0000-0000-000062000000}"/>
    <cellStyle name="ส่วนที่ถูกเน้น1" xfId="94" xr:uid="{00000000-0005-0000-0000-000063000000}"/>
    <cellStyle name="ส่วนที่ถูกเน้น2" xfId="95" xr:uid="{00000000-0005-0000-0000-000064000000}"/>
    <cellStyle name="ส่วนที่ถูกเน้น3" xfId="96" xr:uid="{00000000-0005-0000-0000-000065000000}"/>
    <cellStyle name="ส่วนที่ถูกเน้น4" xfId="97" xr:uid="{00000000-0005-0000-0000-000066000000}"/>
    <cellStyle name="ส่วนที่ถูกเน้น5" xfId="98" xr:uid="{00000000-0005-0000-0000-000067000000}"/>
    <cellStyle name="ส่วนที่ถูกเน้น6" xfId="99" xr:uid="{00000000-0005-0000-0000-000068000000}"/>
    <cellStyle name="หมายเหตุ" xfId="100" xr:uid="{00000000-0005-0000-0000-000069000000}"/>
    <cellStyle name="หัวเรื่อง 1" xfId="101" xr:uid="{00000000-0005-0000-0000-00006A000000}"/>
    <cellStyle name="หัวเรื่อง 2" xfId="102" xr:uid="{00000000-0005-0000-0000-00006B000000}"/>
    <cellStyle name="หัวเรื่อง 3" xfId="103" xr:uid="{00000000-0005-0000-0000-00006C000000}"/>
    <cellStyle name="หัวเรื่อง 4" xfId="104" xr:uid="{00000000-0005-0000-0000-00006D000000}"/>
  </cellStyles>
  <dxfs count="0"/>
  <tableStyles count="0" defaultTableStyle="TableStyleMedium2" defaultPivotStyle="PivotStyleLight16"/>
  <colors>
    <mruColors>
      <color rgb="FFFF9933"/>
      <color rgb="FFFF9900"/>
      <color rgb="FFFFFFCC"/>
      <color rgb="FF00FF00"/>
      <color rgb="FF66FFFF"/>
      <color rgb="FF0066FF"/>
      <color rgb="FFCCCC00"/>
      <color rgb="FFFF33CC"/>
      <color rgb="FFFF00FF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RTH</a:t>
            </a:r>
            <a:r>
              <a:rPr lang="en-US" baseline="0"/>
              <a:t> September Chart</a:t>
            </a:r>
            <a:endParaRPr lang="en-US"/>
          </a:p>
        </c:rich>
      </c:tx>
      <c:layout>
        <c:manualLayout>
          <c:xMode val="edge"/>
          <c:yMode val="edge"/>
          <c:x val="0.4210935906895979"/>
          <c:y val="2.07407383212903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'summary production RTH IMM'!$A$41</c:f>
              <c:strCache>
                <c:ptCount val="1"/>
                <c:pt idx="0">
                  <c:v>Actual MTD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'[1]SUM FC &amp; RTH IMM'!$B$39:$G$39</c:f>
              <c:strCache>
                <c:ptCount val="6"/>
                <c:pt idx="0">
                  <c:v>IMM-WB.HCV.LS</c:v>
                </c:pt>
                <c:pt idx="1">
                  <c:v>IMM-WB.MCV.HS</c:v>
                </c:pt>
                <c:pt idx="2">
                  <c:v>IMM-EB.MCV.LS</c:v>
                </c:pt>
                <c:pt idx="3">
                  <c:v>IMM-EB.MCV.MS</c:v>
                </c:pt>
                <c:pt idx="4">
                  <c:v>IMM-EB.MCV.HS</c:v>
                </c:pt>
                <c:pt idx="5">
                  <c:v>FINE COAL</c:v>
                </c:pt>
              </c:strCache>
            </c:strRef>
          </c:cat>
          <c:val>
            <c:numRef>
              <c:f>'summary production RTH IMM'!$B$41:$G$41</c:f>
              <c:numCache>
                <c:formatCode>_(* #,##0_);_(* \(#,##0\);_(* "-"??_);_(@_)</c:formatCode>
                <c:ptCount val="4"/>
                <c:pt idx="0">
                  <c:v>19977.199999999997</c:v>
                </c:pt>
                <c:pt idx="1">
                  <c:v>0</c:v>
                </c:pt>
                <c:pt idx="2">
                  <c:v>9788.25</c:v>
                </c:pt>
                <c:pt idx="3">
                  <c:v>110122.5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CC-4B8E-AE42-17ECBDD66E33}"/>
            </c:ext>
          </c:extLst>
        </c:ser>
        <c:ser>
          <c:idx val="0"/>
          <c:order val="1"/>
          <c:tx>
            <c:strRef>
              <c:f>'summary production RTH IMM'!$A$40</c:f>
              <c:strCache>
                <c:ptCount val="1"/>
                <c:pt idx="0">
                  <c:v>Plan RTH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'[1]SUM FC &amp; RTH IMM'!$B$39:$G$39</c:f>
              <c:strCache>
                <c:ptCount val="6"/>
                <c:pt idx="0">
                  <c:v>IMM-WB.HCV.LS</c:v>
                </c:pt>
                <c:pt idx="1">
                  <c:v>IMM-WB.MCV.HS</c:v>
                </c:pt>
                <c:pt idx="2">
                  <c:v>IMM-EB.MCV.LS</c:v>
                </c:pt>
                <c:pt idx="3">
                  <c:v>IMM-EB.MCV.MS</c:v>
                </c:pt>
                <c:pt idx="4">
                  <c:v>IMM-EB.MCV.HS</c:v>
                </c:pt>
                <c:pt idx="5">
                  <c:v>FINE COAL</c:v>
                </c:pt>
              </c:strCache>
            </c:strRef>
          </c:cat>
          <c:val>
            <c:numRef>
              <c:f>'summary production RTH IMM'!$B$40:$G$40</c:f>
              <c:numCache>
                <c:formatCode>_(* #,##0_);_(* \(#,##0\);_(* "-"??_);_(@_)</c:formatCode>
                <c:ptCount val="4"/>
                <c:pt idx="0">
                  <c:v>31520</c:v>
                </c:pt>
                <c:pt idx="1">
                  <c:v>0</c:v>
                </c:pt>
                <c:pt idx="2">
                  <c:v>25866</c:v>
                </c:pt>
                <c:pt idx="3">
                  <c:v>568114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CC-4B8E-AE42-17ECBDD66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029280656"/>
        <c:axId val="2029277296"/>
      </c:barChart>
      <c:lineChart>
        <c:grouping val="standard"/>
        <c:varyColors val="0"/>
        <c:ser>
          <c:idx val="2"/>
          <c:order val="2"/>
          <c:tx>
            <c:strRef>
              <c:f>'summary production RTH IMM'!$A$47</c:f>
              <c:strCache>
                <c:ptCount val="1"/>
                <c:pt idx="0">
                  <c:v>Plan RTH (%)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'[1]SUM FC &amp; RTH IMM'!$B$39:$G$39</c:f>
              <c:strCache>
                <c:ptCount val="6"/>
                <c:pt idx="0">
                  <c:v>IMM-WB.HCV.LS</c:v>
                </c:pt>
                <c:pt idx="1">
                  <c:v>IMM-WB.MCV.HS</c:v>
                </c:pt>
                <c:pt idx="2">
                  <c:v>IMM-EB.MCV.LS</c:v>
                </c:pt>
                <c:pt idx="3">
                  <c:v>IMM-EB.MCV.MS</c:v>
                </c:pt>
                <c:pt idx="4">
                  <c:v>IMM-EB.MCV.HS</c:v>
                </c:pt>
                <c:pt idx="5">
                  <c:v>FINE COAL</c:v>
                </c:pt>
              </c:strCache>
            </c:strRef>
          </c:cat>
          <c:val>
            <c:numRef>
              <c:f>'summary production RTH IMM'!$B$47:$G$47</c:f>
              <c:numCache>
                <c:formatCode>0%</c:formatCode>
                <c:ptCount val="4"/>
                <c:pt idx="0">
                  <c:v>4.8306513409961685E-2</c:v>
                </c:pt>
                <c:pt idx="1">
                  <c:v>0</c:v>
                </c:pt>
                <c:pt idx="2">
                  <c:v>3.9641379310344831E-2</c:v>
                </c:pt>
                <c:pt idx="3">
                  <c:v>0.87067279693486588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CCC-4B8E-AE42-17ECBDD66E33}"/>
            </c:ext>
          </c:extLst>
        </c:ser>
        <c:ser>
          <c:idx val="3"/>
          <c:order val="3"/>
          <c:tx>
            <c:strRef>
              <c:f>'summary production RTH IMM'!$A$48</c:f>
              <c:strCache>
                <c:ptCount val="1"/>
                <c:pt idx="0">
                  <c:v>Actual MTD (%)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'[1]SUM FC &amp; RTH IMM'!$B$39:$G$39</c:f>
              <c:strCache>
                <c:ptCount val="6"/>
                <c:pt idx="0">
                  <c:v>IMM-WB.HCV.LS</c:v>
                </c:pt>
                <c:pt idx="1">
                  <c:v>IMM-WB.MCV.HS</c:v>
                </c:pt>
                <c:pt idx="2">
                  <c:v>IMM-EB.MCV.LS</c:v>
                </c:pt>
                <c:pt idx="3">
                  <c:v>IMM-EB.MCV.MS</c:v>
                </c:pt>
                <c:pt idx="4">
                  <c:v>IMM-EB.MCV.HS</c:v>
                </c:pt>
                <c:pt idx="5">
                  <c:v>FINE COAL</c:v>
                </c:pt>
              </c:strCache>
            </c:strRef>
          </c:cat>
          <c:val>
            <c:numRef>
              <c:f>'summary production RTH IMM'!$B$48:$G$48</c:f>
              <c:numCache>
                <c:formatCode>0%</c:formatCode>
                <c:ptCount val="4"/>
                <c:pt idx="0">
                  <c:v>3.0616398467432946E-2</c:v>
                </c:pt>
                <c:pt idx="1">
                  <c:v>0</c:v>
                </c:pt>
                <c:pt idx="2">
                  <c:v>1.5001149425287356E-2</c:v>
                </c:pt>
                <c:pt idx="3">
                  <c:v>0.16877011494252875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CCC-4B8E-AE42-17ECBDD66E33}"/>
            </c:ext>
          </c:extLst>
        </c:ser>
        <c:ser>
          <c:idx val="4"/>
          <c:order val="4"/>
          <c:tx>
            <c:strRef>
              <c:f>'summary production RTH IMM'!$A$43</c:f>
              <c:strCache>
                <c:ptCount val="1"/>
                <c:pt idx="0">
                  <c:v>Achievement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'[1]SUM FC &amp; RTH IMM'!$B$39:$G$39</c:f>
              <c:strCache>
                <c:ptCount val="6"/>
                <c:pt idx="0">
                  <c:v>IMM-WB.HCV.LS</c:v>
                </c:pt>
                <c:pt idx="1">
                  <c:v>IMM-WB.MCV.HS</c:v>
                </c:pt>
                <c:pt idx="2">
                  <c:v>IMM-EB.MCV.LS</c:v>
                </c:pt>
                <c:pt idx="3">
                  <c:v>IMM-EB.MCV.MS</c:v>
                </c:pt>
                <c:pt idx="4">
                  <c:v>IMM-EB.MCV.HS</c:v>
                </c:pt>
                <c:pt idx="5">
                  <c:v>FINE COAL</c:v>
                </c:pt>
              </c:strCache>
            </c:strRef>
          </c:cat>
          <c:val>
            <c:numRef>
              <c:f>'summary production RTH IMM'!$B$43:$G$43</c:f>
              <c:numCache>
                <c:formatCode>0%</c:formatCode>
                <c:ptCount val="4"/>
                <c:pt idx="0">
                  <c:v>0.63379441624365473</c:v>
                </c:pt>
                <c:pt idx="1">
                  <c:v>0</c:v>
                </c:pt>
                <c:pt idx="2">
                  <c:v>0.37842147993504988</c:v>
                </c:pt>
                <c:pt idx="3">
                  <c:v>0.19383873659159959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CCC-4B8E-AE42-17ECBDD66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8422352"/>
        <c:axId val="1788419952"/>
      </c:lineChart>
      <c:catAx>
        <c:axId val="2029280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9277296"/>
        <c:crosses val="autoZero"/>
        <c:auto val="1"/>
        <c:lblAlgn val="ctr"/>
        <c:lblOffset val="100"/>
        <c:noMultiLvlLbl val="0"/>
      </c:catAx>
      <c:valAx>
        <c:axId val="202927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9280656"/>
        <c:crosses val="autoZero"/>
        <c:crossBetween val="between"/>
      </c:valAx>
      <c:valAx>
        <c:axId val="17884199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8422352"/>
        <c:crosses val="max"/>
        <c:crossBetween val="between"/>
      </c:valAx>
      <c:catAx>
        <c:axId val="178842235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7884199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FC September Chart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'summary production RTH IMM'!$K$41</c:f>
              <c:strCache>
                <c:ptCount val="1"/>
                <c:pt idx="0">
                  <c:v>Actual MTD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'summary production RTH IMM'!$L$39:$R$39</c:f>
              <c:strCache>
                <c:ptCount val="7"/>
                <c:pt idx="0">
                  <c:v> IMM-WB.HCV.LS </c:v>
                </c:pt>
                <c:pt idx="1">
                  <c:v> IMM-WB.MCV.HS </c:v>
                </c:pt>
                <c:pt idx="2">
                  <c:v> IMM-EB.MCV.LS </c:v>
                </c:pt>
                <c:pt idx="3">
                  <c:v> IMM-EB.MCV.MS </c:v>
                </c:pt>
                <c:pt idx="4">
                  <c:v> IMM-EB.MCV.HS </c:v>
                </c:pt>
                <c:pt idx="5">
                  <c:v> IMM-EB.MCV.HS Ext </c:v>
                </c:pt>
                <c:pt idx="6">
                  <c:v> FINE COAL </c:v>
                </c:pt>
              </c:strCache>
            </c:strRef>
          </c:cat>
          <c:val>
            <c:numRef>
              <c:f>'summary production RTH IMM'!$L$41:$R$41</c:f>
              <c:numCache>
                <c:formatCode>_(* #,##0_);_(* \(#,##0\);_(* "-"??_);_(@_)</c:formatCode>
                <c:ptCount val="7"/>
                <c:pt idx="0">
                  <c:v>18714</c:v>
                </c:pt>
                <c:pt idx="1">
                  <c:v>0</c:v>
                </c:pt>
                <c:pt idx="2">
                  <c:v>0</c:v>
                </c:pt>
                <c:pt idx="3">
                  <c:v>17310</c:v>
                </c:pt>
                <c:pt idx="4">
                  <c:v>25647</c:v>
                </c:pt>
                <c:pt idx="5">
                  <c:v>71363</c:v>
                </c:pt>
                <c:pt idx="6">
                  <c:v>2862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32-45F4-889B-5FB56AA2805D}"/>
            </c:ext>
          </c:extLst>
        </c:ser>
        <c:ser>
          <c:idx val="0"/>
          <c:order val="1"/>
          <c:tx>
            <c:strRef>
              <c:f>'summary production RTH IMM'!$K$40</c:f>
              <c:strCache>
                <c:ptCount val="1"/>
                <c:pt idx="0">
                  <c:v>Plan FC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'summary production RTH IMM'!$L$39:$R$39</c:f>
              <c:strCache>
                <c:ptCount val="7"/>
                <c:pt idx="0">
                  <c:v> IMM-WB.HCV.LS </c:v>
                </c:pt>
                <c:pt idx="1">
                  <c:v> IMM-WB.MCV.HS </c:v>
                </c:pt>
                <c:pt idx="2">
                  <c:v> IMM-EB.MCV.LS </c:v>
                </c:pt>
                <c:pt idx="3">
                  <c:v> IMM-EB.MCV.MS </c:v>
                </c:pt>
                <c:pt idx="4">
                  <c:v> IMM-EB.MCV.HS </c:v>
                </c:pt>
                <c:pt idx="5">
                  <c:v> IMM-EB.MCV.HS Ext </c:v>
                </c:pt>
                <c:pt idx="6">
                  <c:v> FINE COAL </c:v>
                </c:pt>
              </c:strCache>
            </c:strRef>
          </c:cat>
          <c:val>
            <c:numRef>
              <c:f>'summary production RTH IMM'!$L$40:$R$40</c:f>
              <c:numCache>
                <c:formatCode>_(* #,##0_);_(* \(#,##0\);_(* "-"??_);_(@_)</c:formatCode>
                <c:ptCount val="7"/>
                <c:pt idx="0">
                  <c:v>31520</c:v>
                </c:pt>
                <c:pt idx="3">
                  <c:v>25866</c:v>
                </c:pt>
                <c:pt idx="4">
                  <c:v>333041</c:v>
                </c:pt>
                <c:pt idx="5">
                  <c:v>235073</c:v>
                </c:pt>
                <c:pt idx="6">
                  <c:v>27000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32-45F4-889B-5FB56AA280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029280656"/>
        <c:axId val="2029277296"/>
      </c:barChart>
      <c:lineChart>
        <c:grouping val="standard"/>
        <c:varyColors val="0"/>
        <c:ser>
          <c:idx val="2"/>
          <c:order val="2"/>
          <c:tx>
            <c:strRef>
              <c:f>'summary production RTH IMM'!$K$47</c:f>
              <c:strCache>
                <c:ptCount val="1"/>
                <c:pt idx="0">
                  <c:v>Plan FC (%)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'[1]SUM FC &amp; RTH IMM'!$B$39:$G$39</c:f>
              <c:strCache>
                <c:ptCount val="6"/>
                <c:pt idx="0">
                  <c:v>IMM-WB.HCV.LS</c:v>
                </c:pt>
                <c:pt idx="1">
                  <c:v>IMM-WB.MCV.HS</c:v>
                </c:pt>
                <c:pt idx="2">
                  <c:v>IMM-EB.MCV.LS</c:v>
                </c:pt>
                <c:pt idx="3">
                  <c:v>IMM-EB.MCV.MS</c:v>
                </c:pt>
                <c:pt idx="4">
                  <c:v>IMM-EB.MCV.HS</c:v>
                </c:pt>
                <c:pt idx="5">
                  <c:v>FINE COAL</c:v>
                </c:pt>
              </c:strCache>
            </c:strRef>
          </c:cat>
          <c:val>
            <c:numRef>
              <c:f>'summary production RTH IMM'!$L$47:$R$47</c:f>
              <c:numCache>
                <c:formatCode>0%</c:formatCode>
                <c:ptCount val="7"/>
                <c:pt idx="0">
                  <c:v>4.8306513409961685E-2</c:v>
                </c:pt>
                <c:pt idx="1">
                  <c:v>0</c:v>
                </c:pt>
                <c:pt idx="2">
                  <c:v>0</c:v>
                </c:pt>
                <c:pt idx="3">
                  <c:v>3.9641379310344831E-2</c:v>
                </c:pt>
                <c:pt idx="4">
                  <c:v>0.51040766283524908</c:v>
                </c:pt>
                <c:pt idx="5">
                  <c:v>0.36026513409961686</c:v>
                </c:pt>
                <c:pt idx="6">
                  <c:v>4.1379310344827586E-2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032-45F4-889B-5FB56AA2805D}"/>
            </c:ext>
          </c:extLst>
        </c:ser>
        <c:ser>
          <c:idx val="3"/>
          <c:order val="3"/>
          <c:tx>
            <c:strRef>
              <c:f>'summary production RTH IMM'!$K$48</c:f>
              <c:strCache>
                <c:ptCount val="1"/>
                <c:pt idx="0">
                  <c:v>Actual MTD (%)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'[1]SUM FC &amp; RTH IMM'!$B$39:$G$39</c:f>
              <c:strCache>
                <c:ptCount val="6"/>
                <c:pt idx="0">
                  <c:v>IMM-WB.HCV.LS</c:v>
                </c:pt>
                <c:pt idx="1">
                  <c:v>IMM-WB.MCV.HS</c:v>
                </c:pt>
                <c:pt idx="2">
                  <c:v>IMM-EB.MCV.LS</c:v>
                </c:pt>
                <c:pt idx="3">
                  <c:v>IMM-EB.MCV.MS</c:v>
                </c:pt>
                <c:pt idx="4">
                  <c:v>IMM-EB.MCV.HS</c:v>
                </c:pt>
                <c:pt idx="5">
                  <c:v>FINE COAL</c:v>
                </c:pt>
              </c:strCache>
            </c:strRef>
          </c:cat>
          <c:val>
            <c:numRef>
              <c:f>'summary production RTH IMM'!$L$48:$R$48</c:f>
              <c:numCache>
                <c:formatCode>0%</c:formatCode>
                <c:ptCount val="7"/>
                <c:pt idx="0">
                  <c:v>2.8680459770114942E-2</c:v>
                </c:pt>
                <c:pt idx="1">
                  <c:v>0</c:v>
                </c:pt>
                <c:pt idx="2">
                  <c:v>0</c:v>
                </c:pt>
                <c:pt idx="3">
                  <c:v>2.6528735632183907E-2</c:v>
                </c:pt>
                <c:pt idx="4">
                  <c:v>3.930574712643678E-2</c:v>
                </c:pt>
                <c:pt idx="5">
                  <c:v>0.10936858237547893</c:v>
                </c:pt>
                <c:pt idx="6">
                  <c:v>4.3862068965517245E-3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032-45F4-889B-5FB56AA2805D}"/>
            </c:ext>
          </c:extLst>
        </c:ser>
        <c:ser>
          <c:idx val="4"/>
          <c:order val="4"/>
          <c:tx>
            <c:strRef>
              <c:f>'summary production RTH IMM'!$K$43</c:f>
              <c:strCache>
                <c:ptCount val="1"/>
                <c:pt idx="0">
                  <c:v>Achievement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'[1]SUM FC &amp; RTH IMM'!$B$39:$G$39</c:f>
              <c:strCache>
                <c:ptCount val="6"/>
                <c:pt idx="0">
                  <c:v>IMM-WB.HCV.LS</c:v>
                </c:pt>
                <c:pt idx="1">
                  <c:v>IMM-WB.MCV.HS</c:v>
                </c:pt>
                <c:pt idx="2">
                  <c:v>IMM-EB.MCV.LS</c:v>
                </c:pt>
                <c:pt idx="3">
                  <c:v>IMM-EB.MCV.MS</c:v>
                </c:pt>
                <c:pt idx="4">
                  <c:v>IMM-EB.MCV.HS</c:v>
                </c:pt>
                <c:pt idx="5">
                  <c:v>FINE COAL</c:v>
                </c:pt>
              </c:strCache>
            </c:strRef>
          </c:cat>
          <c:val>
            <c:numRef>
              <c:f>'summary production RTH IMM'!$L$43:$R$43</c:f>
              <c:numCache>
                <c:formatCode>0%</c:formatCode>
                <c:ptCount val="7"/>
                <c:pt idx="0">
                  <c:v>0.5937182741116751</c:v>
                </c:pt>
                <c:pt idx="1">
                  <c:v>0</c:v>
                </c:pt>
                <c:pt idx="2">
                  <c:v>0</c:v>
                </c:pt>
                <c:pt idx="3">
                  <c:v>0.66921827882161911</c:v>
                </c:pt>
                <c:pt idx="4">
                  <c:v>7.7008536486498663E-2</c:v>
                </c:pt>
                <c:pt idx="5">
                  <c:v>0.30357803746070372</c:v>
                </c:pt>
                <c:pt idx="6">
                  <c:v>0.106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032-45F4-889B-5FB56AA280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8422352"/>
        <c:axId val="1788419952"/>
      </c:lineChart>
      <c:catAx>
        <c:axId val="2029280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9277296"/>
        <c:crosses val="autoZero"/>
        <c:auto val="1"/>
        <c:lblAlgn val="ctr"/>
        <c:lblOffset val="100"/>
        <c:noMultiLvlLbl val="0"/>
      </c:catAx>
      <c:valAx>
        <c:axId val="202927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9280656"/>
        <c:crosses val="autoZero"/>
        <c:crossBetween val="between"/>
      </c:valAx>
      <c:valAx>
        <c:axId val="17884199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8422352"/>
        <c:crosses val="max"/>
        <c:crossBetween val="between"/>
      </c:valAx>
      <c:catAx>
        <c:axId val="178842235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7884199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157</xdr:row>
      <xdr:rowOff>104775</xdr:rowOff>
    </xdr:from>
    <xdr:to>
      <xdr:col>0</xdr:col>
      <xdr:colOff>0</xdr:colOff>
      <xdr:row>159</xdr:row>
      <xdr:rowOff>0</xdr:rowOff>
    </xdr:to>
    <xdr:sp macro="[0]!SelectSheetPSYQ" textlink="">
      <xdr:nvSpPr>
        <xdr:cNvPr id="22544" name="Rectangle 16">
          <a:extLst>
            <a:ext uri="{FF2B5EF4-FFF2-40B4-BE49-F238E27FC236}">
              <a16:creationId xmlns:a16="http://schemas.microsoft.com/office/drawing/2014/main" id="{00000000-0008-0000-0000-000010580000}"/>
            </a:ext>
          </a:extLst>
        </xdr:cNvPr>
        <xdr:cNvSpPr>
          <a:spLocks noChangeArrowheads="1"/>
        </xdr:cNvSpPr>
      </xdr:nvSpPr>
      <xdr:spPr bwMode="auto">
        <a:xfrm>
          <a:off x="0" y="35785425"/>
          <a:ext cx="0" cy="5524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TOP MENU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342900</xdr:colOff>
          <xdr:row>2</xdr:row>
          <xdr:rowOff>0</xdr:rowOff>
        </xdr:from>
        <xdr:to>
          <xdr:col>6</xdr:col>
          <xdr:colOff>660400</xdr:colOff>
          <xdr:row>2</xdr:row>
          <xdr:rowOff>146050</xdr:rowOff>
        </xdr:to>
        <xdr:sp macro="" textlink="">
          <xdr:nvSpPr>
            <xdr:cNvPr id="22693" name="Button 165" hidden="1">
              <a:extLst>
                <a:ext uri="{63B3BB69-23CF-44E3-9099-C40C66FF867C}">
                  <a14:compatExt spid="_x0000_s22693"/>
                </a:ext>
                <a:ext uri="{FF2B5EF4-FFF2-40B4-BE49-F238E27FC236}">
                  <a16:creationId xmlns:a16="http://schemas.microsoft.com/office/drawing/2014/main" id="{00000000-0008-0000-0000-0000A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TABLE 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622300</xdr:colOff>
          <xdr:row>1</xdr:row>
          <xdr:rowOff>184150</xdr:rowOff>
        </xdr:from>
        <xdr:to>
          <xdr:col>5</xdr:col>
          <xdr:colOff>203200</xdr:colOff>
          <xdr:row>2</xdr:row>
          <xdr:rowOff>146050</xdr:rowOff>
        </xdr:to>
        <xdr:sp macro="" textlink="">
          <xdr:nvSpPr>
            <xdr:cNvPr id="22694" name="Button 166" hidden="1">
              <a:extLst>
                <a:ext uri="{63B3BB69-23CF-44E3-9099-C40C66FF867C}">
                  <a14:compatExt spid="_x0000_s22694"/>
                </a:ext>
                <a:ext uri="{FF2B5EF4-FFF2-40B4-BE49-F238E27FC236}">
                  <a16:creationId xmlns:a16="http://schemas.microsoft.com/office/drawing/2014/main" id="{00000000-0008-0000-0000-0000A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TABLE 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946150</xdr:colOff>
          <xdr:row>1</xdr:row>
          <xdr:rowOff>190500</xdr:rowOff>
        </xdr:from>
        <xdr:to>
          <xdr:col>10</xdr:col>
          <xdr:colOff>1162050</xdr:colOff>
          <xdr:row>3</xdr:row>
          <xdr:rowOff>19050</xdr:rowOff>
        </xdr:to>
        <xdr:sp macro="" textlink="">
          <xdr:nvSpPr>
            <xdr:cNvPr id="22695" name="Button 167" hidden="1">
              <a:extLst>
                <a:ext uri="{63B3BB69-23CF-44E3-9099-C40C66FF867C}">
                  <a14:compatExt spid="_x0000_s22695"/>
                </a:ext>
                <a:ext uri="{FF2B5EF4-FFF2-40B4-BE49-F238E27FC236}">
                  <a16:creationId xmlns:a16="http://schemas.microsoft.com/office/drawing/2014/main" id="{00000000-0008-0000-0000-0000A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PSY DAILY 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742950</xdr:colOff>
          <xdr:row>1</xdr:row>
          <xdr:rowOff>190500</xdr:rowOff>
        </xdr:from>
        <xdr:to>
          <xdr:col>8</xdr:col>
          <xdr:colOff>298450</xdr:colOff>
          <xdr:row>2</xdr:row>
          <xdr:rowOff>133350</xdr:rowOff>
        </xdr:to>
        <xdr:sp macro="" textlink="">
          <xdr:nvSpPr>
            <xdr:cNvPr id="22696" name="Button 168" hidden="1">
              <a:extLst>
                <a:ext uri="{63B3BB69-23CF-44E3-9099-C40C66FF867C}">
                  <a14:compatExt spid="_x0000_s22696"/>
                </a:ext>
                <a:ext uri="{FF2B5EF4-FFF2-40B4-BE49-F238E27FC236}">
                  <a16:creationId xmlns:a16="http://schemas.microsoft.com/office/drawing/2014/main" id="{00000000-0008-0000-0000-0000A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PSY DAILY INVENTORY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103</xdr:row>
      <xdr:rowOff>104775</xdr:rowOff>
    </xdr:from>
    <xdr:to>
      <xdr:col>0</xdr:col>
      <xdr:colOff>0</xdr:colOff>
      <xdr:row>105</xdr:row>
      <xdr:rowOff>0</xdr:rowOff>
    </xdr:to>
    <xdr:sp macro="[0]!SelectSheetPSYQ" textlink="">
      <xdr:nvSpPr>
        <xdr:cNvPr id="2" name="Rectangle 16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0" y="20850225"/>
          <a:ext cx="0" cy="2190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TOP MENU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1447800</xdr:colOff>
          <xdr:row>1</xdr:row>
          <xdr:rowOff>0</xdr:rowOff>
        </xdr:from>
        <xdr:to>
          <xdr:col>2</xdr:col>
          <xdr:colOff>247650</xdr:colOff>
          <xdr:row>1</xdr:row>
          <xdr:rowOff>69850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TABLE 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990600</xdr:colOff>
          <xdr:row>1</xdr:row>
          <xdr:rowOff>0</xdr:rowOff>
        </xdr:from>
        <xdr:to>
          <xdr:col>1</xdr:col>
          <xdr:colOff>1422400</xdr:colOff>
          <xdr:row>1</xdr:row>
          <xdr:rowOff>57150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1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TABLE 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260350</xdr:colOff>
          <xdr:row>0</xdr:row>
          <xdr:rowOff>133350</xdr:rowOff>
        </xdr:from>
        <xdr:to>
          <xdr:col>3</xdr:col>
          <xdr:colOff>279400</xdr:colOff>
          <xdr:row>0</xdr:row>
          <xdr:rowOff>209550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1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MSY DAILY 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0</xdr:row>
          <xdr:rowOff>241300</xdr:rowOff>
        </xdr:from>
        <xdr:to>
          <xdr:col>2</xdr:col>
          <xdr:colOff>698500</xdr:colOff>
          <xdr:row>1</xdr:row>
          <xdr:rowOff>50800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1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MSY DAILY INVENTORY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48</xdr:row>
      <xdr:rowOff>9070</xdr:rowOff>
    </xdr:from>
    <xdr:to>
      <xdr:col>8</xdr:col>
      <xdr:colOff>1523999</xdr:colOff>
      <xdr:row>78</xdr:row>
      <xdr:rowOff>9071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8C006DD8-C1B1-4EEA-9A6D-54B0E5440D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1531937</xdr:colOff>
      <xdr:row>48</xdr:row>
      <xdr:rowOff>1</xdr:rowOff>
    </xdr:from>
    <xdr:to>
      <xdr:col>18</xdr:col>
      <xdr:colOff>7938</xdr:colOff>
      <xdr:row>78</xdr:row>
      <xdr:rowOff>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D34CB37-1296-4BE6-9919-D0B577900C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723900</xdr:colOff>
      <xdr:row>1</xdr:row>
      <xdr:rowOff>85725</xdr:rowOff>
    </xdr:from>
    <xdr:to>
      <xdr:col>18</xdr:col>
      <xdr:colOff>478014</xdr:colOff>
      <xdr:row>21</xdr:row>
      <xdr:rowOff>47902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3900" y="247650"/>
          <a:ext cx="11565114" cy="320067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9</xdr:col>
      <xdr:colOff>629165</xdr:colOff>
      <xdr:row>58</xdr:row>
      <xdr:rowOff>72873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1050" y="3886200"/>
          <a:ext cx="5944115" cy="557832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Sum%20Quality%20and%20Crush-Haul%202025/SUM%20Crush_Qual%20May%202025.xlsx" TargetMode="External"/><Relationship Id="rId2" Type="http://schemas.openxmlformats.org/officeDocument/2006/relationships/externalLinkPath" Target="file:///D:\Sum%20Quality%20and%20Crush-Haul%202025\SUM%20Crush_Qual%20May%202025.xlsx" TargetMode="External"/><Relationship Id="rId1" Type="http://schemas.openxmlformats.org/officeDocument/2006/relationships/externalLinkPath" Target="/Sum%20Quality%20and%20Crush-Haul%202025/SUM%20Crush_Qual%20May%20202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SUM FC &amp; RTH IMM"/>
      <sheetName val="SUM WB"/>
      <sheetName val="SUM EB"/>
      <sheetName val="Weekly WB"/>
      <sheetName val="Weekly EB"/>
      <sheetName val="Summary"/>
      <sheetName val="Weekly Graph"/>
    </sheetNames>
    <sheetDataSet>
      <sheetData sheetId="0">
        <row r="39">
          <cell r="B39" t="str">
            <v>IMM-WB.HCV.LS</v>
          </cell>
          <cell r="C39" t="str">
            <v>IMM-WB.MCV.HS</v>
          </cell>
          <cell r="D39" t="str">
            <v>IMM-EB.MCV.LS</v>
          </cell>
          <cell r="E39" t="str">
            <v>IMM-EB.MCV.MS</v>
          </cell>
          <cell r="F39" t="str">
            <v>IMM-EB.MCV.HS</v>
          </cell>
          <cell r="G39" t="str">
            <v>FINE COAL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1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4B9468A-37B7-41E1-AE35-B2A629A032C2}">
  <we:reference id="wa200005502" version="1.0.0.11" store="en-US" storeType="OMEX"/>
  <we:alternateReferences>
    <we:reference id="WA200005502" version="1.0.0.11" store="" storeType="OMEX"/>
  </we:alternateReferences>
  <we:properties>
    <we:property name="docId" value="&quot;g6vRg9wjOA23fStfYxtLe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>
    <pageSetUpPr fitToPage="1"/>
  </sheetPr>
  <dimension ref="A1:DL308"/>
  <sheetViews>
    <sheetView showGridLines="0" tabSelected="1" zoomScale="55" zoomScaleNormal="55" workbookViewId="0">
      <selection activeCell="DK6" sqref="DK6"/>
    </sheetView>
  </sheetViews>
  <sheetFormatPr defaultRowHeight="12.5"/>
  <cols>
    <col min="1" max="1" width="5.7265625" style="33" customWidth="1"/>
    <col min="2" max="2" width="31.36328125" customWidth="1"/>
    <col min="3" max="3" width="21" customWidth="1"/>
    <col min="4" max="4" width="14.7265625" customWidth="1"/>
    <col min="5" max="5" width="10.81640625" customWidth="1"/>
    <col min="6" max="6" width="12.453125" customWidth="1"/>
    <col min="7" max="7" width="11.7265625" customWidth="1"/>
    <col min="8" max="10" width="14.1796875" customWidth="1"/>
    <col min="11" max="11" width="23.26953125" customWidth="1"/>
    <col min="12" max="12" width="12" customWidth="1"/>
    <col min="13" max="13" width="10.7265625" style="45" hidden="1" customWidth="1"/>
    <col min="14" max="15" width="12.26953125" style="45" hidden="1" customWidth="1"/>
    <col min="16" max="16" width="1.26953125" hidden="1" customWidth="1"/>
    <col min="17" max="17" width="10.08984375" hidden="1" customWidth="1"/>
    <col min="18" max="18" width="10.6328125" hidden="1" customWidth="1"/>
    <col min="19" max="19" width="15.81640625" hidden="1" customWidth="1"/>
    <col min="20" max="20" width="10.1796875" hidden="1" customWidth="1"/>
    <col min="21" max="28" width="9.1796875" hidden="1" customWidth="1"/>
    <col min="29" max="32" width="13.453125" hidden="1" customWidth="1"/>
    <col min="33" max="65" width="11.1796875" hidden="1" customWidth="1"/>
    <col min="66" max="75" width="9.1796875" hidden="1" customWidth="1"/>
    <col min="76" max="79" width="12.81640625" hidden="1" customWidth="1"/>
    <col min="80" max="80" width="12.54296875" hidden="1" customWidth="1"/>
    <col min="81" max="114" width="9.1796875" hidden="1" customWidth="1"/>
    <col min="115" max="115" width="8.7265625" customWidth="1"/>
    <col min="116" max="116" width="11" bestFit="1" customWidth="1"/>
    <col min="118" max="118" width="11" bestFit="1" customWidth="1"/>
  </cols>
  <sheetData>
    <row r="1" spans="1:116" ht="20">
      <c r="A1" s="470" t="s">
        <v>18</v>
      </c>
      <c r="B1" s="470"/>
      <c r="C1" s="470"/>
      <c r="D1" s="470"/>
      <c r="E1" s="470"/>
      <c r="F1" s="470"/>
      <c r="G1" s="470"/>
      <c r="H1" s="470"/>
      <c r="I1" s="470"/>
      <c r="J1" s="470"/>
      <c r="K1" s="470"/>
      <c r="L1" s="470"/>
      <c r="M1" s="470"/>
    </row>
    <row r="2" spans="1:116" ht="15.75" customHeight="1">
      <c r="A2" s="471">
        <v>46273.291666666664</v>
      </c>
      <c r="B2" s="471"/>
      <c r="C2" s="471"/>
      <c r="D2" s="471"/>
      <c r="E2" s="471"/>
      <c r="F2" s="471"/>
      <c r="G2" s="471"/>
      <c r="H2" s="471"/>
      <c r="I2" s="471"/>
      <c r="J2" s="471"/>
      <c r="K2" s="471"/>
      <c r="L2" s="471"/>
      <c r="M2" s="32"/>
    </row>
    <row r="3" spans="1:116" ht="18.75" customHeight="1"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32"/>
    </row>
    <row r="4" spans="1:116"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32"/>
    </row>
    <row r="5" spans="1:116" ht="15.5" thickBot="1">
      <c r="B5" s="174" t="s">
        <v>70</v>
      </c>
      <c r="C5" s="102"/>
      <c r="D5" s="102"/>
      <c r="E5" s="102"/>
      <c r="F5" s="102"/>
      <c r="G5" s="102"/>
      <c r="H5" s="102"/>
      <c r="I5" s="102"/>
      <c r="J5" s="102"/>
      <c r="K5" s="102"/>
      <c r="L5" s="102"/>
      <c r="P5" s="45"/>
      <c r="AH5" s="75"/>
      <c r="CB5" s="75"/>
      <c r="CC5" s="75"/>
      <c r="CD5" s="75"/>
      <c r="CE5" s="75"/>
      <c r="CF5" s="75"/>
      <c r="CG5" s="75"/>
      <c r="CH5" s="75"/>
      <c r="CI5" s="75"/>
      <c r="CJ5" s="75"/>
      <c r="CK5" s="75"/>
      <c r="CL5" s="75"/>
      <c r="CM5" s="75"/>
      <c r="CN5" s="75"/>
      <c r="CO5" s="75"/>
      <c r="CP5" s="75"/>
      <c r="CQ5" s="75"/>
      <c r="CR5" s="75"/>
      <c r="CS5" s="75"/>
      <c r="CT5" s="75"/>
      <c r="CU5" s="75"/>
      <c r="CV5" s="75"/>
      <c r="CW5" s="75"/>
      <c r="CX5" s="75"/>
      <c r="CY5" s="75"/>
      <c r="CZ5" s="75"/>
      <c r="DA5" s="75"/>
      <c r="DB5" s="75"/>
      <c r="DC5" s="75"/>
      <c r="DD5" s="75"/>
      <c r="DE5" s="75"/>
      <c r="DF5" s="75"/>
      <c r="DG5" s="75"/>
      <c r="DH5" s="75"/>
      <c r="DI5" s="75"/>
      <c r="DJ5" s="75"/>
    </row>
    <row r="6" spans="1:116" ht="12.5" customHeight="1" thickBot="1">
      <c r="B6" s="103">
        <f>A2</f>
        <v>46273.291666666664</v>
      </c>
      <c r="C6" s="104">
        <v>0.29166666666666669</v>
      </c>
      <c r="D6" s="105" t="s">
        <v>6</v>
      </c>
      <c r="E6" s="105"/>
      <c r="F6" s="105"/>
      <c r="G6" s="105"/>
      <c r="H6" s="105"/>
      <c r="I6" s="105"/>
      <c r="J6" s="105"/>
      <c r="K6" s="105"/>
      <c r="L6" s="106"/>
      <c r="P6" s="45"/>
      <c r="S6" s="468">
        <f>B6</f>
        <v>46273.291666666664</v>
      </c>
      <c r="T6" s="469"/>
      <c r="U6" s="18" t="s">
        <v>16</v>
      </c>
      <c r="V6" s="18"/>
      <c r="W6" s="18"/>
      <c r="X6" s="18"/>
      <c r="Y6" s="18"/>
      <c r="Z6" s="3"/>
      <c r="AA6" s="3"/>
      <c r="AB6" s="3"/>
      <c r="AC6" s="3"/>
      <c r="AD6" s="3"/>
      <c r="AE6" s="3"/>
      <c r="AF6" s="3"/>
      <c r="AG6" s="3"/>
      <c r="AH6" s="76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18"/>
      <c r="BO6" s="77"/>
      <c r="BP6" s="18" t="s">
        <v>17</v>
      </c>
      <c r="BQ6" s="18"/>
      <c r="BR6" s="18"/>
      <c r="BS6" s="18"/>
      <c r="BT6" s="18"/>
      <c r="BU6" s="3"/>
      <c r="BV6" s="3"/>
      <c r="BW6" s="3"/>
      <c r="BX6" s="3"/>
      <c r="BY6" s="3"/>
      <c r="BZ6" s="3"/>
      <c r="CA6" s="3"/>
      <c r="CB6" s="74"/>
      <c r="DJ6" s="19"/>
      <c r="DL6" s="372"/>
    </row>
    <row r="7" spans="1:116" ht="12.75" customHeight="1" thickBot="1">
      <c r="B7" s="107" t="s">
        <v>7</v>
      </c>
      <c r="C7" s="108" t="s">
        <v>8</v>
      </c>
      <c r="D7" s="108" t="s">
        <v>3</v>
      </c>
      <c r="E7" s="108" t="s">
        <v>9</v>
      </c>
      <c r="F7" s="108" t="s">
        <v>10</v>
      </c>
      <c r="G7" s="108" t="s">
        <v>11</v>
      </c>
      <c r="H7" s="108" t="s">
        <v>12</v>
      </c>
      <c r="I7" s="108" t="s">
        <v>13</v>
      </c>
      <c r="J7" s="108" t="s">
        <v>30</v>
      </c>
      <c r="K7" s="108" t="s">
        <v>14</v>
      </c>
      <c r="L7" s="109" t="s">
        <v>1</v>
      </c>
      <c r="M7" s="94" t="str">
        <f>IF(AND((B6=_DATE),EXACT(M35,"TRUE")),"TRUE","NOT OK")</f>
        <v>TRUE</v>
      </c>
      <c r="N7" s="67" t="s">
        <v>68</v>
      </c>
      <c r="O7" s="67" t="s">
        <v>69</v>
      </c>
      <c r="S7" s="4" t="str">
        <f>"1"</f>
        <v>1</v>
      </c>
      <c r="T7" s="4" t="str">
        <f>"2"</f>
        <v>2</v>
      </c>
      <c r="U7" s="4" t="str">
        <f>"3"</f>
        <v>3</v>
      </c>
      <c r="V7" s="4" t="str">
        <f>"4"</f>
        <v>4</v>
      </c>
      <c r="W7" s="4" t="str">
        <f>"5"</f>
        <v>5</v>
      </c>
      <c r="X7" s="4" t="str">
        <f>"6"</f>
        <v>6</v>
      </c>
      <c r="Y7" s="4" t="str">
        <f>"7"</f>
        <v>7</v>
      </c>
      <c r="Z7" s="4" t="str">
        <f>"8"</f>
        <v>8</v>
      </c>
      <c r="AA7" s="4" t="str">
        <f>"9"</f>
        <v>9</v>
      </c>
      <c r="AB7" s="4" t="str">
        <f>"10"</f>
        <v>10</v>
      </c>
      <c r="AC7" s="4" t="str">
        <f>"11"</f>
        <v>11</v>
      </c>
      <c r="AD7" s="4" t="str">
        <f>"12"</f>
        <v>12</v>
      </c>
      <c r="AE7" s="4" t="str">
        <f>"13"</f>
        <v>13</v>
      </c>
      <c r="AF7" s="4" t="str">
        <f>"14"</f>
        <v>14</v>
      </c>
      <c r="AG7" s="4" t="str">
        <f>"15"</f>
        <v>15</v>
      </c>
      <c r="AH7" s="4" t="str">
        <f>"16"</f>
        <v>16</v>
      </c>
      <c r="AI7" s="4" t="str">
        <f>"17"</f>
        <v>17</v>
      </c>
      <c r="AJ7" s="4" t="str">
        <f>"18"</f>
        <v>18</v>
      </c>
      <c r="AK7" s="4" t="str">
        <f>"19"</f>
        <v>19</v>
      </c>
      <c r="AL7" s="4" t="str">
        <f>"20"</f>
        <v>20</v>
      </c>
      <c r="AM7" s="4" t="str">
        <f>"21"</f>
        <v>21</v>
      </c>
      <c r="AN7" s="4" t="str">
        <f>"22"</f>
        <v>22</v>
      </c>
      <c r="AO7" s="4" t="str">
        <f>"23"</f>
        <v>23</v>
      </c>
      <c r="AP7" s="4" t="str">
        <f>"24"</f>
        <v>24</v>
      </c>
      <c r="AQ7" s="4" t="str">
        <f>"25"</f>
        <v>25</v>
      </c>
      <c r="AR7" s="4" t="str">
        <f>"26"</f>
        <v>26</v>
      </c>
      <c r="AS7" s="4" t="str">
        <f>"27"</f>
        <v>27</v>
      </c>
      <c r="AT7" s="4" t="str">
        <f>"28"</f>
        <v>28</v>
      </c>
      <c r="AU7" s="4" t="str">
        <f>"29"</f>
        <v>29</v>
      </c>
      <c r="AV7" s="4" t="str">
        <f>"30"</f>
        <v>30</v>
      </c>
      <c r="AW7" s="4" t="str">
        <f>"31"</f>
        <v>31</v>
      </c>
      <c r="AX7" s="4" t="str">
        <f>"32"</f>
        <v>32</v>
      </c>
      <c r="AY7" s="4" t="str">
        <f>"33"</f>
        <v>33</v>
      </c>
      <c r="AZ7" s="4" t="str">
        <f>"34"</f>
        <v>34</v>
      </c>
      <c r="BA7" s="4" t="str">
        <f>"35"</f>
        <v>35</v>
      </c>
      <c r="BB7" s="4" t="str">
        <f>"36"</f>
        <v>36</v>
      </c>
      <c r="BC7" s="4" t="str">
        <f>"37"</f>
        <v>37</v>
      </c>
      <c r="BD7" s="4" t="str">
        <f>"38"</f>
        <v>38</v>
      </c>
      <c r="BE7" s="4" t="str">
        <f>"39"</f>
        <v>39</v>
      </c>
      <c r="BF7" s="4" t="str">
        <f>"40"</f>
        <v>40</v>
      </c>
      <c r="BG7" s="4" t="str">
        <f>"41"</f>
        <v>41</v>
      </c>
      <c r="BH7" s="4" t="str">
        <f>"42"</f>
        <v>42</v>
      </c>
      <c r="BI7" s="4" t="str">
        <f>"43"</f>
        <v>43</v>
      </c>
      <c r="BJ7" s="4" t="str">
        <f>"44"</f>
        <v>44</v>
      </c>
      <c r="BK7" s="4" t="str">
        <f>"45"</f>
        <v>45</v>
      </c>
      <c r="BL7" s="4" t="str">
        <f>"46"</f>
        <v>46</v>
      </c>
      <c r="BM7" s="4" t="str">
        <f>"47"</f>
        <v>47</v>
      </c>
      <c r="BN7" s="5" t="s">
        <v>0</v>
      </c>
      <c r="BO7" s="4" t="str">
        <f>"1"</f>
        <v>1</v>
      </c>
      <c r="BP7" s="20" t="str">
        <f>"2"</f>
        <v>2</v>
      </c>
      <c r="BQ7" s="20" t="str">
        <f>"3"</f>
        <v>3</v>
      </c>
      <c r="BR7" s="20" t="str">
        <f>"4"</f>
        <v>4</v>
      </c>
      <c r="BS7" s="20" t="str">
        <f>"5"</f>
        <v>5</v>
      </c>
      <c r="BT7" s="20" t="str">
        <f>"6"</f>
        <v>6</v>
      </c>
      <c r="BU7" s="20" t="str">
        <f>"7"</f>
        <v>7</v>
      </c>
      <c r="BV7" s="20" t="str">
        <f>"8"</f>
        <v>8</v>
      </c>
      <c r="BW7" s="20" t="str">
        <f>"9"</f>
        <v>9</v>
      </c>
      <c r="BX7" s="20" t="str">
        <f>"10"</f>
        <v>10</v>
      </c>
      <c r="BY7" s="20" t="str">
        <f>"11"</f>
        <v>11</v>
      </c>
      <c r="BZ7" s="20" t="str">
        <f>"12"</f>
        <v>12</v>
      </c>
      <c r="CA7" s="20" t="str">
        <f>"13"</f>
        <v>13</v>
      </c>
      <c r="CB7" s="73" t="str">
        <f>"14"</f>
        <v>14</v>
      </c>
      <c r="CC7" s="72" t="str">
        <f>"15"</f>
        <v>15</v>
      </c>
      <c r="CD7" s="184" t="str">
        <f>"16"</f>
        <v>16</v>
      </c>
      <c r="CE7" s="78" t="str">
        <f>"17"</f>
        <v>17</v>
      </c>
      <c r="CF7" s="78" t="str">
        <f>"18"</f>
        <v>18</v>
      </c>
      <c r="CG7" s="78" t="str">
        <f>"19"</f>
        <v>19</v>
      </c>
      <c r="CH7" s="78" t="str">
        <f>"20"</f>
        <v>20</v>
      </c>
      <c r="CI7" s="78" t="str">
        <f>"21"</f>
        <v>21</v>
      </c>
      <c r="CJ7" s="78" t="str">
        <f>"22"</f>
        <v>22</v>
      </c>
      <c r="CK7" s="78" t="str">
        <f>"23"</f>
        <v>23</v>
      </c>
      <c r="CL7" s="78" t="str">
        <f>"24"</f>
        <v>24</v>
      </c>
      <c r="CM7" s="78" t="str">
        <f>"25"</f>
        <v>25</v>
      </c>
      <c r="CN7" s="78" t="str">
        <f>"26"</f>
        <v>26</v>
      </c>
      <c r="CO7" s="78" t="str">
        <f>"27"</f>
        <v>27</v>
      </c>
      <c r="CP7" s="78" t="str">
        <f>"28"</f>
        <v>28</v>
      </c>
      <c r="CQ7" s="78" t="str">
        <f>"29"</f>
        <v>29</v>
      </c>
      <c r="CR7" s="78" t="str">
        <f>"30"</f>
        <v>30</v>
      </c>
      <c r="CS7" s="78" t="str">
        <f>"31"</f>
        <v>31</v>
      </c>
      <c r="CT7" s="78" t="str">
        <f>"32"</f>
        <v>32</v>
      </c>
      <c r="CU7" s="78" t="str">
        <f>"33"</f>
        <v>33</v>
      </c>
      <c r="CV7" s="78" t="str">
        <f>"34"</f>
        <v>34</v>
      </c>
      <c r="CW7" s="78" t="str">
        <f>"35"</f>
        <v>35</v>
      </c>
      <c r="CX7" s="78" t="str">
        <f>"36"</f>
        <v>36</v>
      </c>
      <c r="CY7" s="78" t="str">
        <f>"37"</f>
        <v>37</v>
      </c>
      <c r="CZ7" s="78" t="str">
        <f>"38"</f>
        <v>38</v>
      </c>
      <c r="DA7" s="78" t="str">
        <f>"39"</f>
        <v>39</v>
      </c>
      <c r="DB7" s="78" t="str">
        <f>"40"</f>
        <v>40</v>
      </c>
      <c r="DC7" s="78" t="str">
        <f>"41"</f>
        <v>41</v>
      </c>
      <c r="DD7" s="78" t="str">
        <f>"42"</f>
        <v>42</v>
      </c>
      <c r="DE7" s="78" t="str">
        <f>"43"</f>
        <v>43</v>
      </c>
      <c r="DF7" s="78" t="str">
        <f>"44"</f>
        <v>44</v>
      </c>
      <c r="DG7" s="78" t="str">
        <f>"45"</f>
        <v>45</v>
      </c>
      <c r="DH7" s="78" t="str">
        <f>"46"</f>
        <v>46</v>
      </c>
      <c r="DI7" s="78">
        <v>47</v>
      </c>
      <c r="DJ7" s="5" t="s">
        <v>0</v>
      </c>
    </row>
    <row r="8" spans="1:116" ht="13.5" customHeight="1" thickBot="1">
      <c r="B8" s="185" t="s">
        <v>31</v>
      </c>
      <c r="C8" s="111">
        <v>34459.896574074082</v>
      </c>
      <c r="D8" s="186">
        <v>12.952470224763562</v>
      </c>
      <c r="E8" s="186">
        <v>10.216462016156724</v>
      </c>
      <c r="F8" s="186">
        <v>6.4887047404203555</v>
      </c>
      <c r="G8" s="186">
        <v>2.6106762491504694</v>
      </c>
      <c r="H8" s="111">
        <v>6227.4004861370368</v>
      </c>
      <c r="I8" s="111">
        <f t="shared" ref="I8:I23" si="0">H8*(100-D8)/(100-E8)</f>
        <v>6037.6305212753359</v>
      </c>
      <c r="J8" s="111">
        <f>IF(D8=0,0,(I8-(5.72*9*(4.84*(100-D8)/100+0.1119*D8))))</f>
        <v>5746.1259551599887</v>
      </c>
      <c r="K8" s="186" t="s">
        <v>75</v>
      </c>
      <c r="L8" s="198">
        <v>0</v>
      </c>
      <c r="M8" s="95" t="str">
        <f>IF(K8="IMM-WB.HCV.LS","1",IF(K8="IMM-WB.HCV.HS","2",IF(K8="IMM-EB.MCV.LS","3",IF(K8="IMM-EB.MCV.MS","4",IF(K8="IMM-EB.MCV.HS","5",IF(K8="TCM.HCV.LS","6",IF(K8="TCM.HCV.MS","7",IF(K8="TCM.HCV.HS","8",IF(K8="BEK.MCV.LS","9",IF(K8="BEK.MCV.HS","10",IF(K8="EMB","11",IF(K8="JBG","12",IF(K8="GPK","13",IF(K8="TIS","14",IF(K8="EBH.HCV","15",IF(K8="SHORE.HCV","16",IF(K8="AMANAH.HCV","17",IF(K8="BPC.HCV","18",IF(K8="KMIA.MCV.LS","19",IF(K8="BBE.MCV","20",IF(K8="MBL.MCV","21",IF(K8="JMB.MCV","22",IF(K8="GHP.MCV","23",IF(K8="EMJ.MCV","24",IF(K8="KBM.MCV","25",IF(K8="PEY.MCV","26",IF(K8="IKJ.MCV","27",IF(K8="GPE.LCV","28",IF(K8="AUB.LCV.LS","29",IF(K8="KJA.LCV.LS","30",IF(K8="JHN.LCV","31",IF(K8="DMP.LCV","32",IF(K8="MCM.LCV","33",IF(K8="BMM.LCV","34",IF(K8="MKE.LCV","35",IF(K8="BBA.LCV","36",IF(K8="MML.LCV","37",IF(K8="SJA.LCV","38",IF(K8="KWA.LCV","39",IF(K8="GIE","40",IF(K8="KJM.LCV","41",IF(K8="GAM.LCV","42",IF(K8="NEI","43",IF(K8="IWM.LCV","44",IF(K8="HWA","45",IF(K8="BISM.LCV","46"))))))))))))))))))))))))))))))))))))))))))))))</f>
        <v>5</v>
      </c>
      <c r="N8" s="86">
        <v>40000</v>
      </c>
      <c r="O8" s="87">
        <f t="shared" ref="O8:O35" si="1">C8-N8</f>
        <v>-5540.1034259259177</v>
      </c>
      <c r="P8" s="45"/>
      <c r="S8" s="21" t="str">
        <f t="shared" ref="S8:AH34" si="2">IF($M8=S$7,$C8,"0.0")</f>
        <v>0.0</v>
      </c>
      <c r="T8" s="21" t="str">
        <f t="shared" si="2"/>
        <v>0.0</v>
      </c>
      <c r="U8" s="21" t="str">
        <f t="shared" si="2"/>
        <v>0.0</v>
      </c>
      <c r="V8" s="21" t="str">
        <f t="shared" si="2"/>
        <v>0.0</v>
      </c>
      <c r="W8" s="21">
        <f t="shared" si="2"/>
        <v>34459.896574074082</v>
      </c>
      <c r="X8" s="21" t="str">
        <f t="shared" si="2"/>
        <v>0.0</v>
      </c>
      <c r="Y8" s="21" t="str">
        <f t="shared" si="2"/>
        <v>0.0</v>
      </c>
      <c r="Z8" s="21" t="str">
        <f t="shared" si="2"/>
        <v>0.0</v>
      </c>
      <c r="AA8" s="21" t="str">
        <f t="shared" si="2"/>
        <v>0.0</v>
      </c>
      <c r="AB8" s="21" t="str">
        <f t="shared" si="2"/>
        <v>0.0</v>
      </c>
      <c r="AC8" s="21" t="str">
        <f t="shared" si="2"/>
        <v>0.0</v>
      </c>
      <c r="AD8" s="21" t="str">
        <f t="shared" si="2"/>
        <v>0.0</v>
      </c>
      <c r="AE8" s="21" t="str">
        <f t="shared" si="2"/>
        <v>0.0</v>
      </c>
      <c r="AF8" s="21" t="str">
        <f t="shared" si="2"/>
        <v>0.0</v>
      </c>
      <c r="AG8" s="21" t="str">
        <f t="shared" si="2"/>
        <v>0.0</v>
      </c>
      <c r="AH8" s="21" t="str">
        <f t="shared" si="2"/>
        <v>0.0</v>
      </c>
      <c r="AI8" s="21" t="str">
        <f t="shared" ref="T8:BM13" si="3">IF($M8=AI$7,$C8,"0.0")</f>
        <v>0.0</v>
      </c>
      <c r="AJ8" s="21" t="str">
        <f t="shared" si="3"/>
        <v>0.0</v>
      </c>
      <c r="AK8" s="21" t="str">
        <f t="shared" si="3"/>
        <v>0.0</v>
      </c>
      <c r="AL8" s="21" t="str">
        <f t="shared" si="3"/>
        <v>0.0</v>
      </c>
      <c r="AM8" s="21" t="str">
        <f t="shared" si="3"/>
        <v>0.0</v>
      </c>
      <c r="AN8" s="21" t="str">
        <f t="shared" si="3"/>
        <v>0.0</v>
      </c>
      <c r="AO8" s="21" t="str">
        <f t="shared" si="3"/>
        <v>0.0</v>
      </c>
      <c r="AP8" s="21" t="str">
        <f t="shared" si="3"/>
        <v>0.0</v>
      </c>
      <c r="AQ8" s="21" t="str">
        <f t="shared" si="3"/>
        <v>0.0</v>
      </c>
      <c r="AR8" s="21" t="str">
        <f t="shared" si="3"/>
        <v>0.0</v>
      </c>
      <c r="AS8" s="21" t="str">
        <f t="shared" si="3"/>
        <v>0.0</v>
      </c>
      <c r="AT8" s="21" t="str">
        <f t="shared" si="3"/>
        <v>0.0</v>
      </c>
      <c r="AU8" s="21" t="str">
        <f t="shared" si="3"/>
        <v>0.0</v>
      </c>
      <c r="AV8" s="21" t="str">
        <f t="shared" si="3"/>
        <v>0.0</v>
      </c>
      <c r="AW8" s="21" t="str">
        <f t="shared" si="3"/>
        <v>0.0</v>
      </c>
      <c r="AX8" s="21" t="str">
        <f t="shared" si="3"/>
        <v>0.0</v>
      </c>
      <c r="AY8" s="21" t="str">
        <f t="shared" si="3"/>
        <v>0.0</v>
      </c>
      <c r="AZ8" s="21" t="str">
        <f t="shared" si="3"/>
        <v>0.0</v>
      </c>
      <c r="BA8" s="21" t="str">
        <f t="shared" si="3"/>
        <v>0.0</v>
      </c>
      <c r="BB8" s="21" t="str">
        <f t="shared" si="3"/>
        <v>0.0</v>
      </c>
      <c r="BC8" s="21" t="str">
        <f t="shared" si="3"/>
        <v>0.0</v>
      </c>
      <c r="BD8" s="21" t="str">
        <f t="shared" si="3"/>
        <v>0.0</v>
      </c>
      <c r="BE8" s="21" t="str">
        <f t="shared" si="3"/>
        <v>0.0</v>
      </c>
      <c r="BF8" s="21" t="str">
        <f t="shared" si="3"/>
        <v>0.0</v>
      </c>
      <c r="BG8" s="21" t="str">
        <f t="shared" si="3"/>
        <v>0.0</v>
      </c>
      <c r="BH8" s="21" t="str">
        <f t="shared" si="3"/>
        <v>0.0</v>
      </c>
      <c r="BI8" s="21" t="str">
        <f t="shared" si="3"/>
        <v>0.0</v>
      </c>
      <c r="BJ8" s="21" t="str">
        <f t="shared" si="3"/>
        <v>0.0</v>
      </c>
      <c r="BK8" s="21" t="str">
        <f t="shared" si="3"/>
        <v>0.0</v>
      </c>
      <c r="BL8" s="21" t="str">
        <f t="shared" si="3"/>
        <v>0.0</v>
      </c>
      <c r="BM8" s="21" t="str">
        <f t="shared" si="3"/>
        <v>0.0</v>
      </c>
      <c r="BN8" s="23">
        <f>SUM(S8:BA8)</f>
        <v>34459.896574074082</v>
      </c>
      <c r="BO8" s="21" t="str">
        <f t="shared" ref="BO8:CJ15" si="4">IF($M8=BO$7,$L8,"0.0")</f>
        <v>0.0</v>
      </c>
      <c r="BP8" s="22" t="str">
        <f t="shared" si="4"/>
        <v>0.0</v>
      </c>
      <c r="BQ8" s="22" t="str">
        <f t="shared" si="4"/>
        <v>0.0</v>
      </c>
      <c r="BR8" s="22" t="str">
        <f t="shared" si="4"/>
        <v>0.0</v>
      </c>
      <c r="BS8" s="22">
        <f t="shared" si="4"/>
        <v>0</v>
      </c>
      <c r="BT8" s="22" t="str">
        <f t="shared" si="4"/>
        <v>0.0</v>
      </c>
      <c r="BU8" s="22" t="str">
        <f t="shared" si="4"/>
        <v>0.0</v>
      </c>
      <c r="BV8" s="22" t="str">
        <f t="shared" si="4"/>
        <v>0.0</v>
      </c>
      <c r="BW8" s="34" t="str">
        <f t="shared" si="4"/>
        <v>0.0</v>
      </c>
      <c r="BX8" s="34" t="str">
        <f t="shared" si="4"/>
        <v>0.0</v>
      </c>
      <c r="BY8" s="16" t="str">
        <f t="shared" si="4"/>
        <v>0.0</v>
      </c>
      <c r="BZ8" s="16" t="str">
        <f t="shared" si="4"/>
        <v>0.0</v>
      </c>
      <c r="CA8" s="16" t="str">
        <f t="shared" si="4"/>
        <v>0.0</v>
      </c>
      <c r="CB8" s="37" t="str">
        <f t="shared" si="4"/>
        <v>0.0</v>
      </c>
      <c r="CC8" s="37" t="str">
        <f t="shared" si="4"/>
        <v>0.0</v>
      </c>
      <c r="CD8" s="37" t="str">
        <f t="shared" si="4"/>
        <v>0.0</v>
      </c>
      <c r="CE8" s="37" t="str">
        <f t="shared" si="4"/>
        <v>0.0</v>
      </c>
      <c r="CF8" s="37" t="str">
        <f t="shared" si="4"/>
        <v>0.0</v>
      </c>
      <c r="CG8" s="37" t="str">
        <f t="shared" si="4"/>
        <v>0.0</v>
      </c>
      <c r="CH8" s="37" t="str">
        <f t="shared" ref="CG8:CX21" si="5">IF($M8=CH$7,$L8,"0.0")</f>
        <v>0.0</v>
      </c>
      <c r="CI8" s="37" t="str">
        <f t="shared" si="4"/>
        <v>0.0</v>
      </c>
      <c r="CJ8" s="37" t="str">
        <f t="shared" si="4"/>
        <v>0.0</v>
      </c>
      <c r="CK8" s="37" t="str">
        <f t="shared" ref="CK8:DH9" si="6">IF($M8=CK$7,$L8,"0.0")</f>
        <v>0.0</v>
      </c>
      <c r="CL8" s="37" t="str">
        <f t="shared" si="6"/>
        <v>0.0</v>
      </c>
      <c r="CM8" s="37" t="str">
        <f t="shared" si="6"/>
        <v>0.0</v>
      </c>
      <c r="CN8" s="37" t="str">
        <f t="shared" si="6"/>
        <v>0.0</v>
      </c>
      <c r="CO8" s="37" t="str">
        <f t="shared" si="6"/>
        <v>0.0</v>
      </c>
      <c r="CP8" s="37" t="str">
        <f t="shared" si="6"/>
        <v>0.0</v>
      </c>
      <c r="CQ8" s="37" t="str">
        <f t="shared" si="6"/>
        <v>0.0</v>
      </c>
      <c r="CR8" s="37" t="str">
        <f t="shared" si="6"/>
        <v>0.0</v>
      </c>
      <c r="CS8" s="37" t="str">
        <f t="shared" si="6"/>
        <v>0.0</v>
      </c>
      <c r="CT8" s="37" t="str">
        <f t="shared" si="6"/>
        <v>0.0</v>
      </c>
      <c r="CU8" s="37" t="str">
        <f t="shared" si="6"/>
        <v>0.0</v>
      </c>
      <c r="CV8" s="37" t="str">
        <f t="shared" si="6"/>
        <v>0.0</v>
      </c>
      <c r="CW8" s="37" t="str">
        <f t="shared" si="6"/>
        <v>0.0</v>
      </c>
      <c r="CX8" s="37" t="str">
        <f t="shared" si="6"/>
        <v>0.0</v>
      </c>
      <c r="CY8" s="37" t="str">
        <f t="shared" si="6"/>
        <v>0.0</v>
      </c>
      <c r="CZ8" s="37" t="str">
        <f t="shared" si="6"/>
        <v>0.0</v>
      </c>
      <c r="DA8" s="37" t="str">
        <f t="shared" si="6"/>
        <v>0.0</v>
      </c>
      <c r="DB8" s="37" t="str">
        <f t="shared" si="6"/>
        <v>0.0</v>
      </c>
      <c r="DC8" s="37" t="str">
        <f t="shared" si="6"/>
        <v>0.0</v>
      </c>
      <c r="DD8" s="37" t="str">
        <f t="shared" si="6"/>
        <v>0.0</v>
      </c>
      <c r="DE8" s="37" t="str">
        <f t="shared" si="6"/>
        <v>0.0</v>
      </c>
      <c r="DF8" s="37" t="str">
        <f t="shared" si="6"/>
        <v>0.0</v>
      </c>
      <c r="DG8" s="37" t="str">
        <f t="shared" si="6"/>
        <v>0.0</v>
      </c>
      <c r="DH8" s="37" t="str">
        <f t="shared" si="6"/>
        <v>0.0</v>
      </c>
      <c r="DI8" s="37"/>
      <c r="DJ8" s="23">
        <f>SUM(BO8:CW8)</f>
        <v>0</v>
      </c>
    </row>
    <row r="9" spans="1:116" ht="15.5" thickBot="1">
      <c r="B9" s="110" t="s">
        <v>32</v>
      </c>
      <c r="C9" s="101">
        <v>29028.04</v>
      </c>
      <c r="D9" s="100">
        <v>12.298393129707007</v>
      </c>
      <c r="E9" s="100">
        <v>9.8344779046832116</v>
      </c>
      <c r="F9" s="100">
        <v>7.5711502448783747</v>
      </c>
      <c r="G9" s="100">
        <v>2.4941955546576713</v>
      </c>
      <c r="H9" s="101">
        <v>6200.8213556806459</v>
      </c>
      <c r="I9" s="111">
        <f t="shared" si="0"/>
        <v>6031.3741236248816</v>
      </c>
      <c r="J9" s="111">
        <f>IF(D9=0,0,(I9-(5.72*9*(4.84*(100-D9)/100+0.1119*D9))))</f>
        <v>5742.0077224517318</v>
      </c>
      <c r="K9" s="100" t="s">
        <v>75</v>
      </c>
      <c r="L9" s="199">
        <v>0</v>
      </c>
      <c r="M9" s="95" t="str">
        <f t="shared" ref="M9:M34" si="7">IF(K9="IMM-WB.HCV.LS","1",IF(K9="IMM-WB.HCV.HS","2",IF(K9="IMM-EB.MCV.LS","3",IF(K9="IMM-EB.MCV.MS","4",IF(K9="IMM-EB.MCV.HS","5",IF(K9="TCM.HCV.LS","6",IF(K9="TCM.HCV.MS","7",IF(K9="TCM.HCV.HS","8",IF(K9="BEK.MCV.LS","9",IF(K9="BEK.MCV.HS","10",IF(K9="EMB","11",IF(K9="JBG","12",IF(K9="GPK","13",IF(K9="TIS","14",IF(K9="EBH.HCV","15",IF(K9="SHORE.HCV","16",IF(K9="AMANAH.HCV","17",IF(K9="BPC.HCV","18",IF(K9="KMIA.MCV.LS","19",IF(K9="BBE.MCV","20",IF(K9="MBL.MCV","21",IF(K9="JMB.MCV","22",IF(K9="GHP.MCV","23",IF(K9="EMJ.MCV","24",IF(K9="KBM.MCV","25",IF(K9="PEY.MCV","26",IF(K9="IKJ.MCV","27",IF(K9="GPE.LCV","28",IF(K9="AUB.LCV.LS","29",IF(K9="KJA.LCV.LS","30",IF(K9="JHN.LCV","31",IF(K9="DMP.LCV","32",IF(K9="MCM.LCV","33",IF(K9="BMM.LCV","34",IF(K9="MKE.LCV","35",IF(K9="BBA.LCV","36",IF(K9="MML.LCV","37",IF(K9="SJA.LCV","38",IF(K9="KWA.LCV","39",IF(K9="GIE","40",IF(K9="KJM.LCV","41",IF(K9="GAM.LCV","42",IF(K9="NEI","43",IF(K9="IWM.LCV","44",IF(K9="HWA","45",IF(K9="BISM.LCV","46"))))))))))))))))))))))))))))))))))))))))))))))</f>
        <v>5</v>
      </c>
      <c r="N9" s="86">
        <v>25000</v>
      </c>
      <c r="O9" s="87">
        <f t="shared" si="1"/>
        <v>4028.0400000000009</v>
      </c>
      <c r="P9" s="45"/>
      <c r="S9" s="21" t="str">
        <f t="shared" si="2"/>
        <v>0.0</v>
      </c>
      <c r="T9" s="21" t="str">
        <f t="shared" si="3"/>
        <v>0.0</v>
      </c>
      <c r="U9" s="21" t="str">
        <f t="shared" si="3"/>
        <v>0.0</v>
      </c>
      <c r="V9" s="21" t="str">
        <f t="shared" si="3"/>
        <v>0.0</v>
      </c>
      <c r="W9" s="21">
        <f t="shared" si="3"/>
        <v>29028.04</v>
      </c>
      <c r="X9" s="21" t="str">
        <f t="shared" si="3"/>
        <v>0.0</v>
      </c>
      <c r="Y9" s="21" t="str">
        <f t="shared" si="3"/>
        <v>0.0</v>
      </c>
      <c r="Z9" s="21" t="str">
        <f t="shared" si="3"/>
        <v>0.0</v>
      </c>
      <c r="AA9" s="21" t="str">
        <f t="shared" si="3"/>
        <v>0.0</v>
      </c>
      <c r="AB9" s="21" t="str">
        <f t="shared" si="3"/>
        <v>0.0</v>
      </c>
      <c r="AC9" s="21" t="str">
        <f t="shared" si="3"/>
        <v>0.0</v>
      </c>
      <c r="AD9" s="21" t="str">
        <f t="shared" si="3"/>
        <v>0.0</v>
      </c>
      <c r="AE9" s="21" t="str">
        <f t="shared" si="3"/>
        <v>0.0</v>
      </c>
      <c r="AF9" s="21" t="str">
        <f t="shared" si="3"/>
        <v>0.0</v>
      </c>
      <c r="AG9" s="21" t="str">
        <f t="shared" si="3"/>
        <v>0.0</v>
      </c>
      <c r="AH9" s="21" t="str">
        <f t="shared" si="3"/>
        <v>0.0</v>
      </c>
      <c r="AI9" s="21" t="str">
        <f t="shared" si="3"/>
        <v>0.0</v>
      </c>
      <c r="AJ9" s="21" t="str">
        <f t="shared" si="3"/>
        <v>0.0</v>
      </c>
      <c r="AK9" s="21" t="str">
        <f t="shared" si="3"/>
        <v>0.0</v>
      </c>
      <c r="AL9" s="21" t="str">
        <f t="shared" si="3"/>
        <v>0.0</v>
      </c>
      <c r="AM9" s="21" t="str">
        <f t="shared" si="3"/>
        <v>0.0</v>
      </c>
      <c r="AN9" s="21" t="str">
        <f t="shared" si="3"/>
        <v>0.0</v>
      </c>
      <c r="AO9" s="21" t="str">
        <f t="shared" si="3"/>
        <v>0.0</v>
      </c>
      <c r="AP9" s="21" t="str">
        <f t="shared" si="3"/>
        <v>0.0</v>
      </c>
      <c r="AQ9" s="21" t="str">
        <f t="shared" si="3"/>
        <v>0.0</v>
      </c>
      <c r="AR9" s="21" t="str">
        <f t="shared" si="3"/>
        <v>0.0</v>
      </c>
      <c r="AS9" s="21" t="str">
        <f t="shared" si="3"/>
        <v>0.0</v>
      </c>
      <c r="AT9" s="21" t="str">
        <f t="shared" si="3"/>
        <v>0.0</v>
      </c>
      <c r="AU9" s="21" t="str">
        <f t="shared" si="3"/>
        <v>0.0</v>
      </c>
      <c r="AV9" s="21" t="str">
        <f t="shared" si="3"/>
        <v>0.0</v>
      </c>
      <c r="AW9" s="21" t="str">
        <f t="shared" si="3"/>
        <v>0.0</v>
      </c>
      <c r="AX9" s="21" t="str">
        <f t="shared" si="3"/>
        <v>0.0</v>
      </c>
      <c r="AY9" s="21" t="str">
        <f t="shared" si="3"/>
        <v>0.0</v>
      </c>
      <c r="AZ9" s="21" t="str">
        <f t="shared" si="3"/>
        <v>0.0</v>
      </c>
      <c r="BA9" s="21" t="str">
        <f t="shared" si="3"/>
        <v>0.0</v>
      </c>
      <c r="BB9" s="21" t="str">
        <f t="shared" si="3"/>
        <v>0.0</v>
      </c>
      <c r="BC9" s="21" t="str">
        <f t="shared" si="3"/>
        <v>0.0</v>
      </c>
      <c r="BD9" s="21" t="str">
        <f t="shared" si="3"/>
        <v>0.0</v>
      </c>
      <c r="BE9" s="21" t="str">
        <f t="shared" si="3"/>
        <v>0.0</v>
      </c>
      <c r="BF9" s="21" t="str">
        <f t="shared" si="3"/>
        <v>0.0</v>
      </c>
      <c r="BG9" s="21" t="str">
        <f t="shared" si="3"/>
        <v>0.0</v>
      </c>
      <c r="BH9" s="21" t="str">
        <f t="shared" si="3"/>
        <v>0.0</v>
      </c>
      <c r="BI9" s="21" t="str">
        <f t="shared" si="3"/>
        <v>0.0</v>
      </c>
      <c r="BJ9" s="21" t="str">
        <f t="shared" si="3"/>
        <v>0.0</v>
      </c>
      <c r="BK9" s="21" t="str">
        <f t="shared" si="3"/>
        <v>0.0</v>
      </c>
      <c r="BL9" s="21" t="str">
        <f t="shared" si="3"/>
        <v>0.0</v>
      </c>
      <c r="BM9" s="21" t="str">
        <f t="shared" si="3"/>
        <v>0.0</v>
      </c>
      <c r="BN9" s="23">
        <f t="shared" ref="BN9:BN33" si="8">SUM(S9:AZ9)</f>
        <v>29028.04</v>
      </c>
      <c r="BO9" s="24" t="str">
        <f t="shared" si="4"/>
        <v>0.0</v>
      </c>
      <c r="BP9" s="16" t="str">
        <f t="shared" si="4"/>
        <v>0.0</v>
      </c>
      <c r="BQ9" s="16" t="str">
        <f t="shared" si="4"/>
        <v>0.0</v>
      </c>
      <c r="BR9" s="16" t="str">
        <f t="shared" si="4"/>
        <v>0.0</v>
      </c>
      <c r="BS9" s="16">
        <f t="shared" si="4"/>
        <v>0</v>
      </c>
      <c r="BT9" s="16" t="str">
        <f t="shared" si="4"/>
        <v>0.0</v>
      </c>
      <c r="BU9" s="16" t="str">
        <f t="shared" si="4"/>
        <v>0.0</v>
      </c>
      <c r="BV9" s="16" t="str">
        <f t="shared" si="4"/>
        <v>0.0</v>
      </c>
      <c r="BW9" s="35" t="str">
        <f t="shared" si="4"/>
        <v>0.0</v>
      </c>
      <c r="BX9" s="35" t="str">
        <f t="shared" si="4"/>
        <v>0.0</v>
      </c>
      <c r="BY9" s="16" t="str">
        <f t="shared" si="4"/>
        <v>0.0</v>
      </c>
      <c r="BZ9" s="35" t="str">
        <f t="shared" si="4"/>
        <v>0.0</v>
      </c>
      <c r="CA9" s="35" t="str">
        <f t="shared" si="4"/>
        <v>0.0</v>
      </c>
      <c r="CB9" s="35" t="str">
        <f t="shared" si="4"/>
        <v>0.0</v>
      </c>
      <c r="CC9" s="35" t="str">
        <f t="shared" si="4"/>
        <v>0.0</v>
      </c>
      <c r="CD9" s="35" t="str">
        <f t="shared" si="4"/>
        <v>0.0</v>
      </c>
      <c r="CE9" s="35" t="str">
        <f t="shared" si="4"/>
        <v>0.0</v>
      </c>
      <c r="CF9" s="35" t="str">
        <f t="shared" si="4"/>
        <v>0.0</v>
      </c>
      <c r="CG9" s="35" t="str">
        <f t="shared" si="5"/>
        <v>0.0</v>
      </c>
      <c r="CH9" s="35" t="str">
        <f t="shared" si="5"/>
        <v>0.0</v>
      </c>
      <c r="CI9" s="35" t="str">
        <f t="shared" si="5"/>
        <v>0.0</v>
      </c>
      <c r="CJ9" s="35" t="str">
        <f t="shared" si="5"/>
        <v>0.0</v>
      </c>
      <c r="CK9" s="35" t="str">
        <f t="shared" si="5"/>
        <v>0.0</v>
      </c>
      <c r="CL9" s="35" t="str">
        <f t="shared" si="5"/>
        <v>0.0</v>
      </c>
      <c r="CM9" s="35" t="str">
        <f t="shared" si="5"/>
        <v>0.0</v>
      </c>
      <c r="CN9" s="35" t="str">
        <f t="shared" si="5"/>
        <v>0.0</v>
      </c>
      <c r="CO9" s="35" t="str">
        <f t="shared" si="5"/>
        <v>0.0</v>
      </c>
      <c r="CP9" s="35" t="str">
        <f t="shared" si="5"/>
        <v>0.0</v>
      </c>
      <c r="CQ9" s="35" t="str">
        <f t="shared" si="5"/>
        <v>0.0</v>
      </c>
      <c r="CR9" s="35" t="str">
        <f t="shared" si="5"/>
        <v>0.0</v>
      </c>
      <c r="CS9" s="35" t="str">
        <f t="shared" si="5"/>
        <v>0.0</v>
      </c>
      <c r="CT9" s="35" t="str">
        <f t="shared" si="5"/>
        <v>0.0</v>
      </c>
      <c r="CU9" s="35" t="str">
        <f t="shared" si="5"/>
        <v>0.0</v>
      </c>
      <c r="CV9" s="35" t="str">
        <f t="shared" si="5"/>
        <v>0.0</v>
      </c>
      <c r="CW9" s="35" t="str">
        <f t="shared" si="5"/>
        <v>0.0</v>
      </c>
      <c r="CX9" s="35" t="str">
        <f t="shared" si="5"/>
        <v>0.0</v>
      </c>
      <c r="CY9" s="35" t="str">
        <f t="shared" si="6"/>
        <v>0.0</v>
      </c>
      <c r="CZ9" s="35" t="str">
        <f t="shared" si="6"/>
        <v>0.0</v>
      </c>
      <c r="DA9" s="35" t="str">
        <f t="shared" si="6"/>
        <v>0.0</v>
      </c>
      <c r="DB9" s="35" t="str">
        <f t="shared" si="6"/>
        <v>0.0</v>
      </c>
      <c r="DC9" s="35" t="str">
        <f t="shared" si="6"/>
        <v>0.0</v>
      </c>
      <c r="DD9" s="35" t="str">
        <f t="shared" si="6"/>
        <v>0.0</v>
      </c>
      <c r="DE9" s="35" t="str">
        <f t="shared" si="6"/>
        <v>0.0</v>
      </c>
      <c r="DF9" s="35" t="str">
        <f t="shared" si="6"/>
        <v>0.0</v>
      </c>
      <c r="DG9" s="35" t="str">
        <f t="shared" si="6"/>
        <v>0.0</v>
      </c>
      <c r="DH9" s="35" t="str">
        <f t="shared" si="6"/>
        <v>0.0</v>
      </c>
      <c r="DI9" s="37"/>
      <c r="DJ9" s="23">
        <f t="shared" ref="DJ9:DJ34" si="9">SUM(BO9:CV9)</f>
        <v>0</v>
      </c>
    </row>
    <row r="10" spans="1:116" ht="15.5" thickBot="1">
      <c r="B10" s="110" t="s">
        <v>33</v>
      </c>
      <c r="C10" s="101">
        <v>31634.560000000001</v>
      </c>
      <c r="D10" s="100">
        <v>13.037503700428909</v>
      </c>
      <c r="E10" s="100">
        <v>10.571598376806232</v>
      </c>
      <c r="F10" s="100">
        <v>5.4581229793231936</v>
      </c>
      <c r="G10" s="100">
        <v>2.2220950626485996</v>
      </c>
      <c r="H10" s="101">
        <v>6293.9869634734077</v>
      </c>
      <c r="I10" s="111">
        <f t="shared" si="0"/>
        <v>6120.4361040335198</v>
      </c>
      <c r="J10" s="111">
        <f>IF(D10=0,0,(I10-(5.72*9*(4.92*(100-D10)/100+0.1119*D10))))</f>
        <v>5825.0721017392898</v>
      </c>
      <c r="K10" s="100" t="s">
        <v>75</v>
      </c>
      <c r="L10" s="199">
        <v>0</v>
      </c>
      <c r="M10" s="95" t="str">
        <f t="shared" si="7"/>
        <v>5</v>
      </c>
      <c r="N10" s="86">
        <v>30000</v>
      </c>
      <c r="O10" s="87">
        <f t="shared" si="1"/>
        <v>1634.5600000000013</v>
      </c>
      <c r="P10" s="45"/>
      <c r="S10" s="21" t="str">
        <f t="shared" si="2"/>
        <v>0.0</v>
      </c>
      <c r="T10" s="21" t="str">
        <f t="shared" si="3"/>
        <v>0.0</v>
      </c>
      <c r="U10" s="21" t="str">
        <f t="shared" si="3"/>
        <v>0.0</v>
      </c>
      <c r="V10" s="21" t="str">
        <f t="shared" si="3"/>
        <v>0.0</v>
      </c>
      <c r="W10" s="21">
        <f t="shared" si="3"/>
        <v>31634.560000000001</v>
      </c>
      <c r="X10" s="21" t="str">
        <f t="shared" si="3"/>
        <v>0.0</v>
      </c>
      <c r="Y10" s="21" t="str">
        <f t="shared" si="3"/>
        <v>0.0</v>
      </c>
      <c r="Z10" s="21" t="str">
        <f t="shared" si="3"/>
        <v>0.0</v>
      </c>
      <c r="AA10" s="21" t="str">
        <f t="shared" si="3"/>
        <v>0.0</v>
      </c>
      <c r="AB10" s="21" t="str">
        <f t="shared" si="3"/>
        <v>0.0</v>
      </c>
      <c r="AC10" s="21" t="str">
        <f t="shared" si="3"/>
        <v>0.0</v>
      </c>
      <c r="AD10" s="21" t="str">
        <f t="shared" si="3"/>
        <v>0.0</v>
      </c>
      <c r="AE10" s="21" t="str">
        <f t="shared" si="3"/>
        <v>0.0</v>
      </c>
      <c r="AF10" s="21" t="str">
        <f t="shared" si="3"/>
        <v>0.0</v>
      </c>
      <c r="AG10" s="21" t="str">
        <f t="shared" si="3"/>
        <v>0.0</v>
      </c>
      <c r="AH10" s="21" t="str">
        <f t="shared" si="3"/>
        <v>0.0</v>
      </c>
      <c r="AI10" s="21" t="str">
        <f t="shared" si="3"/>
        <v>0.0</v>
      </c>
      <c r="AJ10" s="21" t="str">
        <f t="shared" si="3"/>
        <v>0.0</v>
      </c>
      <c r="AK10" s="21" t="str">
        <f t="shared" si="3"/>
        <v>0.0</v>
      </c>
      <c r="AL10" s="21" t="str">
        <f t="shared" si="3"/>
        <v>0.0</v>
      </c>
      <c r="AM10" s="21" t="str">
        <f t="shared" si="3"/>
        <v>0.0</v>
      </c>
      <c r="AN10" s="21" t="str">
        <f t="shared" si="3"/>
        <v>0.0</v>
      </c>
      <c r="AO10" s="21" t="str">
        <f t="shared" si="3"/>
        <v>0.0</v>
      </c>
      <c r="AP10" s="21" t="str">
        <f t="shared" si="3"/>
        <v>0.0</v>
      </c>
      <c r="AQ10" s="21" t="str">
        <f t="shared" si="3"/>
        <v>0.0</v>
      </c>
      <c r="AR10" s="21" t="str">
        <f t="shared" si="3"/>
        <v>0.0</v>
      </c>
      <c r="AS10" s="21" t="str">
        <f t="shared" si="3"/>
        <v>0.0</v>
      </c>
      <c r="AT10" s="21" t="str">
        <f t="shared" si="3"/>
        <v>0.0</v>
      </c>
      <c r="AU10" s="21" t="str">
        <f t="shared" si="3"/>
        <v>0.0</v>
      </c>
      <c r="AV10" s="21" t="str">
        <f t="shared" si="3"/>
        <v>0.0</v>
      </c>
      <c r="AW10" s="21" t="str">
        <f t="shared" si="3"/>
        <v>0.0</v>
      </c>
      <c r="AX10" s="21" t="str">
        <f t="shared" si="3"/>
        <v>0.0</v>
      </c>
      <c r="AY10" s="21" t="str">
        <f t="shared" si="3"/>
        <v>0.0</v>
      </c>
      <c r="AZ10" s="21" t="str">
        <f t="shared" si="3"/>
        <v>0.0</v>
      </c>
      <c r="BA10" s="21" t="str">
        <f t="shared" si="3"/>
        <v>0.0</v>
      </c>
      <c r="BB10" s="21" t="str">
        <f t="shared" si="3"/>
        <v>0.0</v>
      </c>
      <c r="BC10" s="21" t="str">
        <f t="shared" si="3"/>
        <v>0.0</v>
      </c>
      <c r="BD10" s="21" t="str">
        <f t="shared" si="3"/>
        <v>0.0</v>
      </c>
      <c r="BE10" s="21" t="str">
        <f t="shared" si="3"/>
        <v>0.0</v>
      </c>
      <c r="BF10" s="21" t="str">
        <f t="shared" si="3"/>
        <v>0.0</v>
      </c>
      <c r="BG10" s="21" t="str">
        <f t="shared" si="3"/>
        <v>0.0</v>
      </c>
      <c r="BH10" s="21" t="str">
        <f t="shared" si="3"/>
        <v>0.0</v>
      </c>
      <c r="BI10" s="21" t="str">
        <f t="shared" si="3"/>
        <v>0.0</v>
      </c>
      <c r="BJ10" s="21" t="str">
        <f t="shared" si="3"/>
        <v>0.0</v>
      </c>
      <c r="BK10" s="21" t="str">
        <f t="shared" si="3"/>
        <v>0.0</v>
      </c>
      <c r="BL10" s="21" t="str">
        <f t="shared" si="3"/>
        <v>0.0</v>
      </c>
      <c r="BM10" s="21" t="str">
        <f t="shared" si="3"/>
        <v>0.0</v>
      </c>
      <c r="BN10" s="23">
        <f t="shared" si="8"/>
        <v>31634.560000000001</v>
      </c>
      <c r="BO10" s="24" t="str">
        <f t="shared" si="4"/>
        <v>0.0</v>
      </c>
      <c r="BP10" s="16" t="str">
        <f t="shared" si="4"/>
        <v>0.0</v>
      </c>
      <c r="BQ10" s="16" t="str">
        <f t="shared" si="4"/>
        <v>0.0</v>
      </c>
      <c r="BR10" s="16" t="str">
        <f t="shared" si="4"/>
        <v>0.0</v>
      </c>
      <c r="BS10" s="16">
        <f t="shared" si="4"/>
        <v>0</v>
      </c>
      <c r="BT10" s="16" t="str">
        <f t="shared" si="4"/>
        <v>0.0</v>
      </c>
      <c r="BU10" s="16" t="str">
        <f t="shared" si="4"/>
        <v>0.0</v>
      </c>
      <c r="BV10" s="16" t="str">
        <f t="shared" si="4"/>
        <v>0.0</v>
      </c>
      <c r="BW10" s="35" t="str">
        <f t="shared" si="4"/>
        <v>0.0</v>
      </c>
      <c r="BX10" s="35" t="str">
        <f t="shared" si="4"/>
        <v>0.0</v>
      </c>
      <c r="BY10" s="16" t="str">
        <f t="shared" si="4"/>
        <v>0.0</v>
      </c>
      <c r="BZ10" s="35" t="str">
        <f t="shared" si="4"/>
        <v>0.0</v>
      </c>
      <c r="CA10" s="35" t="str">
        <f t="shared" si="4"/>
        <v>0.0</v>
      </c>
      <c r="CB10" s="35" t="str">
        <f t="shared" si="4"/>
        <v>0.0</v>
      </c>
      <c r="CC10" s="35" t="str">
        <f t="shared" si="4"/>
        <v>0.0</v>
      </c>
      <c r="CD10" s="35" t="str">
        <f t="shared" si="4"/>
        <v>0.0</v>
      </c>
      <c r="CE10" s="35" t="str">
        <f t="shared" si="4"/>
        <v>0.0</v>
      </c>
      <c r="CF10" s="35" t="str">
        <f t="shared" si="4"/>
        <v>0.0</v>
      </c>
      <c r="CG10" s="35" t="str">
        <f t="shared" si="5"/>
        <v>0.0</v>
      </c>
      <c r="CH10" s="35" t="str">
        <f t="shared" si="5"/>
        <v>0.0</v>
      </c>
      <c r="CI10" s="35" t="str">
        <f t="shared" si="5"/>
        <v>0.0</v>
      </c>
      <c r="CJ10" s="35" t="str">
        <f t="shared" ref="CJ10:DH20" si="10">IF($M10=CJ$7,$L10,"0.0")</f>
        <v>0.0</v>
      </c>
      <c r="CK10" s="35" t="str">
        <f t="shared" si="10"/>
        <v>0.0</v>
      </c>
      <c r="CL10" s="35" t="str">
        <f t="shared" si="10"/>
        <v>0.0</v>
      </c>
      <c r="CM10" s="35" t="str">
        <f t="shared" si="10"/>
        <v>0.0</v>
      </c>
      <c r="CN10" s="35" t="str">
        <f t="shared" si="10"/>
        <v>0.0</v>
      </c>
      <c r="CO10" s="35" t="str">
        <f t="shared" si="10"/>
        <v>0.0</v>
      </c>
      <c r="CP10" s="35" t="str">
        <f t="shared" si="10"/>
        <v>0.0</v>
      </c>
      <c r="CQ10" s="35" t="str">
        <f t="shared" si="10"/>
        <v>0.0</v>
      </c>
      <c r="CR10" s="35" t="str">
        <f t="shared" si="10"/>
        <v>0.0</v>
      </c>
      <c r="CS10" s="35" t="str">
        <f t="shared" si="10"/>
        <v>0.0</v>
      </c>
      <c r="CT10" s="35" t="str">
        <f t="shared" si="10"/>
        <v>0.0</v>
      </c>
      <c r="CU10" s="35" t="str">
        <f t="shared" si="10"/>
        <v>0.0</v>
      </c>
      <c r="CV10" s="35" t="str">
        <f t="shared" si="10"/>
        <v>0.0</v>
      </c>
      <c r="CW10" s="35" t="str">
        <f t="shared" si="10"/>
        <v>0.0</v>
      </c>
      <c r="CX10" s="35" t="str">
        <f t="shared" si="10"/>
        <v>0.0</v>
      </c>
      <c r="CY10" s="35" t="str">
        <f t="shared" si="10"/>
        <v>0.0</v>
      </c>
      <c r="CZ10" s="35" t="str">
        <f t="shared" si="10"/>
        <v>0.0</v>
      </c>
      <c r="DA10" s="35" t="str">
        <f t="shared" si="10"/>
        <v>0.0</v>
      </c>
      <c r="DB10" s="35" t="str">
        <f t="shared" si="10"/>
        <v>0.0</v>
      </c>
      <c r="DC10" s="35" t="str">
        <f t="shared" si="10"/>
        <v>0.0</v>
      </c>
      <c r="DD10" s="35" t="str">
        <f t="shared" si="10"/>
        <v>0.0</v>
      </c>
      <c r="DE10" s="35" t="str">
        <f t="shared" si="10"/>
        <v>0.0</v>
      </c>
      <c r="DF10" s="35" t="str">
        <f t="shared" si="10"/>
        <v>0.0</v>
      </c>
      <c r="DG10" s="35" t="str">
        <f t="shared" si="10"/>
        <v>0.0</v>
      </c>
      <c r="DH10" s="35" t="str">
        <f t="shared" si="10"/>
        <v>0.0</v>
      </c>
      <c r="DI10" s="37"/>
      <c r="DJ10" s="23">
        <f t="shared" si="9"/>
        <v>0</v>
      </c>
    </row>
    <row r="11" spans="1:116" ht="15.5" thickBot="1">
      <c r="B11" s="110" t="s">
        <v>34</v>
      </c>
      <c r="C11" s="101">
        <v>26639.9</v>
      </c>
      <c r="D11" s="100">
        <v>12.599385614086565</v>
      </c>
      <c r="E11" s="100">
        <v>10.30328721615555</v>
      </c>
      <c r="F11" s="100">
        <v>6.7590593646357116</v>
      </c>
      <c r="G11" s="100">
        <v>2.4702291036013171</v>
      </c>
      <c r="H11" s="101">
        <v>6239.6711318294765</v>
      </c>
      <c r="I11" s="111">
        <f t="shared" si="0"/>
        <v>6079.9451123940071</v>
      </c>
      <c r="J11" s="111">
        <f>IF(D11=0,0,(I11-(5.72*9*(4.85*(100-D11)/100+0.1119*D11))))</f>
        <v>5789.1448344464116</v>
      </c>
      <c r="K11" s="100" t="s">
        <v>75</v>
      </c>
      <c r="L11" s="199">
        <v>0</v>
      </c>
      <c r="M11" s="95" t="str">
        <f t="shared" si="7"/>
        <v>5</v>
      </c>
      <c r="N11" s="86">
        <v>30000</v>
      </c>
      <c r="O11" s="87">
        <f t="shared" si="1"/>
        <v>-3360.0999999999985</v>
      </c>
      <c r="P11" s="45"/>
      <c r="Q11" s="45"/>
      <c r="S11" s="21" t="str">
        <f t="shared" si="2"/>
        <v>0.0</v>
      </c>
      <c r="T11" s="21" t="str">
        <f t="shared" si="3"/>
        <v>0.0</v>
      </c>
      <c r="U11" s="21" t="str">
        <f t="shared" si="3"/>
        <v>0.0</v>
      </c>
      <c r="V11" s="21" t="str">
        <f t="shared" si="3"/>
        <v>0.0</v>
      </c>
      <c r="W11" s="21">
        <f t="shared" si="3"/>
        <v>26639.9</v>
      </c>
      <c r="X11" s="21" t="str">
        <f t="shared" si="3"/>
        <v>0.0</v>
      </c>
      <c r="Y11" s="21" t="str">
        <f t="shared" si="3"/>
        <v>0.0</v>
      </c>
      <c r="Z11" s="21" t="str">
        <f t="shared" si="3"/>
        <v>0.0</v>
      </c>
      <c r="AA11" s="21" t="str">
        <f t="shared" si="3"/>
        <v>0.0</v>
      </c>
      <c r="AB11" s="21" t="str">
        <f t="shared" si="3"/>
        <v>0.0</v>
      </c>
      <c r="AC11" s="21" t="str">
        <f t="shared" si="3"/>
        <v>0.0</v>
      </c>
      <c r="AD11" s="21" t="str">
        <f t="shared" si="3"/>
        <v>0.0</v>
      </c>
      <c r="AE11" s="21" t="str">
        <f t="shared" si="3"/>
        <v>0.0</v>
      </c>
      <c r="AF11" s="21" t="str">
        <f t="shared" si="3"/>
        <v>0.0</v>
      </c>
      <c r="AG11" s="21" t="str">
        <f t="shared" si="3"/>
        <v>0.0</v>
      </c>
      <c r="AH11" s="21" t="str">
        <f t="shared" si="3"/>
        <v>0.0</v>
      </c>
      <c r="AI11" s="21" t="str">
        <f t="shared" si="3"/>
        <v>0.0</v>
      </c>
      <c r="AJ11" s="21" t="str">
        <f t="shared" si="3"/>
        <v>0.0</v>
      </c>
      <c r="AK11" s="21" t="str">
        <f t="shared" si="3"/>
        <v>0.0</v>
      </c>
      <c r="AL11" s="21" t="str">
        <f t="shared" si="3"/>
        <v>0.0</v>
      </c>
      <c r="AM11" s="21" t="str">
        <f t="shared" si="3"/>
        <v>0.0</v>
      </c>
      <c r="AN11" s="21" t="str">
        <f t="shared" si="3"/>
        <v>0.0</v>
      </c>
      <c r="AO11" s="21" t="str">
        <f t="shared" si="3"/>
        <v>0.0</v>
      </c>
      <c r="AP11" s="21" t="str">
        <f t="shared" si="3"/>
        <v>0.0</v>
      </c>
      <c r="AQ11" s="21" t="str">
        <f t="shared" si="3"/>
        <v>0.0</v>
      </c>
      <c r="AR11" s="21" t="str">
        <f t="shared" si="3"/>
        <v>0.0</v>
      </c>
      <c r="AS11" s="21" t="str">
        <f t="shared" si="3"/>
        <v>0.0</v>
      </c>
      <c r="AT11" s="21" t="str">
        <f t="shared" si="3"/>
        <v>0.0</v>
      </c>
      <c r="AU11" s="21" t="str">
        <f t="shared" si="3"/>
        <v>0.0</v>
      </c>
      <c r="AV11" s="21" t="str">
        <f t="shared" si="3"/>
        <v>0.0</v>
      </c>
      <c r="AW11" s="21" t="str">
        <f t="shared" si="3"/>
        <v>0.0</v>
      </c>
      <c r="AX11" s="21" t="str">
        <f t="shared" si="3"/>
        <v>0.0</v>
      </c>
      <c r="AY11" s="21" t="str">
        <f t="shared" si="3"/>
        <v>0.0</v>
      </c>
      <c r="AZ11" s="21" t="str">
        <f t="shared" si="3"/>
        <v>0.0</v>
      </c>
      <c r="BA11" s="21" t="str">
        <f t="shared" si="3"/>
        <v>0.0</v>
      </c>
      <c r="BB11" s="21" t="str">
        <f t="shared" si="3"/>
        <v>0.0</v>
      </c>
      <c r="BC11" s="21" t="str">
        <f t="shared" si="3"/>
        <v>0.0</v>
      </c>
      <c r="BD11" s="21" t="str">
        <f t="shared" si="3"/>
        <v>0.0</v>
      </c>
      <c r="BE11" s="21" t="str">
        <f t="shared" si="3"/>
        <v>0.0</v>
      </c>
      <c r="BF11" s="21" t="str">
        <f t="shared" si="3"/>
        <v>0.0</v>
      </c>
      <c r="BG11" s="21" t="str">
        <f t="shared" si="3"/>
        <v>0.0</v>
      </c>
      <c r="BH11" s="21" t="str">
        <f t="shared" si="3"/>
        <v>0.0</v>
      </c>
      <c r="BI11" s="21" t="str">
        <f t="shared" si="3"/>
        <v>0.0</v>
      </c>
      <c r="BJ11" s="21" t="str">
        <f t="shared" si="3"/>
        <v>0.0</v>
      </c>
      <c r="BK11" s="21" t="str">
        <f t="shared" si="3"/>
        <v>0.0</v>
      </c>
      <c r="BL11" s="21" t="str">
        <f t="shared" si="3"/>
        <v>0.0</v>
      </c>
      <c r="BM11" s="21" t="str">
        <f t="shared" si="3"/>
        <v>0.0</v>
      </c>
      <c r="BN11" s="23">
        <f t="shared" si="8"/>
        <v>26639.9</v>
      </c>
      <c r="BO11" s="24" t="str">
        <f t="shared" si="4"/>
        <v>0.0</v>
      </c>
      <c r="BP11" s="16" t="str">
        <f t="shared" si="4"/>
        <v>0.0</v>
      </c>
      <c r="BQ11" s="16" t="str">
        <f t="shared" si="4"/>
        <v>0.0</v>
      </c>
      <c r="BR11" s="16" t="str">
        <f t="shared" si="4"/>
        <v>0.0</v>
      </c>
      <c r="BS11" s="16">
        <f t="shared" si="4"/>
        <v>0</v>
      </c>
      <c r="BT11" s="16" t="str">
        <f t="shared" si="4"/>
        <v>0.0</v>
      </c>
      <c r="BU11" s="16" t="str">
        <f t="shared" si="4"/>
        <v>0.0</v>
      </c>
      <c r="BV11" s="16" t="str">
        <f t="shared" si="4"/>
        <v>0.0</v>
      </c>
      <c r="BW11" s="35" t="str">
        <f t="shared" si="4"/>
        <v>0.0</v>
      </c>
      <c r="BX11" s="35" t="str">
        <f t="shared" si="4"/>
        <v>0.0</v>
      </c>
      <c r="BY11" s="16" t="str">
        <f t="shared" si="4"/>
        <v>0.0</v>
      </c>
      <c r="BZ11" s="35" t="str">
        <f t="shared" si="4"/>
        <v>0.0</v>
      </c>
      <c r="CA11" s="35" t="str">
        <f t="shared" si="4"/>
        <v>0.0</v>
      </c>
      <c r="CB11" s="35" t="str">
        <f t="shared" si="4"/>
        <v>0.0</v>
      </c>
      <c r="CC11" s="35" t="str">
        <f t="shared" si="4"/>
        <v>0.0</v>
      </c>
      <c r="CD11" s="35" t="str">
        <f t="shared" si="4"/>
        <v>0.0</v>
      </c>
      <c r="CE11" s="35" t="str">
        <f t="shared" si="4"/>
        <v>0.0</v>
      </c>
      <c r="CF11" s="35" t="str">
        <f t="shared" si="4"/>
        <v>0.0</v>
      </c>
      <c r="CG11" s="35" t="str">
        <f t="shared" si="5"/>
        <v>0.0</v>
      </c>
      <c r="CH11" s="35" t="str">
        <f t="shared" si="5"/>
        <v>0.0</v>
      </c>
      <c r="CI11" s="35" t="str">
        <f t="shared" si="5"/>
        <v>0.0</v>
      </c>
      <c r="CJ11" s="35" t="str">
        <f t="shared" si="10"/>
        <v>0.0</v>
      </c>
      <c r="CK11" s="35" t="str">
        <f t="shared" si="10"/>
        <v>0.0</v>
      </c>
      <c r="CL11" s="35" t="str">
        <f t="shared" si="10"/>
        <v>0.0</v>
      </c>
      <c r="CM11" s="35" t="str">
        <f t="shared" si="10"/>
        <v>0.0</v>
      </c>
      <c r="CN11" s="35" t="str">
        <f t="shared" si="10"/>
        <v>0.0</v>
      </c>
      <c r="CO11" s="35" t="str">
        <f t="shared" si="10"/>
        <v>0.0</v>
      </c>
      <c r="CP11" s="35" t="str">
        <f t="shared" si="10"/>
        <v>0.0</v>
      </c>
      <c r="CQ11" s="35" t="str">
        <f t="shared" si="10"/>
        <v>0.0</v>
      </c>
      <c r="CR11" s="35" t="str">
        <f t="shared" si="10"/>
        <v>0.0</v>
      </c>
      <c r="CS11" s="35" t="str">
        <f t="shared" si="10"/>
        <v>0.0</v>
      </c>
      <c r="CT11" s="35" t="str">
        <f t="shared" si="10"/>
        <v>0.0</v>
      </c>
      <c r="CU11" s="35" t="str">
        <f t="shared" si="10"/>
        <v>0.0</v>
      </c>
      <c r="CV11" s="35" t="str">
        <f t="shared" si="10"/>
        <v>0.0</v>
      </c>
      <c r="CW11" s="35" t="str">
        <f t="shared" si="10"/>
        <v>0.0</v>
      </c>
      <c r="CX11" s="35" t="str">
        <f t="shared" si="10"/>
        <v>0.0</v>
      </c>
      <c r="CY11" s="35" t="str">
        <f t="shared" si="10"/>
        <v>0.0</v>
      </c>
      <c r="CZ11" s="35" t="str">
        <f t="shared" si="10"/>
        <v>0.0</v>
      </c>
      <c r="DA11" s="35" t="str">
        <f t="shared" si="10"/>
        <v>0.0</v>
      </c>
      <c r="DB11" s="35" t="str">
        <f t="shared" si="10"/>
        <v>0.0</v>
      </c>
      <c r="DC11" s="35" t="str">
        <f t="shared" si="10"/>
        <v>0.0</v>
      </c>
      <c r="DD11" s="35" t="str">
        <f t="shared" si="10"/>
        <v>0.0</v>
      </c>
      <c r="DE11" s="35" t="str">
        <f t="shared" si="10"/>
        <v>0.0</v>
      </c>
      <c r="DF11" s="35" t="str">
        <f t="shared" si="10"/>
        <v>0.0</v>
      </c>
      <c r="DG11" s="35" t="str">
        <f t="shared" si="10"/>
        <v>0.0</v>
      </c>
      <c r="DH11" s="35" t="str">
        <f t="shared" si="10"/>
        <v>0.0</v>
      </c>
      <c r="DI11" s="37"/>
      <c r="DJ11" s="23">
        <f t="shared" si="9"/>
        <v>0</v>
      </c>
    </row>
    <row r="12" spans="1:116" ht="15.5" thickBot="1">
      <c r="B12" s="110" t="s">
        <v>35</v>
      </c>
      <c r="C12" s="101">
        <v>19698.66</v>
      </c>
      <c r="D12" s="100">
        <v>12.977572842483408</v>
      </c>
      <c r="E12" s="100">
        <v>10.33061371572569</v>
      </c>
      <c r="F12" s="100">
        <v>7.508870856845002</v>
      </c>
      <c r="G12" s="100">
        <v>2.1440276504810427</v>
      </c>
      <c r="H12" s="101">
        <v>6162.3915254356061</v>
      </c>
      <c r="I12" s="111">
        <f t="shared" si="0"/>
        <v>5980.4833049511435</v>
      </c>
      <c r="J12" s="111">
        <f>IF(D12=0,0,(I12-(5.72*9*(4.83*(100-D12)/100+0.1119*D12))))</f>
        <v>5689.3446703355294</v>
      </c>
      <c r="K12" s="100" t="s">
        <v>75</v>
      </c>
      <c r="L12" s="199">
        <v>0</v>
      </c>
      <c r="M12" s="95" t="str">
        <f t="shared" si="7"/>
        <v>5</v>
      </c>
      <c r="N12" s="86">
        <v>15000</v>
      </c>
      <c r="O12" s="87">
        <f t="shared" si="1"/>
        <v>4698.66</v>
      </c>
      <c r="P12" s="45"/>
      <c r="S12" s="21" t="str">
        <f t="shared" si="2"/>
        <v>0.0</v>
      </c>
      <c r="T12" s="21" t="str">
        <f t="shared" si="3"/>
        <v>0.0</v>
      </c>
      <c r="U12" s="21" t="str">
        <f t="shared" si="3"/>
        <v>0.0</v>
      </c>
      <c r="V12" s="21" t="str">
        <f t="shared" si="3"/>
        <v>0.0</v>
      </c>
      <c r="W12" s="21">
        <f t="shared" si="3"/>
        <v>19698.66</v>
      </c>
      <c r="X12" s="21" t="str">
        <f t="shared" si="3"/>
        <v>0.0</v>
      </c>
      <c r="Y12" s="21" t="str">
        <f t="shared" si="3"/>
        <v>0.0</v>
      </c>
      <c r="Z12" s="21" t="str">
        <f t="shared" si="3"/>
        <v>0.0</v>
      </c>
      <c r="AA12" s="21" t="str">
        <f t="shared" si="3"/>
        <v>0.0</v>
      </c>
      <c r="AB12" s="21" t="str">
        <f t="shared" si="3"/>
        <v>0.0</v>
      </c>
      <c r="AC12" s="21" t="str">
        <f t="shared" si="3"/>
        <v>0.0</v>
      </c>
      <c r="AD12" s="21" t="str">
        <f t="shared" si="3"/>
        <v>0.0</v>
      </c>
      <c r="AE12" s="21" t="str">
        <f t="shared" si="3"/>
        <v>0.0</v>
      </c>
      <c r="AF12" s="21" t="str">
        <f t="shared" si="3"/>
        <v>0.0</v>
      </c>
      <c r="AG12" s="21" t="str">
        <f t="shared" si="3"/>
        <v>0.0</v>
      </c>
      <c r="AH12" s="21" t="str">
        <f t="shared" si="3"/>
        <v>0.0</v>
      </c>
      <c r="AI12" s="21" t="str">
        <f t="shared" si="3"/>
        <v>0.0</v>
      </c>
      <c r="AJ12" s="21" t="str">
        <f t="shared" si="3"/>
        <v>0.0</v>
      </c>
      <c r="AK12" s="21" t="str">
        <f t="shared" si="3"/>
        <v>0.0</v>
      </c>
      <c r="AL12" s="21" t="str">
        <f t="shared" si="3"/>
        <v>0.0</v>
      </c>
      <c r="AM12" s="21" t="str">
        <f t="shared" si="3"/>
        <v>0.0</v>
      </c>
      <c r="AN12" s="21" t="str">
        <f t="shared" si="3"/>
        <v>0.0</v>
      </c>
      <c r="AO12" s="21" t="str">
        <f t="shared" si="3"/>
        <v>0.0</v>
      </c>
      <c r="AP12" s="21" t="str">
        <f t="shared" si="3"/>
        <v>0.0</v>
      </c>
      <c r="AQ12" s="21" t="str">
        <f t="shared" si="3"/>
        <v>0.0</v>
      </c>
      <c r="AR12" s="21" t="str">
        <f t="shared" si="3"/>
        <v>0.0</v>
      </c>
      <c r="AS12" s="21" t="str">
        <f t="shared" si="3"/>
        <v>0.0</v>
      </c>
      <c r="AT12" s="21" t="str">
        <f t="shared" si="3"/>
        <v>0.0</v>
      </c>
      <c r="AU12" s="21" t="str">
        <f t="shared" si="3"/>
        <v>0.0</v>
      </c>
      <c r="AV12" s="21" t="str">
        <f t="shared" si="3"/>
        <v>0.0</v>
      </c>
      <c r="AW12" s="21" t="str">
        <f t="shared" si="3"/>
        <v>0.0</v>
      </c>
      <c r="AX12" s="21" t="str">
        <f t="shared" si="3"/>
        <v>0.0</v>
      </c>
      <c r="AY12" s="21" t="str">
        <f t="shared" si="3"/>
        <v>0.0</v>
      </c>
      <c r="AZ12" s="21" t="str">
        <f t="shared" si="3"/>
        <v>0.0</v>
      </c>
      <c r="BA12" s="21" t="str">
        <f t="shared" si="3"/>
        <v>0.0</v>
      </c>
      <c r="BB12" s="21" t="str">
        <f t="shared" si="3"/>
        <v>0.0</v>
      </c>
      <c r="BC12" s="21" t="str">
        <f t="shared" si="3"/>
        <v>0.0</v>
      </c>
      <c r="BD12" s="21" t="str">
        <f t="shared" si="3"/>
        <v>0.0</v>
      </c>
      <c r="BE12" s="21" t="str">
        <f t="shared" si="3"/>
        <v>0.0</v>
      </c>
      <c r="BF12" s="21" t="str">
        <f t="shared" si="3"/>
        <v>0.0</v>
      </c>
      <c r="BG12" s="21" t="str">
        <f t="shared" si="3"/>
        <v>0.0</v>
      </c>
      <c r="BH12" s="21" t="str">
        <f t="shared" si="3"/>
        <v>0.0</v>
      </c>
      <c r="BI12" s="21" t="str">
        <f t="shared" si="3"/>
        <v>0.0</v>
      </c>
      <c r="BJ12" s="21" t="str">
        <f t="shared" si="3"/>
        <v>0.0</v>
      </c>
      <c r="BK12" s="21" t="str">
        <f t="shared" si="3"/>
        <v>0.0</v>
      </c>
      <c r="BL12" s="21" t="str">
        <f t="shared" si="3"/>
        <v>0.0</v>
      </c>
      <c r="BM12" s="21" t="str">
        <f t="shared" si="3"/>
        <v>0.0</v>
      </c>
      <c r="BN12" s="23">
        <f t="shared" si="8"/>
        <v>19698.66</v>
      </c>
      <c r="BO12" s="24" t="str">
        <f t="shared" si="4"/>
        <v>0.0</v>
      </c>
      <c r="BP12" s="16" t="str">
        <f t="shared" si="4"/>
        <v>0.0</v>
      </c>
      <c r="BQ12" s="16" t="str">
        <f t="shared" si="4"/>
        <v>0.0</v>
      </c>
      <c r="BR12" s="16" t="str">
        <f t="shared" si="4"/>
        <v>0.0</v>
      </c>
      <c r="BS12" s="16">
        <f t="shared" si="4"/>
        <v>0</v>
      </c>
      <c r="BT12" s="16" t="str">
        <f t="shared" si="4"/>
        <v>0.0</v>
      </c>
      <c r="BU12" s="16" t="str">
        <f t="shared" si="4"/>
        <v>0.0</v>
      </c>
      <c r="BV12" s="16" t="str">
        <f t="shared" si="4"/>
        <v>0.0</v>
      </c>
      <c r="BW12" s="35" t="str">
        <f t="shared" si="4"/>
        <v>0.0</v>
      </c>
      <c r="BX12" s="35" t="str">
        <f t="shared" si="4"/>
        <v>0.0</v>
      </c>
      <c r="BY12" s="16" t="str">
        <f t="shared" si="4"/>
        <v>0.0</v>
      </c>
      <c r="BZ12" s="35" t="str">
        <f t="shared" si="4"/>
        <v>0.0</v>
      </c>
      <c r="CA12" s="35" t="str">
        <f t="shared" si="4"/>
        <v>0.0</v>
      </c>
      <c r="CB12" s="35" t="str">
        <f t="shared" si="4"/>
        <v>0.0</v>
      </c>
      <c r="CC12" s="35" t="str">
        <f t="shared" si="4"/>
        <v>0.0</v>
      </c>
      <c r="CD12" s="35" t="str">
        <f t="shared" si="4"/>
        <v>0.0</v>
      </c>
      <c r="CE12" s="35" t="str">
        <f t="shared" si="4"/>
        <v>0.0</v>
      </c>
      <c r="CF12" s="35" t="str">
        <f t="shared" si="4"/>
        <v>0.0</v>
      </c>
      <c r="CG12" s="35" t="str">
        <f t="shared" si="5"/>
        <v>0.0</v>
      </c>
      <c r="CH12" s="35" t="str">
        <f t="shared" si="5"/>
        <v>0.0</v>
      </c>
      <c r="CI12" s="35" t="str">
        <f t="shared" si="5"/>
        <v>0.0</v>
      </c>
      <c r="CJ12" s="35" t="str">
        <f t="shared" si="10"/>
        <v>0.0</v>
      </c>
      <c r="CK12" s="35" t="str">
        <f t="shared" si="10"/>
        <v>0.0</v>
      </c>
      <c r="CL12" s="35" t="str">
        <f t="shared" si="10"/>
        <v>0.0</v>
      </c>
      <c r="CM12" s="35" t="str">
        <f t="shared" si="10"/>
        <v>0.0</v>
      </c>
      <c r="CN12" s="35" t="str">
        <f t="shared" si="10"/>
        <v>0.0</v>
      </c>
      <c r="CO12" s="35" t="str">
        <f t="shared" si="10"/>
        <v>0.0</v>
      </c>
      <c r="CP12" s="35" t="str">
        <f t="shared" si="10"/>
        <v>0.0</v>
      </c>
      <c r="CQ12" s="35" t="str">
        <f t="shared" si="10"/>
        <v>0.0</v>
      </c>
      <c r="CR12" s="35" t="str">
        <f t="shared" si="10"/>
        <v>0.0</v>
      </c>
      <c r="CS12" s="35" t="str">
        <f t="shared" si="10"/>
        <v>0.0</v>
      </c>
      <c r="CT12" s="35" t="str">
        <f t="shared" si="10"/>
        <v>0.0</v>
      </c>
      <c r="CU12" s="35" t="str">
        <f t="shared" si="10"/>
        <v>0.0</v>
      </c>
      <c r="CV12" s="35" t="str">
        <f t="shared" si="10"/>
        <v>0.0</v>
      </c>
      <c r="CW12" s="35" t="str">
        <f t="shared" si="10"/>
        <v>0.0</v>
      </c>
      <c r="CX12" s="35" t="str">
        <f t="shared" si="10"/>
        <v>0.0</v>
      </c>
      <c r="CY12" s="35" t="str">
        <f t="shared" si="10"/>
        <v>0.0</v>
      </c>
      <c r="CZ12" s="35" t="str">
        <f t="shared" si="10"/>
        <v>0.0</v>
      </c>
      <c r="DA12" s="35" t="str">
        <f t="shared" si="10"/>
        <v>0.0</v>
      </c>
      <c r="DB12" s="35" t="str">
        <f t="shared" si="10"/>
        <v>0.0</v>
      </c>
      <c r="DC12" s="35" t="str">
        <f t="shared" si="10"/>
        <v>0.0</v>
      </c>
      <c r="DD12" s="35" t="str">
        <f t="shared" si="10"/>
        <v>0.0</v>
      </c>
      <c r="DE12" s="35" t="str">
        <f t="shared" si="10"/>
        <v>0.0</v>
      </c>
      <c r="DF12" s="35" t="str">
        <f t="shared" si="10"/>
        <v>0.0</v>
      </c>
      <c r="DG12" s="35" t="str">
        <f t="shared" si="10"/>
        <v>0.0</v>
      </c>
      <c r="DH12" s="35" t="str">
        <f t="shared" si="10"/>
        <v>0.0</v>
      </c>
      <c r="DI12" s="37"/>
      <c r="DJ12" s="23">
        <f t="shared" si="9"/>
        <v>0</v>
      </c>
      <c r="DK12" s="45"/>
    </row>
    <row r="13" spans="1:116" ht="15.5" thickBot="1">
      <c r="A13" s="187"/>
      <c r="B13" s="385" t="s">
        <v>54</v>
      </c>
      <c r="C13" s="386">
        <v>17124.310000000001</v>
      </c>
      <c r="D13" s="387">
        <v>12.181458767666159</v>
      </c>
      <c r="E13" s="387">
        <v>9.321468390305089</v>
      </c>
      <c r="F13" s="387">
        <v>9.0785240380945726</v>
      </c>
      <c r="G13" s="387">
        <v>1.1706958500422235</v>
      </c>
      <c r="H13" s="388">
        <v>6210.6782117023104</v>
      </c>
      <c r="I13" s="389">
        <f t="shared" si="0"/>
        <v>6014.7941407205572</v>
      </c>
      <c r="J13" s="389">
        <f>IF(D13=0,0,(I13-(5.72*9*(4.83*(100-D13)/100+0.1119*D13))))</f>
        <v>5726.2620854884963</v>
      </c>
      <c r="K13" s="390" t="s">
        <v>71</v>
      </c>
      <c r="L13" s="391">
        <v>0</v>
      </c>
      <c r="M13" s="95" t="str">
        <f t="shared" si="7"/>
        <v>1</v>
      </c>
      <c r="N13" s="86">
        <v>20000</v>
      </c>
      <c r="O13" s="87">
        <f t="shared" si="1"/>
        <v>-2875.6899999999987</v>
      </c>
      <c r="P13" s="45"/>
      <c r="Q13" t="s">
        <v>153</v>
      </c>
      <c r="S13" s="21">
        <f t="shared" si="2"/>
        <v>17124.310000000001</v>
      </c>
      <c r="T13" s="21" t="str">
        <f t="shared" si="3"/>
        <v>0.0</v>
      </c>
      <c r="U13" s="21" t="str">
        <f t="shared" si="3"/>
        <v>0.0</v>
      </c>
      <c r="V13" s="21" t="str">
        <f t="shared" si="3"/>
        <v>0.0</v>
      </c>
      <c r="W13" s="21" t="str">
        <f t="shared" si="3"/>
        <v>0.0</v>
      </c>
      <c r="X13" s="21" t="str">
        <f t="shared" si="3"/>
        <v>0.0</v>
      </c>
      <c r="Y13" s="21" t="str">
        <f t="shared" si="3"/>
        <v>0.0</v>
      </c>
      <c r="Z13" s="21" t="str">
        <f t="shared" si="3"/>
        <v>0.0</v>
      </c>
      <c r="AA13" s="21" t="str">
        <f t="shared" si="3"/>
        <v>0.0</v>
      </c>
      <c r="AB13" s="21" t="str">
        <f t="shared" si="3"/>
        <v>0.0</v>
      </c>
      <c r="AC13" s="21" t="str">
        <f t="shared" si="3"/>
        <v>0.0</v>
      </c>
      <c r="AD13" s="21" t="str">
        <f t="shared" si="3"/>
        <v>0.0</v>
      </c>
      <c r="AE13" s="21" t="str">
        <f t="shared" si="3"/>
        <v>0.0</v>
      </c>
      <c r="AF13" s="21" t="str">
        <f t="shared" si="3"/>
        <v>0.0</v>
      </c>
      <c r="AG13" s="21" t="str">
        <f t="shared" si="3"/>
        <v>0.0</v>
      </c>
      <c r="AH13" s="21" t="str">
        <f t="shared" si="3"/>
        <v>0.0</v>
      </c>
      <c r="AI13" s="21" t="str">
        <f t="shared" si="3"/>
        <v>0.0</v>
      </c>
      <c r="AJ13" s="21" t="str">
        <f t="shared" si="3"/>
        <v>0.0</v>
      </c>
      <c r="AK13" s="21" t="str">
        <f t="shared" si="3"/>
        <v>0.0</v>
      </c>
      <c r="AL13" s="21" t="str">
        <f t="shared" si="3"/>
        <v>0.0</v>
      </c>
      <c r="AM13" s="21" t="str">
        <f t="shared" si="3"/>
        <v>0.0</v>
      </c>
      <c r="AN13" s="21" t="str">
        <f t="shared" si="3"/>
        <v>0.0</v>
      </c>
      <c r="AO13" s="21" t="str">
        <f t="shared" si="3"/>
        <v>0.0</v>
      </c>
      <c r="AP13" s="21" t="str">
        <f t="shared" si="3"/>
        <v>0.0</v>
      </c>
      <c r="AQ13" s="21" t="str">
        <f t="shared" si="3"/>
        <v>0.0</v>
      </c>
      <c r="AR13" s="21" t="str">
        <f t="shared" si="3"/>
        <v>0.0</v>
      </c>
      <c r="AS13" s="21" t="str">
        <f t="shared" si="3"/>
        <v>0.0</v>
      </c>
      <c r="AT13" s="21" t="str">
        <f t="shared" si="3"/>
        <v>0.0</v>
      </c>
      <c r="AU13" s="21" t="str">
        <f t="shared" si="3"/>
        <v>0.0</v>
      </c>
      <c r="AV13" s="21" t="str">
        <f t="shared" si="3"/>
        <v>0.0</v>
      </c>
      <c r="AW13" s="21" t="str">
        <f t="shared" si="3"/>
        <v>0.0</v>
      </c>
      <c r="AX13" s="21" t="str">
        <f t="shared" si="3"/>
        <v>0.0</v>
      </c>
      <c r="AY13" s="21" t="str">
        <f t="shared" si="3"/>
        <v>0.0</v>
      </c>
      <c r="AZ13" s="21" t="str">
        <f t="shared" si="3"/>
        <v>0.0</v>
      </c>
      <c r="BA13" s="21" t="str">
        <f t="shared" si="3"/>
        <v>0.0</v>
      </c>
      <c r="BB13" s="21" t="str">
        <f t="shared" si="3"/>
        <v>0.0</v>
      </c>
      <c r="BC13" s="21" t="str">
        <f t="shared" si="3"/>
        <v>0.0</v>
      </c>
      <c r="BD13" s="21" t="str">
        <f t="shared" si="3"/>
        <v>0.0</v>
      </c>
      <c r="BE13" s="21" t="str">
        <f t="shared" si="3"/>
        <v>0.0</v>
      </c>
      <c r="BF13" s="21" t="str">
        <f t="shared" si="3"/>
        <v>0.0</v>
      </c>
      <c r="BG13" s="21" t="str">
        <f t="shared" si="3"/>
        <v>0.0</v>
      </c>
      <c r="BH13" s="21" t="str">
        <f t="shared" ref="T13:BM19" si="11">IF($M13=BH$7,$C13,"0.0")</f>
        <v>0.0</v>
      </c>
      <c r="BI13" s="21" t="str">
        <f t="shared" si="11"/>
        <v>0.0</v>
      </c>
      <c r="BJ13" s="21" t="str">
        <f t="shared" si="11"/>
        <v>0.0</v>
      </c>
      <c r="BK13" s="21" t="str">
        <f t="shared" si="11"/>
        <v>0.0</v>
      </c>
      <c r="BL13" s="21" t="str">
        <f t="shared" si="11"/>
        <v>0.0</v>
      </c>
      <c r="BM13" s="21" t="str">
        <f t="shared" si="11"/>
        <v>0.0</v>
      </c>
      <c r="BN13" s="23">
        <f t="shared" si="8"/>
        <v>17124.310000000001</v>
      </c>
      <c r="BO13" s="24">
        <f t="shared" si="4"/>
        <v>0</v>
      </c>
      <c r="BP13" s="16" t="str">
        <f t="shared" si="4"/>
        <v>0.0</v>
      </c>
      <c r="BQ13" s="16" t="str">
        <f t="shared" si="4"/>
        <v>0.0</v>
      </c>
      <c r="BR13" s="16" t="str">
        <f t="shared" si="4"/>
        <v>0.0</v>
      </c>
      <c r="BS13" s="16" t="str">
        <f t="shared" si="4"/>
        <v>0.0</v>
      </c>
      <c r="BT13" s="16" t="str">
        <f t="shared" si="4"/>
        <v>0.0</v>
      </c>
      <c r="BU13" s="16" t="str">
        <f t="shared" si="4"/>
        <v>0.0</v>
      </c>
      <c r="BV13" s="16" t="str">
        <f t="shared" si="4"/>
        <v>0.0</v>
      </c>
      <c r="BW13" s="35" t="str">
        <f t="shared" si="4"/>
        <v>0.0</v>
      </c>
      <c r="BX13" s="35" t="str">
        <f t="shared" si="4"/>
        <v>0.0</v>
      </c>
      <c r="BY13" s="16" t="str">
        <f t="shared" si="4"/>
        <v>0.0</v>
      </c>
      <c r="BZ13" s="35" t="str">
        <f t="shared" si="4"/>
        <v>0.0</v>
      </c>
      <c r="CA13" s="35" t="str">
        <f t="shared" si="4"/>
        <v>0.0</v>
      </c>
      <c r="CB13" s="35" t="str">
        <f t="shared" si="4"/>
        <v>0.0</v>
      </c>
      <c r="CC13" s="35" t="str">
        <f t="shared" si="4"/>
        <v>0.0</v>
      </c>
      <c r="CD13" s="35" t="str">
        <f t="shared" si="4"/>
        <v>0.0</v>
      </c>
      <c r="CE13" s="35" t="str">
        <f t="shared" si="4"/>
        <v>0.0</v>
      </c>
      <c r="CF13" s="35" t="str">
        <f t="shared" si="4"/>
        <v>0.0</v>
      </c>
      <c r="CG13" s="35" t="str">
        <f t="shared" si="5"/>
        <v>0.0</v>
      </c>
      <c r="CH13" s="35" t="str">
        <f t="shared" si="5"/>
        <v>0.0</v>
      </c>
      <c r="CI13" s="35" t="str">
        <f t="shared" si="5"/>
        <v>0.0</v>
      </c>
      <c r="CJ13" s="35" t="str">
        <f t="shared" si="10"/>
        <v>0.0</v>
      </c>
      <c r="CK13" s="35" t="str">
        <f t="shared" si="10"/>
        <v>0.0</v>
      </c>
      <c r="CL13" s="35" t="str">
        <f t="shared" si="10"/>
        <v>0.0</v>
      </c>
      <c r="CM13" s="35" t="str">
        <f t="shared" si="10"/>
        <v>0.0</v>
      </c>
      <c r="CN13" s="35" t="str">
        <f t="shared" si="10"/>
        <v>0.0</v>
      </c>
      <c r="CO13" s="35" t="str">
        <f t="shared" si="10"/>
        <v>0.0</v>
      </c>
      <c r="CP13" s="35" t="str">
        <f t="shared" si="10"/>
        <v>0.0</v>
      </c>
      <c r="CQ13" s="35" t="str">
        <f t="shared" si="10"/>
        <v>0.0</v>
      </c>
      <c r="CR13" s="35" t="str">
        <f t="shared" si="10"/>
        <v>0.0</v>
      </c>
      <c r="CS13" s="35" t="str">
        <f t="shared" si="10"/>
        <v>0.0</v>
      </c>
      <c r="CT13" s="35" t="str">
        <f t="shared" si="10"/>
        <v>0.0</v>
      </c>
      <c r="CU13" s="35" t="str">
        <f t="shared" si="10"/>
        <v>0.0</v>
      </c>
      <c r="CV13" s="35" t="str">
        <f t="shared" si="10"/>
        <v>0.0</v>
      </c>
      <c r="CW13" s="35" t="str">
        <f t="shared" si="10"/>
        <v>0.0</v>
      </c>
      <c r="CX13" s="35" t="str">
        <f t="shared" si="10"/>
        <v>0.0</v>
      </c>
      <c r="CY13" s="35" t="str">
        <f t="shared" si="10"/>
        <v>0.0</v>
      </c>
      <c r="CZ13" s="35" t="str">
        <f t="shared" si="10"/>
        <v>0.0</v>
      </c>
      <c r="DA13" s="35" t="str">
        <f t="shared" si="10"/>
        <v>0.0</v>
      </c>
      <c r="DB13" s="35" t="str">
        <f t="shared" si="10"/>
        <v>0.0</v>
      </c>
      <c r="DC13" s="35" t="str">
        <f t="shared" si="10"/>
        <v>0.0</v>
      </c>
      <c r="DD13" s="35" t="str">
        <f t="shared" si="10"/>
        <v>0.0</v>
      </c>
      <c r="DE13" s="35" t="str">
        <f t="shared" si="10"/>
        <v>0.0</v>
      </c>
      <c r="DF13" s="35" t="str">
        <f t="shared" si="10"/>
        <v>0.0</v>
      </c>
      <c r="DG13" s="35" t="str">
        <f t="shared" si="10"/>
        <v>0.0</v>
      </c>
      <c r="DH13" s="35" t="str">
        <f t="shared" si="10"/>
        <v>0.0</v>
      </c>
      <c r="DI13" s="37"/>
      <c r="DJ13" s="23">
        <f t="shared" si="9"/>
        <v>0</v>
      </c>
    </row>
    <row r="14" spans="1:116" ht="15.5" thickBot="1">
      <c r="A14" s="187"/>
      <c r="B14" s="374" t="s">
        <v>55</v>
      </c>
      <c r="C14" s="375">
        <v>19977.149999999998</v>
      </c>
      <c r="D14" s="376">
        <v>10.702880967049506</v>
      </c>
      <c r="E14" s="376">
        <v>8.5551427623027134</v>
      </c>
      <c r="F14" s="376">
        <v>5.708077408970242</v>
      </c>
      <c r="G14" s="376">
        <v>0.90906221441859969</v>
      </c>
      <c r="H14" s="375">
        <v>6548.6602652656948</v>
      </c>
      <c r="I14" s="377">
        <f t="shared" si="0"/>
        <v>6394.8538264294566</v>
      </c>
      <c r="J14" s="377">
        <f>IF(D14=0,0,(I14-(5.72*9*(4.83*(100-D14)/100+0.1119*D14))))</f>
        <v>6111.162824174573</v>
      </c>
      <c r="K14" s="378" t="s">
        <v>71</v>
      </c>
      <c r="L14" s="379">
        <v>2722.85</v>
      </c>
      <c r="M14" s="95" t="str">
        <f t="shared" si="7"/>
        <v>1</v>
      </c>
      <c r="N14" s="86">
        <v>25000</v>
      </c>
      <c r="O14" s="87">
        <f t="shared" si="1"/>
        <v>-5022.8500000000022</v>
      </c>
      <c r="P14" s="45"/>
      <c r="S14" s="21">
        <f t="shared" si="2"/>
        <v>19977.149999999998</v>
      </c>
      <c r="T14" s="21" t="str">
        <f t="shared" si="11"/>
        <v>0.0</v>
      </c>
      <c r="U14" s="21" t="str">
        <f t="shared" si="11"/>
        <v>0.0</v>
      </c>
      <c r="V14" s="21" t="str">
        <f t="shared" si="11"/>
        <v>0.0</v>
      </c>
      <c r="W14" s="21" t="str">
        <f t="shared" si="11"/>
        <v>0.0</v>
      </c>
      <c r="X14" s="21" t="str">
        <f t="shared" si="11"/>
        <v>0.0</v>
      </c>
      <c r="Y14" s="21" t="str">
        <f t="shared" si="11"/>
        <v>0.0</v>
      </c>
      <c r="Z14" s="21" t="str">
        <f t="shared" si="11"/>
        <v>0.0</v>
      </c>
      <c r="AA14" s="21" t="str">
        <f t="shared" si="11"/>
        <v>0.0</v>
      </c>
      <c r="AB14" s="21" t="str">
        <f t="shared" si="11"/>
        <v>0.0</v>
      </c>
      <c r="AC14" s="21" t="str">
        <f t="shared" si="11"/>
        <v>0.0</v>
      </c>
      <c r="AD14" s="21" t="str">
        <f t="shared" si="11"/>
        <v>0.0</v>
      </c>
      <c r="AE14" s="21" t="str">
        <f t="shared" si="11"/>
        <v>0.0</v>
      </c>
      <c r="AF14" s="21" t="str">
        <f t="shared" si="11"/>
        <v>0.0</v>
      </c>
      <c r="AG14" s="21" t="str">
        <f t="shared" si="11"/>
        <v>0.0</v>
      </c>
      <c r="AH14" s="21" t="str">
        <f t="shared" si="11"/>
        <v>0.0</v>
      </c>
      <c r="AI14" s="21" t="str">
        <f t="shared" si="11"/>
        <v>0.0</v>
      </c>
      <c r="AJ14" s="21" t="str">
        <f t="shared" si="11"/>
        <v>0.0</v>
      </c>
      <c r="AK14" s="21" t="str">
        <f t="shared" si="11"/>
        <v>0.0</v>
      </c>
      <c r="AL14" s="21" t="str">
        <f t="shared" si="11"/>
        <v>0.0</v>
      </c>
      <c r="AM14" s="21" t="str">
        <f t="shared" si="11"/>
        <v>0.0</v>
      </c>
      <c r="AN14" s="21" t="str">
        <f t="shared" si="11"/>
        <v>0.0</v>
      </c>
      <c r="AO14" s="21" t="str">
        <f t="shared" si="11"/>
        <v>0.0</v>
      </c>
      <c r="AP14" s="21" t="str">
        <f t="shared" si="11"/>
        <v>0.0</v>
      </c>
      <c r="AQ14" s="21" t="str">
        <f t="shared" si="11"/>
        <v>0.0</v>
      </c>
      <c r="AR14" s="21" t="str">
        <f t="shared" si="11"/>
        <v>0.0</v>
      </c>
      <c r="AS14" s="21" t="str">
        <f t="shared" si="11"/>
        <v>0.0</v>
      </c>
      <c r="AT14" s="21" t="str">
        <f t="shared" si="11"/>
        <v>0.0</v>
      </c>
      <c r="AU14" s="21" t="str">
        <f t="shared" si="11"/>
        <v>0.0</v>
      </c>
      <c r="AV14" s="21" t="str">
        <f t="shared" si="11"/>
        <v>0.0</v>
      </c>
      <c r="AW14" s="21" t="str">
        <f t="shared" si="11"/>
        <v>0.0</v>
      </c>
      <c r="AX14" s="21" t="str">
        <f t="shared" si="11"/>
        <v>0.0</v>
      </c>
      <c r="AY14" s="21" t="str">
        <f t="shared" si="11"/>
        <v>0.0</v>
      </c>
      <c r="AZ14" s="21" t="str">
        <f t="shared" si="11"/>
        <v>0.0</v>
      </c>
      <c r="BA14" s="21" t="str">
        <f t="shared" si="11"/>
        <v>0.0</v>
      </c>
      <c r="BB14" s="21" t="str">
        <f t="shared" si="11"/>
        <v>0.0</v>
      </c>
      <c r="BC14" s="21" t="str">
        <f t="shared" si="11"/>
        <v>0.0</v>
      </c>
      <c r="BD14" s="21" t="str">
        <f t="shared" si="11"/>
        <v>0.0</v>
      </c>
      <c r="BE14" s="21" t="str">
        <f t="shared" si="11"/>
        <v>0.0</v>
      </c>
      <c r="BF14" s="21" t="str">
        <f t="shared" si="11"/>
        <v>0.0</v>
      </c>
      <c r="BG14" s="21" t="str">
        <f t="shared" si="11"/>
        <v>0.0</v>
      </c>
      <c r="BH14" s="21" t="str">
        <f t="shared" si="11"/>
        <v>0.0</v>
      </c>
      <c r="BI14" s="21" t="str">
        <f t="shared" si="11"/>
        <v>0.0</v>
      </c>
      <c r="BJ14" s="21" t="str">
        <f t="shared" si="11"/>
        <v>0.0</v>
      </c>
      <c r="BK14" s="21" t="str">
        <f t="shared" si="11"/>
        <v>0.0</v>
      </c>
      <c r="BL14" s="21" t="str">
        <f t="shared" si="11"/>
        <v>0.0</v>
      </c>
      <c r="BM14" s="21" t="str">
        <f t="shared" si="11"/>
        <v>0.0</v>
      </c>
      <c r="BN14" s="23">
        <f t="shared" si="8"/>
        <v>19977.149999999998</v>
      </c>
      <c r="BO14" s="24">
        <f t="shared" si="4"/>
        <v>2722.85</v>
      </c>
      <c r="BP14" s="16" t="str">
        <f t="shared" si="4"/>
        <v>0.0</v>
      </c>
      <c r="BQ14" s="16" t="str">
        <f t="shared" si="4"/>
        <v>0.0</v>
      </c>
      <c r="BR14" s="16" t="str">
        <f t="shared" si="4"/>
        <v>0.0</v>
      </c>
      <c r="BS14" s="16" t="str">
        <f t="shared" si="4"/>
        <v>0.0</v>
      </c>
      <c r="BT14" s="16" t="str">
        <f t="shared" si="4"/>
        <v>0.0</v>
      </c>
      <c r="BU14" s="16" t="str">
        <f t="shared" si="4"/>
        <v>0.0</v>
      </c>
      <c r="BV14" s="16" t="str">
        <f t="shared" si="4"/>
        <v>0.0</v>
      </c>
      <c r="BW14" s="35" t="str">
        <f t="shared" si="4"/>
        <v>0.0</v>
      </c>
      <c r="BX14" s="35" t="str">
        <f t="shared" si="4"/>
        <v>0.0</v>
      </c>
      <c r="BY14" s="17" t="str">
        <f t="shared" si="4"/>
        <v>0.0</v>
      </c>
      <c r="BZ14" s="17" t="str">
        <f t="shared" si="4"/>
        <v>0.0</v>
      </c>
      <c r="CA14" s="17" t="str">
        <f t="shared" si="4"/>
        <v>0.0</v>
      </c>
      <c r="CB14" s="17" t="str">
        <f t="shared" si="4"/>
        <v>0.0</v>
      </c>
      <c r="CC14" s="17" t="str">
        <f t="shared" si="4"/>
        <v>0.0</v>
      </c>
      <c r="CD14" s="17" t="str">
        <f t="shared" si="4"/>
        <v>0.0</v>
      </c>
      <c r="CE14" s="17" t="str">
        <f t="shared" si="4"/>
        <v>0.0</v>
      </c>
      <c r="CF14" s="17" t="str">
        <f t="shared" si="4"/>
        <v>0.0</v>
      </c>
      <c r="CG14" s="17" t="str">
        <f t="shared" si="5"/>
        <v>0.0</v>
      </c>
      <c r="CH14" s="17" t="str">
        <f t="shared" si="5"/>
        <v>0.0</v>
      </c>
      <c r="CI14" s="17" t="str">
        <f t="shared" si="5"/>
        <v>0.0</v>
      </c>
      <c r="CJ14" s="17" t="str">
        <f t="shared" si="10"/>
        <v>0.0</v>
      </c>
      <c r="CK14" s="17" t="str">
        <f t="shared" si="10"/>
        <v>0.0</v>
      </c>
      <c r="CL14" s="17" t="str">
        <f t="shared" si="10"/>
        <v>0.0</v>
      </c>
      <c r="CM14" s="17" t="str">
        <f t="shared" si="10"/>
        <v>0.0</v>
      </c>
      <c r="CN14" s="17" t="str">
        <f t="shared" si="10"/>
        <v>0.0</v>
      </c>
      <c r="CO14" s="17" t="str">
        <f t="shared" si="10"/>
        <v>0.0</v>
      </c>
      <c r="CP14" s="17" t="str">
        <f t="shared" si="10"/>
        <v>0.0</v>
      </c>
      <c r="CQ14" s="17" t="str">
        <f t="shared" si="10"/>
        <v>0.0</v>
      </c>
      <c r="CR14" s="17" t="str">
        <f t="shared" si="10"/>
        <v>0.0</v>
      </c>
      <c r="CS14" s="17" t="str">
        <f t="shared" si="10"/>
        <v>0.0</v>
      </c>
      <c r="CT14" s="17" t="str">
        <f t="shared" si="10"/>
        <v>0.0</v>
      </c>
      <c r="CU14" s="17" t="str">
        <f t="shared" si="10"/>
        <v>0.0</v>
      </c>
      <c r="CV14" s="17" t="str">
        <f t="shared" si="10"/>
        <v>0.0</v>
      </c>
      <c r="CW14" s="17" t="str">
        <f t="shared" si="10"/>
        <v>0.0</v>
      </c>
      <c r="CX14" s="17" t="str">
        <f t="shared" si="10"/>
        <v>0.0</v>
      </c>
      <c r="CY14" s="17" t="str">
        <f t="shared" si="10"/>
        <v>0.0</v>
      </c>
      <c r="CZ14" s="17" t="str">
        <f t="shared" si="10"/>
        <v>0.0</v>
      </c>
      <c r="DA14" s="17" t="str">
        <f t="shared" si="10"/>
        <v>0.0</v>
      </c>
      <c r="DB14" s="17" t="str">
        <f t="shared" si="10"/>
        <v>0.0</v>
      </c>
      <c r="DC14" s="17" t="str">
        <f t="shared" si="10"/>
        <v>0.0</v>
      </c>
      <c r="DD14" s="17" t="str">
        <f t="shared" si="10"/>
        <v>0.0</v>
      </c>
      <c r="DE14" s="17" t="str">
        <f t="shared" si="10"/>
        <v>0.0</v>
      </c>
      <c r="DF14" s="17" t="str">
        <f t="shared" si="10"/>
        <v>0.0</v>
      </c>
      <c r="DG14" s="17" t="str">
        <f t="shared" si="10"/>
        <v>0.0</v>
      </c>
      <c r="DH14" s="17" t="str">
        <f t="shared" si="10"/>
        <v>0.0</v>
      </c>
      <c r="DI14" s="17"/>
      <c r="DJ14" s="23">
        <f t="shared" si="9"/>
        <v>2722.85</v>
      </c>
    </row>
    <row r="15" spans="1:116" ht="15.5" thickBot="1">
      <c r="A15" s="187"/>
      <c r="B15" s="145" t="s">
        <v>36</v>
      </c>
      <c r="C15" s="146">
        <v>39764.219999999994</v>
      </c>
      <c r="D15" s="147">
        <v>13.242043362990334</v>
      </c>
      <c r="E15" s="147">
        <v>11.069682566500406</v>
      </c>
      <c r="F15" s="147">
        <v>5.5588765846650396</v>
      </c>
      <c r="G15" s="147">
        <v>2.1028848359915</v>
      </c>
      <c r="H15" s="146">
        <v>6230.9062269752867</v>
      </c>
      <c r="I15" s="148">
        <f t="shared" si="0"/>
        <v>6078.6996813930346</v>
      </c>
      <c r="J15" s="148">
        <f>IF(D15=0,0,(I15-(5.72*9*(4.83*(100-D15)/100+0.1119*D15))))</f>
        <v>5786.6951364410534</v>
      </c>
      <c r="K15" s="188" t="s">
        <v>75</v>
      </c>
      <c r="L15" s="200">
        <v>1376.1</v>
      </c>
      <c r="M15" s="95" t="str">
        <f t="shared" si="7"/>
        <v>5</v>
      </c>
      <c r="N15" s="86">
        <v>55000</v>
      </c>
      <c r="O15" s="87">
        <f t="shared" si="1"/>
        <v>-15235.780000000006</v>
      </c>
      <c r="P15" s="183"/>
      <c r="S15" s="21" t="str">
        <f t="shared" si="2"/>
        <v>0.0</v>
      </c>
      <c r="T15" s="21" t="str">
        <f t="shared" si="11"/>
        <v>0.0</v>
      </c>
      <c r="U15" s="21" t="str">
        <f t="shared" si="11"/>
        <v>0.0</v>
      </c>
      <c r="V15" s="21" t="str">
        <f t="shared" si="11"/>
        <v>0.0</v>
      </c>
      <c r="W15" s="21">
        <f t="shared" si="11"/>
        <v>39764.219999999994</v>
      </c>
      <c r="X15" s="21" t="str">
        <f t="shared" si="11"/>
        <v>0.0</v>
      </c>
      <c r="Y15" s="21" t="str">
        <f t="shared" si="11"/>
        <v>0.0</v>
      </c>
      <c r="Z15" s="21" t="str">
        <f t="shared" si="11"/>
        <v>0.0</v>
      </c>
      <c r="AA15" s="21" t="str">
        <f t="shared" si="11"/>
        <v>0.0</v>
      </c>
      <c r="AB15" s="21" t="str">
        <f t="shared" si="11"/>
        <v>0.0</v>
      </c>
      <c r="AC15" s="21" t="str">
        <f t="shared" si="11"/>
        <v>0.0</v>
      </c>
      <c r="AD15" s="21" t="str">
        <f t="shared" si="11"/>
        <v>0.0</v>
      </c>
      <c r="AE15" s="21" t="str">
        <f t="shared" si="11"/>
        <v>0.0</v>
      </c>
      <c r="AF15" s="21" t="str">
        <f t="shared" si="11"/>
        <v>0.0</v>
      </c>
      <c r="AG15" s="21" t="str">
        <f t="shared" si="11"/>
        <v>0.0</v>
      </c>
      <c r="AH15" s="21" t="str">
        <f t="shared" si="11"/>
        <v>0.0</v>
      </c>
      <c r="AI15" s="21" t="str">
        <f t="shared" si="11"/>
        <v>0.0</v>
      </c>
      <c r="AJ15" s="21" t="str">
        <f t="shared" si="11"/>
        <v>0.0</v>
      </c>
      <c r="AK15" s="21" t="str">
        <f t="shared" si="11"/>
        <v>0.0</v>
      </c>
      <c r="AL15" s="21" t="str">
        <f t="shared" si="11"/>
        <v>0.0</v>
      </c>
      <c r="AM15" s="21" t="str">
        <f t="shared" si="11"/>
        <v>0.0</v>
      </c>
      <c r="AN15" s="21" t="str">
        <f t="shared" si="11"/>
        <v>0.0</v>
      </c>
      <c r="AO15" s="21" t="str">
        <f t="shared" si="11"/>
        <v>0.0</v>
      </c>
      <c r="AP15" s="21" t="str">
        <f t="shared" si="11"/>
        <v>0.0</v>
      </c>
      <c r="AQ15" s="21" t="str">
        <f t="shared" si="11"/>
        <v>0.0</v>
      </c>
      <c r="AR15" s="21" t="str">
        <f t="shared" si="11"/>
        <v>0.0</v>
      </c>
      <c r="AS15" s="21" t="str">
        <f t="shared" si="11"/>
        <v>0.0</v>
      </c>
      <c r="AT15" s="21" t="str">
        <f t="shared" si="11"/>
        <v>0.0</v>
      </c>
      <c r="AU15" s="21" t="str">
        <f t="shared" si="11"/>
        <v>0.0</v>
      </c>
      <c r="AV15" s="21" t="str">
        <f t="shared" si="11"/>
        <v>0.0</v>
      </c>
      <c r="AW15" s="21" t="str">
        <f t="shared" si="11"/>
        <v>0.0</v>
      </c>
      <c r="AX15" s="21" t="str">
        <f t="shared" si="11"/>
        <v>0.0</v>
      </c>
      <c r="AY15" s="21" t="str">
        <f t="shared" si="11"/>
        <v>0.0</v>
      </c>
      <c r="AZ15" s="21" t="str">
        <f t="shared" si="11"/>
        <v>0.0</v>
      </c>
      <c r="BA15" s="21" t="str">
        <f t="shared" si="11"/>
        <v>0.0</v>
      </c>
      <c r="BB15" s="21" t="str">
        <f t="shared" si="11"/>
        <v>0.0</v>
      </c>
      <c r="BC15" s="21" t="str">
        <f t="shared" si="11"/>
        <v>0.0</v>
      </c>
      <c r="BD15" s="21" t="str">
        <f t="shared" si="11"/>
        <v>0.0</v>
      </c>
      <c r="BE15" s="21" t="str">
        <f t="shared" si="11"/>
        <v>0.0</v>
      </c>
      <c r="BF15" s="21" t="str">
        <f t="shared" si="11"/>
        <v>0.0</v>
      </c>
      <c r="BG15" s="21" t="str">
        <f t="shared" si="11"/>
        <v>0.0</v>
      </c>
      <c r="BH15" s="21" t="str">
        <f t="shared" si="11"/>
        <v>0.0</v>
      </c>
      <c r="BI15" s="21" t="str">
        <f t="shared" si="11"/>
        <v>0.0</v>
      </c>
      <c r="BJ15" s="21" t="str">
        <f t="shared" si="11"/>
        <v>0.0</v>
      </c>
      <c r="BK15" s="21" t="str">
        <f t="shared" si="11"/>
        <v>0.0</v>
      </c>
      <c r="BL15" s="21" t="str">
        <f t="shared" si="11"/>
        <v>0.0</v>
      </c>
      <c r="BM15" s="21" t="str">
        <f t="shared" si="11"/>
        <v>0.0</v>
      </c>
      <c r="BN15" s="23">
        <f t="shared" si="8"/>
        <v>39764.219999999994</v>
      </c>
      <c r="BO15" s="21" t="str">
        <f t="shared" si="4"/>
        <v>0.0</v>
      </c>
      <c r="BP15" s="22" t="str">
        <f t="shared" si="4"/>
        <v>0.0</v>
      </c>
      <c r="BQ15" s="22" t="str">
        <f t="shared" si="4"/>
        <v>0.0</v>
      </c>
      <c r="BR15" s="22" t="str">
        <f t="shared" si="4"/>
        <v>0.0</v>
      </c>
      <c r="BS15" s="22">
        <f t="shared" si="4"/>
        <v>1376.1</v>
      </c>
      <c r="BT15" s="22" t="str">
        <f t="shared" si="4"/>
        <v>0.0</v>
      </c>
      <c r="BU15" s="22" t="str">
        <f t="shared" si="4"/>
        <v>0.0</v>
      </c>
      <c r="BV15" s="22" t="str">
        <f t="shared" si="4"/>
        <v>0.0</v>
      </c>
      <c r="BW15" s="34" t="str">
        <f t="shared" si="4"/>
        <v>0.0</v>
      </c>
      <c r="BX15" s="34" t="str">
        <f t="shared" si="4"/>
        <v>0.0</v>
      </c>
      <c r="BY15" s="16" t="str">
        <f t="shared" si="4"/>
        <v>0.0</v>
      </c>
      <c r="BZ15" s="37" t="str">
        <f t="shared" si="4"/>
        <v>0.0</v>
      </c>
      <c r="CA15" s="37" t="str">
        <f t="shared" si="4"/>
        <v>0.0</v>
      </c>
      <c r="CB15" s="37" t="str">
        <f t="shared" si="4"/>
        <v>0.0</v>
      </c>
      <c r="CC15" s="37" t="str">
        <f t="shared" si="4"/>
        <v>0.0</v>
      </c>
      <c r="CD15" s="37" t="str">
        <f t="shared" si="4"/>
        <v>0.0</v>
      </c>
      <c r="CE15" s="37" t="str">
        <f t="shared" si="4"/>
        <v>0.0</v>
      </c>
      <c r="CF15" s="37" t="str">
        <f t="shared" si="4"/>
        <v>0.0</v>
      </c>
      <c r="CG15" s="37" t="str">
        <f t="shared" si="5"/>
        <v>0.0</v>
      </c>
      <c r="CH15" s="37" t="str">
        <f t="shared" si="5"/>
        <v>0.0</v>
      </c>
      <c r="CI15" s="37" t="str">
        <f t="shared" si="5"/>
        <v>0.0</v>
      </c>
      <c r="CJ15" s="37" t="str">
        <f t="shared" si="10"/>
        <v>0.0</v>
      </c>
      <c r="CK15" s="37" t="str">
        <f t="shared" si="10"/>
        <v>0.0</v>
      </c>
      <c r="CL15" s="37" t="str">
        <f t="shared" si="10"/>
        <v>0.0</v>
      </c>
      <c r="CM15" s="37" t="str">
        <f t="shared" si="10"/>
        <v>0.0</v>
      </c>
      <c r="CN15" s="37" t="str">
        <f t="shared" si="10"/>
        <v>0.0</v>
      </c>
      <c r="CO15" s="37" t="str">
        <f t="shared" si="10"/>
        <v>0.0</v>
      </c>
      <c r="CP15" s="37" t="str">
        <f t="shared" si="10"/>
        <v>0.0</v>
      </c>
      <c r="CQ15" s="37" t="str">
        <f t="shared" si="10"/>
        <v>0.0</v>
      </c>
      <c r="CR15" s="37" t="str">
        <f t="shared" si="10"/>
        <v>0.0</v>
      </c>
      <c r="CS15" s="37" t="str">
        <f t="shared" si="10"/>
        <v>0.0</v>
      </c>
      <c r="CT15" s="37" t="str">
        <f t="shared" si="10"/>
        <v>0.0</v>
      </c>
      <c r="CU15" s="37" t="str">
        <f t="shared" si="10"/>
        <v>0.0</v>
      </c>
      <c r="CV15" s="37" t="str">
        <f t="shared" si="10"/>
        <v>0.0</v>
      </c>
      <c r="CW15" s="37" t="str">
        <f t="shared" si="10"/>
        <v>0.0</v>
      </c>
      <c r="CX15" s="37" t="str">
        <f t="shared" si="10"/>
        <v>0.0</v>
      </c>
      <c r="CY15" s="37" t="str">
        <f t="shared" si="10"/>
        <v>0.0</v>
      </c>
      <c r="CZ15" s="37" t="str">
        <f t="shared" si="10"/>
        <v>0.0</v>
      </c>
      <c r="DA15" s="37" t="str">
        <f t="shared" si="10"/>
        <v>0.0</v>
      </c>
      <c r="DB15" s="37" t="str">
        <f t="shared" si="10"/>
        <v>0.0</v>
      </c>
      <c r="DC15" s="37" t="str">
        <f t="shared" si="10"/>
        <v>0.0</v>
      </c>
      <c r="DD15" s="37" t="str">
        <f t="shared" si="10"/>
        <v>0.0</v>
      </c>
      <c r="DE15" s="37" t="str">
        <f t="shared" si="10"/>
        <v>0.0</v>
      </c>
      <c r="DF15" s="37" t="str">
        <f t="shared" si="10"/>
        <v>0.0</v>
      </c>
      <c r="DG15" s="37" t="str">
        <f t="shared" si="10"/>
        <v>0.0</v>
      </c>
      <c r="DH15" s="37" t="str">
        <f t="shared" si="10"/>
        <v>0.0</v>
      </c>
      <c r="DI15" s="37"/>
      <c r="DJ15" s="23">
        <f t="shared" si="9"/>
        <v>1376.1</v>
      </c>
      <c r="DK15" s="45" t="s">
        <v>109</v>
      </c>
    </row>
    <row r="16" spans="1:116" ht="15.5" thickBot="1">
      <c r="A16" s="187"/>
      <c r="B16" s="110" t="s">
        <v>37</v>
      </c>
      <c r="C16" s="101">
        <v>30795.77</v>
      </c>
      <c r="D16" s="100">
        <v>12.824553490875161</v>
      </c>
      <c r="E16" s="100">
        <v>10.484281087220216</v>
      </c>
      <c r="F16" s="100">
        <v>6.493285006668347</v>
      </c>
      <c r="G16" s="100">
        <v>2.5273461470240455</v>
      </c>
      <c r="H16" s="101">
        <v>6198.6973987400943</v>
      </c>
      <c r="I16" s="111">
        <f t="shared" si="0"/>
        <v>6036.6404925668476</v>
      </c>
      <c r="J16" s="111">
        <f>IF(D16=0,0,(I16-(5.72*9*(4.92*(100-D16)/100+0.1119*D16))))</f>
        <v>5741.963850107215</v>
      </c>
      <c r="K16" s="186" t="s">
        <v>75</v>
      </c>
      <c r="L16" s="199">
        <v>0</v>
      </c>
      <c r="M16" s="95" t="str">
        <f t="shared" si="7"/>
        <v>5</v>
      </c>
      <c r="N16" s="86">
        <v>25000</v>
      </c>
      <c r="O16" s="87">
        <f t="shared" si="1"/>
        <v>5795.77</v>
      </c>
      <c r="P16" s="183"/>
      <c r="Q16" s="45" t="s">
        <v>153</v>
      </c>
      <c r="S16" s="21" t="str">
        <f t="shared" si="2"/>
        <v>0.0</v>
      </c>
      <c r="T16" s="21" t="str">
        <f t="shared" si="11"/>
        <v>0.0</v>
      </c>
      <c r="U16" s="21" t="str">
        <f t="shared" si="11"/>
        <v>0.0</v>
      </c>
      <c r="V16" s="21" t="str">
        <f t="shared" si="11"/>
        <v>0.0</v>
      </c>
      <c r="W16" s="21">
        <f t="shared" si="11"/>
        <v>30795.77</v>
      </c>
      <c r="X16" s="21" t="str">
        <f t="shared" si="11"/>
        <v>0.0</v>
      </c>
      <c r="Y16" s="21" t="str">
        <f t="shared" si="11"/>
        <v>0.0</v>
      </c>
      <c r="Z16" s="21" t="str">
        <f t="shared" si="11"/>
        <v>0.0</v>
      </c>
      <c r="AA16" s="21" t="str">
        <f t="shared" si="11"/>
        <v>0.0</v>
      </c>
      <c r="AB16" s="21" t="str">
        <f t="shared" si="11"/>
        <v>0.0</v>
      </c>
      <c r="AC16" s="21" t="str">
        <f t="shared" si="11"/>
        <v>0.0</v>
      </c>
      <c r="AD16" s="21" t="str">
        <f t="shared" si="11"/>
        <v>0.0</v>
      </c>
      <c r="AE16" s="21" t="str">
        <f t="shared" si="11"/>
        <v>0.0</v>
      </c>
      <c r="AF16" s="21" t="str">
        <f t="shared" si="11"/>
        <v>0.0</v>
      </c>
      <c r="AG16" s="21" t="str">
        <f t="shared" si="11"/>
        <v>0.0</v>
      </c>
      <c r="AH16" s="21" t="str">
        <f t="shared" si="11"/>
        <v>0.0</v>
      </c>
      <c r="AI16" s="21" t="str">
        <f t="shared" si="11"/>
        <v>0.0</v>
      </c>
      <c r="AJ16" s="21" t="str">
        <f t="shared" si="11"/>
        <v>0.0</v>
      </c>
      <c r="AK16" s="21" t="str">
        <f t="shared" si="11"/>
        <v>0.0</v>
      </c>
      <c r="AL16" s="21" t="str">
        <f t="shared" si="11"/>
        <v>0.0</v>
      </c>
      <c r="AM16" s="21" t="str">
        <f t="shared" si="11"/>
        <v>0.0</v>
      </c>
      <c r="AN16" s="21" t="str">
        <f t="shared" si="11"/>
        <v>0.0</v>
      </c>
      <c r="AO16" s="21" t="str">
        <f t="shared" si="11"/>
        <v>0.0</v>
      </c>
      <c r="AP16" s="21" t="str">
        <f t="shared" si="11"/>
        <v>0.0</v>
      </c>
      <c r="AQ16" s="21" t="str">
        <f t="shared" si="11"/>
        <v>0.0</v>
      </c>
      <c r="AR16" s="21" t="str">
        <f t="shared" si="11"/>
        <v>0.0</v>
      </c>
      <c r="AS16" s="21" t="str">
        <f t="shared" si="11"/>
        <v>0.0</v>
      </c>
      <c r="AT16" s="21" t="str">
        <f t="shared" si="11"/>
        <v>0.0</v>
      </c>
      <c r="AU16" s="21" t="str">
        <f t="shared" si="11"/>
        <v>0.0</v>
      </c>
      <c r="AV16" s="21" t="str">
        <f t="shared" si="11"/>
        <v>0.0</v>
      </c>
      <c r="AW16" s="21" t="str">
        <f t="shared" si="11"/>
        <v>0.0</v>
      </c>
      <c r="AX16" s="21" t="str">
        <f t="shared" si="11"/>
        <v>0.0</v>
      </c>
      <c r="AY16" s="21" t="str">
        <f t="shared" si="11"/>
        <v>0.0</v>
      </c>
      <c r="AZ16" s="21" t="str">
        <f t="shared" si="11"/>
        <v>0.0</v>
      </c>
      <c r="BA16" s="21" t="str">
        <f t="shared" si="11"/>
        <v>0.0</v>
      </c>
      <c r="BB16" s="21" t="str">
        <f t="shared" si="11"/>
        <v>0.0</v>
      </c>
      <c r="BC16" s="21" t="str">
        <f t="shared" si="11"/>
        <v>0.0</v>
      </c>
      <c r="BD16" s="21" t="str">
        <f t="shared" si="11"/>
        <v>0.0</v>
      </c>
      <c r="BE16" s="21" t="str">
        <f t="shared" si="11"/>
        <v>0.0</v>
      </c>
      <c r="BF16" s="21" t="str">
        <f t="shared" si="11"/>
        <v>0.0</v>
      </c>
      <c r="BG16" s="21" t="str">
        <f t="shared" si="11"/>
        <v>0.0</v>
      </c>
      <c r="BH16" s="21" t="str">
        <f t="shared" si="11"/>
        <v>0.0</v>
      </c>
      <c r="BI16" s="21" t="str">
        <f t="shared" si="11"/>
        <v>0.0</v>
      </c>
      <c r="BJ16" s="21" t="str">
        <f t="shared" si="11"/>
        <v>0.0</v>
      </c>
      <c r="BK16" s="21" t="str">
        <f t="shared" si="11"/>
        <v>0.0</v>
      </c>
      <c r="BL16" s="21" t="str">
        <f t="shared" si="11"/>
        <v>0.0</v>
      </c>
      <c r="BM16" s="21" t="str">
        <f t="shared" si="11"/>
        <v>0.0</v>
      </c>
      <c r="BN16" s="23">
        <f t="shared" si="8"/>
        <v>30795.77</v>
      </c>
      <c r="BO16" s="24" t="str">
        <f t="shared" ref="BO16:CJ25" si="12">IF($M16=BO$7,$L16,"0.0")</f>
        <v>0.0</v>
      </c>
      <c r="BP16" s="16" t="str">
        <f t="shared" si="12"/>
        <v>0.0</v>
      </c>
      <c r="BQ16" s="16" t="str">
        <f t="shared" si="12"/>
        <v>0.0</v>
      </c>
      <c r="BR16" s="16" t="str">
        <f t="shared" si="12"/>
        <v>0.0</v>
      </c>
      <c r="BS16" s="16">
        <f t="shared" si="12"/>
        <v>0</v>
      </c>
      <c r="BT16" s="16" t="str">
        <f t="shared" si="12"/>
        <v>0.0</v>
      </c>
      <c r="BU16" s="16" t="str">
        <f t="shared" si="12"/>
        <v>0.0</v>
      </c>
      <c r="BV16" s="16" t="str">
        <f t="shared" si="12"/>
        <v>0.0</v>
      </c>
      <c r="BW16" s="35" t="str">
        <f t="shared" si="12"/>
        <v>0.0</v>
      </c>
      <c r="BX16" s="35" t="str">
        <f t="shared" si="12"/>
        <v>0.0</v>
      </c>
      <c r="BY16" s="16" t="str">
        <f t="shared" si="12"/>
        <v>0.0</v>
      </c>
      <c r="BZ16" s="35" t="str">
        <f t="shared" si="12"/>
        <v>0.0</v>
      </c>
      <c r="CA16" s="35" t="str">
        <f t="shared" si="12"/>
        <v>0.0</v>
      </c>
      <c r="CB16" s="35" t="str">
        <f t="shared" si="12"/>
        <v>0.0</v>
      </c>
      <c r="CC16" s="35" t="str">
        <f t="shared" si="12"/>
        <v>0.0</v>
      </c>
      <c r="CD16" s="35" t="str">
        <f t="shared" si="12"/>
        <v>0.0</v>
      </c>
      <c r="CE16" s="35" t="str">
        <f t="shared" si="12"/>
        <v>0.0</v>
      </c>
      <c r="CF16" s="35" t="str">
        <f t="shared" si="12"/>
        <v>0.0</v>
      </c>
      <c r="CG16" s="35" t="str">
        <f t="shared" si="12"/>
        <v>0.0</v>
      </c>
      <c r="CH16" s="35" t="str">
        <f t="shared" si="5"/>
        <v>0.0</v>
      </c>
      <c r="CI16" s="35" t="str">
        <f t="shared" si="12"/>
        <v>0.0</v>
      </c>
      <c r="CJ16" s="35" t="str">
        <f t="shared" si="12"/>
        <v>0.0</v>
      </c>
      <c r="CK16" s="35" t="str">
        <f t="shared" si="10"/>
        <v>0.0</v>
      </c>
      <c r="CL16" s="35" t="str">
        <f t="shared" si="10"/>
        <v>0.0</v>
      </c>
      <c r="CM16" s="35" t="str">
        <f t="shared" si="10"/>
        <v>0.0</v>
      </c>
      <c r="CN16" s="35" t="str">
        <f t="shared" si="10"/>
        <v>0.0</v>
      </c>
      <c r="CO16" s="35" t="str">
        <f t="shared" si="10"/>
        <v>0.0</v>
      </c>
      <c r="CP16" s="35" t="str">
        <f t="shared" si="10"/>
        <v>0.0</v>
      </c>
      <c r="CQ16" s="35" t="str">
        <f t="shared" si="10"/>
        <v>0.0</v>
      </c>
      <c r="CR16" s="35" t="str">
        <f t="shared" si="10"/>
        <v>0.0</v>
      </c>
      <c r="CS16" s="35" t="str">
        <f t="shared" si="10"/>
        <v>0.0</v>
      </c>
      <c r="CT16" s="35" t="str">
        <f t="shared" si="10"/>
        <v>0.0</v>
      </c>
      <c r="CU16" s="35" t="str">
        <f t="shared" si="10"/>
        <v>0.0</v>
      </c>
      <c r="CV16" s="35" t="str">
        <f t="shared" si="10"/>
        <v>0.0</v>
      </c>
      <c r="CW16" s="35" t="str">
        <f t="shared" si="10"/>
        <v>0.0</v>
      </c>
      <c r="CX16" s="35" t="str">
        <f t="shared" si="10"/>
        <v>0.0</v>
      </c>
      <c r="CY16" s="35" t="str">
        <f t="shared" si="10"/>
        <v>0.0</v>
      </c>
      <c r="CZ16" s="35" t="str">
        <f t="shared" si="10"/>
        <v>0.0</v>
      </c>
      <c r="DA16" s="35" t="str">
        <f t="shared" si="10"/>
        <v>0.0</v>
      </c>
      <c r="DB16" s="35" t="str">
        <f t="shared" si="10"/>
        <v>0.0</v>
      </c>
      <c r="DC16" s="35" t="str">
        <f t="shared" si="10"/>
        <v>0.0</v>
      </c>
      <c r="DD16" s="35" t="str">
        <f t="shared" si="10"/>
        <v>0.0</v>
      </c>
      <c r="DE16" s="35" t="str">
        <f t="shared" si="10"/>
        <v>0.0</v>
      </c>
      <c r="DF16" s="35" t="str">
        <f t="shared" si="10"/>
        <v>0.0</v>
      </c>
      <c r="DG16" s="35" t="str">
        <f t="shared" si="10"/>
        <v>0.0</v>
      </c>
      <c r="DH16" s="35" t="str">
        <f t="shared" si="10"/>
        <v>0.0</v>
      </c>
      <c r="DI16" s="37"/>
      <c r="DJ16" s="23">
        <f t="shared" si="9"/>
        <v>0</v>
      </c>
    </row>
    <row r="17" spans="1:115" ht="15.5" thickBot="1">
      <c r="A17" s="187"/>
      <c r="B17" s="110" t="s">
        <v>38</v>
      </c>
      <c r="C17" s="101">
        <v>28840.26</v>
      </c>
      <c r="D17" s="100">
        <v>12.561706198554681</v>
      </c>
      <c r="E17" s="100">
        <v>10.349752599283564</v>
      </c>
      <c r="F17" s="100">
        <v>7.6702098690041041</v>
      </c>
      <c r="G17" s="100">
        <v>2.6301156606273746</v>
      </c>
      <c r="H17" s="101">
        <v>6170.8189873799047</v>
      </c>
      <c r="I17" s="111">
        <f t="shared" si="0"/>
        <v>6018.5654725783779</v>
      </c>
      <c r="J17" s="111">
        <f>IF(D17=0,0,(I17-(5.72*9*(4.84*(100-D17)/100+0.1119*D17))))</f>
        <v>5728.3383062494268</v>
      </c>
      <c r="K17" s="186" t="s">
        <v>75</v>
      </c>
      <c r="L17" s="199">
        <v>4952.8</v>
      </c>
      <c r="M17" s="95" t="str">
        <f t="shared" si="7"/>
        <v>5</v>
      </c>
      <c r="N17" s="86">
        <v>30000</v>
      </c>
      <c r="O17" s="87">
        <f t="shared" si="1"/>
        <v>-1159.7400000000016</v>
      </c>
      <c r="P17" s="183"/>
      <c r="Q17" t="s">
        <v>153</v>
      </c>
      <c r="S17" s="21" t="str">
        <f t="shared" si="2"/>
        <v>0.0</v>
      </c>
      <c r="T17" s="21" t="str">
        <f t="shared" si="11"/>
        <v>0.0</v>
      </c>
      <c r="U17" s="21" t="str">
        <f t="shared" si="11"/>
        <v>0.0</v>
      </c>
      <c r="V17" s="21" t="str">
        <f t="shared" si="11"/>
        <v>0.0</v>
      </c>
      <c r="W17" s="21">
        <f t="shared" si="11"/>
        <v>28840.26</v>
      </c>
      <c r="X17" s="21" t="str">
        <f t="shared" si="11"/>
        <v>0.0</v>
      </c>
      <c r="Y17" s="21" t="str">
        <f t="shared" si="11"/>
        <v>0.0</v>
      </c>
      <c r="Z17" s="21" t="str">
        <f t="shared" si="11"/>
        <v>0.0</v>
      </c>
      <c r="AA17" s="21" t="str">
        <f t="shared" si="11"/>
        <v>0.0</v>
      </c>
      <c r="AB17" s="21" t="str">
        <f t="shared" si="11"/>
        <v>0.0</v>
      </c>
      <c r="AC17" s="21" t="str">
        <f t="shared" si="11"/>
        <v>0.0</v>
      </c>
      <c r="AD17" s="21" t="str">
        <f t="shared" si="11"/>
        <v>0.0</v>
      </c>
      <c r="AE17" s="21" t="str">
        <f t="shared" si="11"/>
        <v>0.0</v>
      </c>
      <c r="AF17" s="21" t="str">
        <f t="shared" si="11"/>
        <v>0.0</v>
      </c>
      <c r="AG17" s="21" t="str">
        <f t="shared" si="11"/>
        <v>0.0</v>
      </c>
      <c r="AH17" s="21" t="str">
        <f t="shared" si="11"/>
        <v>0.0</v>
      </c>
      <c r="AI17" s="21" t="str">
        <f t="shared" si="11"/>
        <v>0.0</v>
      </c>
      <c r="AJ17" s="21" t="str">
        <f t="shared" si="11"/>
        <v>0.0</v>
      </c>
      <c r="AK17" s="21" t="str">
        <f t="shared" si="11"/>
        <v>0.0</v>
      </c>
      <c r="AL17" s="21" t="str">
        <f t="shared" si="11"/>
        <v>0.0</v>
      </c>
      <c r="AM17" s="21" t="str">
        <f t="shared" si="11"/>
        <v>0.0</v>
      </c>
      <c r="AN17" s="21" t="str">
        <f t="shared" si="11"/>
        <v>0.0</v>
      </c>
      <c r="AO17" s="21" t="str">
        <f t="shared" si="11"/>
        <v>0.0</v>
      </c>
      <c r="AP17" s="21" t="str">
        <f t="shared" si="11"/>
        <v>0.0</v>
      </c>
      <c r="AQ17" s="21" t="str">
        <f t="shared" si="11"/>
        <v>0.0</v>
      </c>
      <c r="AR17" s="21" t="str">
        <f t="shared" si="11"/>
        <v>0.0</v>
      </c>
      <c r="AS17" s="21" t="str">
        <f t="shared" si="11"/>
        <v>0.0</v>
      </c>
      <c r="AT17" s="21" t="str">
        <f t="shared" si="11"/>
        <v>0.0</v>
      </c>
      <c r="AU17" s="21" t="str">
        <f t="shared" si="11"/>
        <v>0.0</v>
      </c>
      <c r="AV17" s="21" t="str">
        <f t="shared" si="11"/>
        <v>0.0</v>
      </c>
      <c r="AW17" s="21" t="str">
        <f t="shared" si="11"/>
        <v>0.0</v>
      </c>
      <c r="AX17" s="21" t="str">
        <f t="shared" si="11"/>
        <v>0.0</v>
      </c>
      <c r="AY17" s="21" t="str">
        <f t="shared" si="11"/>
        <v>0.0</v>
      </c>
      <c r="AZ17" s="21" t="str">
        <f t="shared" si="11"/>
        <v>0.0</v>
      </c>
      <c r="BA17" s="21" t="str">
        <f t="shared" si="11"/>
        <v>0.0</v>
      </c>
      <c r="BB17" s="21" t="str">
        <f t="shared" si="11"/>
        <v>0.0</v>
      </c>
      <c r="BC17" s="21" t="str">
        <f t="shared" si="11"/>
        <v>0.0</v>
      </c>
      <c r="BD17" s="21" t="str">
        <f t="shared" si="11"/>
        <v>0.0</v>
      </c>
      <c r="BE17" s="21" t="str">
        <f t="shared" si="11"/>
        <v>0.0</v>
      </c>
      <c r="BF17" s="21" t="str">
        <f t="shared" si="11"/>
        <v>0.0</v>
      </c>
      <c r="BG17" s="21" t="str">
        <f t="shared" si="11"/>
        <v>0.0</v>
      </c>
      <c r="BH17" s="21" t="str">
        <f t="shared" si="11"/>
        <v>0.0</v>
      </c>
      <c r="BI17" s="21" t="str">
        <f t="shared" si="11"/>
        <v>0.0</v>
      </c>
      <c r="BJ17" s="21" t="str">
        <f t="shared" si="11"/>
        <v>0.0</v>
      </c>
      <c r="BK17" s="21" t="str">
        <f t="shared" si="11"/>
        <v>0.0</v>
      </c>
      <c r="BL17" s="21" t="str">
        <f t="shared" si="11"/>
        <v>0.0</v>
      </c>
      <c r="BM17" s="21" t="str">
        <f t="shared" si="11"/>
        <v>0.0</v>
      </c>
      <c r="BN17" s="23">
        <f t="shared" si="8"/>
        <v>28840.26</v>
      </c>
      <c r="BO17" s="24" t="str">
        <f t="shared" si="12"/>
        <v>0.0</v>
      </c>
      <c r="BP17" s="16" t="str">
        <f t="shared" si="12"/>
        <v>0.0</v>
      </c>
      <c r="BQ17" s="16" t="str">
        <f t="shared" si="12"/>
        <v>0.0</v>
      </c>
      <c r="BR17" s="16" t="str">
        <f t="shared" si="12"/>
        <v>0.0</v>
      </c>
      <c r="BS17" s="16">
        <f t="shared" si="12"/>
        <v>4952.8</v>
      </c>
      <c r="BT17" s="16" t="str">
        <f t="shared" si="12"/>
        <v>0.0</v>
      </c>
      <c r="BU17" s="16" t="str">
        <f t="shared" si="12"/>
        <v>0.0</v>
      </c>
      <c r="BV17" s="16" t="str">
        <f t="shared" si="12"/>
        <v>0.0</v>
      </c>
      <c r="BW17" s="35" t="str">
        <f t="shared" si="12"/>
        <v>0.0</v>
      </c>
      <c r="BX17" s="35" t="str">
        <f t="shared" si="12"/>
        <v>0.0</v>
      </c>
      <c r="BY17" s="16" t="str">
        <f t="shared" si="12"/>
        <v>0.0</v>
      </c>
      <c r="BZ17" s="35" t="str">
        <f t="shared" si="12"/>
        <v>0.0</v>
      </c>
      <c r="CA17" s="35" t="str">
        <f t="shared" si="12"/>
        <v>0.0</v>
      </c>
      <c r="CB17" s="35" t="str">
        <f t="shared" si="12"/>
        <v>0.0</v>
      </c>
      <c r="CC17" s="35" t="str">
        <f t="shared" si="12"/>
        <v>0.0</v>
      </c>
      <c r="CD17" s="35" t="str">
        <f t="shared" si="12"/>
        <v>0.0</v>
      </c>
      <c r="CE17" s="35" t="str">
        <f t="shared" si="12"/>
        <v>0.0</v>
      </c>
      <c r="CF17" s="35" t="str">
        <f t="shared" si="12"/>
        <v>0.0</v>
      </c>
      <c r="CG17" s="35" t="str">
        <f t="shared" si="5"/>
        <v>0.0</v>
      </c>
      <c r="CH17" s="35" t="str">
        <f t="shared" si="5"/>
        <v>0.0</v>
      </c>
      <c r="CI17" s="35" t="str">
        <f t="shared" si="5"/>
        <v>0.0</v>
      </c>
      <c r="CJ17" s="35" t="str">
        <f t="shared" si="10"/>
        <v>0.0</v>
      </c>
      <c r="CK17" s="35" t="str">
        <f t="shared" si="10"/>
        <v>0.0</v>
      </c>
      <c r="CL17" s="35" t="str">
        <f t="shared" si="10"/>
        <v>0.0</v>
      </c>
      <c r="CM17" s="35" t="str">
        <f t="shared" si="10"/>
        <v>0.0</v>
      </c>
      <c r="CN17" s="35" t="str">
        <f t="shared" si="10"/>
        <v>0.0</v>
      </c>
      <c r="CO17" s="35" t="str">
        <f t="shared" si="10"/>
        <v>0.0</v>
      </c>
      <c r="CP17" s="35" t="str">
        <f t="shared" si="10"/>
        <v>0.0</v>
      </c>
      <c r="CQ17" s="35" t="str">
        <f t="shared" si="10"/>
        <v>0.0</v>
      </c>
      <c r="CR17" s="35" t="str">
        <f t="shared" si="10"/>
        <v>0.0</v>
      </c>
      <c r="CS17" s="35" t="str">
        <f t="shared" si="10"/>
        <v>0.0</v>
      </c>
      <c r="CT17" s="35" t="str">
        <f t="shared" si="10"/>
        <v>0.0</v>
      </c>
      <c r="CU17" s="35" t="str">
        <f t="shared" si="10"/>
        <v>0.0</v>
      </c>
      <c r="CV17" s="35" t="str">
        <f t="shared" si="10"/>
        <v>0.0</v>
      </c>
      <c r="CW17" s="35" t="str">
        <f t="shared" si="10"/>
        <v>0.0</v>
      </c>
      <c r="CX17" s="35" t="str">
        <f t="shared" si="10"/>
        <v>0.0</v>
      </c>
      <c r="CY17" s="35" t="str">
        <f t="shared" si="10"/>
        <v>0.0</v>
      </c>
      <c r="CZ17" s="35" t="str">
        <f t="shared" si="10"/>
        <v>0.0</v>
      </c>
      <c r="DA17" s="35" t="str">
        <f t="shared" si="10"/>
        <v>0.0</v>
      </c>
      <c r="DB17" s="35" t="str">
        <f t="shared" si="10"/>
        <v>0.0</v>
      </c>
      <c r="DC17" s="35" t="str">
        <f t="shared" si="10"/>
        <v>0.0</v>
      </c>
      <c r="DD17" s="35" t="str">
        <f t="shared" si="10"/>
        <v>0.0</v>
      </c>
      <c r="DE17" s="35" t="str">
        <f t="shared" si="10"/>
        <v>0.0</v>
      </c>
      <c r="DF17" s="35" t="str">
        <f t="shared" si="10"/>
        <v>0.0</v>
      </c>
      <c r="DG17" s="35" t="str">
        <f t="shared" si="10"/>
        <v>0.0</v>
      </c>
      <c r="DH17" s="35" t="str">
        <f t="shared" si="10"/>
        <v>0.0</v>
      </c>
      <c r="DI17" s="37"/>
      <c r="DJ17" s="23">
        <f t="shared" si="9"/>
        <v>4952.8</v>
      </c>
    </row>
    <row r="18" spans="1:115" ht="15.5" thickBot="1">
      <c r="A18" s="187"/>
      <c r="B18" s="110" t="s">
        <v>39</v>
      </c>
      <c r="C18" s="101">
        <v>30213.61</v>
      </c>
      <c r="D18" s="100">
        <v>12.627166461801677</v>
      </c>
      <c r="E18" s="100">
        <v>10.419406629153153</v>
      </c>
      <c r="F18" s="100">
        <v>6.530272761864647</v>
      </c>
      <c r="G18" s="100">
        <v>2.1976230187526324</v>
      </c>
      <c r="H18" s="101">
        <v>6252.5024139378393</v>
      </c>
      <c r="I18" s="111">
        <f t="shared" si="0"/>
        <v>6098.4062736512506</v>
      </c>
      <c r="J18" s="111">
        <f>IF(D18=0,0,(I18-(5.72*9*(4.83*(100-D18)/100+0.1119*D18))))</f>
        <v>5808.4149143780051</v>
      </c>
      <c r="K18" s="186" t="s">
        <v>75</v>
      </c>
      <c r="L18" s="199">
        <v>0</v>
      </c>
      <c r="M18" s="95" t="str">
        <f t="shared" si="7"/>
        <v>5</v>
      </c>
      <c r="N18" s="86">
        <v>30000</v>
      </c>
      <c r="O18" s="87">
        <f t="shared" si="1"/>
        <v>213.61000000000058</v>
      </c>
      <c r="P18" s="45"/>
      <c r="Q18" s="45"/>
      <c r="S18" s="21" t="str">
        <f t="shared" si="2"/>
        <v>0.0</v>
      </c>
      <c r="T18" s="21" t="str">
        <f t="shared" si="11"/>
        <v>0.0</v>
      </c>
      <c r="U18" s="21" t="str">
        <f t="shared" si="11"/>
        <v>0.0</v>
      </c>
      <c r="V18" s="21" t="str">
        <f t="shared" si="11"/>
        <v>0.0</v>
      </c>
      <c r="W18" s="21">
        <f t="shared" si="11"/>
        <v>30213.61</v>
      </c>
      <c r="X18" s="21" t="str">
        <f t="shared" si="11"/>
        <v>0.0</v>
      </c>
      <c r="Y18" s="21" t="str">
        <f t="shared" si="11"/>
        <v>0.0</v>
      </c>
      <c r="Z18" s="21" t="str">
        <f t="shared" si="11"/>
        <v>0.0</v>
      </c>
      <c r="AA18" s="21" t="str">
        <f t="shared" si="11"/>
        <v>0.0</v>
      </c>
      <c r="AB18" s="21" t="str">
        <f t="shared" si="11"/>
        <v>0.0</v>
      </c>
      <c r="AC18" s="21" t="str">
        <f t="shared" si="11"/>
        <v>0.0</v>
      </c>
      <c r="AD18" s="21" t="str">
        <f t="shared" si="11"/>
        <v>0.0</v>
      </c>
      <c r="AE18" s="21" t="str">
        <f t="shared" si="11"/>
        <v>0.0</v>
      </c>
      <c r="AF18" s="21" t="str">
        <f t="shared" si="11"/>
        <v>0.0</v>
      </c>
      <c r="AG18" s="21" t="str">
        <f t="shared" si="11"/>
        <v>0.0</v>
      </c>
      <c r="AH18" s="21" t="str">
        <f t="shared" si="11"/>
        <v>0.0</v>
      </c>
      <c r="AI18" s="21" t="str">
        <f t="shared" si="11"/>
        <v>0.0</v>
      </c>
      <c r="AJ18" s="21" t="str">
        <f t="shared" si="11"/>
        <v>0.0</v>
      </c>
      <c r="AK18" s="21" t="str">
        <f t="shared" si="11"/>
        <v>0.0</v>
      </c>
      <c r="AL18" s="21" t="str">
        <f t="shared" si="11"/>
        <v>0.0</v>
      </c>
      <c r="AM18" s="21" t="str">
        <f t="shared" si="11"/>
        <v>0.0</v>
      </c>
      <c r="AN18" s="21" t="str">
        <f t="shared" si="11"/>
        <v>0.0</v>
      </c>
      <c r="AO18" s="21" t="str">
        <f t="shared" si="11"/>
        <v>0.0</v>
      </c>
      <c r="AP18" s="21" t="str">
        <f t="shared" si="11"/>
        <v>0.0</v>
      </c>
      <c r="AQ18" s="21" t="str">
        <f t="shared" si="11"/>
        <v>0.0</v>
      </c>
      <c r="AR18" s="21" t="str">
        <f t="shared" si="11"/>
        <v>0.0</v>
      </c>
      <c r="AS18" s="21" t="str">
        <f t="shared" si="11"/>
        <v>0.0</v>
      </c>
      <c r="AT18" s="21" t="str">
        <f t="shared" si="11"/>
        <v>0.0</v>
      </c>
      <c r="AU18" s="21" t="str">
        <f t="shared" si="11"/>
        <v>0.0</v>
      </c>
      <c r="AV18" s="21" t="str">
        <f t="shared" si="11"/>
        <v>0.0</v>
      </c>
      <c r="AW18" s="21" t="str">
        <f t="shared" si="11"/>
        <v>0.0</v>
      </c>
      <c r="AX18" s="21" t="str">
        <f t="shared" si="11"/>
        <v>0.0</v>
      </c>
      <c r="AY18" s="21" t="str">
        <f t="shared" si="11"/>
        <v>0.0</v>
      </c>
      <c r="AZ18" s="21" t="str">
        <f t="shared" si="11"/>
        <v>0.0</v>
      </c>
      <c r="BA18" s="21" t="str">
        <f t="shared" si="11"/>
        <v>0.0</v>
      </c>
      <c r="BB18" s="21" t="str">
        <f t="shared" si="11"/>
        <v>0.0</v>
      </c>
      <c r="BC18" s="21" t="str">
        <f t="shared" si="11"/>
        <v>0.0</v>
      </c>
      <c r="BD18" s="21" t="str">
        <f t="shared" si="11"/>
        <v>0.0</v>
      </c>
      <c r="BE18" s="21" t="str">
        <f t="shared" si="11"/>
        <v>0.0</v>
      </c>
      <c r="BF18" s="21" t="str">
        <f t="shared" si="11"/>
        <v>0.0</v>
      </c>
      <c r="BG18" s="21" t="str">
        <f t="shared" si="11"/>
        <v>0.0</v>
      </c>
      <c r="BH18" s="21" t="str">
        <f t="shared" si="11"/>
        <v>0.0</v>
      </c>
      <c r="BI18" s="21" t="str">
        <f t="shared" si="11"/>
        <v>0.0</v>
      </c>
      <c r="BJ18" s="21" t="str">
        <f t="shared" si="11"/>
        <v>0.0</v>
      </c>
      <c r="BK18" s="21" t="str">
        <f t="shared" si="11"/>
        <v>0.0</v>
      </c>
      <c r="BL18" s="21" t="str">
        <f t="shared" si="11"/>
        <v>0.0</v>
      </c>
      <c r="BM18" s="21" t="str">
        <f t="shared" si="11"/>
        <v>0.0</v>
      </c>
      <c r="BN18" s="23">
        <f t="shared" si="8"/>
        <v>30213.61</v>
      </c>
      <c r="BO18" s="24" t="str">
        <f t="shared" si="12"/>
        <v>0.0</v>
      </c>
      <c r="BP18" s="16" t="str">
        <f t="shared" si="12"/>
        <v>0.0</v>
      </c>
      <c r="BQ18" s="16" t="str">
        <f t="shared" si="12"/>
        <v>0.0</v>
      </c>
      <c r="BR18" s="16" t="str">
        <f t="shared" si="12"/>
        <v>0.0</v>
      </c>
      <c r="BS18" s="16">
        <f t="shared" si="12"/>
        <v>0</v>
      </c>
      <c r="BT18" s="16" t="str">
        <f t="shared" si="12"/>
        <v>0.0</v>
      </c>
      <c r="BU18" s="16" t="str">
        <f t="shared" si="12"/>
        <v>0.0</v>
      </c>
      <c r="BV18" s="16" t="str">
        <f t="shared" si="12"/>
        <v>0.0</v>
      </c>
      <c r="BW18" s="35" t="str">
        <f t="shared" si="12"/>
        <v>0.0</v>
      </c>
      <c r="BX18" s="35" t="str">
        <f t="shared" si="12"/>
        <v>0.0</v>
      </c>
      <c r="BY18" s="16" t="str">
        <f t="shared" si="12"/>
        <v>0.0</v>
      </c>
      <c r="BZ18" s="35" t="str">
        <f t="shared" si="12"/>
        <v>0.0</v>
      </c>
      <c r="CA18" s="35" t="str">
        <f t="shared" si="12"/>
        <v>0.0</v>
      </c>
      <c r="CB18" s="35" t="str">
        <f t="shared" si="12"/>
        <v>0.0</v>
      </c>
      <c r="CC18" s="35" t="str">
        <f t="shared" si="12"/>
        <v>0.0</v>
      </c>
      <c r="CD18" s="35" t="str">
        <f t="shared" si="12"/>
        <v>0.0</v>
      </c>
      <c r="CE18" s="35" t="str">
        <f t="shared" si="12"/>
        <v>0.0</v>
      </c>
      <c r="CF18" s="35" t="str">
        <f t="shared" si="12"/>
        <v>0.0</v>
      </c>
      <c r="CG18" s="35" t="str">
        <f t="shared" si="5"/>
        <v>0.0</v>
      </c>
      <c r="CH18" s="35" t="str">
        <f t="shared" si="5"/>
        <v>0.0</v>
      </c>
      <c r="CI18" s="35" t="str">
        <f t="shared" si="5"/>
        <v>0.0</v>
      </c>
      <c r="CJ18" s="35" t="str">
        <f t="shared" si="10"/>
        <v>0.0</v>
      </c>
      <c r="CK18" s="35" t="str">
        <f t="shared" si="10"/>
        <v>0.0</v>
      </c>
      <c r="CL18" s="35" t="str">
        <f t="shared" si="10"/>
        <v>0.0</v>
      </c>
      <c r="CM18" s="35" t="str">
        <f t="shared" si="10"/>
        <v>0.0</v>
      </c>
      <c r="CN18" s="35" t="str">
        <f t="shared" si="10"/>
        <v>0.0</v>
      </c>
      <c r="CO18" s="35" t="str">
        <f t="shared" si="10"/>
        <v>0.0</v>
      </c>
      <c r="CP18" s="35" t="str">
        <f t="shared" si="10"/>
        <v>0.0</v>
      </c>
      <c r="CQ18" s="35" t="str">
        <f t="shared" si="10"/>
        <v>0.0</v>
      </c>
      <c r="CR18" s="35" t="str">
        <f t="shared" si="10"/>
        <v>0.0</v>
      </c>
      <c r="CS18" s="35" t="str">
        <f t="shared" si="10"/>
        <v>0.0</v>
      </c>
      <c r="CT18" s="35" t="str">
        <f t="shared" si="10"/>
        <v>0.0</v>
      </c>
      <c r="CU18" s="35" t="str">
        <f t="shared" si="10"/>
        <v>0.0</v>
      </c>
      <c r="CV18" s="35" t="str">
        <f t="shared" si="10"/>
        <v>0.0</v>
      </c>
      <c r="CW18" s="35" t="str">
        <f t="shared" si="10"/>
        <v>0.0</v>
      </c>
      <c r="CX18" s="35" t="str">
        <f t="shared" si="10"/>
        <v>0.0</v>
      </c>
      <c r="CY18" s="35" t="str">
        <f t="shared" si="10"/>
        <v>0.0</v>
      </c>
      <c r="CZ18" s="35" t="str">
        <f t="shared" si="10"/>
        <v>0.0</v>
      </c>
      <c r="DA18" s="35" t="str">
        <f t="shared" si="10"/>
        <v>0.0</v>
      </c>
      <c r="DB18" s="35" t="str">
        <f t="shared" si="10"/>
        <v>0.0</v>
      </c>
      <c r="DC18" s="35" t="str">
        <f t="shared" si="10"/>
        <v>0.0</v>
      </c>
      <c r="DD18" s="35" t="str">
        <f t="shared" si="10"/>
        <v>0.0</v>
      </c>
      <c r="DE18" s="35" t="str">
        <f t="shared" si="10"/>
        <v>0.0</v>
      </c>
      <c r="DF18" s="35" t="str">
        <f t="shared" si="10"/>
        <v>0.0</v>
      </c>
      <c r="DG18" s="35" t="str">
        <f t="shared" si="10"/>
        <v>0.0</v>
      </c>
      <c r="DH18" s="35" t="str">
        <f t="shared" si="10"/>
        <v>0.0</v>
      </c>
      <c r="DI18" s="37"/>
      <c r="DJ18" s="23">
        <f t="shared" si="9"/>
        <v>0</v>
      </c>
    </row>
    <row r="19" spans="1:115" ht="15.5" thickBot="1">
      <c r="A19" s="187"/>
      <c r="B19" s="110" t="s">
        <v>40</v>
      </c>
      <c r="C19" s="101">
        <v>11599.96</v>
      </c>
      <c r="D19" s="100">
        <v>12.55023426548432</v>
      </c>
      <c r="E19" s="100">
        <v>10.008115886882074</v>
      </c>
      <c r="F19" s="100">
        <v>5.5167891781232647</v>
      </c>
      <c r="G19" s="100">
        <v>2.1542178828905949</v>
      </c>
      <c r="H19" s="101">
        <v>6378.8018508320238</v>
      </c>
      <c r="I19" s="111">
        <f t="shared" si="0"/>
        <v>6198.611497243257</v>
      </c>
      <c r="J19" s="111">
        <f>IF(D19=0,0,(I19-(5.72*9*(4.83*(100-D19)/100+0.1119*D19))))</f>
        <v>5908.8720238280757</v>
      </c>
      <c r="K19" s="186" t="s">
        <v>75</v>
      </c>
      <c r="L19" s="199">
        <v>0</v>
      </c>
      <c r="M19" s="95" t="str">
        <f t="shared" si="7"/>
        <v>5</v>
      </c>
      <c r="N19" s="86">
        <v>15000</v>
      </c>
      <c r="O19" s="87">
        <f t="shared" si="1"/>
        <v>-3400.0400000000009</v>
      </c>
      <c r="P19" s="45"/>
      <c r="S19" s="21" t="str">
        <f t="shared" si="2"/>
        <v>0.0</v>
      </c>
      <c r="T19" s="21" t="str">
        <f t="shared" si="11"/>
        <v>0.0</v>
      </c>
      <c r="U19" s="21" t="str">
        <f t="shared" si="11"/>
        <v>0.0</v>
      </c>
      <c r="V19" s="21" t="str">
        <f t="shared" si="11"/>
        <v>0.0</v>
      </c>
      <c r="W19" s="21">
        <f t="shared" si="11"/>
        <v>11599.96</v>
      </c>
      <c r="X19" s="21" t="str">
        <f t="shared" si="11"/>
        <v>0.0</v>
      </c>
      <c r="Y19" s="21" t="str">
        <f t="shared" si="11"/>
        <v>0.0</v>
      </c>
      <c r="Z19" s="21" t="str">
        <f t="shared" si="11"/>
        <v>0.0</v>
      </c>
      <c r="AA19" s="21" t="str">
        <f t="shared" si="11"/>
        <v>0.0</v>
      </c>
      <c r="AB19" s="21" t="str">
        <f t="shared" si="11"/>
        <v>0.0</v>
      </c>
      <c r="AC19" s="21" t="str">
        <f t="shared" si="11"/>
        <v>0.0</v>
      </c>
      <c r="AD19" s="21" t="str">
        <f t="shared" si="11"/>
        <v>0.0</v>
      </c>
      <c r="AE19" s="21" t="str">
        <f t="shared" si="11"/>
        <v>0.0</v>
      </c>
      <c r="AF19" s="21" t="str">
        <f t="shared" si="11"/>
        <v>0.0</v>
      </c>
      <c r="AG19" s="21" t="str">
        <f t="shared" si="11"/>
        <v>0.0</v>
      </c>
      <c r="AH19" s="21" t="str">
        <f t="shared" si="11"/>
        <v>0.0</v>
      </c>
      <c r="AI19" s="21" t="str">
        <f t="shared" si="11"/>
        <v>0.0</v>
      </c>
      <c r="AJ19" s="21" t="str">
        <f t="shared" si="11"/>
        <v>0.0</v>
      </c>
      <c r="AK19" s="21" t="str">
        <f t="shared" si="11"/>
        <v>0.0</v>
      </c>
      <c r="AL19" s="21" t="str">
        <f t="shared" si="11"/>
        <v>0.0</v>
      </c>
      <c r="AM19" s="21" t="str">
        <f t="shared" ref="T19:BM24" si="13">IF($M19=AM$7,$C19,"0.0")</f>
        <v>0.0</v>
      </c>
      <c r="AN19" s="21" t="str">
        <f t="shared" si="13"/>
        <v>0.0</v>
      </c>
      <c r="AO19" s="21" t="str">
        <f t="shared" si="13"/>
        <v>0.0</v>
      </c>
      <c r="AP19" s="21" t="str">
        <f t="shared" si="13"/>
        <v>0.0</v>
      </c>
      <c r="AQ19" s="21" t="str">
        <f t="shared" si="13"/>
        <v>0.0</v>
      </c>
      <c r="AR19" s="21" t="str">
        <f t="shared" si="13"/>
        <v>0.0</v>
      </c>
      <c r="AS19" s="21" t="str">
        <f t="shared" si="13"/>
        <v>0.0</v>
      </c>
      <c r="AT19" s="21" t="str">
        <f t="shared" si="13"/>
        <v>0.0</v>
      </c>
      <c r="AU19" s="21" t="str">
        <f t="shared" si="13"/>
        <v>0.0</v>
      </c>
      <c r="AV19" s="21" t="str">
        <f t="shared" si="13"/>
        <v>0.0</v>
      </c>
      <c r="AW19" s="21" t="str">
        <f t="shared" si="13"/>
        <v>0.0</v>
      </c>
      <c r="AX19" s="21" t="str">
        <f t="shared" si="13"/>
        <v>0.0</v>
      </c>
      <c r="AY19" s="21" t="str">
        <f t="shared" si="13"/>
        <v>0.0</v>
      </c>
      <c r="AZ19" s="21" t="str">
        <f t="shared" si="13"/>
        <v>0.0</v>
      </c>
      <c r="BA19" s="21" t="str">
        <f t="shared" si="13"/>
        <v>0.0</v>
      </c>
      <c r="BB19" s="21" t="str">
        <f t="shared" si="13"/>
        <v>0.0</v>
      </c>
      <c r="BC19" s="21" t="str">
        <f t="shared" si="13"/>
        <v>0.0</v>
      </c>
      <c r="BD19" s="21" t="str">
        <f t="shared" si="13"/>
        <v>0.0</v>
      </c>
      <c r="BE19" s="21" t="str">
        <f t="shared" si="13"/>
        <v>0.0</v>
      </c>
      <c r="BF19" s="21" t="str">
        <f t="shared" si="13"/>
        <v>0.0</v>
      </c>
      <c r="BG19" s="21" t="str">
        <f t="shared" si="13"/>
        <v>0.0</v>
      </c>
      <c r="BH19" s="21" t="str">
        <f t="shared" si="13"/>
        <v>0.0</v>
      </c>
      <c r="BI19" s="21" t="str">
        <f t="shared" si="13"/>
        <v>0.0</v>
      </c>
      <c r="BJ19" s="21" t="str">
        <f t="shared" si="13"/>
        <v>0.0</v>
      </c>
      <c r="BK19" s="21" t="str">
        <f t="shared" si="13"/>
        <v>0.0</v>
      </c>
      <c r="BL19" s="21" t="str">
        <f t="shared" si="13"/>
        <v>0.0</v>
      </c>
      <c r="BM19" s="21" t="str">
        <f t="shared" si="13"/>
        <v>0.0</v>
      </c>
      <c r="BN19" s="23">
        <f t="shared" si="8"/>
        <v>11599.96</v>
      </c>
      <c r="BO19" s="24" t="str">
        <f t="shared" si="12"/>
        <v>0.0</v>
      </c>
      <c r="BP19" s="16" t="str">
        <f t="shared" si="12"/>
        <v>0.0</v>
      </c>
      <c r="BQ19" s="16" t="str">
        <f t="shared" si="12"/>
        <v>0.0</v>
      </c>
      <c r="BR19" s="16" t="str">
        <f t="shared" si="12"/>
        <v>0.0</v>
      </c>
      <c r="BS19" s="16">
        <f t="shared" si="12"/>
        <v>0</v>
      </c>
      <c r="BT19" s="16" t="str">
        <f t="shared" si="12"/>
        <v>0.0</v>
      </c>
      <c r="BU19" s="16" t="str">
        <f t="shared" si="12"/>
        <v>0.0</v>
      </c>
      <c r="BV19" s="16" t="str">
        <f t="shared" si="12"/>
        <v>0.0</v>
      </c>
      <c r="BW19" s="35" t="str">
        <f t="shared" si="12"/>
        <v>0.0</v>
      </c>
      <c r="BX19" s="35" t="str">
        <f t="shared" si="12"/>
        <v>0.0</v>
      </c>
      <c r="BY19" s="16" t="str">
        <f t="shared" si="12"/>
        <v>0.0</v>
      </c>
      <c r="BZ19" s="35" t="str">
        <f t="shared" si="12"/>
        <v>0.0</v>
      </c>
      <c r="CA19" s="35" t="str">
        <f t="shared" si="12"/>
        <v>0.0</v>
      </c>
      <c r="CB19" s="35" t="str">
        <f t="shared" si="12"/>
        <v>0.0</v>
      </c>
      <c r="CC19" s="35" t="str">
        <f t="shared" si="12"/>
        <v>0.0</v>
      </c>
      <c r="CD19" s="35" t="str">
        <f t="shared" si="12"/>
        <v>0.0</v>
      </c>
      <c r="CE19" s="35" t="str">
        <f t="shared" si="12"/>
        <v>0.0</v>
      </c>
      <c r="CF19" s="35" t="str">
        <f t="shared" si="12"/>
        <v>0.0</v>
      </c>
      <c r="CG19" s="35" t="str">
        <f t="shared" si="5"/>
        <v>0.0</v>
      </c>
      <c r="CH19" s="35" t="str">
        <f t="shared" si="5"/>
        <v>0.0</v>
      </c>
      <c r="CI19" s="35" t="str">
        <f t="shared" si="5"/>
        <v>0.0</v>
      </c>
      <c r="CJ19" s="35" t="str">
        <f t="shared" si="10"/>
        <v>0.0</v>
      </c>
      <c r="CK19" s="35" t="str">
        <f t="shared" si="10"/>
        <v>0.0</v>
      </c>
      <c r="CL19" s="35" t="str">
        <f t="shared" si="10"/>
        <v>0.0</v>
      </c>
      <c r="CM19" s="35" t="str">
        <f t="shared" si="10"/>
        <v>0.0</v>
      </c>
      <c r="CN19" s="35" t="str">
        <f t="shared" si="10"/>
        <v>0.0</v>
      </c>
      <c r="CO19" s="35" t="str">
        <f t="shared" si="10"/>
        <v>0.0</v>
      </c>
      <c r="CP19" s="35" t="str">
        <f t="shared" si="10"/>
        <v>0.0</v>
      </c>
      <c r="CQ19" s="35" t="str">
        <f t="shared" si="10"/>
        <v>0.0</v>
      </c>
      <c r="CR19" s="35" t="str">
        <f t="shared" si="10"/>
        <v>0.0</v>
      </c>
      <c r="CS19" s="35" t="str">
        <f t="shared" si="10"/>
        <v>0.0</v>
      </c>
      <c r="CT19" s="35" t="str">
        <f t="shared" si="10"/>
        <v>0.0</v>
      </c>
      <c r="CU19" s="35" t="str">
        <f t="shared" si="10"/>
        <v>0.0</v>
      </c>
      <c r="CV19" s="35" t="str">
        <f t="shared" si="10"/>
        <v>0.0</v>
      </c>
      <c r="CW19" s="35" t="str">
        <f t="shared" si="10"/>
        <v>0.0</v>
      </c>
      <c r="CX19" s="35" t="str">
        <f t="shared" si="10"/>
        <v>0.0</v>
      </c>
      <c r="CY19" s="35" t="str">
        <f t="shared" si="10"/>
        <v>0.0</v>
      </c>
      <c r="CZ19" s="35" t="str">
        <f t="shared" si="10"/>
        <v>0.0</v>
      </c>
      <c r="DA19" s="35" t="str">
        <f t="shared" si="10"/>
        <v>0.0</v>
      </c>
      <c r="DB19" s="35" t="str">
        <f t="shared" si="10"/>
        <v>0.0</v>
      </c>
      <c r="DC19" s="35" t="str">
        <f t="shared" si="10"/>
        <v>0.0</v>
      </c>
      <c r="DD19" s="35" t="str">
        <f t="shared" si="10"/>
        <v>0.0</v>
      </c>
      <c r="DE19" s="35" t="str">
        <f t="shared" si="10"/>
        <v>0.0</v>
      </c>
      <c r="DF19" s="35" t="str">
        <f t="shared" si="10"/>
        <v>0.0</v>
      </c>
      <c r="DG19" s="35" t="str">
        <f t="shared" si="10"/>
        <v>0.0</v>
      </c>
      <c r="DH19" s="35" t="str">
        <f t="shared" si="10"/>
        <v>0.0</v>
      </c>
      <c r="DI19" s="37"/>
      <c r="DJ19" s="23">
        <f t="shared" si="9"/>
        <v>0</v>
      </c>
    </row>
    <row r="20" spans="1:115" ht="15.5" thickBot="1">
      <c r="A20" s="187"/>
      <c r="B20" s="402" t="s">
        <v>41</v>
      </c>
      <c r="C20" s="403">
        <v>10718.4</v>
      </c>
      <c r="D20" s="404">
        <v>13.636668554759591</v>
      </c>
      <c r="E20" s="404">
        <v>10.417757026842525</v>
      </c>
      <c r="F20" s="404">
        <v>5.9866640563466929</v>
      </c>
      <c r="G20" s="404">
        <v>1.5717211149621428</v>
      </c>
      <c r="H20" s="403">
        <v>6261.3608324833058</v>
      </c>
      <c r="I20" s="405">
        <f t="shared" si="0"/>
        <v>6036.3746533566209</v>
      </c>
      <c r="J20" s="405">
        <f>IF(D20=0,0,(I20-(5.72*9*(4.83*(100-D20)/100+0.1119*D20))))</f>
        <v>5743.0780550147629</v>
      </c>
      <c r="K20" s="406" t="s">
        <v>74</v>
      </c>
      <c r="L20" s="407">
        <v>2008.4</v>
      </c>
      <c r="M20" s="95" t="str">
        <f t="shared" si="7"/>
        <v>4</v>
      </c>
      <c r="N20" s="86">
        <v>15000</v>
      </c>
      <c r="O20" s="87">
        <f t="shared" si="1"/>
        <v>-4281.6000000000004</v>
      </c>
      <c r="P20" s="45"/>
      <c r="S20" s="21" t="str">
        <f t="shared" si="2"/>
        <v>0.0</v>
      </c>
      <c r="T20" s="21" t="str">
        <f t="shared" si="13"/>
        <v>0.0</v>
      </c>
      <c r="U20" s="21" t="str">
        <f t="shared" si="13"/>
        <v>0.0</v>
      </c>
      <c r="V20" s="21">
        <f t="shared" si="13"/>
        <v>10718.4</v>
      </c>
      <c r="W20" s="21" t="str">
        <f t="shared" si="13"/>
        <v>0.0</v>
      </c>
      <c r="X20" s="21" t="str">
        <f t="shared" si="13"/>
        <v>0.0</v>
      </c>
      <c r="Y20" s="21" t="str">
        <f t="shared" si="13"/>
        <v>0.0</v>
      </c>
      <c r="Z20" s="21" t="str">
        <f t="shared" si="13"/>
        <v>0.0</v>
      </c>
      <c r="AA20" s="21" t="str">
        <f t="shared" si="13"/>
        <v>0.0</v>
      </c>
      <c r="AB20" s="21" t="str">
        <f t="shared" si="13"/>
        <v>0.0</v>
      </c>
      <c r="AC20" s="21" t="str">
        <f t="shared" si="13"/>
        <v>0.0</v>
      </c>
      <c r="AD20" s="21" t="str">
        <f t="shared" si="13"/>
        <v>0.0</v>
      </c>
      <c r="AE20" s="21" t="str">
        <f t="shared" si="13"/>
        <v>0.0</v>
      </c>
      <c r="AF20" s="21" t="str">
        <f t="shared" si="13"/>
        <v>0.0</v>
      </c>
      <c r="AG20" s="21" t="str">
        <f t="shared" si="13"/>
        <v>0.0</v>
      </c>
      <c r="AH20" s="21" t="str">
        <f t="shared" si="13"/>
        <v>0.0</v>
      </c>
      <c r="AI20" s="21" t="str">
        <f t="shared" si="13"/>
        <v>0.0</v>
      </c>
      <c r="AJ20" s="21" t="str">
        <f t="shared" si="13"/>
        <v>0.0</v>
      </c>
      <c r="AK20" s="21" t="str">
        <f t="shared" si="13"/>
        <v>0.0</v>
      </c>
      <c r="AL20" s="21" t="str">
        <f t="shared" si="13"/>
        <v>0.0</v>
      </c>
      <c r="AM20" s="21" t="str">
        <f t="shared" si="13"/>
        <v>0.0</v>
      </c>
      <c r="AN20" s="21" t="str">
        <f t="shared" si="13"/>
        <v>0.0</v>
      </c>
      <c r="AO20" s="21" t="str">
        <f t="shared" si="13"/>
        <v>0.0</v>
      </c>
      <c r="AP20" s="21" t="str">
        <f t="shared" si="13"/>
        <v>0.0</v>
      </c>
      <c r="AQ20" s="21" t="str">
        <f t="shared" si="13"/>
        <v>0.0</v>
      </c>
      <c r="AR20" s="21" t="str">
        <f t="shared" si="13"/>
        <v>0.0</v>
      </c>
      <c r="AS20" s="21" t="str">
        <f t="shared" si="13"/>
        <v>0.0</v>
      </c>
      <c r="AT20" s="21" t="str">
        <f t="shared" si="13"/>
        <v>0.0</v>
      </c>
      <c r="AU20" s="21" t="str">
        <f t="shared" si="13"/>
        <v>0.0</v>
      </c>
      <c r="AV20" s="21" t="str">
        <f t="shared" si="13"/>
        <v>0.0</v>
      </c>
      <c r="AW20" s="21" t="str">
        <f t="shared" si="13"/>
        <v>0.0</v>
      </c>
      <c r="AX20" s="21" t="str">
        <f t="shared" si="13"/>
        <v>0.0</v>
      </c>
      <c r="AY20" s="21" t="str">
        <f t="shared" si="13"/>
        <v>0.0</v>
      </c>
      <c r="AZ20" s="21" t="str">
        <f t="shared" si="13"/>
        <v>0.0</v>
      </c>
      <c r="BA20" s="21" t="str">
        <f t="shared" si="13"/>
        <v>0.0</v>
      </c>
      <c r="BB20" s="21" t="str">
        <f t="shared" si="13"/>
        <v>0.0</v>
      </c>
      <c r="BC20" s="21" t="str">
        <f t="shared" si="13"/>
        <v>0.0</v>
      </c>
      <c r="BD20" s="21" t="str">
        <f t="shared" si="13"/>
        <v>0.0</v>
      </c>
      <c r="BE20" s="21" t="str">
        <f t="shared" si="13"/>
        <v>0.0</v>
      </c>
      <c r="BF20" s="21" t="str">
        <f t="shared" si="13"/>
        <v>0.0</v>
      </c>
      <c r="BG20" s="21" t="str">
        <f t="shared" si="13"/>
        <v>0.0</v>
      </c>
      <c r="BH20" s="21" t="str">
        <f t="shared" si="13"/>
        <v>0.0</v>
      </c>
      <c r="BI20" s="21" t="str">
        <f t="shared" si="13"/>
        <v>0.0</v>
      </c>
      <c r="BJ20" s="21" t="str">
        <f t="shared" si="13"/>
        <v>0.0</v>
      </c>
      <c r="BK20" s="21" t="str">
        <f t="shared" si="13"/>
        <v>0.0</v>
      </c>
      <c r="BL20" s="21" t="str">
        <f t="shared" si="13"/>
        <v>0.0</v>
      </c>
      <c r="BM20" s="21" t="str">
        <f t="shared" si="13"/>
        <v>0.0</v>
      </c>
      <c r="BN20" s="23">
        <f t="shared" si="8"/>
        <v>10718.4</v>
      </c>
      <c r="BO20" s="24" t="str">
        <f t="shared" si="12"/>
        <v>0.0</v>
      </c>
      <c r="BP20" s="16" t="str">
        <f t="shared" si="12"/>
        <v>0.0</v>
      </c>
      <c r="BQ20" s="16" t="str">
        <f t="shared" si="12"/>
        <v>0.0</v>
      </c>
      <c r="BR20" s="16">
        <f t="shared" si="12"/>
        <v>2008.4</v>
      </c>
      <c r="BS20" s="16" t="str">
        <f t="shared" si="12"/>
        <v>0.0</v>
      </c>
      <c r="BT20" s="16" t="str">
        <f t="shared" si="12"/>
        <v>0.0</v>
      </c>
      <c r="BU20" s="16" t="str">
        <f t="shared" si="12"/>
        <v>0.0</v>
      </c>
      <c r="BV20" s="16" t="str">
        <f t="shared" si="12"/>
        <v>0.0</v>
      </c>
      <c r="BW20" s="35" t="str">
        <f t="shared" si="12"/>
        <v>0.0</v>
      </c>
      <c r="BX20" s="35" t="str">
        <f t="shared" si="12"/>
        <v>0.0</v>
      </c>
      <c r="BY20" s="16" t="str">
        <f t="shared" si="12"/>
        <v>0.0</v>
      </c>
      <c r="BZ20" s="35" t="str">
        <f t="shared" si="12"/>
        <v>0.0</v>
      </c>
      <c r="CA20" s="35" t="str">
        <f t="shared" si="12"/>
        <v>0.0</v>
      </c>
      <c r="CB20" s="35" t="str">
        <f t="shared" si="12"/>
        <v>0.0</v>
      </c>
      <c r="CC20" s="35" t="str">
        <f t="shared" si="12"/>
        <v>0.0</v>
      </c>
      <c r="CD20" s="35" t="str">
        <f t="shared" si="12"/>
        <v>0.0</v>
      </c>
      <c r="CE20" s="35" t="str">
        <f t="shared" si="12"/>
        <v>0.0</v>
      </c>
      <c r="CF20" s="35" t="str">
        <f t="shared" si="12"/>
        <v>0.0</v>
      </c>
      <c r="CG20" s="35" t="str">
        <f t="shared" si="5"/>
        <v>0.0</v>
      </c>
      <c r="CH20" s="35" t="str">
        <f t="shared" si="5"/>
        <v>0.0</v>
      </c>
      <c r="CI20" s="35" t="str">
        <f t="shared" si="5"/>
        <v>0.0</v>
      </c>
      <c r="CJ20" s="35" t="str">
        <f t="shared" si="10"/>
        <v>0.0</v>
      </c>
      <c r="CK20" s="35" t="str">
        <f t="shared" si="10"/>
        <v>0.0</v>
      </c>
      <c r="CL20" s="35" t="str">
        <f t="shared" si="10"/>
        <v>0.0</v>
      </c>
      <c r="CM20" s="35" t="str">
        <f t="shared" si="10"/>
        <v>0.0</v>
      </c>
      <c r="CN20" s="35" t="str">
        <f t="shared" si="10"/>
        <v>0.0</v>
      </c>
      <c r="CO20" s="35" t="str">
        <f t="shared" si="10"/>
        <v>0.0</v>
      </c>
      <c r="CP20" s="35" t="str">
        <f t="shared" ref="CJ20:DH30" si="14">IF($M20=CP$7,$L20,"0.0")</f>
        <v>0.0</v>
      </c>
      <c r="CQ20" s="35" t="str">
        <f t="shared" si="14"/>
        <v>0.0</v>
      </c>
      <c r="CR20" s="35" t="str">
        <f t="shared" si="14"/>
        <v>0.0</v>
      </c>
      <c r="CS20" s="35" t="str">
        <f t="shared" si="14"/>
        <v>0.0</v>
      </c>
      <c r="CT20" s="35" t="str">
        <f t="shared" si="14"/>
        <v>0.0</v>
      </c>
      <c r="CU20" s="35" t="str">
        <f t="shared" si="14"/>
        <v>0.0</v>
      </c>
      <c r="CV20" s="35" t="str">
        <f t="shared" si="14"/>
        <v>0.0</v>
      </c>
      <c r="CW20" s="35" t="str">
        <f t="shared" si="14"/>
        <v>0.0</v>
      </c>
      <c r="CX20" s="35" t="str">
        <f t="shared" si="14"/>
        <v>0.0</v>
      </c>
      <c r="CY20" s="35" t="str">
        <f t="shared" si="14"/>
        <v>0.0</v>
      </c>
      <c r="CZ20" s="35" t="str">
        <f t="shared" si="14"/>
        <v>0.0</v>
      </c>
      <c r="DA20" s="35" t="str">
        <f t="shared" si="14"/>
        <v>0.0</v>
      </c>
      <c r="DB20" s="35" t="str">
        <f t="shared" si="14"/>
        <v>0.0</v>
      </c>
      <c r="DC20" s="35" t="str">
        <f t="shared" si="14"/>
        <v>0.0</v>
      </c>
      <c r="DD20" s="35" t="str">
        <f t="shared" si="14"/>
        <v>0.0</v>
      </c>
      <c r="DE20" s="35" t="str">
        <f t="shared" si="14"/>
        <v>0.0</v>
      </c>
      <c r="DF20" s="35" t="str">
        <f t="shared" si="14"/>
        <v>0.0</v>
      </c>
      <c r="DG20" s="35" t="str">
        <f t="shared" si="14"/>
        <v>0.0</v>
      </c>
      <c r="DH20" s="35" t="str">
        <f t="shared" si="14"/>
        <v>0.0</v>
      </c>
      <c r="DI20" s="37"/>
      <c r="DJ20" s="23">
        <f t="shared" si="9"/>
        <v>2008.4</v>
      </c>
    </row>
    <row r="21" spans="1:115" ht="15.5" thickBot="1">
      <c r="A21" s="187"/>
      <c r="B21" s="110" t="s">
        <v>42</v>
      </c>
      <c r="C21" s="101">
        <v>15656.85</v>
      </c>
      <c r="D21" s="100">
        <v>12.98965091905732</v>
      </c>
      <c r="E21" s="100">
        <v>10.477890430899855</v>
      </c>
      <c r="F21" s="100">
        <v>6.5404989940173612</v>
      </c>
      <c r="G21" s="100">
        <v>2.722961567906824</v>
      </c>
      <c r="H21" s="101">
        <v>6191.0001011865907</v>
      </c>
      <c r="I21" s="111">
        <f t="shared" si="0"/>
        <v>6017.2965377742876</v>
      </c>
      <c r="J21" s="111">
        <f>IF(D21=0,0,(I21-(5.72*9*(4.85*(100-D21)/100+0.1119*D21))))</f>
        <v>5725.2224994358385</v>
      </c>
      <c r="K21" s="186" t="s">
        <v>75</v>
      </c>
      <c r="L21" s="199">
        <v>0</v>
      </c>
      <c r="M21" s="95" t="str">
        <f t="shared" si="7"/>
        <v>5</v>
      </c>
      <c r="N21" s="86">
        <v>15000</v>
      </c>
      <c r="O21" s="87">
        <f t="shared" si="1"/>
        <v>656.85000000000036</v>
      </c>
      <c r="P21" s="45"/>
      <c r="S21" s="21" t="str">
        <f t="shared" si="2"/>
        <v>0.0</v>
      </c>
      <c r="T21" s="21" t="str">
        <f t="shared" si="13"/>
        <v>0.0</v>
      </c>
      <c r="U21" s="21" t="str">
        <f t="shared" si="13"/>
        <v>0.0</v>
      </c>
      <c r="V21" s="21" t="str">
        <f t="shared" si="13"/>
        <v>0.0</v>
      </c>
      <c r="W21" s="21">
        <f t="shared" si="13"/>
        <v>15656.85</v>
      </c>
      <c r="X21" s="21" t="str">
        <f t="shared" si="13"/>
        <v>0.0</v>
      </c>
      <c r="Y21" s="21" t="str">
        <f t="shared" si="13"/>
        <v>0.0</v>
      </c>
      <c r="Z21" s="21" t="str">
        <f t="shared" si="13"/>
        <v>0.0</v>
      </c>
      <c r="AA21" s="21" t="str">
        <f t="shared" si="13"/>
        <v>0.0</v>
      </c>
      <c r="AB21" s="21" t="str">
        <f t="shared" si="13"/>
        <v>0.0</v>
      </c>
      <c r="AC21" s="21" t="str">
        <f t="shared" si="13"/>
        <v>0.0</v>
      </c>
      <c r="AD21" s="21" t="str">
        <f t="shared" si="13"/>
        <v>0.0</v>
      </c>
      <c r="AE21" s="21" t="str">
        <f t="shared" si="13"/>
        <v>0.0</v>
      </c>
      <c r="AF21" s="21" t="str">
        <f t="shared" si="13"/>
        <v>0.0</v>
      </c>
      <c r="AG21" s="21" t="str">
        <f t="shared" si="13"/>
        <v>0.0</v>
      </c>
      <c r="AH21" s="21" t="str">
        <f t="shared" si="13"/>
        <v>0.0</v>
      </c>
      <c r="AI21" s="21" t="str">
        <f t="shared" si="13"/>
        <v>0.0</v>
      </c>
      <c r="AJ21" s="21" t="str">
        <f t="shared" si="13"/>
        <v>0.0</v>
      </c>
      <c r="AK21" s="21" t="str">
        <f t="shared" si="13"/>
        <v>0.0</v>
      </c>
      <c r="AL21" s="21" t="str">
        <f t="shared" si="13"/>
        <v>0.0</v>
      </c>
      <c r="AM21" s="21" t="str">
        <f t="shared" si="13"/>
        <v>0.0</v>
      </c>
      <c r="AN21" s="21" t="str">
        <f t="shared" si="13"/>
        <v>0.0</v>
      </c>
      <c r="AO21" s="21" t="str">
        <f t="shared" si="13"/>
        <v>0.0</v>
      </c>
      <c r="AP21" s="21" t="str">
        <f t="shared" si="13"/>
        <v>0.0</v>
      </c>
      <c r="AQ21" s="21" t="str">
        <f t="shared" si="13"/>
        <v>0.0</v>
      </c>
      <c r="AR21" s="21" t="str">
        <f t="shared" si="13"/>
        <v>0.0</v>
      </c>
      <c r="AS21" s="21" t="str">
        <f t="shared" si="13"/>
        <v>0.0</v>
      </c>
      <c r="AT21" s="21" t="str">
        <f t="shared" si="13"/>
        <v>0.0</v>
      </c>
      <c r="AU21" s="21" t="str">
        <f t="shared" si="13"/>
        <v>0.0</v>
      </c>
      <c r="AV21" s="21" t="str">
        <f t="shared" si="13"/>
        <v>0.0</v>
      </c>
      <c r="AW21" s="21" t="str">
        <f t="shared" si="13"/>
        <v>0.0</v>
      </c>
      <c r="AX21" s="21" t="str">
        <f t="shared" si="13"/>
        <v>0.0</v>
      </c>
      <c r="AY21" s="21" t="str">
        <f t="shared" si="13"/>
        <v>0.0</v>
      </c>
      <c r="AZ21" s="21" t="str">
        <f t="shared" si="13"/>
        <v>0.0</v>
      </c>
      <c r="BA21" s="21" t="str">
        <f t="shared" si="13"/>
        <v>0.0</v>
      </c>
      <c r="BB21" s="21" t="str">
        <f t="shared" si="13"/>
        <v>0.0</v>
      </c>
      <c r="BC21" s="21" t="str">
        <f t="shared" si="13"/>
        <v>0.0</v>
      </c>
      <c r="BD21" s="21" t="str">
        <f t="shared" si="13"/>
        <v>0.0</v>
      </c>
      <c r="BE21" s="21" t="str">
        <f t="shared" si="13"/>
        <v>0.0</v>
      </c>
      <c r="BF21" s="21" t="str">
        <f t="shared" si="13"/>
        <v>0.0</v>
      </c>
      <c r="BG21" s="21" t="str">
        <f t="shared" si="13"/>
        <v>0.0</v>
      </c>
      <c r="BH21" s="21" t="str">
        <f t="shared" si="13"/>
        <v>0.0</v>
      </c>
      <c r="BI21" s="21" t="str">
        <f t="shared" si="13"/>
        <v>0.0</v>
      </c>
      <c r="BJ21" s="21" t="str">
        <f t="shared" si="13"/>
        <v>0.0</v>
      </c>
      <c r="BK21" s="21" t="str">
        <f t="shared" si="13"/>
        <v>0.0</v>
      </c>
      <c r="BL21" s="21" t="str">
        <f t="shared" si="13"/>
        <v>0.0</v>
      </c>
      <c r="BM21" s="21" t="str">
        <f t="shared" si="13"/>
        <v>0.0</v>
      </c>
      <c r="BN21" s="23">
        <f t="shared" si="8"/>
        <v>15656.85</v>
      </c>
      <c r="BO21" s="24" t="str">
        <f t="shared" si="12"/>
        <v>0.0</v>
      </c>
      <c r="BP21" s="16" t="str">
        <f t="shared" si="12"/>
        <v>0.0</v>
      </c>
      <c r="BQ21" s="16" t="str">
        <f t="shared" si="12"/>
        <v>0.0</v>
      </c>
      <c r="BR21" s="16" t="str">
        <f t="shared" si="12"/>
        <v>0.0</v>
      </c>
      <c r="BS21" s="16">
        <f t="shared" si="12"/>
        <v>0</v>
      </c>
      <c r="BT21" s="16" t="str">
        <f t="shared" si="12"/>
        <v>0.0</v>
      </c>
      <c r="BU21" s="16" t="str">
        <f t="shared" si="12"/>
        <v>0.0</v>
      </c>
      <c r="BV21" s="16" t="str">
        <f t="shared" si="12"/>
        <v>0.0</v>
      </c>
      <c r="BW21" s="35" t="str">
        <f t="shared" si="12"/>
        <v>0.0</v>
      </c>
      <c r="BX21" s="35" t="str">
        <f t="shared" si="12"/>
        <v>0.0</v>
      </c>
      <c r="BY21" s="16" t="str">
        <f t="shared" si="12"/>
        <v>0.0</v>
      </c>
      <c r="BZ21" s="35" t="str">
        <f t="shared" si="12"/>
        <v>0.0</v>
      </c>
      <c r="CA21" s="35" t="str">
        <f t="shared" si="12"/>
        <v>0.0</v>
      </c>
      <c r="CB21" s="35" t="str">
        <f t="shared" si="12"/>
        <v>0.0</v>
      </c>
      <c r="CC21" s="35" t="str">
        <f t="shared" si="12"/>
        <v>0.0</v>
      </c>
      <c r="CD21" s="35" t="str">
        <f t="shared" si="12"/>
        <v>0.0</v>
      </c>
      <c r="CE21" s="35" t="str">
        <f t="shared" si="12"/>
        <v>0.0</v>
      </c>
      <c r="CF21" s="35" t="str">
        <f t="shared" si="12"/>
        <v>0.0</v>
      </c>
      <c r="CG21" s="35" t="str">
        <f t="shared" si="5"/>
        <v>0.0</v>
      </c>
      <c r="CH21" s="35" t="str">
        <f t="shared" si="5"/>
        <v>0.0</v>
      </c>
      <c r="CI21" s="35" t="str">
        <f t="shared" si="5"/>
        <v>0.0</v>
      </c>
      <c r="CJ21" s="35" t="str">
        <f t="shared" si="14"/>
        <v>0.0</v>
      </c>
      <c r="CK21" s="35" t="str">
        <f t="shared" si="14"/>
        <v>0.0</v>
      </c>
      <c r="CL21" s="35" t="str">
        <f t="shared" si="14"/>
        <v>0.0</v>
      </c>
      <c r="CM21" s="35" t="str">
        <f t="shared" si="14"/>
        <v>0.0</v>
      </c>
      <c r="CN21" s="35" t="str">
        <f t="shared" si="14"/>
        <v>0.0</v>
      </c>
      <c r="CO21" s="35" t="str">
        <f t="shared" si="14"/>
        <v>0.0</v>
      </c>
      <c r="CP21" s="35" t="str">
        <f t="shared" si="14"/>
        <v>0.0</v>
      </c>
      <c r="CQ21" s="35" t="str">
        <f t="shared" si="14"/>
        <v>0.0</v>
      </c>
      <c r="CR21" s="35" t="str">
        <f t="shared" si="14"/>
        <v>0.0</v>
      </c>
      <c r="CS21" s="35" t="str">
        <f t="shared" si="14"/>
        <v>0.0</v>
      </c>
      <c r="CT21" s="35" t="str">
        <f t="shared" si="14"/>
        <v>0.0</v>
      </c>
      <c r="CU21" s="35" t="str">
        <f t="shared" si="14"/>
        <v>0.0</v>
      </c>
      <c r="CV21" s="35" t="str">
        <f t="shared" si="14"/>
        <v>0.0</v>
      </c>
      <c r="CW21" s="35" t="str">
        <f t="shared" si="14"/>
        <v>0.0</v>
      </c>
      <c r="CX21" s="35" t="str">
        <f t="shared" si="14"/>
        <v>0.0</v>
      </c>
      <c r="CY21" s="35" t="str">
        <f t="shared" si="14"/>
        <v>0.0</v>
      </c>
      <c r="CZ21" s="35" t="str">
        <f t="shared" si="14"/>
        <v>0.0</v>
      </c>
      <c r="DA21" s="35" t="str">
        <f t="shared" si="14"/>
        <v>0.0</v>
      </c>
      <c r="DB21" s="35" t="str">
        <f t="shared" si="14"/>
        <v>0.0</v>
      </c>
      <c r="DC21" s="35" t="str">
        <f t="shared" si="14"/>
        <v>0.0</v>
      </c>
      <c r="DD21" s="35" t="str">
        <f t="shared" si="14"/>
        <v>0.0</v>
      </c>
      <c r="DE21" s="35" t="str">
        <f t="shared" si="14"/>
        <v>0.0</v>
      </c>
      <c r="DF21" s="35" t="str">
        <f t="shared" si="14"/>
        <v>0.0</v>
      </c>
      <c r="DG21" s="35" t="str">
        <f t="shared" si="14"/>
        <v>0.0</v>
      </c>
      <c r="DH21" s="35" t="str">
        <f t="shared" si="14"/>
        <v>0.0</v>
      </c>
      <c r="DI21" s="37"/>
      <c r="DJ21" s="23">
        <f t="shared" si="9"/>
        <v>0</v>
      </c>
      <c r="DK21" s="45" t="s">
        <v>109</v>
      </c>
    </row>
    <row r="22" spans="1:115" ht="15.5" thickBot="1">
      <c r="A22" s="187"/>
      <c r="B22" s="393" t="s">
        <v>56</v>
      </c>
      <c r="C22" s="394">
        <v>11265.65</v>
      </c>
      <c r="D22" s="395">
        <v>10.169238619571539</v>
      </c>
      <c r="E22" s="395">
        <v>7.9786608003453159</v>
      </c>
      <c r="F22" s="395">
        <v>8.96153175804249</v>
      </c>
      <c r="G22" s="395">
        <v>1.0404115847478352</v>
      </c>
      <c r="H22" s="394">
        <v>6414.5583715256034</v>
      </c>
      <c r="I22" s="396">
        <f t="shared" si="0"/>
        <v>6261.859123601067</v>
      </c>
      <c r="J22" s="396">
        <f>IF(D22=0,0,(I22-(5.72*9*(4.85*(100-D22)/100+0.1119*D22))))</f>
        <v>5978.9904371788734</v>
      </c>
      <c r="K22" s="397" t="s">
        <v>71</v>
      </c>
      <c r="L22" s="398">
        <v>0</v>
      </c>
      <c r="M22" s="95" t="str">
        <f t="shared" si="7"/>
        <v>1</v>
      </c>
      <c r="N22" s="86">
        <v>15000</v>
      </c>
      <c r="O22" s="87">
        <f t="shared" si="1"/>
        <v>-3734.3500000000004</v>
      </c>
      <c r="P22" s="45"/>
      <c r="Q22" s="45"/>
      <c r="S22" s="21">
        <f t="shared" si="2"/>
        <v>11265.65</v>
      </c>
      <c r="T22" s="21" t="str">
        <f t="shared" si="13"/>
        <v>0.0</v>
      </c>
      <c r="U22" s="21" t="str">
        <f t="shared" si="13"/>
        <v>0.0</v>
      </c>
      <c r="V22" s="21" t="str">
        <f t="shared" si="13"/>
        <v>0.0</v>
      </c>
      <c r="W22" s="21" t="str">
        <f t="shared" si="13"/>
        <v>0.0</v>
      </c>
      <c r="X22" s="21" t="str">
        <f t="shared" si="13"/>
        <v>0.0</v>
      </c>
      <c r="Y22" s="21" t="str">
        <f t="shared" si="13"/>
        <v>0.0</v>
      </c>
      <c r="Z22" s="21" t="str">
        <f t="shared" si="13"/>
        <v>0.0</v>
      </c>
      <c r="AA22" s="21" t="str">
        <f t="shared" si="13"/>
        <v>0.0</v>
      </c>
      <c r="AB22" s="21" t="str">
        <f t="shared" si="13"/>
        <v>0.0</v>
      </c>
      <c r="AC22" s="21" t="str">
        <f t="shared" si="13"/>
        <v>0.0</v>
      </c>
      <c r="AD22" s="21" t="str">
        <f t="shared" si="13"/>
        <v>0.0</v>
      </c>
      <c r="AE22" s="21" t="str">
        <f t="shared" si="13"/>
        <v>0.0</v>
      </c>
      <c r="AF22" s="21" t="str">
        <f t="shared" si="13"/>
        <v>0.0</v>
      </c>
      <c r="AG22" s="21" t="str">
        <f t="shared" si="13"/>
        <v>0.0</v>
      </c>
      <c r="AH22" s="21" t="str">
        <f t="shared" si="13"/>
        <v>0.0</v>
      </c>
      <c r="AI22" s="21" t="str">
        <f t="shared" si="13"/>
        <v>0.0</v>
      </c>
      <c r="AJ22" s="21" t="str">
        <f t="shared" si="13"/>
        <v>0.0</v>
      </c>
      <c r="AK22" s="21" t="str">
        <f t="shared" si="13"/>
        <v>0.0</v>
      </c>
      <c r="AL22" s="21" t="str">
        <f t="shared" si="13"/>
        <v>0.0</v>
      </c>
      <c r="AM22" s="21" t="str">
        <f t="shared" si="13"/>
        <v>0.0</v>
      </c>
      <c r="AN22" s="21" t="str">
        <f t="shared" si="13"/>
        <v>0.0</v>
      </c>
      <c r="AO22" s="21" t="str">
        <f t="shared" si="13"/>
        <v>0.0</v>
      </c>
      <c r="AP22" s="21" t="str">
        <f t="shared" si="13"/>
        <v>0.0</v>
      </c>
      <c r="AQ22" s="21" t="str">
        <f t="shared" si="13"/>
        <v>0.0</v>
      </c>
      <c r="AR22" s="21" t="str">
        <f t="shared" si="13"/>
        <v>0.0</v>
      </c>
      <c r="AS22" s="21" t="str">
        <f t="shared" si="13"/>
        <v>0.0</v>
      </c>
      <c r="AT22" s="21" t="str">
        <f t="shared" si="13"/>
        <v>0.0</v>
      </c>
      <c r="AU22" s="21" t="str">
        <f t="shared" si="13"/>
        <v>0.0</v>
      </c>
      <c r="AV22" s="21" t="str">
        <f t="shared" si="13"/>
        <v>0.0</v>
      </c>
      <c r="AW22" s="21" t="str">
        <f t="shared" si="13"/>
        <v>0.0</v>
      </c>
      <c r="AX22" s="21" t="str">
        <f t="shared" si="13"/>
        <v>0.0</v>
      </c>
      <c r="AY22" s="21" t="str">
        <f t="shared" si="13"/>
        <v>0.0</v>
      </c>
      <c r="AZ22" s="21" t="str">
        <f t="shared" si="13"/>
        <v>0.0</v>
      </c>
      <c r="BA22" s="21" t="str">
        <f t="shared" si="13"/>
        <v>0.0</v>
      </c>
      <c r="BB22" s="21" t="str">
        <f t="shared" si="13"/>
        <v>0.0</v>
      </c>
      <c r="BC22" s="21" t="str">
        <f t="shared" si="13"/>
        <v>0.0</v>
      </c>
      <c r="BD22" s="21" t="str">
        <f t="shared" si="13"/>
        <v>0.0</v>
      </c>
      <c r="BE22" s="21" t="str">
        <f t="shared" si="13"/>
        <v>0.0</v>
      </c>
      <c r="BF22" s="21" t="str">
        <f t="shared" si="13"/>
        <v>0.0</v>
      </c>
      <c r="BG22" s="21" t="str">
        <f t="shared" si="13"/>
        <v>0.0</v>
      </c>
      <c r="BH22" s="21" t="str">
        <f t="shared" si="13"/>
        <v>0.0</v>
      </c>
      <c r="BI22" s="21" t="str">
        <f t="shared" si="13"/>
        <v>0.0</v>
      </c>
      <c r="BJ22" s="21" t="str">
        <f t="shared" si="13"/>
        <v>0.0</v>
      </c>
      <c r="BK22" s="21" t="str">
        <f t="shared" si="13"/>
        <v>0.0</v>
      </c>
      <c r="BL22" s="21" t="str">
        <f t="shared" si="13"/>
        <v>0.0</v>
      </c>
      <c r="BM22" s="21" t="str">
        <f t="shared" si="13"/>
        <v>0.0</v>
      </c>
      <c r="BN22" s="23">
        <f t="shared" si="8"/>
        <v>11265.65</v>
      </c>
      <c r="BO22" s="24">
        <f t="shared" si="12"/>
        <v>0</v>
      </c>
      <c r="BP22" s="16" t="str">
        <f t="shared" si="12"/>
        <v>0.0</v>
      </c>
      <c r="BQ22" s="16" t="str">
        <f t="shared" si="12"/>
        <v>0.0</v>
      </c>
      <c r="BR22" s="16" t="str">
        <f t="shared" si="12"/>
        <v>0.0</v>
      </c>
      <c r="BS22" s="16" t="str">
        <f t="shared" si="12"/>
        <v>0.0</v>
      </c>
      <c r="BT22" s="16" t="str">
        <f t="shared" si="12"/>
        <v>0.0</v>
      </c>
      <c r="BU22" s="16" t="str">
        <f t="shared" si="12"/>
        <v>0.0</v>
      </c>
      <c r="BV22" s="16" t="str">
        <f t="shared" si="12"/>
        <v>0.0</v>
      </c>
      <c r="BW22" s="35" t="str">
        <f t="shared" si="12"/>
        <v>0.0</v>
      </c>
      <c r="BX22" s="35" t="str">
        <f t="shared" si="12"/>
        <v>0.0</v>
      </c>
      <c r="BY22" s="16" t="str">
        <f t="shared" si="12"/>
        <v>0.0</v>
      </c>
      <c r="BZ22" s="35" t="str">
        <f t="shared" si="12"/>
        <v>0.0</v>
      </c>
      <c r="CA22" s="35" t="str">
        <f t="shared" si="12"/>
        <v>0.0</v>
      </c>
      <c r="CB22" s="35" t="str">
        <f t="shared" si="12"/>
        <v>0.0</v>
      </c>
      <c r="CC22" s="35" t="str">
        <f t="shared" si="12"/>
        <v>0.0</v>
      </c>
      <c r="CD22" s="35" t="str">
        <f t="shared" si="12"/>
        <v>0.0</v>
      </c>
      <c r="CE22" s="35" t="str">
        <f t="shared" si="12"/>
        <v>0.0</v>
      </c>
      <c r="CF22" s="35" t="str">
        <f t="shared" si="12"/>
        <v>0.0</v>
      </c>
      <c r="CG22" s="35" t="str">
        <f t="shared" ref="CG22:CV34" si="15">IF($M22=CG$7,$L22,"0.0")</f>
        <v>0.0</v>
      </c>
      <c r="CH22" s="35" t="str">
        <f t="shared" si="15"/>
        <v>0.0</v>
      </c>
      <c r="CI22" s="35" t="str">
        <f t="shared" si="15"/>
        <v>0.0</v>
      </c>
      <c r="CJ22" s="35" t="str">
        <f t="shared" si="15"/>
        <v>0.0</v>
      </c>
      <c r="CK22" s="35" t="str">
        <f t="shared" si="15"/>
        <v>0.0</v>
      </c>
      <c r="CL22" s="35" t="str">
        <f t="shared" si="15"/>
        <v>0.0</v>
      </c>
      <c r="CM22" s="35" t="str">
        <f t="shared" si="15"/>
        <v>0.0</v>
      </c>
      <c r="CN22" s="35" t="str">
        <f t="shared" si="15"/>
        <v>0.0</v>
      </c>
      <c r="CO22" s="35" t="str">
        <f t="shared" si="15"/>
        <v>0.0</v>
      </c>
      <c r="CP22" s="35" t="str">
        <f t="shared" si="15"/>
        <v>0.0</v>
      </c>
      <c r="CQ22" s="35" t="str">
        <f t="shared" si="15"/>
        <v>0.0</v>
      </c>
      <c r="CR22" s="35" t="str">
        <f t="shared" si="15"/>
        <v>0.0</v>
      </c>
      <c r="CS22" s="35" t="str">
        <f t="shared" si="15"/>
        <v>0.0</v>
      </c>
      <c r="CT22" s="35" t="str">
        <f t="shared" si="15"/>
        <v>0.0</v>
      </c>
      <c r="CU22" s="35" t="str">
        <f t="shared" si="15"/>
        <v>0.0</v>
      </c>
      <c r="CV22" s="35" t="str">
        <f t="shared" si="15"/>
        <v>0.0</v>
      </c>
      <c r="CW22" s="35" t="str">
        <f t="shared" si="14"/>
        <v>0.0</v>
      </c>
      <c r="CX22" s="35" t="str">
        <f t="shared" si="14"/>
        <v>0.0</v>
      </c>
      <c r="CY22" s="35" t="str">
        <f t="shared" si="14"/>
        <v>0.0</v>
      </c>
      <c r="CZ22" s="35" t="str">
        <f t="shared" si="14"/>
        <v>0.0</v>
      </c>
      <c r="DA22" s="35" t="str">
        <f t="shared" si="14"/>
        <v>0.0</v>
      </c>
      <c r="DB22" s="35" t="str">
        <f t="shared" si="14"/>
        <v>0.0</v>
      </c>
      <c r="DC22" s="35" t="str">
        <f t="shared" si="14"/>
        <v>0.0</v>
      </c>
      <c r="DD22" s="35" t="str">
        <f t="shared" si="14"/>
        <v>0.0</v>
      </c>
      <c r="DE22" s="35" t="str">
        <f t="shared" si="14"/>
        <v>0.0</v>
      </c>
      <c r="DF22" s="35" t="str">
        <f t="shared" si="14"/>
        <v>0.0</v>
      </c>
      <c r="DG22" s="35" t="str">
        <f t="shared" si="14"/>
        <v>0.0</v>
      </c>
      <c r="DH22" s="35" t="str">
        <f t="shared" si="14"/>
        <v>0.0</v>
      </c>
      <c r="DI22" s="37"/>
      <c r="DJ22" s="23">
        <f t="shared" si="9"/>
        <v>0</v>
      </c>
    </row>
    <row r="23" spans="1:115" ht="18" customHeight="1" thickBot="1">
      <c r="A23" s="187"/>
      <c r="B23" s="420" t="s">
        <v>57</v>
      </c>
      <c r="C23" s="421">
        <v>0</v>
      </c>
      <c r="D23" s="422">
        <v>0</v>
      </c>
      <c r="E23" s="422">
        <v>0</v>
      </c>
      <c r="F23" s="422">
        <v>0</v>
      </c>
      <c r="G23" s="422">
        <v>0</v>
      </c>
      <c r="H23" s="421">
        <v>0</v>
      </c>
      <c r="I23" s="423">
        <f t="shared" si="0"/>
        <v>0</v>
      </c>
      <c r="J23" s="424">
        <f>IF(D23=0,0,(I23-(5.72*9*(5.23*(100-D23)/100+0.1119*D23))))</f>
        <v>0</v>
      </c>
      <c r="K23" s="425" t="s">
        <v>76</v>
      </c>
      <c r="L23" s="426">
        <v>0</v>
      </c>
      <c r="M23" s="95" t="str">
        <f t="shared" si="7"/>
        <v>6</v>
      </c>
      <c r="N23" s="86">
        <v>15000</v>
      </c>
      <c r="O23" s="87">
        <f t="shared" si="1"/>
        <v>-15000</v>
      </c>
      <c r="P23" s="45"/>
      <c r="R23" s="45" t="s">
        <v>109</v>
      </c>
      <c r="S23" s="21" t="str">
        <f t="shared" si="2"/>
        <v>0.0</v>
      </c>
      <c r="T23" s="21" t="str">
        <f t="shared" si="13"/>
        <v>0.0</v>
      </c>
      <c r="U23" s="21" t="str">
        <f t="shared" si="13"/>
        <v>0.0</v>
      </c>
      <c r="V23" s="21" t="str">
        <f t="shared" si="13"/>
        <v>0.0</v>
      </c>
      <c r="W23" s="21" t="str">
        <f t="shared" si="13"/>
        <v>0.0</v>
      </c>
      <c r="X23" s="21">
        <f t="shared" si="13"/>
        <v>0</v>
      </c>
      <c r="Y23" s="21" t="str">
        <f t="shared" si="13"/>
        <v>0.0</v>
      </c>
      <c r="Z23" s="21" t="str">
        <f t="shared" si="13"/>
        <v>0.0</v>
      </c>
      <c r="AA23" s="21" t="str">
        <f t="shared" si="13"/>
        <v>0.0</v>
      </c>
      <c r="AB23" s="21" t="str">
        <f t="shared" si="13"/>
        <v>0.0</v>
      </c>
      <c r="AC23" s="21" t="str">
        <f t="shared" si="13"/>
        <v>0.0</v>
      </c>
      <c r="AD23" s="21" t="str">
        <f t="shared" si="13"/>
        <v>0.0</v>
      </c>
      <c r="AE23" s="21" t="str">
        <f t="shared" si="13"/>
        <v>0.0</v>
      </c>
      <c r="AF23" s="21" t="str">
        <f t="shared" si="13"/>
        <v>0.0</v>
      </c>
      <c r="AG23" s="21" t="str">
        <f t="shared" si="13"/>
        <v>0.0</v>
      </c>
      <c r="AH23" s="21" t="str">
        <f t="shared" si="13"/>
        <v>0.0</v>
      </c>
      <c r="AI23" s="21" t="str">
        <f t="shared" si="13"/>
        <v>0.0</v>
      </c>
      <c r="AJ23" s="21" t="str">
        <f t="shared" si="13"/>
        <v>0.0</v>
      </c>
      <c r="AK23" s="21" t="str">
        <f t="shared" si="13"/>
        <v>0.0</v>
      </c>
      <c r="AL23" s="21" t="str">
        <f t="shared" si="13"/>
        <v>0.0</v>
      </c>
      <c r="AM23" s="21" t="str">
        <f t="shared" si="13"/>
        <v>0.0</v>
      </c>
      <c r="AN23" s="21" t="str">
        <f t="shared" si="13"/>
        <v>0.0</v>
      </c>
      <c r="AO23" s="21" t="str">
        <f t="shared" si="13"/>
        <v>0.0</v>
      </c>
      <c r="AP23" s="21" t="str">
        <f t="shared" si="13"/>
        <v>0.0</v>
      </c>
      <c r="AQ23" s="21" t="str">
        <f t="shared" si="13"/>
        <v>0.0</v>
      </c>
      <c r="AR23" s="21" t="str">
        <f t="shared" si="13"/>
        <v>0.0</v>
      </c>
      <c r="AS23" s="21" t="str">
        <f t="shared" si="13"/>
        <v>0.0</v>
      </c>
      <c r="AT23" s="21" t="str">
        <f t="shared" si="13"/>
        <v>0.0</v>
      </c>
      <c r="AU23" s="21" t="str">
        <f t="shared" si="13"/>
        <v>0.0</v>
      </c>
      <c r="AV23" s="21" t="str">
        <f t="shared" si="13"/>
        <v>0.0</v>
      </c>
      <c r="AW23" s="21" t="str">
        <f t="shared" si="13"/>
        <v>0.0</v>
      </c>
      <c r="AX23" s="21" t="str">
        <f t="shared" si="13"/>
        <v>0.0</v>
      </c>
      <c r="AY23" s="21" t="str">
        <f t="shared" si="13"/>
        <v>0.0</v>
      </c>
      <c r="AZ23" s="21" t="str">
        <f t="shared" si="13"/>
        <v>0.0</v>
      </c>
      <c r="BA23" s="21" t="str">
        <f t="shared" si="13"/>
        <v>0.0</v>
      </c>
      <c r="BB23" s="21" t="str">
        <f t="shared" si="13"/>
        <v>0.0</v>
      </c>
      <c r="BC23" s="21" t="str">
        <f t="shared" si="13"/>
        <v>0.0</v>
      </c>
      <c r="BD23" s="21" t="str">
        <f t="shared" si="13"/>
        <v>0.0</v>
      </c>
      <c r="BE23" s="21" t="str">
        <f t="shared" si="13"/>
        <v>0.0</v>
      </c>
      <c r="BF23" s="21" t="str">
        <f t="shared" si="13"/>
        <v>0.0</v>
      </c>
      <c r="BG23" s="21" t="str">
        <f t="shared" si="13"/>
        <v>0.0</v>
      </c>
      <c r="BH23" s="21" t="str">
        <f t="shared" si="13"/>
        <v>0.0</v>
      </c>
      <c r="BI23" s="21" t="str">
        <f t="shared" si="13"/>
        <v>0.0</v>
      </c>
      <c r="BJ23" s="21" t="str">
        <f t="shared" si="13"/>
        <v>0.0</v>
      </c>
      <c r="BK23" s="21" t="str">
        <f t="shared" si="13"/>
        <v>0.0</v>
      </c>
      <c r="BL23" s="21" t="str">
        <f t="shared" si="13"/>
        <v>0.0</v>
      </c>
      <c r="BM23" s="21" t="str">
        <f t="shared" si="13"/>
        <v>0.0</v>
      </c>
      <c r="BN23" s="23">
        <f t="shared" si="8"/>
        <v>0</v>
      </c>
      <c r="BO23" s="26" t="str">
        <f t="shared" si="12"/>
        <v>0.0</v>
      </c>
      <c r="BP23" s="27" t="str">
        <f t="shared" si="12"/>
        <v>0.0</v>
      </c>
      <c r="BQ23" s="27" t="str">
        <f t="shared" si="12"/>
        <v>0.0</v>
      </c>
      <c r="BR23" s="27" t="str">
        <f t="shared" si="12"/>
        <v>0.0</v>
      </c>
      <c r="BS23" s="27" t="str">
        <f t="shared" si="12"/>
        <v>0.0</v>
      </c>
      <c r="BT23" s="27">
        <f t="shared" si="12"/>
        <v>0</v>
      </c>
      <c r="BU23" s="27" t="str">
        <f t="shared" si="12"/>
        <v>0.0</v>
      </c>
      <c r="BV23" s="27" t="str">
        <f t="shared" si="12"/>
        <v>0.0</v>
      </c>
      <c r="BW23" s="36" t="str">
        <f t="shared" si="12"/>
        <v>0.0</v>
      </c>
      <c r="BX23" s="36" t="str">
        <f t="shared" si="12"/>
        <v>0.0</v>
      </c>
      <c r="BY23" s="17" t="str">
        <f t="shared" si="12"/>
        <v>0.0</v>
      </c>
      <c r="BZ23" s="36" t="str">
        <f t="shared" si="12"/>
        <v>0.0</v>
      </c>
      <c r="CA23" s="36" t="str">
        <f t="shared" si="12"/>
        <v>0.0</v>
      </c>
      <c r="CB23" s="36" t="str">
        <f t="shared" si="12"/>
        <v>0.0</v>
      </c>
      <c r="CC23" s="36" t="str">
        <f t="shared" si="12"/>
        <v>0.0</v>
      </c>
      <c r="CD23" s="36" t="str">
        <f t="shared" si="12"/>
        <v>0.0</v>
      </c>
      <c r="CE23" s="17" t="str">
        <f t="shared" si="12"/>
        <v>0.0</v>
      </c>
      <c r="CF23" s="17" t="str">
        <f t="shared" si="12"/>
        <v>0.0</v>
      </c>
      <c r="CG23" s="17" t="str">
        <f t="shared" si="15"/>
        <v>0.0</v>
      </c>
      <c r="CH23" s="17" t="str">
        <f t="shared" si="15"/>
        <v>0.0</v>
      </c>
      <c r="CI23" s="17" t="str">
        <f t="shared" si="15"/>
        <v>0.0</v>
      </c>
      <c r="CJ23" s="17" t="str">
        <f t="shared" si="14"/>
        <v>0.0</v>
      </c>
      <c r="CK23" s="17" t="str">
        <f t="shared" si="14"/>
        <v>0.0</v>
      </c>
      <c r="CL23" s="17" t="str">
        <f t="shared" si="14"/>
        <v>0.0</v>
      </c>
      <c r="CM23" s="17" t="str">
        <f t="shared" si="14"/>
        <v>0.0</v>
      </c>
      <c r="CN23" s="17" t="str">
        <f t="shared" si="14"/>
        <v>0.0</v>
      </c>
      <c r="CO23" s="17" t="str">
        <f t="shared" si="14"/>
        <v>0.0</v>
      </c>
      <c r="CP23" s="17" t="str">
        <f t="shared" si="14"/>
        <v>0.0</v>
      </c>
      <c r="CQ23" s="17" t="str">
        <f t="shared" si="14"/>
        <v>0.0</v>
      </c>
      <c r="CR23" s="17" t="str">
        <f t="shared" si="14"/>
        <v>0.0</v>
      </c>
      <c r="CS23" s="17" t="str">
        <f t="shared" si="14"/>
        <v>0.0</v>
      </c>
      <c r="CT23" s="17" t="str">
        <f t="shared" si="14"/>
        <v>0.0</v>
      </c>
      <c r="CU23" s="17" t="str">
        <f t="shared" si="14"/>
        <v>0.0</v>
      </c>
      <c r="CV23" s="17" t="str">
        <f t="shared" si="14"/>
        <v>0.0</v>
      </c>
      <c r="CW23" s="17" t="str">
        <f t="shared" si="14"/>
        <v>0.0</v>
      </c>
      <c r="CX23" s="17" t="str">
        <f t="shared" si="14"/>
        <v>0.0</v>
      </c>
      <c r="CY23" s="17" t="str">
        <f t="shared" si="14"/>
        <v>0.0</v>
      </c>
      <c r="CZ23" s="17" t="str">
        <f t="shared" si="14"/>
        <v>0.0</v>
      </c>
      <c r="DA23" s="17" t="str">
        <f t="shared" si="14"/>
        <v>0.0</v>
      </c>
      <c r="DB23" s="17" t="str">
        <f t="shared" si="14"/>
        <v>0.0</v>
      </c>
      <c r="DC23" s="17" t="str">
        <f t="shared" si="14"/>
        <v>0.0</v>
      </c>
      <c r="DD23" s="17" t="str">
        <f t="shared" si="14"/>
        <v>0.0</v>
      </c>
      <c r="DE23" s="17" t="str">
        <f t="shared" si="14"/>
        <v>0.0</v>
      </c>
      <c r="DF23" s="17" t="str">
        <f t="shared" si="14"/>
        <v>0.0</v>
      </c>
      <c r="DG23" s="17" t="str">
        <f t="shared" si="14"/>
        <v>0.0</v>
      </c>
      <c r="DH23" s="17" t="str">
        <f t="shared" si="14"/>
        <v>0.0</v>
      </c>
      <c r="DI23" s="17"/>
      <c r="DJ23" s="23">
        <f t="shared" si="9"/>
        <v>0</v>
      </c>
    </row>
    <row r="24" spans="1:115" ht="15.5" thickBot="1">
      <c r="A24" s="187"/>
      <c r="B24" s="445" t="s">
        <v>43</v>
      </c>
      <c r="C24" s="446">
        <v>5950</v>
      </c>
      <c r="D24" s="447">
        <v>49.289992004974678</v>
      </c>
      <c r="E24" s="447">
        <v>21.213368570667143</v>
      </c>
      <c r="F24" s="447">
        <v>5.9100559651772233</v>
      </c>
      <c r="G24" s="447">
        <v>0.49667495780403303</v>
      </c>
      <c r="H24" s="446">
        <v>4873.6597672559301</v>
      </c>
      <c r="I24" s="448">
        <f t="shared" ref="I24:I33" si="16">H24*(100-D24)/(100-E24)</f>
        <v>3136.8687971417462</v>
      </c>
      <c r="J24" s="449">
        <f>IF(D24=0,0,(I24-(5.72*9*(5.08*(100-D24)/100+0.1119*D24))))</f>
        <v>2720.3122761695226</v>
      </c>
      <c r="K24" s="450" t="s">
        <v>158</v>
      </c>
      <c r="L24" s="451">
        <v>7505</v>
      </c>
      <c r="M24" s="95" t="str">
        <f t="shared" si="7"/>
        <v>42</v>
      </c>
      <c r="N24" s="86">
        <v>24000</v>
      </c>
      <c r="O24" s="87">
        <f t="shared" si="1"/>
        <v>-18050</v>
      </c>
      <c r="P24" s="45"/>
      <c r="S24" s="21" t="str">
        <f t="shared" si="2"/>
        <v>0.0</v>
      </c>
      <c r="T24" s="21" t="str">
        <f t="shared" si="13"/>
        <v>0.0</v>
      </c>
      <c r="U24" s="21" t="str">
        <f t="shared" si="13"/>
        <v>0.0</v>
      </c>
      <c r="V24" s="21" t="str">
        <f t="shared" si="13"/>
        <v>0.0</v>
      </c>
      <c r="W24" s="21" t="str">
        <f t="shared" si="13"/>
        <v>0.0</v>
      </c>
      <c r="X24" s="21" t="str">
        <f t="shared" si="13"/>
        <v>0.0</v>
      </c>
      <c r="Y24" s="21" t="str">
        <f t="shared" si="13"/>
        <v>0.0</v>
      </c>
      <c r="Z24" s="21" t="str">
        <f t="shared" si="13"/>
        <v>0.0</v>
      </c>
      <c r="AA24" s="21" t="str">
        <f t="shared" si="13"/>
        <v>0.0</v>
      </c>
      <c r="AB24" s="21" t="str">
        <f t="shared" si="13"/>
        <v>0.0</v>
      </c>
      <c r="AC24" s="21" t="str">
        <f t="shared" si="13"/>
        <v>0.0</v>
      </c>
      <c r="AD24" s="21" t="str">
        <f t="shared" si="13"/>
        <v>0.0</v>
      </c>
      <c r="AE24" s="21" t="str">
        <f t="shared" si="13"/>
        <v>0.0</v>
      </c>
      <c r="AF24" s="21" t="str">
        <f t="shared" si="13"/>
        <v>0.0</v>
      </c>
      <c r="AG24" s="21" t="str">
        <f t="shared" si="13"/>
        <v>0.0</v>
      </c>
      <c r="AH24" s="21" t="str">
        <f t="shared" si="13"/>
        <v>0.0</v>
      </c>
      <c r="AI24" s="21" t="str">
        <f t="shared" si="13"/>
        <v>0.0</v>
      </c>
      <c r="AJ24" s="21" t="str">
        <f t="shared" si="13"/>
        <v>0.0</v>
      </c>
      <c r="AK24" s="21" t="str">
        <f t="shared" si="13"/>
        <v>0.0</v>
      </c>
      <c r="AL24" s="21" t="str">
        <f t="shared" si="13"/>
        <v>0.0</v>
      </c>
      <c r="AM24" s="21" t="str">
        <f t="shared" si="13"/>
        <v>0.0</v>
      </c>
      <c r="AN24" s="21" t="str">
        <f t="shared" si="13"/>
        <v>0.0</v>
      </c>
      <c r="AO24" s="21" t="str">
        <f t="shared" si="13"/>
        <v>0.0</v>
      </c>
      <c r="AP24" s="21" t="str">
        <f t="shared" si="13"/>
        <v>0.0</v>
      </c>
      <c r="AQ24" s="21" t="str">
        <f t="shared" si="13"/>
        <v>0.0</v>
      </c>
      <c r="AR24" s="21" t="str">
        <f t="shared" si="13"/>
        <v>0.0</v>
      </c>
      <c r="AS24" s="21" t="str">
        <f t="shared" si="13"/>
        <v>0.0</v>
      </c>
      <c r="AT24" s="21" t="str">
        <f t="shared" si="13"/>
        <v>0.0</v>
      </c>
      <c r="AU24" s="21" t="str">
        <f t="shared" si="13"/>
        <v>0.0</v>
      </c>
      <c r="AV24" s="21" t="str">
        <f t="shared" si="13"/>
        <v>0.0</v>
      </c>
      <c r="AW24" s="21" t="str">
        <f t="shared" si="13"/>
        <v>0.0</v>
      </c>
      <c r="AX24" s="21" t="str">
        <f t="shared" si="13"/>
        <v>0.0</v>
      </c>
      <c r="AY24" s="21" t="str">
        <f t="shared" si="13"/>
        <v>0.0</v>
      </c>
      <c r="AZ24" s="21" t="str">
        <f t="shared" si="13"/>
        <v>0.0</v>
      </c>
      <c r="BA24" s="21" t="str">
        <f t="shared" si="13"/>
        <v>0.0</v>
      </c>
      <c r="BB24" s="21" t="str">
        <f t="shared" si="13"/>
        <v>0.0</v>
      </c>
      <c r="BC24" s="21" t="str">
        <f t="shared" si="13"/>
        <v>0.0</v>
      </c>
      <c r="BD24" s="21" t="str">
        <f t="shared" si="13"/>
        <v>0.0</v>
      </c>
      <c r="BE24" s="21" t="str">
        <f t="shared" si="13"/>
        <v>0.0</v>
      </c>
      <c r="BF24" s="21" t="str">
        <f t="shared" si="13"/>
        <v>0.0</v>
      </c>
      <c r="BG24" s="21" t="str">
        <f t="shared" si="13"/>
        <v>0.0</v>
      </c>
      <c r="BH24" s="21">
        <f t="shared" si="13"/>
        <v>5950</v>
      </c>
      <c r="BI24" s="21" t="str">
        <f t="shared" si="13"/>
        <v>0.0</v>
      </c>
      <c r="BJ24" s="21" t="str">
        <f t="shared" si="13"/>
        <v>0.0</v>
      </c>
      <c r="BK24" s="21" t="str">
        <f t="shared" si="13"/>
        <v>0.0</v>
      </c>
      <c r="BL24" s="21" t="str">
        <f t="shared" ref="T24:BM30" si="17">IF($M24=BL$7,$C24,"0.0")</f>
        <v>0.0</v>
      </c>
      <c r="BM24" s="21" t="str">
        <f t="shared" si="17"/>
        <v>0.0</v>
      </c>
      <c r="BN24" s="23">
        <f t="shared" si="8"/>
        <v>0</v>
      </c>
      <c r="BO24" s="21" t="str">
        <f t="shared" si="12"/>
        <v>0.0</v>
      </c>
      <c r="BP24" s="22" t="str">
        <f t="shared" si="12"/>
        <v>0.0</v>
      </c>
      <c r="BQ24" s="22" t="str">
        <f t="shared" si="12"/>
        <v>0.0</v>
      </c>
      <c r="BR24" s="22" t="str">
        <f t="shared" si="12"/>
        <v>0.0</v>
      </c>
      <c r="BS24" s="22" t="str">
        <f t="shared" si="12"/>
        <v>0.0</v>
      </c>
      <c r="BT24" s="22" t="str">
        <f t="shared" si="12"/>
        <v>0.0</v>
      </c>
      <c r="BU24" s="22" t="str">
        <f t="shared" si="12"/>
        <v>0.0</v>
      </c>
      <c r="BV24" s="22" t="str">
        <f t="shared" si="12"/>
        <v>0.0</v>
      </c>
      <c r="BW24" s="37" t="str">
        <f t="shared" si="12"/>
        <v>0.0</v>
      </c>
      <c r="BX24" s="37" t="str">
        <f t="shared" si="12"/>
        <v>0.0</v>
      </c>
      <c r="BY24" s="44" t="str">
        <f t="shared" si="12"/>
        <v>0.0</v>
      </c>
      <c r="BZ24" s="37" t="str">
        <f t="shared" si="12"/>
        <v>0.0</v>
      </c>
      <c r="CA24" s="37" t="str">
        <f t="shared" si="12"/>
        <v>0.0</v>
      </c>
      <c r="CB24" s="37" t="str">
        <f t="shared" si="12"/>
        <v>0.0</v>
      </c>
      <c r="CC24" s="37" t="str">
        <f t="shared" si="12"/>
        <v>0.0</v>
      </c>
      <c r="CD24" s="37" t="str">
        <f t="shared" si="12"/>
        <v>0.0</v>
      </c>
      <c r="CE24" s="37" t="str">
        <f t="shared" si="12"/>
        <v>0.0</v>
      </c>
      <c r="CF24" s="37" t="str">
        <f t="shared" si="12"/>
        <v>0.0</v>
      </c>
      <c r="CG24" s="37" t="str">
        <f t="shared" si="15"/>
        <v>0.0</v>
      </c>
      <c r="CH24" s="37" t="str">
        <f t="shared" si="15"/>
        <v>0.0</v>
      </c>
      <c r="CI24" s="37" t="str">
        <f t="shared" si="15"/>
        <v>0.0</v>
      </c>
      <c r="CJ24" s="37" t="str">
        <f t="shared" si="14"/>
        <v>0.0</v>
      </c>
      <c r="CK24" s="37" t="str">
        <f t="shared" si="14"/>
        <v>0.0</v>
      </c>
      <c r="CL24" s="37" t="str">
        <f t="shared" si="14"/>
        <v>0.0</v>
      </c>
      <c r="CM24" s="37" t="str">
        <f t="shared" si="14"/>
        <v>0.0</v>
      </c>
      <c r="CN24" s="37" t="str">
        <f t="shared" si="14"/>
        <v>0.0</v>
      </c>
      <c r="CO24" s="37" t="str">
        <f t="shared" si="14"/>
        <v>0.0</v>
      </c>
      <c r="CP24" s="37" t="str">
        <f t="shared" si="14"/>
        <v>0.0</v>
      </c>
      <c r="CQ24" s="37" t="str">
        <f t="shared" si="14"/>
        <v>0.0</v>
      </c>
      <c r="CR24" s="37" t="str">
        <f t="shared" si="14"/>
        <v>0.0</v>
      </c>
      <c r="CS24" s="37" t="str">
        <f t="shared" si="14"/>
        <v>0.0</v>
      </c>
      <c r="CT24" s="37" t="str">
        <f t="shared" si="14"/>
        <v>0.0</v>
      </c>
      <c r="CU24" s="37" t="str">
        <f t="shared" si="14"/>
        <v>0.0</v>
      </c>
      <c r="CV24" s="37" t="str">
        <f t="shared" si="14"/>
        <v>0.0</v>
      </c>
      <c r="CW24" s="37" t="str">
        <f t="shared" si="14"/>
        <v>0.0</v>
      </c>
      <c r="CX24" s="37" t="str">
        <f t="shared" si="14"/>
        <v>0.0</v>
      </c>
      <c r="CY24" s="37" t="str">
        <f t="shared" si="14"/>
        <v>0.0</v>
      </c>
      <c r="CZ24" s="37" t="str">
        <f t="shared" si="14"/>
        <v>0.0</v>
      </c>
      <c r="DA24" s="37" t="str">
        <f t="shared" si="14"/>
        <v>0.0</v>
      </c>
      <c r="DB24" s="37" t="str">
        <f t="shared" si="14"/>
        <v>0.0</v>
      </c>
      <c r="DC24" s="37" t="str">
        <f t="shared" si="14"/>
        <v>0.0</v>
      </c>
      <c r="DD24" s="37">
        <f t="shared" si="14"/>
        <v>7505</v>
      </c>
      <c r="DE24" s="37" t="str">
        <f t="shared" si="14"/>
        <v>0.0</v>
      </c>
      <c r="DF24" s="37" t="str">
        <f t="shared" si="14"/>
        <v>0.0</v>
      </c>
      <c r="DG24" s="37" t="str">
        <f t="shared" si="14"/>
        <v>0.0</v>
      </c>
      <c r="DH24" s="37" t="str">
        <f t="shared" si="14"/>
        <v>0.0</v>
      </c>
      <c r="DI24" s="37"/>
      <c r="DJ24" s="23">
        <f t="shared" si="9"/>
        <v>0</v>
      </c>
    </row>
    <row r="25" spans="1:115" ht="15.5" thickBot="1">
      <c r="A25" s="187"/>
      <c r="B25" s="414" t="s">
        <v>44</v>
      </c>
      <c r="C25" s="415">
        <v>0</v>
      </c>
      <c r="D25" s="416">
        <v>0</v>
      </c>
      <c r="E25" s="416">
        <v>0</v>
      </c>
      <c r="F25" s="416">
        <v>0</v>
      </c>
      <c r="G25" s="416">
        <v>0</v>
      </c>
      <c r="H25" s="415">
        <v>0</v>
      </c>
      <c r="I25" s="417">
        <f t="shared" si="16"/>
        <v>0</v>
      </c>
      <c r="J25" s="417">
        <f>IF(D25=0,0,(I25-(5.72*9*(5.16*(100-D25)/100+0.1119*D25))))</f>
        <v>0</v>
      </c>
      <c r="K25" s="418" t="s">
        <v>158</v>
      </c>
      <c r="L25" s="419">
        <v>0</v>
      </c>
      <c r="M25" s="95" t="str">
        <f t="shared" si="7"/>
        <v>42</v>
      </c>
      <c r="N25" s="86">
        <v>24000</v>
      </c>
      <c r="O25" s="87">
        <f t="shared" si="1"/>
        <v>-24000</v>
      </c>
      <c r="P25" s="45"/>
      <c r="S25" s="21" t="str">
        <f t="shared" si="2"/>
        <v>0.0</v>
      </c>
      <c r="T25" s="21" t="str">
        <f t="shared" si="17"/>
        <v>0.0</v>
      </c>
      <c r="U25" s="21" t="str">
        <f t="shared" si="17"/>
        <v>0.0</v>
      </c>
      <c r="V25" s="21" t="str">
        <f t="shared" si="17"/>
        <v>0.0</v>
      </c>
      <c r="W25" s="21" t="str">
        <f t="shared" si="17"/>
        <v>0.0</v>
      </c>
      <c r="X25" s="21" t="str">
        <f t="shared" si="17"/>
        <v>0.0</v>
      </c>
      <c r="Y25" s="21" t="str">
        <f t="shared" si="17"/>
        <v>0.0</v>
      </c>
      <c r="Z25" s="21" t="str">
        <f t="shared" si="17"/>
        <v>0.0</v>
      </c>
      <c r="AA25" s="21" t="str">
        <f t="shared" si="17"/>
        <v>0.0</v>
      </c>
      <c r="AB25" s="21" t="str">
        <f t="shared" si="17"/>
        <v>0.0</v>
      </c>
      <c r="AC25" s="21" t="str">
        <f t="shared" si="17"/>
        <v>0.0</v>
      </c>
      <c r="AD25" s="21" t="str">
        <f t="shared" si="17"/>
        <v>0.0</v>
      </c>
      <c r="AE25" s="21" t="str">
        <f t="shared" si="17"/>
        <v>0.0</v>
      </c>
      <c r="AF25" s="21" t="str">
        <f t="shared" si="17"/>
        <v>0.0</v>
      </c>
      <c r="AG25" s="21" t="str">
        <f t="shared" si="17"/>
        <v>0.0</v>
      </c>
      <c r="AH25" s="21" t="str">
        <f t="shared" si="17"/>
        <v>0.0</v>
      </c>
      <c r="AI25" s="21" t="str">
        <f t="shared" si="17"/>
        <v>0.0</v>
      </c>
      <c r="AJ25" s="21" t="str">
        <f t="shared" si="17"/>
        <v>0.0</v>
      </c>
      <c r="AK25" s="21" t="str">
        <f t="shared" si="17"/>
        <v>0.0</v>
      </c>
      <c r="AL25" s="21" t="str">
        <f t="shared" si="17"/>
        <v>0.0</v>
      </c>
      <c r="AM25" s="21" t="str">
        <f t="shared" si="17"/>
        <v>0.0</v>
      </c>
      <c r="AN25" s="21" t="str">
        <f t="shared" si="17"/>
        <v>0.0</v>
      </c>
      <c r="AO25" s="21" t="str">
        <f t="shared" si="17"/>
        <v>0.0</v>
      </c>
      <c r="AP25" s="21" t="str">
        <f t="shared" si="17"/>
        <v>0.0</v>
      </c>
      <c r="AQ25" s="21" t="str">
        <f t="shared" si="17"/>
        <v>0.0</v>
      </c>
      <c r="AR25" s="21" t="str">
        <f t="shared" si="17"/>
        <v>0.0</v>
      </c>
      <c r="AS25" s="21" t="str">
        <f t="shared" si="17"/>
        <v>0.0</v>
      </c>
      <c r="AT25" s="21" t="str">
        <f t="shared" si="17"/>
        <v>0.0</v>
      </c>
      <c r="AU25" s="21" t="str">
        <f t="shared" si="17"/>
        <v>0.0</v>
      </c>
      <c r="AV25" s="21" t="str">
        <f t="shared" si="17"/>
        <v>0.0</v>
      </c>
      <c r="AW25" s="21" t="str">
        <f t="shared" si="17"/>
        <v>0.0</v>
      </c>
      <c r="AX25" s="21" t="str">
        <f t="shared" si="17"/>
        <v>0.0</v>
      </c>
      <c r="AY25" s="21" t="str">
        <f t="shared" si="17"/>
        <v>0.0</v>
      </c>
      <c r="AZ25" s="21" t="str">
        <f t="shared" si="17"/>
        <v>0.0</v>
      </c>
      <c r="BA25" s="21" t="str">
        <f t="shared" si="17"/>
        <v>0.0</v>
      </c>
      <c r="BB25" s="21" t="str">
        <f t="shared" si="17"/>
        <v>0.0</v>
      </c>
      <c r="BC25" s="21" t="str">
        <f t="shared" si="17"/>
        <v>0.0</v>
      </c>
      <c r="BD25" s="21" t="str">
        <f t="shared" si="17"/>
        <v>0.0</v>
      </c>
      <c r="BE25" s="21" t="str">
        <f t="shared" si="17"/>
        <v>0.0</v>
      </c>
      <c r="BF25" s="21" t="str">
        <f t="shared" si="17"/>
        <v>0.0</v>
      </c>
      <c r="BG25" s="21" t="str">
        <f t="shared" si="17"/>
        <v>0.0</v>
      </c>
      <c r="BH25" s="21">
        <f t="shared" si="17"/>
        <v>0</v>
      </c>
      <c r="BI25" s="21" t="str">
        <f t="shared" si="17"/>
        <v>0.0</v>
      </c>
      <c r="BJ25" s="21" t="str">
        <f t="shared" si="17"/>
        <v>0.0</v>
      </c>
      <c r="BK25" s="21" t="str">
        <f t="shared" si="17"/>
        <v>0.0</v>
      </c>
      <c r="BL25" s="21" t="str">
        <f t="shared" si="17"/>
        <v>0.0</v>
      </c>
      <c r="BM25" s="21" t="str">
        <f t="shared" si="17"/>
        <v>0.0</v>
      </c>
      <c r="BN25" s="23">
        <f t="shared" si="8"/>
        <v>0</v>
      </c>
      <c r="BO25" s="24" t="str">
        <f t="shared" si="12"/>
        <v>0.0</v>
      </c>
      <c r="BP25" s="16" t="str">
        <f t="shared" si="12"/>
        <v>0.0</v>
      </c>
      <c r="BQ25" s="16" t="str">
        <f t="shared" si="12"/>
        <v>0.0</v>
      </c>
      <c r="BR25" s="16" t="str">
        <f t="shared" si="12"/>
        <v>0.0</v>
      </c>
      <c r="BS25" s="16" t="str">
        <f t="shared" si="12"/>
        <v>0.0</v>
      </c>
      <c r="BT25" s="16" t="str">
        <f t="shared" si="12"/>
        <v>0.0</v>
      </c>
      <c r="BU25" s="16" t="str">
        <f t="shared" si="12"/>
        <v>0.0</v>
      </c>
      <c r="BV25" s="16" t="str">
        <f t="shared" si="12"/>
        <v>0.0</v>
      </c>
      <c r="BW25" s="35" t="str">
        <f t="shared" si="12"/>
        <v>0.0</v>
      </c>
      <c r="BX25" s="35" t="str">
        <f t="shared" si="12"/>
        <v>0.0</v>
      </c>
      <c r="BY25" s="16" t="str">
        <f t="shared" si="12"/>
        <v>0.0</v>
      </c>
      <c r="BZ25" s="35" t="str">
        <f t="shared" si="12"/>
        <v>0.0</v>
      </c>
      <c r="CA25" s="35" t="str">
        <f t="shared" si="12"/>
        <v>0.0</v>
      </c>
      <c r="CB25" s="35" t="str">
        <f t="shared" si="12"/>
        <v>0.0</v>
      </c>
      <c r="CC25" s="35" t="str">
        <f t="shared" si="12"/>
        <v>0.0</v>
      </c>
      <c r="CD25" s="35" t="str">
        <f t="shared" si="12"/>
        <v>0.0</v>
      </c>
      <c r="CE25" s="35" t="str">
        <f t="shared" si="12"/>
        <v>0.0</v>
      </c>
      <c r="CF25" s="35" t="str">
        <f t="shared" si="12"/>
        <v>0.0</v>
      </c>
      <c r="CG25" s="35" t="str">
        <f t="shared" si="15"/>
        <v>0.0</v>
      </c>
      <c r="CH25" s="35" t="str">
        <f t="shared" si="15"/>
        <v>0.0</v>
      </c>
      <c r="CI25" s="35" t="str">
        <f t="shared" si="15"/>
        <v>0.0</v>
      </c>
      <c r="CJ25" s="35" t="str">
        <f t="shared" si="14"/>
        <v>0.0</v>
      </c>
      <c r="CK25" s="35" t="str">
        <f t="shared" si="14"/>
        <v>0.0</v>
      </c>
      <c r="CL25" s="35" t="str">
        <f t="shared" si="14"/>
        <v>0.0</v>
      </c>
      <c r="CM25" s="35" t="str">
        <f t="shared" si="14"/>
        <v>0.0</v>
      </c>
      <c r="CN25" s="35" t="str">
        <f t="shared" si="14"/>
        <v>0.0</v>
      </c>
      <c r="CO25" s="35" t="str">
        <f t="shared" si="14"/>
        <v>0.0</v>
      </c>
      <c r="CP25" s="35" t="str">
        <f t="shared" si="14"/>
        <v>0.0</v>
      </c>
      <c r="CQ25" s="35" t="str">
        <f t="shared" si="14"/>
        <v>0.0</v>
      </c>
      <c r="CR25" s="35" t="str">
        <f t="shared" si="14"/>
        <v>0.0</v>
      </c>
      <c r="CS25" s="35" t="str">
        <f t="shared" si="14"/>
        <v>0.0</v>
      </c>
      <c r="CT25" s="35" t="str">
        <f t="shared" si="14"/>
        <v>0.0</v>
      </c>
      <c r="CU25" s="35" t="str">
        <f t="shared" si="14"/>
        <v>0.0</v>
      </c>
      <c r="CV25" s="35" t="str">
        <f t="shared" si="14"/>
        <v>0.0</v>
      </c>
      <c r="CW25" s="35" t="str">
        <f t="shared" si="14"/>
        <v>0.0</v>
      </c>
      <c r="CX25" s="35" t="str">
        <f t="shared" si="14"/>
        <v>0.0</v>
      </c>
      <c r="CY25" s="35" t="str">
        <f t="shared" si="14"/>
        <v>0.0</v>
      </c>
      <c r="CZ25" s="35" t="str">
        <f t="shared" si="14"/>
        <v>0.0</v>
      </c>
      <c r="DA25" s="35" t="str">
        <f t="shared" si="14"/>
        <v>0.0</v>
      </c>
      <c r="DB25" s="35" t="str">
        <f t="shared" si="14"/>
        <v>0.0</v>
      </c>
      <c r="DC25" s="35" t="str">
        <f t="shared" si="14"/>
        <v>0.0</v>
      </c>
      <c r="DD25" s="35">
        <f t="shared" si="14"/>
        <v>0</v>
      </c>
      <c r="DE25" s="35" t="str">
        <f t="shared" si="14"/>
        <v>0.0</v>
      </c>
      <c r="DF25" s="35" t="str">
        <f t="shared" si="14"/>
        <v>0.0</v>
      </c>
      <c r="DG25" s="35" t="str">
        <f t="shared" si="14"/>
        <v>0.0</v>
      </c>
      <c r="DH25" s="35" t="str">
        <f t="shared" si="14"/>
        <v>0.0</v>
      </c>
      <c r="DI25" s="37"/>
      <c r="DJ25" s="23">
        <f t="shared" si="9"/>
        <v>0</v>
      </c>
    </row>
    <row r="26" spans="1:115" ht="15.5" thickBot="1">
      <c r="A26" s="187"/>
      <c r="B26" s="414" t="s">
        <v>45</v>
      </c>
      <c r="C26" s="415">
        <v>0</v>
      </c>
      <c r="D26" s="416">
        <v>0</v>
      </c>
      <c r="E26" s="416">
        <v>0</v>
      </c>
      <c r="F26" s="416">
        <v>0</v>
      </c>
      <c r="G26" s="416">
        <v>0</v>
      </c>
      <c r="H26" s="415">
        <v>0</v>
      </c>
      <c r="I26" s="417">
        <f t="shared" si="16"/>
        <v>0</v>
      </c>
      <c r="J26" s="438">
        <f>IF(D26=0,0,(I26-(5.72*9*(5.16*(100-D26)/100+0.1119*D26))))</f>
        <v>0</v>
      </c>
      <c r="K26" s="418" t="s">
        <v>158</v>
      </c>
      <c r="L26" s="419">
        <v>0</v>
      </c>
      <c r="M26" s="95" t="str">
        <f t="shared" si="7"/>
        <v>42</v>
      </c>
      <c r="N26" s="86">
        <v>24000</v>
      </c>
      <c r="O26" s="87">
        <f t="shared" si="1"/>
        <v>-24000</v>
      </c>
      <c r="P26" s="45"/>
      <c r="S26" s="21" t="str">
        <f t="shared" si="2"/>
        <v>0.0</v>
      </c>
      <c r="T26" s="21" t="str">
        <f t="shared" si="17"/>
        <v>0.0</v>
      </c>
      <c r="U26" s="21" t="str">
        <f t="shared" si="17"/>
        <v>0.0</v>
      </c>
      <c r="V26" s="21" t="str">
        <f t="shared" si="17"/>
        <v>0.0</v>
      </c>
      <c r="W26" s="21" t="str">
        <f t="shared" si="17"/>
        <v>0.0</v>
      </c>
      <c r="X26" s="21" t="str">
        <f t="shared" si="17"/>
        <v>0.0</v>
      </c>
      <c r="Y26" s="21" t="str">
        <f t="shared" si="17"/>
        <v>0.0</v>
      </c>
      <c r="Z26" s="21" t="str">
        <f t="shared" si="17"/>
        <v>0.0</v>
      </c>
      <c r="AA26" s="21" t="str">
        <f t="shared" si="17"/>
        <v>0.0</v>
      </c>
      <c r="AB26" s="21" t="str">
        <f t="shared" si="17"/>
        <v>0.0</v>
      </c>
      <c r="AC26" s="21" t="str">
        <f t="shared" si="17"/>
        <v>0.0</v>
      </c>
      <c r="AD26" s="21" t="str">
        <f t="shared" si="17"/>
        <v>0.0</v>
      </c>
      <c r="AE26" s="21" t="str">
        <f t="shared" si="17"/>
        <v>0.0</v>
      </c>
      <c r="AF26" s="21" t="str">
        <f t="shared" si="17"/>
        <v>0.0</v>
      </c>
      <c r="AG26" s="21" t="str">
        <f t="shared" si="17"/>
        <v>0.0</v>
      </c>
      <c r="AH26" s="21" t="str">
        <f t="shared" si="17"/>
        <v>0.0</v>
      </c>
      <c r="AI26" s="21" t="str">
        <f t="shared" si="17"/>
        <v>0.0</v>
      </c>
      <c r="AJ26" s="21" t="str">
        <f t="shared" si="17"/>
        <v>0.0</v>
      </c>
      <c r="AK26" s="21" t="str">
        <f t="shared" si="17"/>
        <v>0.0</v>
      </c>
      <c r="AL26" s="21" t="str">
        <f t="shared" si="17"/>
        <v>0.0</v>
      </c>
      <c r="AM26" s="21" t="str">
        <f t="shared" si="17"/>
        <v>0.0</v>
      </c>
      <c r="AN26" s="21" t="str">
        <f t="shared" si="17"/>
        <v>0.0</v>
      </c>
      <c r="AO26" s="21" t="str">
        <f t="shared" si="17"/>
        <v>0.0</v>
      </c>
      <c r="AP26" s="21" t="str">
        <f t="shared" si="17"/>
        <v>0.0</v>
      </c>
      <c r="AQ26" s="21" t="str">
        <f t="shared" si="17"/>
        <v>0.0</v>
      </c>
      <c r="AR26" s="21" t="str">
        <f t="shared" si="17"/>
        <v>0.0</v>
      </c>
      <c r="AS26" s="21" t="str">
        <f t="shared" si="17"/>
        <v>0.0</v>
      </c>
      <c r="AT26" s="21" t="str">
        <f t="shared" si="17"/>
        <v>0.0</v>
      </c>
      <c r="AU26" s="21" t="str">
        <f t="shared" si="17"/>
        <v>0.0</v>
      </c>
      <c r="AV26" s="21" t="str">
        <f t="shared" si="17"/>
        <v>0.0</v>
      </c>
      <c r="AW26" s="21" t="str">
        <f t="shared" si="17"/>
        <v>0.0</v>
      </c>
      <c r="AX26" s="21" t="str">
        <f t="shared" si="17"/>
        <v>0.0</v>
      </c>
      <c r="AY26" s="21" t="str">
        <f t="shared" si="17"/>
        <v>0.0</v>
      </c>
      <c r="AZ26" s="21" t="str">
        <f t="shared" si="17"/>
        <v>0.0</v>
      </c>
      <c r="BA26" s="21" t="str">
        <f t="shared" si="17"/>
        <v>0.0</v>
      </c>
      <c r="BB26" s="21" t="str">
        <f t="shared" si="17"/>
        <v>0.0</v>
      </c>
      <c r="BC26" s="21" t="str">
        <f t="shared" si="17"/>
        <v>0.0</v>
      </c>
      <c r="BD26" s="21" t="str">
        <f t="shared" si="17"/>
        <v>0.0</v>
      </c>
      <c r="BE26" s="21" t="str">
        <f t="shared" si="17"/>
        <v>0.0</v>
      </c>
      <c r="BF26" s="21" t="str">
        <f t="shared" si="17"/>
        <v>0.0</v>
      </c>
      <c r="BG26" s="21" t="str">
        <f t="shared" si="17"/>
        <v>0.0</v>
      </c>
      <c r="BH26" s="21">
        <f t="shared" si="17"/>
        <v>0</v>
      </c>
      <c r="BI26" s="21" t="str">
        <f t="shared" si="17"/>
        <v>0.0</v>
      </c>
      <c r="BJ26" s="21" t="str">
        <f t="shared" si="17"/>
        <v>0.0</v>
      </c>
      <c r="BK26" s="21" t="str">
        <f t="shared" si="17"/>
        <v>0.0</v>
      </c>
      <c r="BL26" s="21" t="str">
        <f t="shared" si="17"/>
        <v>0.0</v>
      </c>
      <c r="BM26" s="21" t="str">
        <f t="shared" si="17"/>
        <v>0.0</v>
      </c>
      <c r="BN26" s="23">
        <f t="shared" si="8"/>
        <v>0</v>
      </c>
      <c r="BO26" s="24" t="str">
        <f t="shared" ref="BO26:CJ34" si="18">IF($M26=BO$7,$L26,"0.0")</f>
        <v>0.0</v>
      </c>
      <c r="BP26" s="16" t="str">
        <f t="shared" si="18"/>
        <v>0.0</v>
      </c>
      <c r="BQ26" s="16" t="str">
        <f t="shared" si="18"/>
        <v>0.0</v>
      </c>
      <c r="BR26" s="16" t="str">
        <f t="shared" si="18"/>
        <v>0.0</v>
      </c>
      <c r="BS26" s="16" t="str">
        <f t="shared" si="18"/>
        <v>0.0</v>
      </c>
      <c r="BT26" s="16" t="str">
        <f t="shared" si="18"/>
        <v>0.0</v>
      </c>
      <c r="BU26" s="16" t="str">
        <f t="shared" si="18"/>
        <v>0.0</v>
      </c>
      <c r="BV26" s="16" t="str">
        <f t="shared" si="18"/>
        <v>0.0</v>
      </c>
      <c r="BW26" s="35" t="str">
        <f t="shared" si="18"/>
        <v>0.0</v>
      </c>
      <c r="BX26" s="35" t="str">
        <f t="shared" si="18"/>
        <v>0.0</v>
      </c>
      <c r="BY26" s="16" t="str">
        <f t="shared" si="18"/>
        <v>0.0</v>
      </c>
      <c r="BZ26" s="35" t="str">
        <f t="shared" si="18"/>
        <v>0.0</v>
      </c>
      <c r="CA26" s="35" t="str">
        <f t="shared" si="18"/>
        <v>0.0</v>
      </c>
      <c r="CB26" s="35" t="str">
        <f t="shared" si="18"/>
        <v>0.0</v>
      </c>
      <c r="CC26" s="35" t="str">
        <f t="shared" si="18"/>
        <v>0.0</v>
      </c>
      <c r="CD26" s="35" t="str">
        <f t="shared" si="18"/>
        <v>0.0</v>
      </c>
      <c r="CE26" s="35" t="str">
        <f t="shared" si="18"/>
        <v>0.0</v>
      </c>
      <c r="CF26" s="35" t="str">
        <f t="shared" si="18"/>
        <v>0.0</v>
      </c>
      <c r="CG26" s="35" t="str">
        <f t="shared" si="18"/>
        <v>0.0</v>
      </c>
      <c r="CH26" s="35" t="str">
        <f t="shared" si="15"/>
        <v>0.0</v>
      </c>
      <c r="CI26" s="35" t="str">
        <f t="shared" si="18"/>
        <v>0.0</v>
      </c>
      <c r="CJ26" s="35" t="str">
        <f t="shared" si="18"/>
        <v>0.0</v>
      </c>
      <c r="CK26" s="35" t="str">
        <f t="shared" si="14"/>
        <v>0.0</v>
      </c>
      <c r="CL26" s="35" t="str">
        <f t="shared" si="14"/>
        <v>0.0</v>
      </c>
      <c r="CM26" s="35" t="str">
        <f t="shared" si="14"/>
        <v>0.0</v>
      </c>
      <c r="CN26" s="35" t="str">
        <f t="shared" si="14"/>
        <v>0.0</v>
      </c>
      <c r="CO26" s="35" t="str">
        <f t="shared" si="14"/>
        <v>0.0</v>
      </c>
      <c r="CP26" s="35" t="str">
        <f t="shared" si="14"/>
        <v>0.0</v>
      </c>
      <c r="CQ26" s="35" t="str">
        <f t="shared" si="14"/>
        <v>0.0</v>
      </c>
      <c r="CR26" s="35" t="str">
        <f t="shared" si="14"/>
        <v>0.0</v>
      </c>
      <c r="CS26" s="35" t="str">
        <f t="shared" si="14"/>
        <v>0.0</v>
      </c>
      <c r="CT26" s="35" t="str">
        <f t="shared" si="14"/>
        <v>0.0</v>
      </c>
      <c r="CU26" s="35" t="str">
        <f t="shared" si="14"/>
        <v>0.0</v>
      </c>
      <c r="CV26" s="35" t="str">
        <f t="shared" si="14"/>
        <v>0.0</v>
      </c>
      <c r="CW26" s="35" t="str">
        <f t="shared" si="14"/>
        <v>0.0</v>
      </c>
      <c r="CX26" s="35" t="str">
        <f t="shared" si="14"/>
        <v>0.0</v>
      </c>
      <c r="CY26" s="35" t="str">
        <f t="shared" si="14"/>
        <v>0.0</v>
      </c>
      <c r="CZ26" s="35" t="str">
        <f t="shared" si="14"/>
        <v>0.0</v>
      </c>
      <c r="DA26" s="35" t="str">
        <f t="shared" si="14"/>
        <v>0.0</v>
      </c>
      <c r="DB26" s="35" t="str">
        <f t="shared" si="14"/>
        <v>0.0</v>
      </c>
      <c r="DC26" s="35" t="str">
        <f t="shared" si="14"/>
        <v>0.0</v>
      </c>
      <c r="DD26" s="35">
        <f t="shared" si="14"/>
        <v>0</v>
      </c>
      <c r="DE26" s="35" t="str">
        <f t="shared" si="14"/>
        <v>0.0</v>
      </c>
      <c r="DF26" s="35" t="str">
        <f t="shared" si="14"/>
        <v>0.0</v>
      </c>
      <c r="DG26" s="35" t="str">
        <f t="shared" si="14"/>
        <v>0.0</v>
      </c>
      <c r="DH26" s="35" t="str">
        <f t="shared" si="14"/>
        <v>0.0</v>
      </c>
      <c r="DI26" s="37"/>
      <c r="DJ26" s="23">
        <f t="shared" si="9"/>
        <v>0</v>
      </c>
    </row>
    <row r="27" spans="1:115" ht="15.5" thickBot="1">
      <c r="A27" s="187"/>
      <c r="B27" s="408" t="s">
        <v>46</v>
      </c>
      <c r="C27" s="409">
        <v>0</v>
      </c>
      <c r="D27" s="410">
        <v>0</v>
      </c>
      <c r="E27" s="410">
        <v>0</v>
      </c>
      <c r="F27" s="410">
        <v>0</v>
      </c>
      <c r="G27" s="410">
        <v>0</v>
      </c>
      <c r="H27" s="409">
        <v>0</v>
      </c>
      <c r="I27" s="411">
        <f t="shared" si="16"/>
        <v>0</v>
      </c>
      <c r="J27" s="411">
        <f>IF(D27=0,0,(I27-(5.72*9*(5.16*(100-D27)/100+0.1119*D27))))</f>
        <v>0</v>
      </c>
      <c r="K27" s="412" t="s">
        <v>80</v>
      </c>
      <c r="L27" s="413">
        <v>0</v>
      </c>
      <c r="M27" s="95" t="str">
        <f t="shared" si="7"/>
        <v>13</v>
      </c>
      <c r="N27" s="86">
        <v>24000</v>
      </c>
      <c r="O27" s="87">
        <f t="shared" si="1"/>
        <v>-24000</v>
      </c>
      <c r="P27" s="45"/>
      <c r="S27" s="21" t="str">
        <f t="shared" si="2"/>
        <v>0.0</v>
      </c>
      <c r="T27" s="21" t="str">
        <f t="shared" si="17"/>
        <v>0.0</v>
      </c>
      <c r="U27" s="21" t="str">
        <f t="shared" si="17"/>
        <v>0.0</v>
      </c>
      <c r="V27" s="21" t="str">
        <f t="shared" si="17"/>
        <v>0.0</v>
      </c>
      <c r="W27" s="21" t="str">
        <f t="shared" si="17"/>
        <v>0.0</v>
      </c>
      <c r="X27" s="21" t="str">
        <f t="shared" si="17"/>
        <v>0.0</v>
      </c>
      <c r="Y27" s="21" t="str">
        <f t="shared" si="17"/>
        <v>0.0</v>
      </c>
      <c r="Z27" s="21" t="str">
        <f t="shared" si="17"/>
        <v>0.0</v>
      </c>
      <c r="AA27" s="21" t="str">
        <f t="shared" si="17"/>
        <v>0.0</v>
      </c>
      <c r="AB27" s="21" t="str">
        <f t="shared" si="17"/>
        <v>0.0</v>
      </c>
      <c r="AC27" s="21" t="str">
        <f t="shared" si="17"/>
        <v>0.0</v>
      </c>
      <c r="AD27" s="21" t="str">
        <f t="shared" si="17"/>
        <v>0.0</v>
      </c>
      <c r="AE27" s="21">
        <f t="shared" si="17"/>
        <v>0</v>
      </c>
      <c r="AF27" s="21" t="str">
        <f t="shared" si="17"/>
        <v>0.0</v>
      </c>
      <c r="AG27" s="21" t="str">
        <f t="shared" si="17"/>
        <v>0.0</v>
      </c>
      <c r="AH27" s="21" t="str">
        <f t="shared" si="17"/>
        <v>0.0</v>
      </c>
      <c r="AI27" s="21" t="str">
        <f t="shared" si="17"/>
        <v>0.0</v>
      </c>
      <c r="AJ27" s="21" t="str">
        <f t="shared" si="17"/>
        <v>0.0</v>
      </c>
      <c r="AK27" s="21" t="str">
        <f t="shared" si="17"/>
        <v>0.0</v>
      </c>
      <c r="AL27" s="21" t="str">
        <f t="shared" si="17"/>
        <v>0.0</v>
      </c>
      <c r="AM27" s="21" t="str">
        <f t="shared" si="17"/>
        <v>0.0</v>
      </c>
      <c r="AN27" s="21" t="str">
        <f t="shared" si="17"/>
        <v>0.0</v>
      </c>
      <c r="AO27" s="21" t="str">
        <f t="shared" si="17"/>
        <v>0.0</v>
      </c>
      <c r="AP27" s="21" t="str">
        <f t="shared" si="17"/>
        <v>0.0</v>
      </c>
      <c r="AQ27" s="21" t="str">
        <f t="shared" si="17"/>
        <v>0.0</v>
      </c>
      <c r="AR27" s="21" t="str">
        <f t="shared" si="17"/>
        <v>0.0</v>
      </c>
      <c r="AS27" s="21" t="str">
        <f t="shared" si="17"/>
        <v>0.0</v>
      </c>
      <c r="AT27" s="21" t="str">
        <f t="shared" si="17"/>
        <v>0.0</v>
      </c>
      <c r="AU27" s="21" t="str">
        <f t="shared" si="17"/>
        <v>0.0</v>
      </c>
      <c r="AV27" s="21" t="str">
        <f t="shared" si="17"/>
        <v>0.0</v>
      </c>
      <c r="AW27" s="21" t="str">
        <f t="shared" si="17"/>
        <v>0.0</v>
      </c>
      <c r="AX27" s="21" t="str">
        <f t="shared" si="17"/>
        <v>0.0</v>
      </c>
      <c r="AY27" s="21" t="str">
        <f t="shared" si="17"/>
        <v>0.0</v>
      </c>
      <c r="AZ27" s="21" t="str">
        <f t="shared" si="17"/>
        <v>0.0</v>
      </c>
      <c r="BA27" s="21" t="str">
        <f t="shared" si="17"/>
        <v>0.0</v>
      </c>
      <c r="BB27" s="21" t="str">
        <f t="shared" si="17"/>
        <v>0.0</v>
      </c>
      <c r="BC27" s="21" t="str">
        <f t="shared" si="17"/>
        <v>0.0</v>
      </c>
      <c r="BD27" s="21" t="str">
        <f t="shared" si="17"/>
        <v>0.0</v>
      </c>
      <c r="BE27" s="21" t="str">
        <f t="shared" si="17"/>
        <v>0.0</v>
      </c>
      <c r="BF27" s="21" t="str">
        <f t="shared" si="17"/>
        <v>0.0</v>
      </c>
      <c r="BG27" s="21" t="str">
        <f t="shared" si="17"/>
        <v>0.0</v>
      </c>
      <c r="BH27" s="21" t="str">
        <f t="shared" si="17"/>
        <v>0.0</v>
      </c>
      <c r="BI27" s="21" t="str">
        <f t="shared" si="17"/>
        <v>0.0</v>
      </c>
      <c r="BJ27" s="21" t="str">
        <f t="shared" si="17"/>
        <v>0.0</v>
      </c>
      <c r="BK27" s="21" t="str">
        <f t="shared" si="17"/>
        <v>0.0</v>
      </c>
      <c r="BL27" s="21" t="str">
        <f t="shared" si="17"/>
        <v>0.0</v>
      </c>
      <c r="BM27" s="21" t="str">
        <f t="shared" si="17"/>
        <v>0.0</v>
      </c>
      <c r="BN27" s="23">
        <f t="shared" si="8"/>
        <v>0</v>
      </c>
      <c r="BO27" s="24" t="str">
        <f t="shared" si="18"/>
        <v>0.0</v>
      </c>
      <c r="BP27" s="16" t="str">
        <f t="shared" si="18"/>
        <v>0.0</v>
      </c>
      <c r="BQ27" s="16" t="str">
        <f t="shared" si="18"/>
        <v>0.0</v>
      </c>
      <c r="BR27" s="16" t="str">
        <f t="shared" si="18"/>
        <v>0.0</v>
      </c>
      <c r="BS27" s="16" t="str">
        <f t="shared" si="18"/>
        <v>0.0</v>
      </c>
      <c r="BT27" s="16" t="str">
        <f t="shared" si="18"/>
        <v>0.0</v>
      </c>
      <c r="BU27" s="16" t="str">
        <f t="shared" si="18"/>
        <v>0.0</v>
      </c>
      <c r="BV27" s="16" t="str">
        <f t="shared" si="18"/>
        <v>0.0</v>
      </c>
      <c r="BW27" s="35" t="str">
        <f t="shared" si="18"/>
        <v>0.0</v>
      </c>
      <c r="BX27" s="35" t="str">
        <f t="shared" si="18"/>
        <v>0.0</v>
      </c>
      <c r="BY27" s="16" t="str">
        <f t="shared" si="18"/>
        <v>0.0</v>
      </c>
      <c r="BZ27" s="35" t="str">
        <f t="shared" si="18"/>
        <v>0.0</v>
      </c>
      <c r="CA27" s="35">
        <f t="shared" si="18"/>
        <v>0</v>
      </c>
      <c r="CB27" s="35" t="str">
        <f t="shared" si="18"/>
        <v>0.0</v>
      </c>
      <c r="CC27" s="35" t="str">
        <f t="shared" si="18"/>
        <v>0.0</v>
      </c>
      <c r="CD27" s="35" t="str">
        <f t="shared" si="18"/>
        <v>0.0</v>
      </c>
      <c r="CE27" s="35" t="str">
        <f t="shared" si="18"/>
        <v>0.0</v>
      </c>
      <c r="CF27" s="35" t="str">
        <f t="shared" si="18"/>
        <v>0.0</v>
      </c>
      <c r="CG27" s="35" t="str">
        <f t="shared" si="15"/>
        <v>0.0</v>
      </c>
      <c r="CH27" s="35" t="str">
        <f t="shared" si="15"/>
        <v>0.0</v>
      </c>
      <c r="CI27" s="35" t="str">
        <f t="shared" si="15"/>
        <v>0.0</v>
      </c>
      <c r="CJ27" s="35" t="str">
        <f t="shared" si="14"/>
        <v>0.0</v>
      </c>
      <c r="CK27" s="35" t="str">
        <f t="shared" si="14"/>
        <v>0.0</v>
      </c>
      <c r="CL27" s="35" t="str">
        <f t="shared" si="14"/>
        <v>0.0</v>
      </c>
      <c r="CM27" s="35" t="str">
        <f t="shared" si="14"/>
        <v>0.0</v>
      </c>
      <c r="CN27" s="35" t="str">
        <f t="shared" si="14"/>
        <v>0.0</v>
      </c>
      <c r="CO27" s="35" t="str">
        <f t="shared" si="14"/>
        <v>0.0</v>
      </c>
      <c r="CP27" s="35" t="str">
        <f t="shared" si="14"/>
        <v>0.0</v>
      </c>
      <c r="CQ27" s="35" t="str">
        <f t="shared" si="14"/>
        <v>0.0</v>
      </c>
      <c r="CR27" s="35" t="str">
        <f t="shared" si="14"/>
        <v>0.0</v>
      </c>
      <c r="CS27" s="35" t="str">
        <f t="shared" si="14"/>
        <v>0.0</v>
      </c>
      <c r="CT27" s="35" t="str">
        <f t="shared" si="14"/>
        <v>0.0</v>
      </c>
      <c r="CU27" s="35" t="str">
        <f t="shared" si="14"/>
        <v>0.0</v>
      </c>
      <c r="CV27" s="35" t="str">
        <f t="shared" si="14"/>
        <v>0.0</v>
      </c>
      <c r="CW27" s="35" t="str">
        <f t="shared" si="14"/>
        <v>0.0</v>
      </c>
      <c r="CX27" s="35" t="str">
        <f t="shared" si="14"/>
        <v>0.0</v>
      </c>
      <c r="CY27" s="35" t="str">
        <f t="shared" si="14"/>
        <v>0.0</v>
      </c>
      <c r="CZ27" s="35" t="str">
        <f t="shared" si="14"/>
        <v>0.0</v>
      </c>
      <c r="DA27" s="35" t="str">
        <f t="shared" si="14"/>
        <v>0.0</v>
      </c>
      <c r="DB27" s="35" t="str">
        <f t="shared" si="14"/>
        <v>0.0</v>
      </c>
      <c r="DC27" s="35" t="str">
        <f t="shared" si="14"/>
        <v>0.0</v>
      </c>
      <c r="DD27" s="35" t="str">
        <f t="shared" si="14"/>
        <v>0.0</v>
      </c>
      <c r="DE27" s="35" t="str">
        <f t="shared" si="14"/>
        <v>0.0</v>
      </c>
      <c r="DF27" s="35" t="str">
        <f t="shared" si="14"/>
        <v>0.0</v>
      </c>
      <c r="DG27" s="35" t="str">
        <f t="shared" si="14"/>
        <v>0.0</v>
      </c>
      <c r="DH27" s="35" t="str">
        <f t="shared" si="14"/>
        <v>0.0</v>
      </c>
      <c r="DI27" s="37"/>
      <c r="DJ27" s="23">
        <f t="shared" si="9"/>
        <v>0</v>
      </c>
    </row>
    <row r="28" spans="1:115" ht="15.5" thickBot="1">
      <c r="A28" s="187"/>
      <c r="B28" s="414" t="s">
        <v>47</v>
      </c>
      <c r="C28" s="415">
        <v>16661</v>
      </c>
      <c r="D28" s="416">
        <v>49.230088750832039</v>
      </c>
      <c r="E28" s="416">
        <v>21.423359218992676</v>
      </c>
      <c r="F28" s="416">
        <v>4.5431102729088089</v>
      </c>
      <c r="G28" s="416">
        <v>0.40998624362103392</v>
      </c>
      <c r="H28" s="415">
        <v>4952.3477257599288</v>
      </c>
      <c r="I28" s="417">
        <f t="shared" si="16"/>
        <v>3199.8091546390378</v>
      </c>
      <c r="J28" s="417">
        <f>IF(D28=0,0,(I28-(5.72*9*(5.16*(100-D28)/100+0.1119*D28))))</f>
        <v>2781.3501470147999</v>
      </c>
      <c r="K28" s="418" t="s">
        <v>158</v>
      </c>
      <c r="L28" s="419">
        <v>0</v>
      </c>
      <c r="M28" s="95" t="str">
        <f t="shared" si="7"/>
        <v>42</v>
      </c>
      <c r="N28" s="86">
        <v>24000</v>
      </c>
      <c r="O28" s="87">
        <f t="shared" si="1"/>
        <v>-7339</v>
      </c>
      <c r="P28" s="45"/>
      <c r="S28" s="21" t="str">
        <f t="shared" si="2"/>
        <v>0.0</v>
      </c>
      <c r="T28" s="21" t="str">
        <f t="shared" si="17"/>
        <v>0.0</v>
      </c>
      <c r="U28" s="21" t="str">
        <f t="shared" si="17"/>
        <v>0.0</v>
      </c>
      <c r="V28" s="21" t="str">
        <f t="shared" si="17"/>
        <v>0.0</v>
      </c>
      <c r="W28" s="21" t="str">
        <f t="shared" si="17"/>
        <v>0.0</v>
      </c>
      <c r="X28" s="21" t="str">
        <f t="shared" si="17"/>
        <v>0.0</v>
      </c>
      <c r="Y28" s="21" t="str">
        <f t="shared" si="17"/>
        <v>0.0</v>
      </c>
      <c r="Z28" s="21" t="str">
        <f t="shared" si="17"/>
        <v>0.0</v>
      </c>
      <c r="AA28" s="21" t="str">
        <f t="shared" si="17"/>
        <v>0.0</v>
      </c>
      <c r="AB28" s="21" t="str">
        <f t="shared" si="17"/>
        <v>0.0</v>
      </c>
      <c r="AC28" s="21" t="str">
        <f t="shared" si="17"/>
        <v>0.0</v>
      </c>
      <c r="AD28" s="21" t="str">
        <f t="shared" si="17"/>
        <v>0.0</v>
      </c>
      <c r="AE28" s="21" t="str">
        <f t="shared" si="17"/>
        <v>0.0</v>
      </c>
      <c r="AF28" s="21" t="str">
        <f t="shared" si="17"/>
        <v>0.0</v>
      </c>
      <c r="AG28" s="21" t="str">
        <f t="shared" si="17"/>
        <v>0.0</v>
      </c>
      <c r="AH28" s="21" t="str">
        <f t="shared" si="17"/>
        <v>0.0</v>
      </c>
      <c r="AI28" s="21" t="str">
        <f t="shared" si="17"/>
        <v>0.0</v>
      </c>
      <c r="AJ28" s="21" t="str">
        <f t="shared" si="17"/>
        <v>0.0</v>
      </c>
      <c r="AK28" s="21" t="str">
        <f t="shared" si="17"/>
        <v>0.0</v>
      </c>
      <c r="AL28" s="21" t="str">
        <f t="shared" si="17"/>
        <v>0.0</v>
      </c>
      <c r="AM28" s="21" t="str">
        <f t="shared" si="17"/>
        <v>0.0</v>
      </c>
      <c r="AN28" s="21" t="str">
        <f t="shared" si="17"/>
        <v>0.0</v>
      </c>
      <c r="AO28" s="21" t="str">
        <f t="shared" si="17"/>
        <v>0.0</v>
      </c>
      <c r="AP28" s="21" t="str">
        <f t="shared" si="17"/>
        <v>0.0</v>
      </c>
      <c r="AQ28" s="21" t="str">
        <f t="shared" si="17"/>
        <v>0.0</v>
      </c>
      <c r="AR28" s="21" t="str">
        <f t="shared" si="17"/>
        <v>0.0</v>
      </c>
      <c r="AS28" s="21" t="str">
        <f t="shared" si="17"/>
        <v>0.0</v>
      </c>
      <c r="AT28" s="21" t="str">
        <f t="shared" si="17"/>
        <v>0.0</v>
      </c>
      <c r="AU28" s="21" t="str">
        <f t="shared" si="17"/>
        <v>0.0</v>
      </c>
      <c r="AV28" s="21" t="str">
        <f t="shared" si="17"/>
        <v>0.0</v>
      </c>
      <c r="AW28" s="21" t="str">
        <f t="shared" si="17"/>
        <v>0.0</v>
      </c>
      <c r="AX28" s="21" t="str">
        <f t="shared" si="17"/>
        <v>0.0</v>
      </c>
      <c r="AY28" s="21" t="str">
        <f t="shared" si="17"/>
        <v>0.0</v>
      </c>
      <c r="AZ28" s="21" t="str">
        <f t="shared" si="17"/>
        <v>0.0</v>
      </c>
      <c r="BA28" s="21" t="str">
        <f t="shared" si="17"/>
        <v>0.0</v>
      </c>
      <c r="BB28" s="21" t="str">
        <f t="shared" si="17"/>
        <v>0.0</v>
      </c>
      <c r="BC28" s="21" t="str">
        <f t="shared" si="17"/>
        <v>0.0</v>
      </c>
      <c r="BD28" s="21" t="str">
        <f t="shared" si="17"/>
        <v>0.0</v>
      </c>
      <c r="BE28" s="21" t="str">
        <f t="shared" si="17"/>
        <v>0.0</v>
      </c>
      <c r="BF28" s="21" t="str">
        <f t="shared" si="17"/>
        <v>0.0</v>
      </c>
      <c r="BG28" s="21" t="str">
        <f t="shared" si="17"/>
        <v>0.0</v>
      </c>
      <c r="BH28" s="21">
        <f t="shared" si="17"/>
        <v>16661</v>
      </c>
      <c r="BI28" s="21" t="str">
        <f t="shared" si="17"/>
        <v>0.0</v>
      </c>
      <c r="BJ28" s="21" t="str">
        <f t="shared" si="17"/>
        <v>0.0</v>
      </c>
      <c r="BK28" s="21" t="str">
        <f t="shared" si="17"/>
        <v>0.0</v>
      </c>
      <c r="BL28" s="21" t="str">
        <f t="shared" si="17"/>
        <v>0.0</v>
      </c>
      <c r="BM28" s="21" t="str">
        <f t="shared" si="17"/>
        <v>0.0</v>
      </c>
      <c r="BN28" s="23">
        <f t="shared" si="8"/>
        <v>0</v>
      </c>
      <c r="BO28" s="24" t="str">
        <f t="shared" si="18"/>
        <v>0.0</v>
      </c>
      <c r="BP28" s="16" t="str">
        <f t="shared" si="18"/>
        <v>0.0</v>
      </c>
      <c r="BQ28" s="16" t="str">
        <f t="shared" si="18"/>
        <v>0.0</v>
      </c>
      <c r="BR28" s="16" t="str">
        <f t="shared" si="18"/>
        <v>0.0</v>
      </c>
      <c r="BS28" s="16" t="str">
        <f t="shared" si="18"/>
        <v>0.0</v>
      </c>
      <c r="BT28" s="16" t="str">
        <f t="shared" si="18"/>
        <v>0.0</v>
      </c>
      <c r="BU28" s="16" t="str">
        <f t="shared" si="18"/>
        <v>0.0</v>
      </c>
      <c r="BV28" s="16" t="str">
        <f t="shared" si="18"/>
        <v>0.0</v>
      </c>
      <c r="BW28" s="35" t="str">
        <f t="shared" si="18"/>
        <v>0.0</v>
      </c>
      <c r="BX28" s="35" t="str">
        <f t="shared" si="18"/>
        <v>0.0</v>
      </c>
      <c r="BY28" s="16" t="str">
        <f t="shared" si="18"/>
        <v>0.0</v>
      </c>
      <c r="BZ28" s="35" t="str">
        <f t="shared" si="18"/>
        <v>0.0</v>
      </c>
      <c r="CA28" s="35" t="str">
        <f t="shared" si="18"/>
        <v>0.0</v>
      </c>
      <c r="CB28" s="35" t="str">
        <f t="shared" si="18"/>
        <v>0.0</v>
      </c>
      <c r="CC28" s="35" t="str">
        <f t="shared" si="18"/>
        <v>0.0</v>
      </c>
      <c r="CD28" s="35" t="str">
        <f t="shared" si="18"/>
        <v>0.0</v>
      </c>
      <c r="CE28" s="35" t="str">
        <f t="shared" si="18"/>
        <v>0.0</v>
      </c>
      <c r="CF28" s="35" t="str">
        <f t="shared" si="18"/>
        <v>0.0</v>
      </c>
      <c r="CG28" s="35" t="str">
        <f t="shared" si="15"/>
        <v>0.0</v>
      </c>
      <c r="CH28" s="35" t="str">
        <f t="shared" si="15"/>
        <v>0.0</v>
      </c>
      <c r="CI28" s="35" t="str">
        <f t="shared" si="15"/>
        <v>0.0</v>
      </c>
      <c r="CJ28" s="35" t="str">
        <f t="shared" si="14"/>
        <v>0.0</v>
      </c>
      <c r="CK28" s="35" t="str">
        <f t="shared" si="14"/>
        <v>0.0</v>
      </c>
      <c r="CL28" s="35" t="str">
        <f t="shared" si="14"/>
        <v>0.0</v>
      </c>
      <c r="CM28" s="35" t="str">
        <f t="shared" si="14"/>
        <v>0.0</v>
      </c>
      <c r="CN28" s="35" t="str">
        <f t="shared" si="14"/>
        <v>0.0</v>
      </c>
      <c r="CO28" s="35" t="str">
        <f t="shared" si="14"/>
        <v>0.0</v>
      </c>
      <c r="CP28" s="35" t="str">
        <f t="shared" si="14"/>
        <v>0.0</v>
      </c>
      <c r="CQ28" s="35" t="str">
        <f t="shared" si="14"/>
        <v>0.0</v>
      </c>
      <c r="CR28" s="35" t="str">
        <f t="shared" si="14"/>
        <v>0.0</v>
      </c>
      <c r="CS28" s="35" t="str">
        <f t="shared" si="14"/>
        <v>0.0</v>
      </c>
      <c r="CT28" s="35" t="str">
        <f t="shared" si="14"/>
        <v>0.0</v>
      </c>
      <c r="CU28" s="35" t="str">
        <f t="shared" si="14"/>
        <v>0.0</v>
      </c>
      <c r="CV28" s="35" t="str">
        <f t="shared" si="14"/>
        <v>0.0</v>
      </c>
      <c r="CW28" s="35" t="str">
        <f t="shared" si="14"/>
        <v>0.0</v>
      </c>
      <c r="CX28" s="35" t="str">
        <f t="shared" si="14"/>
        <v>0.0</v>
      </c>
      <c r="CY28" s="35" t="str">
        <f t="shared" si="14"/>
        <v>0.0</v>
      </c>
      <c r="CZ28" s="35" t="str">
        <f t="shared" si="14"/>
        <v>0.0</v>
      </c>
      <c r="DA28" s="35" t="str">
        <f t="shared" si="14"/>
        <v>0.0</v>
      </c>
      <c r="DB28" s="35" t="str">
        <f t="shared" si="14"/>
        <v>0.0</v>
      </c>
      <c r="DC28" s="35" t="str">
        <f t="shared" si="14"/>
        <v>0.0</v>
      </c>
      <c r="DD28" s="35">
        <f t="shared" si="14"/>
        <v>0</v>
      </c>
      <c r="DE28" s="35" t="str">
        <f t="shared" si="14"/>
        <v>0.0</v>
      </c>
      <c r="DF28" s="35" t="str">
        <f t="shared" si="14"/>
        <v>0.0</v>
      </c>
      <c r="DG28" s="35" t="str">
        <f t="shared" si="14"/>
        <v>0.0</v>
      </c>
      <c r="DH28" s="35" t="str">
        <f t="shared" si="14"/>
        <v>0.0</v>
      </c>
      <c r="DI28" s="37"/>
      <c r="DJ28" s="23">
        <f t="shared" si="9"/>
        <v>0</v>
      </c>
    </row>
    <row r="29" spans="1:115" ht="15.5" thickBot="1">
      <c r="A29" s="187"/>
      <c r="B29" s="414" t="s">
        <v>48</v>
      </c>
      <c r="C29" s="415">
        <v>0</v>
      </c>
      <c r="D29" s="416">
        <v>0</v>
      </c>
      <c r="E29" s="416">
        <v>0</v>
      </c>
      <c r="F29" s="416">
        <v>0</v>
      </c>
      <c r="G29" s="416">
        <v>0</v>
      </c>
      <c r="H29" s="415">
        <v>0</v>
      </c>
      <c r="I29" s="417">
        <f t="shared" si="16"/>
        <v>0</v>
      </c>
      <c r="J29" s="417">
        <f>IF(D29=0,0,(I29-(5.72*9*(4.75*(100-D29)/100+0.1119*D29))))</f>
        <v>0</v>
      </c>
      <c r="K29" s="452" t="s">
        <v>158</v>
      </c>
      <c r="L29" s="419">
        <v>0</v>
      </c>
      <c r="M29" s="95" t="str">
        <f t="shared" si="7"/>
        <v>42</v>
      </c>
      <c r="N29" s="86">
        <v>24000</v>
      </c>
      <c r="O29" s="87">
        <f t="shared" si="1"/>
        <v>-24000</v>
      </c>
      <c r="P29" s="45"/>
      <c r="S29" s="21" t="str">
        <f t="shared" si="2"/>
        <v>0.0</v>
      </c>
      <c r="T29" s="21" t="str">
        <f t="shared" si="17"/>
        <v>0.0</v>
      </c>
      <c r="U29" s="21" t="str">
        <f t="shared" si="17"/>
        <v>0.0</v>
      </c>
      <c r="V29" s="21" t="str">
        <f t="shared" si="17"/>
        <v>0.0</v>
      </c>
      <c r="W29" s="21" t="str">
        <f t="shared" si="17"/>
        <v>0.0</v>
      </c>
      <c r="X29" s="21" t="str">
        <f t="shared" si="17"/>
        <v>0.0</v>
      </c>
      <c r="Y29" s="21" t="str">
        <f t="shared" si="17"/>
        <v>0.0</v>
      </c>
      <c r="Z29" s="21" t="str">
        <f t="shared" si="17"/>
        <v>0.0</v>
      </c>
      <c r="AA29" s="21" t="str">
        <f t="shared" si="17"/>
        <v>0.0</v>
      </c>
      <c r="AB29" s="21" t="str">
        <f t="shared" si="17"/>
        <v>0.0</v>
      </c>
      <c r="AC29" s="21" t="str">
        <f t="shared" si="17"/>
        <v>0.0</v>
      </c>
      <c r="AD29" s="21" t="str">
        <f t="shared" si="17"/>
        <v>0.0</v>
      </c>
      <c r="AE29" s="21" t="str">
        <f t="shared" si="17"/>
        <v>0.0</v>
      </c>
      <c r="AF29" s="21" t="str">
        <f t="shared" si="17"/>
        <v>0.0</v>
      </c>
      <c r="AG29" s="21" t="str">
        <f t="shared" si="17"/>
        <v>0.0</v>
      </c>
      <c r="AH29" s="21" t="str">
        <f t="shared" si="17"/>
        <v>0.0</v>
      </c>
      <c r="AI29" s="21" t="str">
        <f t="shared" si="17"/>
        <v>0.0</v>
      </c>
      <c r="AJ29" s="21" t="str">
        <f t="shared" si="17"/>
        <v>0.0</v>
      </c>
      <c r="AK29" s="21" t="str">
        <f t="shared" si="17"/>
        <v>0.0</v>
      </c>
      <c r="AL29" s="21" t="str">
        <f t="shared" si="17"/>
        <v>0.0</v>
      </c>
      <c r="AM29" s="21" t="str">
        <f t="shared" si="17"/>
        <v>0.0</v>
      </c>
      <c r="AN29" s="21" t="str">
        <f t="shared" si="17"/>
        <v>0.0</v>
      </c>
      <c r="AO29" s="21" t="str">
        <f t="shared" si="17"/>
        <v>0.0</v>
      </c>
      <c r="AP29" s="21" t="str">
        <f t="shared" si="17"/>
        <v>0.0</v>
      </c>
      <c r="AQ29" s="21" t="str">
        <f t="shared" si="17"/>
        <v>0.0</v>
      </c>
      <c r="AR29" s="21" t="str">
        <f t="shared" si="17"/>
        <v>0.0</v>
      </c>
      <c r="AS29" s="21" t="str">
        <f t="shared" si="17"/>
        <v>0.0</v>
      </c>
      <c r="AT29" s="21" t="str">
        <f t="shared" si="17"/>
        <v>0.0</v>
      </c>
      <c r="AU29" s="21" t="str">
        <f t="shared" si="17"/>
        <v>0.0</v>
      </c>
      <c r="AV29" s="21" t="str">
        <f t="shared" si="17"/>
        <v>0.0</v>
      </c>
      <c r="AW29" s="21" t="str">
        <f t="shared" si="17"/>
        <v>0.0</v>
      </c>
      <c r="AX29" s="21" t="str">
        <f t="shared" si="17"/>
        <v>0.0</v>
      </c>
      <c r="AY29" s="21" t="str">
        <f t="shared" si="17"/>
        <v>0.0</v>
      </c>
      <c r="AZ29" s="21" t="str">
        <f t="shared" si="17"/>
        <v>0.0</v>
      </c>
      <c r="BA29" s="21" t="str">
        <f t="shared" si="17"/>
        <v>0.0</v>
      </c>
      <c r="BB29" s="21" t="str">
        <f t="shared" si="17"/>
        <v>0.0</v>
      </c>
      <c r="BC29" s="21" t="str">
        <f t="shared" si="17"/>
        <v>0.0</v>
      </c>
      <c r="BD29" s="21" t="str">
        <f t="shared" si="17"/>
        <v>0.0</v>
      </c>
      <c r="BE29" s="21" t="str">
        <f t="shared" si="17"/>
        <v>0.0</v>
      </c>
      <c r="BF29" s="21" t="str">
        <f t="shared" si="17"/>
        <v>0.0</v>
      </c>
      <c r="BG29" s="21" t="str">
        <f t="shared" si="17"/>
        <v>0.0</v>
      </c>
      <c r="BH29" s="21">
        <f t="shared" si="17"/>
        <v>0</v>
      </c>
      <c r="BI29" s="21" t="str">
        <f t="shared" si="17"/>
        <v>0.0</v>
      </c>
      <c r="BJ29" s="21" t="str">
        <f t="shared" si="17"/>
        <v>0.0</v>
      </c>
      <c r="BK29" s="21" t="str">
        <f t="shared" si="17"/>
        <v>0.0</v>
      </c>
      <c r="BL29" s="21" t="str">
        <f t="shared" si="17"/>
        <v>0.0</v>
      </c>
      <c r="BM29" s="21" t="str">
        <f t="shared" si="17"/>
        <v>0.0</v>
      </c>
      <c r="BN29" s="23">
        <f t="shared" si="8"/>
        <v>0</v>
      </c>
      <c r="BO29" s="24" t="str">
        <f t="shared" si="18"/>
        <v>0.0</v>
      </c>
      <c r="BP29" s="16" t="str">
        <f t="shared" si="18"/>
        <v>0.0</v>
      </c>
      <c r="BQ29" s="16" t="str">
        <f t="shared" si="18"/>
        <v>0.0</v>
      </c>
      <c r="BR29" s="16" t="str">
        <f t="shared" si="18"/>
        <v>0.0</v>
      </c>
      <c r="BS29" s="16" t="str">
        <f t="shared" si="18"/>
        <v>0.0</v>
      </c>
      <c r="BT29" s="16" t="str">
        <f t="shared" si="18"/>
        <v>0.0</v>
      </c>
      <c r="BU29" s="16" t="str">
        <f t="shared" si="18"/>
        <v>0.0</v>
      </c>
      <c r="BV29" s="16" t="str">
        <f t="shared" si="18"/>
        <v>0.0</v>
      </c>
      <c r="BW29" s="35" t="str">
        <f t="shared" si="18"/>
        <v>0.0</v>
      </c>
      <c r="BX29" s="35" t="str">
        <f t="shared" si="18"/>
        <v>0.0</v>
      </c>
      <c r="BY29" s="16" t="str">
        <f t="shared" si="18"/>
        <v>0.0</v>
      </c>
      <c r="BZ29" s="35" t="str">
        <f t="shared" si="18"/>
        <v>0.0</v>
      </c>
      <c r="CA29" s="35" t="str">
        <f t="shared" si="18"/>
        <v>0.0</v>
      </c>
      <c r="CB29" s="35" t="str">
        <f t="shared" si="18"/>
        <v>0.0</v>
      </c>
      <c r="CC29" s="35" t="str">
        <f t="shared" si="18"/>
        <v>0.0</v>
      </c>
      <c r="CD29" s="35" t="str">
        <f t="shared" si="18"/>
        <v>0.0</v>
      </c>
      <c r="CE29" s="35" t="str">
        <f t="shared" si="18"/>
        <v>0.0</v>
      </c>
      <c r="CF29" s="35" t="str">
        <f t="shared" si="18"/>
        <v>0.0</v>
      </c>
      <c r="CG29" s="35" t="str">
        <f t="shared" si="15"/>
        <v>0.0</v>
      </c>
      <c r="CH29" s="35" t="str">
        <f t="shared" si="15"/>
        <v>0.0</v>
      </c>
      <c r="CI29" s="35" t="str">
        <f t="shared" si="15"/>
        <v>0.0</v>
      </c>
      <c r="CJ29" s="35" t="str">
        <f t="shared" si="14"/>
        <v>0.0</v>
      </c>
      <c r="CK29" s="35" t="str">
        <f t="shared" si="14"/>
        <v>0.0</v>
      </c>
      <c r="CL29" s="35" t="str">
        <f t="shared" si="14"/>
        <v>0.0</v>
      </c>
      <c r="CM29" s="35" t="str">
        <f t="shared" si="14"/>
        <v>0.0</v>
      </c>
      <c r="CN29" s="35" t="str">
        <f t="shared" si="14"/>
        <v>0.0</v>
      </c>
      <c r="CO29" s="35" t="str">
        <f t="shared" si="14"/>
        <v>0.0</v>
      </c>
      <c r="CP29" s="35" t="str">
        <f t="shared" si="14"/>
        <v>0.0</v>
      </c>
      <c r="CQ29" s="35" t="str">
        <f t="shared" si="14"/>
        <v>0.0</v>
      </c>
      <c r="CR29" s="35" t="str">
        <f t="shared" si="14"/>
        <v>0.0</v>
      </c>
      <c r="CS29" s="35" t="str">
        <f t="shared" si="14"/>
        <v>0.0</v>
      </c>
      <c r="CT29" s="35" t="str">
        <f t="shared" si="14"/>
        <v>0.0</v>
      </c>
      <c r="CU29" s="35" t="str">
        <f t="shared" si="14"/>
        <v>0.0</v>
      </c>
      <c r="CV29" s="35" t="str">
        <f t="shared" si="14"/>
        <v>0.0</v>
      </c>
      <c r="CW29" s="35" t="str">
        <f t="shared" si="14"/>
        <v>0.0</v>
      </c>
      <c r="CX29" s="35" t="str">
        <f t="shared" si="14"/>
        <v>0.0</v>
      </c>
      <c r="CY29" s="35" t="str">
        <f t="shared" si="14"/>
        <v>0.0</v>
      </c>
      <c r="CZ29" s="35" t="str">
        <f t="shared" si="14"/>
        <v>0.0</v>
      </c>
      <c r="DA29" s="35" t="str">
        <f t="shared" si="14"/>
        <v>0.0</v>
      </c>
      <c r="DB29" s="35" t="str">
        <f t="shared" si="14"/>
        <v>0.0</v>
      </c>
      <c r="DC29" s="35" t="str">
        <f t="shared" si="14"/>
        <v>0.0</v>
      </c>
      <c r="DD29" s="35">
        <f t="shared" si="14"/>
        <v>0</v>
      </c>
      <c r="DE29" s="35" t="str">
        <f t="shared" si="14"/>
        <v>0.0</v>
      </c>
      <c r="DF29" s="35" t="str">
        <f t="shared" si="14"/>
        <v>0.0</v>
      </c>
      <c r="DG29" s="35" t="str">
        <f t="shared" si="14"/>
        <v>0.0</v>
      </c>
      <c r="DH29" s="35" t="str">
        <f t="shared" si="14"/>
        <v>0.0</v>
      </c>
      <c r="DI29" s="37"/>
      <c r="DJ29" s="23">
        <f t="shared" si="9"/>
        <v>0</v>
      </c>
    </row>
    <row r="30" spans="1:115" ht="15.5" thickBot="1">
      <c r="A30" s="187"/>
      <c r="B30" s="427" t="s">
        <v>49</v>
      </c>
      <c r="C30" s="428">
        <v>0</v>
      </c>
      <c r="D30" s="429">
        <v>0</v>
      </c>
      <c r="E30" s="429">
        <v>0</v>
      </c>
      <c r="F30" s="429">
        <v>0</v>
      </c>
      <c r="G30" s="429">
        <v>0</v>
      </c>
      <c r="H30" s="428">
        <v>0</v>
      </c>
      <c r="I30" s="430">
        <f t="shared" si="16"/>
        <v>0</v>
      </c>
      <c r="J30" s="430">
        <f>IF(D30=0,0,(I30-(5.72*9*(5.21*(100-D30)/100+0.1119*D30))))</f>
        <v>0</v>
      </c>
      <c r="K30" s="429" t="s">
        <v>79</v>
      </c>
      <c r="L30" s="431">
        <v>0</v>
      </c>
      <c r="M30" s="95" t="str">
        <f t="shared" si="7"/>
        <v>9</v>
      </c>
      <c r="N30" s="86">
        <v>24000</v>
      </c>
      <c r="O30" s="87">
        <f t="shared" si="1"/>
        <v>-24000</v>
      </c>
      <c r="P30" s="45"/>
      <c r="S30" s="21" t="str">
        <f t="shared" si="2"/>
        <v>0.0</v>
      </c>
      <c r="T30" s="21" t="str">
        <f t="shared" si="17"/>
        <v>0.0</v>
      </c>
      <c r="U30" s="21" t="str">
        <f t="shared" si="17"/>
        <v>0.0</v>
      </c>
      <c r="V30" s="21" t="str">
        <f t="shared" si="17"/>
        <v>0.0</v>
      </c>
      <c r="W30" s="21" t="str">
        <f t="shared" si="17"/>
        <v>0.0</v>
      </c>
      <c r="X30" s="21" t="str">
        <f t="shared" si="17"/>
        <v>0.0</v>
      </c>
      <c r="Y30" s="21" t="str">
        <f t="shared" si="17"/>
        <v>0.0</v>
      </c>
      <c r="Z30" s="21" t="str">
        <f t="shared" si="17"/>
        <v>0.0</v>
      </c>
      <c r="AA30" s="21">
        <f t="shared" si="17"/>
        <v>0</v>
      </c>
      <c r="AB30" s="21" t="str">
        <f t="shared" si="17"/>
        <v>0.0</v>
      </c>
      <c r="AC30" s="21" t="str">
        <f t="shared" si="17"/>
        <v>0.0</v>
      </c>
      <c r="AD30" s="21" t="str">
        <f t="shared" si="17"/>
        <v>0.0</v>
      </c>
      <c r="AE30" s="21" t="str">
        <f t="shared" si="17"/>
        <v>0.0</v>
      </c>
      <c r="AF30" s="21" t="str">
        <f t="shared" si="17"/>
        <v>0.0</v>
      </c>
      <c r="AG30" s="21" t="str">
        <f t="shared" si="17"/>
        <v>0.0</v>
      </c>
      <c r="AH30" s="21" t="str">
        <f t="shared" si="17"/>
        <v>0.0</v>
      </c>
      <c r="AI30" s="21" t="str">
        <f t="shared" si="17"/>
        <v>0.0</v>
      </c>
      <c r="AJ30" s="21" t="str">
        <f t="shared" si="17"/>
        <v>0.0</v>
      </c>
      <c r="AK30" s="21" t="str">
        <f t="shared" si="17"/>
        <v>0.0</v>
      </c>
      <c r="AL30" s="21" t="str">
        <f t="shared" si="17"/>
        <v>0.0</v>
      </c>
      <c r="AM30" s="21" t="str">
        <f t="shared" si="17"/>
        <v>0.0</v>
      </c>
      <c r="AN30" s="21" t="str">
        <f t="shared" si="17"/>
        <v>0.0</v>
      </c>
      <c r="AO30" s="21" t="str">
        <f t="shared" si="17"/>
        <v>0.0</v>
      </c>
      <c r="AP30" s="21" t="str">
        <f t="shared" si="17"/>
        <v>0.0</v>
      </c>
      <c r="AQ30" s="21" t="str">
        <f t="shared" ref="T30:BM34" si="19">IF($M30=AQ$7,$C30,"0.0")</f>
        <v>0.0</v>
      </c>
      <c r="AR30" s="21" t="str">
        <f t="shared" si="19"/>
        <v>0.0</v>
      </c>
      <c r="AS30" s="21" t="str">
        <f t="shared" si="19"/>
        <v>0.0</v>
      </c>
      <c r="AT30" s="21" t="str">
        <f t="shared" si="19"/>
        <v>0.0</v>
      </c>
      <c r="AU30" s="21" t="str">
        <f t="shared" si="19"/>
        <v>0.0</v>
      </c>
      <c r="AV30" s="21" t="str">
        <f t="shared" si="19"/>
        <v>0.0</v>
      </c>
      <c r="AW30" s="21" t="str">
        <f t="shared" si="19"/>
        <v>0.0</v>
      </c>
      <c r="AX30" s="21" t="str">
        <f t="shared" si="19"/>
        <v>0.0</v>
      </c>
      <c r="AY30" s="21" t="str">
        <f t="shared" si="19"/>
        <v>0.0</v>
      </c>
      <c r="AZ30" s="21" t="str">
        <f t="shared" si="19"/>
        <v>0.0</v>
      </c>
      <c r="BA30" s="21" t="str">
        <f t="shared" si="19"/>
        <v>0.0</v>
      </c>
      <c r="BB30" s="21" t="str">
        <f t="shared" si="19"/>
        <v>0.0</v>
      </c>
      <c r="BC30" s="21" t="str">
        <f t="shared" si="19"/>
        <v>0.0</v>
      </c>
      <c r="BD30" s="21" t="str">
        <f t="shared" si="19"/>
        <v>0.0</v>
      </c>
      <c r="BE30" s="21" t="str">
        <f t="shared" si="19"/>
        <v>0.0</v>
      </c>
      <c r="BF30" s="21" t="str">
        <f t="shared" si="19"/>
        <v>0.0</v>
      </c>
      <c r="BG30" s="21" t="str">
        <f t="shared" si="19"/>
        <v>0.0</v>
      </c>
      <c r="BH30" s="21" t="str">
        <f t="shared" si="19"/>
        <v>0.0</v>
      </c>
      <c r="BI30" s="21" t="str">
        <f t="shared" si="19"/>
        <v>0.0</v>
      </c>
      <c r="BJ30" s="21" t="str">
        <f t="shared" si="19"/>
        <v>0.0</v>
      </c>
      <c r="BK30" s="21" t="str">
        <f t="shared" si="19"/>
        <v>0.0</v>
      </c>
      <c r="BL30" s="21" t="str">
        <f t="shared" si="19"/>
        <v>0.0</v>
      </c>
      <c r="BM30" s="21" t="str">
        <f t="shared" si="19"/>
        <v>0.0</v>
      </c>
      <c r="BN30" s="23">
        <f t="shared" si="8"/>
        <v>0</v>
      </c>
      <c r="BO30" s="24" t="str">
        <f t="shared" si="18"/>
        <v>0.0</v>
      </c>
      <c r="BP30" s="16" t="str">
        <f t="shared" si="18"/>
        <v>0.0</v>
      </c>
      <c r="BQ30" s="16" t="str">
        <f t="shared" si="18"/>
        <v>0.0</v>
      </c>
      <c r="BR30" s="16" t="str">
        <f t="shared" si="18"/>
        <v>0.0</v>
      </c>
      <c r="BS30" s="16" t="str">
        <f t="shared" si="18"/>
        <v>0.0</v>
      </c>
      <c r="BT30" s="16" t="str">
        <f t="shared" si="18"/>
        <v>0.0</v>
      </c>
      <c r="BU30" s="16" t="str">
        <f t="shared" si="18"/>
        <v>0.0</v>
      </c>
      <c r="BV30" s="16" t="str">
        <f t="shared" si="18"/>
        <v>0.0</v>
      </c>
      <c r="BW30" s="35">
        <f t="shared" si="18"/>
        <v>0</v>
      </c>
      <c r="BX30" s="35" t="str">
        <f t="shared" si="18"/>
        <v>0.0</v>
      </c>
      <c r="BY30" s="16" t="str">
        <f t="shared" si="18"/>
        <v>0.0</v>
      </c>
      <c r="BZ30" s="35" t="str">
        <f t="shared" si="18"/>
        <v>0.0</v>
      </c>
      <c r="CA30" s="35" t="str">
        <f t="shared" si="18"/>
        <v>0.0</v>
      </c>
      <c r="CB30" s="35" t="str">
        <f t="shared" si="18"/>
        <v>0.0</v>
      </c>
      <c r="CC30" s="35" t="str">
        <f t="shared" si="18"/>
        <v>0.0</v>
      </c>
      <c r="CD30" s="35" t="str">
        <f t="shared" si="18"/>
        <v>0.0</v>
      </c>
      <c r="CE30" s="35" t="str">
        <f t="shared" si="18"/>
        <v>0.0</v>
      </c>
      <c r="CF30" s="35" t="str">
        <f t="shared" si="18"/>
        <v>0.0</v>
      </c>
      <c r="CG30" s="35" t="str">
        <f t="shared" si="15"/>
        <v>0.0</v>
      </c>
      <c r="CH30" s="35" t="str">
        <f t="shared" si="15"/>
        <v>0.0</v>
      </c>
      <c r="CI30" s="35" t="str">
        <f t="shared" si="15"/>
        <v>0.0</v>
      </c>
      <c r="CJ30" s="35" t="str">
        <f t="shared" si="14"/>
        <v>0.0</v>
      </c>
      <c r="CK30" s="35" t="str">
        <f t="shared" si="14"/>
        <v>0.0</v>
      </c>
      <c r="CL30" s="35" t="str">
        <f t="shared" si="14"/>
        <v>0.0</v>
      </c>
      <c r="CM30" s="35" t="str">
        <f t="shared" si="14"/>
        <v>0.0</v>
      </c>
      <c r="CN30" s="35" t="str">
        <f t="shared" si="14"/>
        <v>0.0</v>
      </c>
      <c r="CO30" s="35" t="str">
        <f t="shared" si="14"/>
        <v>0.0</v>
      </c>
      <c r="CP30" s="35" t="str">
        <f t="shared" si="14"/>
        <v>0.0</v>
      </c>
      <c r="CQ30" s="35" t="str">
        <f t="shared" si="14"/>
        <v>0.0</v>
      </c>
      <c r="CR30" s="35" t="str">
        <f t="shared" si="14"/>
        <v>0.0</v>
      </c>
      <c r="CS30" s="35" t="str">
        <f t="shared" si="14"/>
        <v>0.0</v>
      </c>
      <c r="CT30" s="35" t="str">
        <f t="shared" si="14"/>
        <v>0.0</v>
      </c>
      <c r="CU30" s="35" t="str">
        <f t="shared" si="14"/>
        <v>0.0</v>
      </c>
      <c r="CV30" s="35" t="str">
        <f t="shared" si="14"/>
        <v>0.0</v>
      </c>
      <c r="CW30" s="35" t="str">
        <f t="shared" si="14"/>
        <v>0.0</v>
      </c>
      <c r="CX30" s="35" t="str">
        <f t="shared" si="14"/>
        <v>0.0</v>
      </c>
      <c r="CY30" s="35" t="str">
        <f t="shared" si="14"/>
        <v>0.0</v>
      </c>
      <c r="CZ30" s="35" t="str">
        <f t="shared" si="14"/>
        <v>0.0</v>
      </c>
      <c r="DA30" s="35" t="str">
        <f t="shared" si="14"/>
        <v>0.0</v>
      </c>
      <c r="DB30" s="35" t="str">
        <f t="shared" si="14"/>
        <v>0.0</v>
      </c>
      <c r="DC30" s="35" t="str">
        <f t="shared" si="14"/>
        <v>0.0</v>
      </c>
      <c r="DD30" s="35" t="str">
        <f t="shared" si="14"/>
        <v>0.0</v>
      </c>
      <c r="DE30" s="35" t="str">
        <f t="shared" si="14"/>
        <v>0.0</v>
      </c>
      <c r="DF30" s="35" t="str">
        <f t="shared" si="14"/>
        <v>0.0</v>
      </c>
      <c r="DG30" s="35" t="str">
        <f t="shared" si="14"/>
        <v>0.0</v>
      </c>
      <c r="DH30" s="35" t="str">
        <f t="shared" si="14"/>
        <v>0.0</v>
      </c>
      <c r="DI30" s="37"/>
      <c r="DJ30" s="23">
        <f t="shared" si="9"/>
        <v>0</v>
      </c>
    </row>
    <row r="31" spans="1:115" ht="15.5" thickBot="1">
      <c r="A31" s="187"/>
      <c r="B31" s="110" t="s">
        <v>50</v>
      </c>
      <c r="C31" s="101">
        <v>17182.8</v>
      </c>
      <c r="D31" s="100">
        <v>13.119121519180453</v>
      </c>
      <c r="E31" s="100">
        <v>10.579384627213679</v>
      </c>
      <c r="F31" s="100">
        <v>6.6270885566326649</v>
      </c>
      <c r="G31" s="100">
        <v>2.6168760085676066</v>
      </c>
      <c r="H31" s="101">
        <v>6195.2993395192934</v>
      </c>
      <c r="I31" s="111">
        <f t="shared" si="16"/>
        <v>6019.3395765076093</v>
      </c>
      <c r="J31" s="111">
        <f>IF(D31=0,0,(I31-(5.72*9*(5.21*(100-D31)/100+0.1119*D31))))</f>
        <v>5710.7415084343265</v>
      </c>
      <c r="K31" s="100" t="s">
        <v>75</v>
      </c>
      <c r="L31" s="199">
        <v>0</v>
      </c>
      <c r="M31" s="95" t="str">
        <f t="shared" si="7"/>
        <v>5</v>
      </c>
      <c r="N31" s="86">
        <v>24000</v>
      </c>
      <c r="O31" s="87">
        <f t="shared" si="1"/>
        <v>-6817.2000000000007</v>
      </c>
      <c r="P31" s="45"/>
      <c r="S31" s="21" t="str">
        <f t="shared" si="2"/>
        <v>0.0</v>
      </c>
      <c r="T31" s="21" t="str">
        <f t="shared" si="19"/>
        <v>0.0</v>
      </c>
      <c r="U31" s="21" t="str">
        <f t="shared" si="19"/>
        <v>0.0</v>
      </c>
      <c r="V31" s="21" t="str">
        <f t="shared" si="19"/>
        <v>0.0</v>
      </c>
      <c r="W31" s="21">
        <f t="shared" si="19"/>
        <v>17182.8</v>
      </c>
      <c r="X31" s="21" t="str">
        <f t="shared" si="19"/>
        <v>0.0</v>
      </c>
      <c r="Y31" s="21" t="str">
        <f t="shared" si="19"/>
        <v>0.0</v>
      </c>
      <c r="Z31" s="21" t="str">
        <f t="shared" si="19"/>
        <v>0.0</v>
      </c>
      <c r="AA31" s="21" t="str">
        <f t="shared" si="19"/>
        <v>0.0</v>
      </c>
      <c r="AB31" s="21" t="str">
        <f t="shared" si="19"/>
        <v>0.0</v>
      </c>
      <c r="AC31" s="21" t="str">
        <f t="shared" si="19"/>
        <v>0.0</v>
      </c>
      <c r="AD31" s="21" t="str">
        <f t="shared" si="19"/>
        <v>0.0</v>
      </c>
      <c r="AE31" s="21" t="str">
        <f t="shared" si="19"/>
        <v>0.0</v>
      </c>
      <c r="AF31" s="21" t="str">
        <f t="shared" si="19"/>
        <v>0.0</v>
      </c>
      <c r="AG31" s="21" t="str">
        <f t="shared" si="19"/>
        <v>0.0</v>
      </c>
      <c r="AH31" s="21" t="str">
        <f t="shared" si="19"/>
        <v>0.0</v>
      </c>
      <c r="AI31" s="21" t="str">
        <f t="shared" si="19"/>
        <v>0.0</v>
      </c>
      <c r="AJ31" s="21" t="str">
        <f t="shared" si="19"/>
        <v>0.0</v>
      </c>
      <c r="AK31" s="21" t="str">
        <f t="shared" si="19"/>
        <v>0.0</v>
      </c>
      <c r="AL31" s="21" t="str">
        <f t="shared" si="19"/>
        <v>0.0</v>
      </c>
      <c r="AM31" s="21" t="str">
        <f t="shared" si="19"/>
        <v>0.0</v>
      </c>
      <c r="AN31" s="21" t="str">
        <f t="shared" si="19"/>
        <v>0.0</v>
      </c>
      <c r="AO31" s="21" t="str">
        <f t="shared" si="19"/>
        <v>0.0</v>
      </c>
      <c r="AP31" s="21" t="str">
        <f t="shared" si="19"/>
        <v>0.0</v>
      </c>
      <c r="AQ31" s="21" t="str">
        <f t="shared" si="19"/>
        <v>0.0</v>
      </c>
      <c r="AR31" s="21" t="str">
        <f t="shared" si="19"/>
        <v>0.0</v>
      </c>
      <c r="AS31" s="21" t="str">
        <f t="shared" si="19"/>
        <v>0.0</v>
      </c>
      <c r="AT31" s="21" t="str">
        <f t="shared" si="19"/>
        <v>0.0</v>
      </c>
      <c r="AU31" s="21" t="str">
        <f t="shared" si="19"/>
        <v>0.0</v>
      </c>
      <c r="AV31" s="21" t="str">
        <f t="shared" si="19"/>
        <v>0.0</v>
      </c>
      <c r="AW31" s="21" t="str">
        <f t="shared" si="19"/>
        <v>0.0</v>
      </c>
      <c r="AX31" s="21" t="str">
        <f t="shared" si="19"/>
        <v>0.0</v>
      </c>
      <c r="AY31" s="21" t="str">
        <f t="shared" si="19"/>
        <v>0.0</v>
      </c>
      <c r="AZ31" s="21" t="str">
        <f t="shared" si="19"/>
        <v>0.0</v>
      </c>
      <c r="BA31" s="21" t="str">
        <f t="shared" si="19"/>
        <v>0.0</v>
      </c>
      <c r="BB31" s="21" t="str">
        <f t="shared" si="19"/>
        <v>0.0</v>
      </c>
      <c r="BC31" s="21" t="str">
        <f t="shared" si="19"/>
        <v>0.0</v>
      </c>
      <c r="BD31" s="21" t="str">
        <f t="shared" si="19"/>
        <v>0.0</v>
      </c>
      <c r="BE31" s="21" t="str">
        <f t="shared" si="19"/>
        <v>0.0</v>
      </c>
      <c r="BF31" s="21" t="str">
        <f t="shared" si="19"/>
        <v>0.0</v>
      </c>
      <c r="BG31" s="21" t="str">
        <f t="shared" si="19"/>
        <v>0.0</v>
      </c>
      <c r="BH31" s="21" t="str">
        <f t="shared" si="19"/>
        <v>0.0</v>
      </c>
      <c r="BI31" s="21" t="str">
        <f t="shared" si="19"/>
        <v>0.0</v>
      </c>
      <c r="BJ31" s="21" t="str">
        <f t="shared" si="19"/>
        <v>0.0</v>
      </c>
      <c r="BK31" s="21" t="str">
        <f t="shared" si="19"/>
        <v>0.0</v>
      </c>
      <c r="BL31" s="21" t="str">
        <f t="shared" si="19"/>
        <v>0.0</v>
      </c>
      <c r="BM31" s="21" t="str">
        <f t="shared" si="19"/>
        <v>0.0</v>
      </c>
      <c r="BN31" s="23">
        <f t="shared" si="8"/>
        <v>17182.8</v>
      </c>
      <c r="BO31" s="24" t="str">
        <f t="shared" si="18"/>
        <v>0.0</v>
      </c>
      <c r="BP31" s="16" t="str">
        <f t="shared" si="18"/>
        <v>0.0</v>
      </c>
      <c r="BQ31" s="16" t="str">
        <f t="shared" si="18"/>
        <v>0.0</v>
      </c>
      <c r="BR31" s="16" t="str">
        <f t="shared" si="18"/>
        <v>0.0</v>
      </c>
      <c r="BS31" s="16">
        <f t="shared" si="18"/>
        <v>0</v>
      </c>
      <c r="BT31" s="16" t="str">
        <f t="shared" si="18"/>
        <v>0.0</v>
      </c>
      <c r="BU31" s="16" t="str">
        <f t="shared" si="18"/>
        <v>0.0</v>
      </c>
      <c r="BV31" s="16" t="str">
        <f t="shared" si="18"/>
        <v>0.0</v>
      </c>
      <c r="BW31" s="35" t="str">
        <f t="shared" si="18"/>
        <v>0.0</v>
      </c>
      <c r="BX31" s="35" t="str">
        <f t="shared" si="18"/>
        <v>0.0</v>
      </c>
      <c r="BY31" s="16" t="str">
        <f t="shared" si="18"/>
        <v>0.0</v>
      </c>
      <c r="BZ31" s="35" t="str">
        <f t="shared" si="18"/>
        <v>0.0</v>
      </c>
      <c r="CA31" s="35" t="str">
        <f t="shared" si="18"/>
        <v>0.0</v>
      </c>
      <c r="CB31" s="35" t="str">
        <f t="shared" si="18"/>
        <v>0.0</v>
      </c>
      <c r="CC31" s="35" t="str">
        <f t="shared" si="18"/>
        <v>0.0</v>
      </c>
      <c r="CD31" s="35" t="str">
        <f t="shared" si="18"/>
        <v>0.0</v>
      </c>
      <c r="CE31" s="35" t="str">
        <f t="shared" si="18"/>
        <v>0.0</v>
      </c>
      <c r="CF31" s="35" t="str">
        <f t="shared" si="18"/>
        <v>0.0</v>
      </c>
      <c r="CG31" s="35" t="str">
        <f t="shared" si="15"/>
        <v>0.0</v>
      </c>
      <c r="CH31" s="35" t="str">
        <f t="shared" si="15"/>
        <v>0.0</v>
      </c>
      <c r="CI31" s="35" t="str">
        <f t="shared" si="15"/>
        <v>0.0</v>
      </c>
      <c r="CJ31" s="35" t="str">
        <f t="shared" ref="CJ31:DH34" si="20">IF($M31=CJ$7,$L31,"0.0")</f>
        <v>0.0</v>
      </c>
      <c r="CK31" s="35" t="str">
        <f t="shared" si="20"/>
        <v>0.0</v>
      </c>
      <c r="CL31" s="35" t="str">
        <f t="shared" si="20"/>
        <v>0.0</v>
      </c>
      <c r="CM31" s="35" t="str">
        <f t="shared" si="20"/>
        <v>0.0</v>
      </c>
      <c r="CN31" s="35" t="str">
        <f t="shared" si="20"/>
        <v>0.0</v>
      </c>
      <c r="CO31" s="35" t="str">
        <f t="shared" si="20"/>
        <v>0.0</v>
      </c>
      <c r="CP31" s="35" t="str">
        <f t="shared" si="20"/>
        <v>0.0</v>
      </c>
      <c r="CQ31" s="35" t="str">
        <f t="shared" si="20"/>
        <v>0.0</v>
      </c>
      <c r="CR31" s="35" t="str">
        <f t="shared" si="20"/>
        <v>0.0</v>
      </c>
      <c r="CS31" s="35" t="str">
        <f t="shared" si="20"/>
        <v>0.0</v>
      </c>
      <c r="CT31" s="35" t="str">
        <f t="shared" si="20"/>
        <v>0.0</v>
      </c>
      <c r="CU31" s="35" t="str">
        <f t="shared" si="20"/>
        <v>0.0</v>
      </c>
      <c r="CV31" s="35" t="str">
        <f t="shared" si="20"/>
        <v>0.0</v>
      </c>
      <c r="CW31" s="35" t="str">
        <f t="shared" si="20"/>
        <v>0.0</v>
      </c>
      <c r="CX31" s="35" t="str">
        <f t="shared" si="20"/>
        <v>0.0</v>
      </c>
      <c r="CY31" s="35" t="str">
        <f t="shared" si="20"/>
        <v>0.0</v>
      </c>
      <c r="CZ31" s="35" t="str">
        <f t="shared" si="20"/>
        <v>0.0</v>
      </c>
      <c r="DA31" s="35" t="str">
        <f t="shared" si="20"/>
        <v>0.0</v>
      </c>
      <c r="DB31" s="35" t="str">
        <f t="shared" si="20"/>
        <v>0.0</v>
      </c>
      <c r="DC31" s="35" t="str">
        <f t="shared" si="20"/>
        <v>0.0</v>
      </c>
      <c r="DD31" s="35" t="str">
        <f t="shared" si="20"/>
        <v>0.0</v>
      </c>
      <c r="DE31" s="35" t="str">
        <f t="shared" si="20"/>
        <v>0.0</v>
      </c>
      <c r="DF31" s="35" t="str">
        <f t="shared" si="20"/>
        <v>0.0</v>
      </c>
      <c r="DG31" s="35" t="str">
        <f t="shared" si="20"/>
        <v>0.0</v>
      </c>
      <c r="DH31" s="35" t="str">
        <f t="shared" si="20"/>
        <v>0.0</v>
      </c>
      <c r="DI31" s="37"/>
      <c r="DJ31" s="23">
        <f t="shared" si="9"/>
        <v>0</v>
      </c>
    </row>
    <row r="32" spans="1:115" ht="15.5" thickBot="1">
      <c r="A32" s="187"/>
      <c r="B32" s="110" t="s">
        <v>51</v>
      </c>
      <c r="C32" s="101">
        <v>12899</v>
      </c>
      <c r="D32" s="100">
        <v>13.205417533734279</v>
      </c>
      <c r="E32" s="100">
        <v>10.34428741468572</v>
      </c>
      <c r="F32" s="100">
        <v>7.6852994394251573</v>
      </c>
      <c r="G32" s="100">
        <v>2.8790651209629088</v>
      </c>
      <c r="H32" s="101">
        <v>6115.1987749976242</v>
      </c>
      <c r="I32" s="111">
        <f t="shared" si="16"/>
        <v>5920.0480267118928</v>
      </c>
      <c r="J32" s="111">
        <f>IF(D32=0,0,(I32-(5.72*9*(5.21*(100-D32)/100+0.1119*D32))))</f>
        <v>5611.1842960126214</v>
      </c>
      <c r="K32" s="100" t="s">
        <v>75</v>
      </c>
      <c r="L32" s="199">
        <v>6594.15</v>
      </c>
      <c r="M32" s="95" t="str">
        <f t="shared" si="7"/>
        <v>5</v>
      </c>
      <c r="N32" s="86">
        <v>24000</v>
      </c>
      <c r="O32" s="87">
        <f t="shared" si="1"/>
        <v>-11101</v>
      </c>
      <c r="P32" s="45"/>
      <c r="S32" s="21" t="str">
        <f t="shared" si="2"/>
        <v>0.0</v>
      </c>
      <c r="T32" s="21" t="str">
        <f t="shared" si="19"/>
        <v>0.0</v>
      </c>
      <c r="U32" s="21" t="str">
        <f t="shared" si="19"/>
        <v>0.0</v>
      </c>
      <c r="V32" s="21" t="str">
        <f t="shared" si="19"/>
        <v>0.0</v>
      </c>
      <c r="W32" s="21">
        <f t="shared" si="19"/>
        <v>12899</v>
      </c>
      <c r="X32" s="21" t="str">
        <f t="shared" si="19"/>
        <v>0.0</v>
      </c>
      <c r="Y32" s="21" t="str">
        <f t="shared" si="19"/>
        <v>0.0</v>
      </c>
      <c r="Z32" s="21" t="str">
        <f t="shared" si="19"/>
        <v>0.0</v>
      </c>
      <c r="AA32" s="21" t="str">
        <f t="shared" si="19"/>
        <v>0.0</v>
      </c>
      <c r="AB32" s="21" t="str">
        <f t="shared" si="19"/>
        <v>0.0</v>
      </c>
      <c r="AC32" s="21" t="str">
        <f t="shared" si="19"/>
        <v>0.0</v>
      </c>
      <c r="AD32" s="21" t="str">
        <f t="shared" si="19"/>
        <v>0.0</v>
      </c>
      <c r="AE32" s="21" t="str">
        <f t="shared" si="19"/>
        <v>0.0</v>
      </c>
      <c r="AF32" s="21" t="str">
        <f t="shared" si="19"/>
        <v>0.0</v>
      </c>
      <c r="AG32" s="21" t="str">
        <f t="shared" si="19"/>
        <v>0.0</v>
      </c>
      <c r="AH32" s="21" t="str">
        <f t="shared" si="19"/>
        <v>0.0</v>
      </c>
      <c r="AI32" s="21" t="str">
        <f t="shared" si="19"/>
        <v>0.0</v>
      </c>
      <c r="AJ32" s="21" t="str">
        <f t="shared" si="19"/>
        <v>0.0</v>
      </c>
      <c r="AK32" s="21" t="str">
        <f t="shared" si="19"/>
        <v>0.0</v>
      </c>
      <c r="AL32" s="21" t="str">
        <f t="shared" si="19"/>
        <v>0.0</v>
      </c>
      <c r="AM32" s="21" t="str">
        <f t="shared" si="19"/>
        <v>0.0</v>
      </c>
      <c r="AN32" s="21" t="str">
        <f t="shared" si="19"/>
        <v>0.0</v>
      </c>
      <c r="AO32" s="21" t="str">
        <f t="shared" si="19"/>
        <v>0.0</v>
      </c>
      <c r="AP32" s="21" t="str">
        <f t="shared" si="19"/>
        <v>0.0</v>
      </c>
      <c r="AQ32" s="21" t="str">
        <f t="shared" si="19"/>
        <v>0.0</v>
      </c>
      <c r="AR32" s="21" t="str">
        <f t="shared" si="19"/>
        <v>0.0</v>
      </c>
      <c r="AS32" s="21" t="str">
        <f t="shared" si="19"/>
        <v>0.0</v>
      </c>
      <c r="AT32" s="21" t="str">
        <f t="shared" si="19"/>
        <v>0.0</v>
      </c>
      <c r="AU32" s="21" t="str">
        <f t="shared" si="19"/>
        <v>0.0</v>
      </c>
      <c r="AV32" s="21" t="str">
        <f t="shared" si="19"/>
        <v>0.0</v>
      </c>
      <c r="AW32" s="21" t="str">
        <f t="shared" si="19"/>
        <v>0.0</v>
      </c>
      <c r="AX32" s="21" t="str">
        <f t="shared" si="19"/>
        <v>0.0</v>
      </c>
      <c r="AY32" s="21" t="str">
        <f t="shared" si="19"/>
        <v>0.0</v>
      </c>
      <c r="AZ32" s="21" t="str">
        <f t="shared" si="19"/>
        <v>0.0</v>
      </c>
      <c r="BA32" s="21" t="str">
        <f t="shared" si="19"/>
        <v>0.0</v>
      </c>
      <c r="BB32" s="21" t="str">
        <f t="shared" si="19"/>
        <v>0.0</v>
      </c>
      <c r="BC32" s="21" t="str">
        <f t="shared" si="19"/>
        <v>0.0</v>
      </c>
      <c r="BD32" s="21" t="str">
        <f t="shared" si="19"/>
        <v>0.0</v>
      </c>
      <c r="BE32" s="21" t="str">
        <f t="shared" si="19"/>
        <v>0.0</v>
      </c>
      <c r="BF32" s="21" t="str">
        <f t="shared" si="19"/>
        <v>0.0</v>
      </c>
      <c r="BG32" s="21" t="str">
        <f t="shared" si="19"/>
        <v>0.0</v>
      </c>
      <c r="BH32" s="21" t="str">
        <f t="shared" si="19"/>
        <v>0.0</v>
      </c>
      <c r="BI32" s="21" t="str">
        <f t="shared" si="19"/>
        <v>0.0</v>
      </c>
      <c r="BJ32" s="21" t="str">
        <f t="shared" si="19"/>
        <v>0.0</v>
      </c>
      <c r="BK32" s="21" t="str">
        <f t="shared" si="19"/>
        <v>0.0</v>
      </c>
      <c r="BL32" s="21" t="str">
        <f t="shared" si="19"/>
        <v>0.0</v>
      </c>
      <c r="BM32" s="21" t="str">
        <f t="shared" si="19"/>
        <v>0.0</v>
      </c>
      <c r="BN32" s="23">
        <f t="shared" si="8"/>
        <v>12899</v>
      </c>
      <c r="BO32" s="24" t="str">
        <f t="shared" si="18"/>
        <v>0.0</v>
      </c>
      <c r="BP32" s="16" t="str">
        <f t="shared" si="18"/>
        <v>0.0</v>
      </c>
      <c r="BQ32" s="16" t="str">
        <f t="shared" si="18"/>
        <v>0.0</v>
      </c>
      <c r="BR32" s="16" t="str">
        <f t="shared" si="18"/>
        <v>0.0</v>
      </c>
      <c r="BS32" s="16">
        <f t="shared" si="18"/>
        <v>6594.15</v>
      </c>
      <c r="BT32" s="16" t="str">
        <f t="shared" si="18"/>
        <v>0.0</v>
      </c>
      <c r="BU32" s="16" t="str">
        <f t="shared" si="18"/>
        <v>0.0</v>
      </c>
      <c r="BV32" s="16" t="str">
        <f t="shared" si="18"/>
        <v>0.0</v>
      </c>
      <c r="BW32" s="35" t="str">
        <f t="shared" si="18"/>
        <v>0.0</v>
      </c>
      <c r="BX32" s="35" t="str">
        <f t="shared" si="18"/>
        <v>0.0</v>
      </c>
      <c r="BY32" s="16" t="str">
        <f t="shared" si="18"/>
        <v>0.0</v>
      </c>
      <c r="BZ32" s="35" t="str">
        <f t="shared" si="18"/>
        <v>0.0</v>
      </c>
      <c r="CA32" s="35" t="str">
        <f t="shared" si="18"/>
        <v>0.0</v>
      </c>
      <c r="CB32" s="35" t="str">
        <f t="shared" si="18"/>
        <v>0.0</v>
      </c>
      <c r="CC32" s="35" t="str">
        <f t="shared" si="18"/>
        <v>0.0</v>
      </c>
      <c r="CD32" s="35" t="str">
        <f t="shared" si="18"/>
        <v>0.0</v>
      </c>
      <c r="CE32" s="35" t="str">
        <f t="shared" si="18"/>
        <v>0.0</v>
      </c>
      <c r="CF32" s="35" t="str">
        <f t="shared" si="18"/>
        <v>0.0</v>
      </c>
      <c r="CG32" s="35" t="str">
        <f t="shared" si="15"/>
        <v>0.0</v>
      </c>
      <c r="CH32" s="35" t="str">
        <f t="shared" si="15"/>
        <v>0.0</v>
      </c>
      <c r="CI32" s="35" t="str">
        <f t="shared" si="15"/>
        <v>0.0</v>
      </c>
      <c r="CJ32" s="35" t="str">
        <f t="shared" si="20"/>
        <v>0.0</v>
      </c>
      <c r="CK32" s="35" t="str">
        <f t="shared" si="20"/>
        <v>0.0</v>
      </c>
      <c r="CL32" s="35" t="str">
        <f t="shared" si="20"/>
        <v>0.0</v>
      </c>
      <c r="CM32" s="35" t="str">
        <f t="shared" si="20"/>
        <v>0.0</v>
      </c>
      <c r="CN32" s="35" t="str">
        <f t="shared" si="20"/>
        <v>0.0</v>
      </c>
      <c r="CO32" s="35" t="str">
        <f t="shared" si="20"/>
        <v>0.0</v>
      </c>
      <c r="CP32" s="35" t="str">
        <f t="shared" si="20"/>
        <v>0.0</v>
      </c>
      <c r="CQ32" s="35" t="str">
        <f t="shared" si="20"/>
        <v>0.0</v>
      </c>
      <c r="CR32" s="35" t="str">
        <f t="shared" si="20"/>
        <v>0.0</v>
      </c>
      <c r="CS32" s="35" t="str">
        <f t="shared" si="20"/>
        <v>0.0</v>
      </c>
      <c r="CT32" s="35" t="str">
        <f t="shared" si="20"/>
        <v>0.0</v>
      </c>
      <c r="CU32" s="35" t="str">
        <f t="shared" si="20"/>
        <v>0.0</v>
      </c>
      <c r="CV32" s="35" t="str">
        <f t="shared" si="20"/>
        <v>0.0</v>
      </c>
      <c r="CW32" s="35" t="str">
        <f t="shared" si="20"/>
        <v>0.0</v>
      </c>
      <c r="CX32" s="35" t="str">
        <f t="shared" si="20"/>
        <v>0.0</v>
      </c>
      <c r="CY32" s="35" t="str">
        <f t="shared" si="20"/>
        <v>0.0</v>
      </c>
      <c r="CZ32" s="35" t="str">
        <f t="shared" si="20"/>
        <v>0.0</v>
      </c>
      <c r="DA32" s="35" t="str">
        <f t="shared" si="20"/>
        <v>0.0</v>
      </c>
      <c r="DB32" s="35" t="str">
        <f t="shared" si="20"/>
        <v>0.0</v>
      </c>
      <c r="DC32" s="35" t="str">
        <f t="shared" si="20"/>
        <v>0.0</v>
      </c>
      <c r="DD32" s="35" t="str">
        <f t="shared" si="20"/>
        <v>0.0</v>
      </c>
      <c r="DE32" s="35" t="str">
        <f t="shared" si="20"/>
        <v>0.0</v>
      </c>
      <c r="DF32" s="35" t="str">
        <f t="shared" si="20"/>
        <v>0.0</v>
      </c>
      <c r="DG32" s="35" t="str">
        <f t="shared" si="20"/>
        <v>0.0</v>
      </c>
      <c r="DH32" s="35" t="str">
        <f t="shared" si="20"/>
        <v>0.0</v>
      </c>
      <c r="DI32" s="37"/>
      <c r="DJ32" s="23">
        <f t="shared" si="9"/>
        <v>6594.15</v>
      </c>
    </row>
    <row r="33" spans="1:114" ht="15.5" thickBot="1">
      <c r="A33" s="187"/>
      <c r="B33" s="439" t="s">
        <v>52</v>
      </c>
      <c r="C33" s="440">
        <v>0</v>
      </c>
      <c r="D33" s="441">
        <v>0</v>
      </c>
      <c r="E33" s="441">
        <v>0</v>
      </c>
      <c r="F33" s="441">
        <v>0</v>
      </c>
      <c r="G33" s="441">
        <v>0</v>
      </c>
      <c r="H33" s="440">
        <v>0</v>
      </c>
      <c r="I33" s="442">
        <f t="shared" si="16"/>
        <v>0</v>
      </c>
      <c r="J33" s="443">
        <f>IF(D33=0,0,(I33-(5.72*9*(5.03*(100-D33)/100+0.1119*D33))))</f>
        <v>0</v>
      </c>
      <c r="K33" s="441" t="s">
        <v>118</v>
      </c>
      <c r="L33" s="444">
        <v>0</v>
      </c>
      <c r="M33" s="95" t="str">
        <f t="shared" si="7"/>
        <v>14</v>
      </c>
      <c r="N33" s="86">
        <v>20000</v>
      </c>
      <c r="O33" s="87">
        <f t="shared" si="1"/>
        <v>-20000</v>
      </c>
      <c r="P33" s="45"/>
      <c r="S33" s="21" t="str">
        <f t="shared" si="2"/>
        <v>0.0</v>
      </c>
      <c r="T33" s="21" t="str">
        <f t="shared" si="19"/>
        <v>0.0</v>
      </c>
      <c r="U33" s="21" t="str">
        <f t="shared" si="19"/>
        <v>0.0</v>
      </c>
      <c r="V33" s="21" t="str">
        <f t="shared" si="19"/>
        <v>0.0</v>
      </c>
      <c r="W33" s="21" t="str">
        <f t="shared" si="19"/>
        <v>0.0</v>
      </c>
      <c r="X33" s="21" t="str">
        <f t="shared" si="19"/>
        <v>0.0</v>
      </c>
      <c r="Y33" s="21" t="str">
        <f t="shared" si="19"/>
        <v>0.0</v>
      </c>
      <c r="Z33" s="21" t="str">
        <f t="shared" si="19"/>
        <v>0.0</v>
      </c>
      <c r="AA33" s="21" t="str">
        <f t="shared" si="19"/>
        <v>0.0</v>
      </c>
      <c r="AB33" s="21" t="str">
        <f t="shared" si="19"/>
        <v>0.0</v>
      </c>
      <c r="AC33" s="21" t="str">
        <f t="shared" si="19"/>
        <v>0.0</v>
      </c>
      <c r="AD33" s="21" t="str">
        <f t="shared" si="19"/>
        <v>0.0</v>
      </c>
      <c r="AE33" s="21" t="str">
        <f t="shared" si="19"/>
        <v>0.0</v>
      </c>
      <c r="AF33" s="21">
        <f t="shared" si="19"/>
        <v>0</v>
      </c>
      <c r="AG33" s="21" t="str">
        <f t="shared" si="19"/>
        <v>0.0</v>
      </c>
      <c r="AH33" s="21" t="str">
        <f t="shared" si="19"/>
        <v>0.0</v>
      </c>
      <c r="AI33" s="21" t="str">
        <f t="shared" si="19"/>
        <v>0.0</v>
      </c>
      <c r="AJ33" s="21" t="str">
        <f t="shared" si="19"/>
        <v>0.0</v>
      </c>
      <c r="AK33" s="21" t="str">
        <f t="shared" si="19"/>
        <v>0.0</v>
      </c>
      <c r="AL33" s="21" t="str">
        <f t="shared" si="19"/>
        <v>0.0</v>
      </c>
      <c r="AM33" s="21" t="str">
        <f t="shared" si="19"/>
        <v>0.0</v>
      </c>
      <c r="AN33" s="21" t="str">
        <f t="shared" si="19"/>
        <v>0.0</v>
      </c>
      <c r="AO33" s="21" t="str">
        <f t="shared" si="19"/>
        <v>0.0</v>
      </c>
      <c r="AP33" s="21" t="str">
        <f t="shared" si="19"/>
        <v>0.0</v>
      </c>
      <c r="AQ33" s="21" t="str">
        <f t="shared" si="19"/>
        <v>0.0</v>
      </c>
      <c r="AR33" s="21" t="str">
        <f t="shared" si="19"/>
        <v>0.0</v>
      </c>
      <c r="AS33" s="21" t="str">
        <f t="shared" si="19"/>
        <v>0.0</v>
      </c>
      <c r="AT33" s="21" t="str">
        <f t="shared" si="19"/>
        <v>0.0</v>
      </c>
      <c r="AU33" s="21" t="str">
        <f t="shared" si="19"/>
        <v>0.0</v>
      </c>
      <c r="AV33" s="21" t="str">
        <f t="shared" si="19"/>
        <v>0.0</v>
      </c>
      <c r="AW33" s="21" t="str">
        <f t="shared" si="19"/>
        <v>0.0</v>
      </c>
      <c r="AX33" s="21" t="str">
        <f t="shared" si="19"/>
        <v>0.0</v>
      </c>
      <c r="AY33" s="21" t="str">
        <f t="shared" si="19"/>
        <v>0.0</v>
      </c>
      <c r="AZ33" s="21" t="str">
        <f t="shared" si="19"/>
        <v>0.0</v>
      </c>
      <c r="BA33" s="21" t="str">
        <f t="shared" si="19"/>
        <v>0.0</v>
      </c>
      <c r="BB33" s="21" t="str">
        <f t="shared" si="19"/>
        <v>0.0</v>
      </c>
      <c r="BC33" s="21" t="str">
        <f t="shared" si="19"/>
        <v>0.0</v>
      </c>
      <c r="BD33" s="21" t="str">
        <f t="shared" si="19"/>
        <v>0.0</v>
      </c>
      <c r="BE33" s="21" t="str">
        <f t="shared" si="19"/>
        <v>0.0</v>
      </c>
      <c r="BF33" s="21" t="str">
        <f t="shared" si="19"/>
        <v>0.0</v>
      </c>
      <c r="BG33" s="21" t="str">
        <f t="shared" si="19"/>
        <v>0.0</v>
      </c>
      <c r="BH33" s="21" t="str">
        <f t="shared" si="19"/>
        <v>0.0</v>
      </c>
      <c r="BI33" s="21" t="str">
        <f t="shared" si="19"/>
        <v>0.0</v>
      </c>
      <c r="BJ33" s="21" t="str">
        <f t="shared" si="19"/>
        <v>0.0</v>
      </c>
      <c r="BK33" s="21" t="str">
        <f t="shared" si="19"/>
        <v>0.0</v>
      </c>
      <c r="BL33" s="21" t="str">
        <f t="shared" si="19"/>
        <v>0.0</v>
      </c>
      <c r="BM33" s="21" t="str">
        <f t="shared" si="19"/>
        <v>0.0</v>
      </c>
      <c r="BN33" s="23">
        <f t="shared" si="8"/>
        <v>0</v>
      </c>
      <c r="BO33" s="24" t="str">
        <f t="shared" si="18"/>
        <v>0.0</v>
      </c>
      <c r="BP33" s="16" t="str">
        <f t="shared" si="18"/>
        <v>0.0</v>
      </c>
      <c r="BQ33" s="16" t="str">
        <f t="shared" si="18"/>
        <v>0.0</v>
      </c>
      <c r="BR33" s="16" t="str">
        <f t="shared" si="18"/>
        <v>0.0</v>
      </c>
      <c r="BS33" s="16" t="str">
        <f t="shared" si="18"/>
        <v>0.0</v>
      </c>
      <c r="BT33" s="16" t="str">
        <f t="shared" si="18"/>
        <v>0.0</v>
      </c>
      <c r="BU33" s="16" t="str">
        <f t="shared" si="18"/>
        <v>0.0</v>
      </c>
      <c r="BV33" s="16" t="str">
        <f t="shared" si="18"/>
        <v>0.0</v>
      </c>
      <c r="BW33" s="35" t="str">
        <f t="shared" si="18"/>
        <v>0.0</v>
      </c>
      <c r="BX33" s="35" t="str">
        <f t="shared" si="18"/>
        <v>0.0</v>
      </c>
      <c r="BY33" s="16" t="str">
        <f t="shared" si="18"/>
        <v>0.0</v>
      </c>
      <c r="BZ33" s="35" t="str">
        <f t="shared" si="18"/>
        <v>0.0</v>
      </c>
      <c r="CA33" s="35" t="str">
        <f t="shared" si="18"/>
        <v>0.0</v>
      </c>
      <c r="CB33" s="35">
        <f t="shared" si="18"/>
        <v>0</v>
      </c>
      <c r="CC33" s="35" t="str">
        <f t="shared" si="18"/>
        <v>0.0</v>
      </c>
      <c r="CD33" s="35" t="str">
        <f t="shared" si="18"/>
        <v>0.0</v>
      </c>
      <c r="CE33" s="35" t="str">
        <f t="shared" si="18"/>
        <v>0.0</v>
      </c>
      <c r="CF33" s="35" t="str">
        <f t="shared" si="18"/>
        <v>0.0</v>
      </c>
      <c r="CG33" s="35" t="str">
        <f t="shared" si="15"/>
        <v>0.0</v>
      </c>
      <c r="CH33" s="35" t="str">
        <f t="shared" si="15"/>
        <v>0.0</v>
      </c>
      <c r="CI33" s="35" t="str">
        <f t="shared" si="15"/>
        <v>0.0</v>
      </c>
      <c r="CJ33" s="35" t="str">
        <f t="shared" si="20"/>
        <v>0.0</v>
      </c>
      <c r="CK33" s="35" t="str">
        <f t="shared" si="20"/>
        <v>0.0</v>
      </c>
      <c r="CL33" s="35" t="str">
        <f t="shared" si="20"/>
        <v>0.0</v>
      </c>
      <c r="CM33" s="35" t="str">
        <f t="shared" si="20"/>
        <v>0.0</v>
      </c>
      <c r="CN33" s="35" t="str">
        <f t="shared" si="20"/>
        <v>0.0</v>
      </c>
      <c r="CO33" s="35" t="str">
        <f t="shared" si="20"/>
        <v>0.0</v>
      </c>
      <c r="CP33" s="35" t="str">
        <f t="shared" si="20"/>
        <v>0.0</v>
      </c>
      <c r="CQ33" s="35" t="str">
        <f t="shared" si="20"/>
        <v>0.0</v>
      </c>
      <c r="CR33" s="35" t="str">
        <f t="shared" si="20"/>
        <v>0.0</v>
      </c>
      <c r="CS33" s="35" t="str">
        <f t="shared" si="20"/>
        <v>0.0</v>
      </c>
      <c r="CT33" s="35" t="str">
        <f t="shared" si="20"/>
        <v>0.0</v>
      </c>
      <c r="CU33" s="35" t="str">
        <f t="shared" si="20"/>
        <v>0.0</v>
      </c>
      <c r="CV33" s="35" t="str">
        <f t="shared" si="20"/>
        <v>0.0</v>
      </c>
      <c r="CW33" s="35" t="str">
        <f t="shared" si="20"/>
        <v>0.0</v>
      </c>
      <c r="CX33" s="35" t="str">
        <f t="shared" si="20"/>
        <v>0.0</v>
      </c>
      <c r="CY33" s="35" t="str">
        <f t="shared" si="20"/>
        <v>0.0</v>
      </c>
      <c r="CZ33" s="35" t="str">
        <f t="shared" si="20"/>
        <v>0.0</v>
      </c>
      <c r="DA33" s="35" t="str">
        <f t="shared" si="20"/>
        <v>0.0</v>
      </c>
      <c r="DB33" s="35" t="str">
        <f t="shared" si="20"/>
        <v>0.0</v>
      </c>
      <c r="DC33" s="35" t="str">
        <f t="shared" si="20"/>
        <v>0.0</v>
      </c>
      <c r="DD33" s="35" t="str">
        <f t="shared" si="20"/>
        <v>0.0</v>
      </c>
      <c r="DE33" s="35" t="str">
        <f t="shared" si="20"/>
        <v>0.0</v>
      </c>
      <c r="DF33" s="35" t="str">
        <f t="shared" si="20"/>
        <v>0.0</v>
      </c>
      <c r="DG33" s="35" t="str">
        <f t="shared" si="20"/>
        <v>0.0</v>
      </c>
      <c r="DH33" s="35" t="str">
        <f t="shared" si="20"/>
        <v>0.0</v>
      </c>
      <c r="DI33" s="37"/>
      <c r="DJ33" s="23">
        <f t="shared" si="9"/>
        <v>0</v>
      </c>
    </row>
    <row r="34" spans="1:114" ht="15.5" thickBot="1">
      <c r="A34" s="187"/>
      <c r="B34" s="459" t="s">
        <v>53</v>
      </c>
      <c r="C34" s="460">
        <v>7525</v>
      </c>
      <c r="D34" s="461">
        <v>26.65</v>
      </c>
      <c r="E34" s="461">
        <v>16.47</v>
      </c>
      <c r="F34" s="461">
        <v>5.54</v>
      </c>
      <c r="G34" s="461">
        <v>0.49</v>
      </c>
      <c r="H34" s="460">
        <v>5848</v>
      </c>
      <c r="I34" s="462">
        <f>H34*(100-D34)/(100-E34)</f>
        <v>5135.2903148569376</v>
      </c>
      <c r="J34" s="462">
        <f>IF(D34=0,0,(I34-(5.72*9*(4.49*(100-D34)/100+0.1119*D34))))</f>
        <v>4812.2250008569372</v>
      </c>
      <c r="K34" s="461" t="s">
        <v>117</v>
      </c>
      <c r="L34" s="463">
        <v>0</v>
      </c>
      <c r="M34" s="95" t="str">
        <f t="shared" si="7"/>
        <v>24</v>
      </c>
      <c r="N34" s="86">
        <v>14000</v>
      </c>
      <c r="O34" s="87">
        <f t="shared" si="1"/>
        <v>-6475</v>
      </c>
      <c r="P34" s="45"/>
      <c r="S34" s="21" t="str">
        <f t="shared" si="2"/>
        <v>0.0</v>
      </c>
      <c r="T34" s="21" t="str">
        <f t="shared" si="19"/>
        <v>0.0</v>
      </c>
      <c r="U34" s="21" t="str">
        <f t="shared" si="19"/>
        <v>0.0</v>
      </c>
      <c r="V34" s="21" t="str">
        <f t="shared" si="19"/>
        <v>0.0</v>
      </c>
      <c r="W34" s="21" t="str">
        <f t="shared" si="19"/>
        <v>0.0</v>
      </c>
      <c r="X34" s="21" t="str">
        <f t="shared" si="19"/>
        <v>0.0</v>
      </c>
      <c r="Y34" s="21" t="str">
        <f t="shared" si="19"/>
        <v>0.0</v>
      </c>
      <c r="Z34" s="21" t="str">
        <f t="shared" si="19"/>
        <v>0.0</v>
      </c>
      <c r="AA34" s="21" t="str">
        <f t="shared" si="19"/>
        <v>0.0</v>
      </c>
      <c r="AB34" s="21" t="str">
        <f t="shared" si="19"/>
        <v>0.0</v>
      </c>
      <c r="AC34" s="21" t="str">
        <f t="shared" si="19"/>
        <v>0.0</v>
      </c>
      <c r="AD34" s="21" t="str">
        <f t="shared" si="19"/>
        <v>0.0</v>
      </c>
      <c r="AE34" s="21" t="str">
        <f t="shared" si="19"/>
        <v>0.0</v>
      </c>
      <c r="AF34" s="21" t="str">
        <f t="shared" si="19"/>
        <v>0.0</v>
      </c>
      <c r="AG34" s="21" t="str">
        <f t="shared" si="19"/>
        <v>0.0</v>
      </c>
      <c r="AH34" s="21" t="str">
        <f t="shared" si="19"/>
        <v>0.0</v>
      </c>
      <c r="AI34" s="21" t="str">
        <f t="shared" si="19"/>
        <v>0.0</v>
      </c>
      <c r="AJ34" s="21" t="str">
        <f t="shared" si="19"/>
        <v>0.0</v>
      </c>
      <c r="AK34" s="21" t="str">
        <f t="shared" si="19"/>
        <v>0.0</v>
      </c>
      <c r="AL34" s="21" t="str">
        <f t="shared" si="19"/>
        <v>0.0</v>
      </c>
      <c r="AM34" s="21" t="str">
        <f t="shared" si="19"/>
        <v>0.0</v>
      </c>
      <c r="AN34" s="21" t="str">
        <f t="shared" si="19"/>
        <v>0.0</v>
      </c>
      <c r="AO34" s="21" t="str">
        <f t="shared" si="19"/>
        <v>0.0</v>
      </c>
      <c r="AP34" s="21">
        <f t="shared" si="19"/>
        <v>7525</v>
      </c>
      <c r="AQ34" s="21" t="str">
        <f t="shared" si="19"/>
        <v>0.0</v>
      </c>
      <c r="AR34" s="21" t="str">
        <f t="shared" si="19"/>
        <v>0.0</v>
      </c>
      <c r="AS34" s="21" t="str">
        <f t="shared" si="19"/>
        <v>0.0</v>
      </c>
      <c r="AT34" s="21" t="str">
        <f t="shared" si="19"/>
        <v>0.0</v>
      </c>
      <c r="AU34" s="21" t="str">
        <f t="shared" si="19"/>
        <v>0.0</v>
      </c>
      <c r="AV34" s="21" t="str">
        <f t="shared" si="19"/>
        <v>0.0</v>
      </c>
      <c r="AW34" s="21" t="str">
        <f t="shared" si="19"/>
        <v>0.0</v>
      </c>
      <c r="AX34" s="21" t="str">
        <f t="shared" si="19"/>
        <v>0.0</v>
      </c>
      <c r="AY34" s="21" t="str">
        <f t="shared" si="19"/>
        <v>0.0</v>
      </c>
      <c r="AZ34" s="21" t="str">
        <f t="shared" si="19"/>
        <v>0.0</v>
      </c>
      <c r="BA34" s="21" t="str">
        <f t="shared" si="19"/>
        <v>0.0</v>
      </c>
      <c r="BB34" s="21" t="str">
        <f t="shared" si="19"/>
        <v>0.0</v>
      </c>
      <c r="BC34" s="21" t="str">
        <f t="shared" si="19"/>
        <v>0.0</v>
      </c>
      <c r="BD34" s="21" t="str">
        <f t="shared" si="19"/>
        <v>0.0</v>
      </c>
      <c r="BE34" s="21" t="str">
        <f t="shared" si="19"/>
        <v>0.0</v>
      </c>
      <c r="BF34" s="21" t="str">
        <f t="shared" si="19"/>
        <v>0.0</v>
      </c>
      <c r="BG34" s="21" t="str">
        <f t="shared" si="19"/>
        <v>0.0</v>
      </c>
      <c r="BH34" s="21" t="str">
        <f t="shared" si="19"/>
        <v>0.0</v>
      </c>
      <c r="BI34" s="21" t="str">
        <f t="shared" si="19"/>
        <v>0.0</v>
      </c>
      <c r="BJ34" s="21" t="str">
        <f t="shared" si="19"/>
        <v>0.0</v>
      </c>
      <c r="BK34" s="21" t="str">
        <f t="shared" si="19"/>
        <v>0.0</v>
      </c>
      <c r="BL34" s="21" t="str">
        <f t="shared" si="19"/>
        <v>0.0</v>
      </c>
      <c r="BM34" s="21" t="str">
        <f t="shared" si="19"/>
        <v>0.0</v>
      </c>
      <c r="BN34" s="23">
        <f>SUM(S34:BA34)</f>
        <v>7525</v>
      </c>
      <c r="BO34" s="30" t="str">
        <f t="shared" si="18"/>
        <v>0.0</v>
      </c>
      <c r="BP34" s="17" t="str">
        <f t="shared" si="18"/>
        <v>0.0</v>
      </c>
      <c r="BQ34" s="17" t="str">
        <f t="shared" si="18"/>
        <v>0.0</v>
      </c>
      <c r="BR34" s="17" t="str">
        <f t="shared" si="18"/>
        <v>0.0</v>
      </c>
      <c r="BS34" s="17" t="str">
        <f t="shared" si="18"/>
        <v>0.0</v>
      </c>
      <c r="BT34" s="17" t="str">
        <f t="shared" si="18"/>
        <v>0.0</v>
      </c>
      <c r="BU34" s="17" t="str">
        <f t="shared" si="18"/>
        <v>0.0</v>
      </c>
      <c r="BV34" s="17" t="str">
        <f t="shared" si="18"/>
        <v>0.0</v>
      </c>
      <c r="BW34" s="38" t="str">
        <f t="shared" si="18"/>
        <v>0.0</v>
      </c>
      <c r="BX34" s="38" t="str">
        <f t="shared" si="18"/>
        <v>0.0</v>
      </c>
      <c r="BY34" s="17" t="str">
        <f t="shared" si="18"/>
        <v>0.0</v>
      </c>
      <c r="BZ34" s="38" t="str">
        <f t="shared" si="18"/>
        <v>0.0</v>
      </c>
      <c r="CA34" s="38" t="str">
        <f t="shared" si="18"/>
        <v>0.0</v>
      </c>
      <c r="CB34" s="38" t="str">
        <f t="shared" si="18"/>
        <v>0.0</v>
      </c>
      <c r="CC34" s="38" t="str">
        <f t="shared" si="18"/>
        <v>0.0</v>
      </c>
      <c r="CD34" s="38" t="str">
        <f t="shared" si="18"/>
        <v>0.0</v>
      </c>
      <c r="CE34" s="38" t="str">
        <f t="shared" si="18"/>
        <v>0.0</v>
      </c>
      <c r="CF34" s="38" t="str">
        <f t="shared" si="18"/>
        <v>0.0</v>
      </c>
      <c r="CG34" s="38" t="str">
        <f t="shared" si="15"/>
        <v>0.0</v>
      </c>
      <c r="CH34" s="38" t="str">
        <f t="shared" si="15"/>
        <v>0.0</v>
      </c>
      <c r="CI34" s="38" t="str">
        <f t="shared" si="15"/>
        <v>0.0</v>
      </c>
      <c r="CJ34" s="38" t="str">
        <f t="shared" si="20"/>
        <v>0.0</v>
      </c>
      <c r="CK34" s="38" t="str">
        <f t="shared" si="20"/>
        <v>0.0</v>
      </c>
      <c r="CL34" s="38">
        <f t="shared" si="20"/>
        <v>0</v>
      </c>
      <c r="CM34" s="38" t="str">
        <f t="shared" si="20"/>
        <v>0.0</v>
      </c>
      <c r="CN34" s="38" t="str">
        <f t="shared" si="20"/>
        <v>0.0</v>
      </c>
      <c r="CO34" s="38" t="str">
        <f t="shared" si="20"/>
        <v>0.0</v>
      </c>
      <c r="CP34" s="38" t="str">
        <f t="shared" si="20"/>
        <v>0.0</v>
      </c>
      <c r="CQ34" s="38" t="str">
        <f t="shared" si="20"/>
        <v>0.0</v>
      </c>
      <c r="CR34" s="38" t="str">
        <f t="shared" si="20"/>
        <v>0.0</v>
      </c>
      <c r="CS34" s="38" t="str">
        <f t="shared" si="20"/>
        <v>0.0</v>
      </c>
      <c r="CT34" s="38" t="str">
        <f t="shared" si="20"/>
        <v>0.0</v>
      </c>
      <c r="CU34" s="38" t="str">
        <f t="shared" si="20"/>
        <v>0.0</v>
      </c>
      <c r="CV34" s="38" t="str">
        <f t="shared" si="20"/>
        <v>0.0</v>
      </c>
      <c r="CW34" s="38" t="str">
        <f t="shared" si="20"/>
        <v>0.0</v>
      </c>
      <c r="CX34" s="38" t="str">
        <f t="shared" si="20"/>
        <v>0.0</v>
      </c>
      <c r="CY34" s="38" t="str">
        <f t="shared" si="20"/>
        <v>0.0</v>
      </c>
      <c r="CZ34" s="38" t="str">
        <f t="shared" si="20"/>
        <v>0.0</v>
      </c>
      <c r="DA34" s="38" t="str">
        <f t="shared" si="20"/>
        <v>0.0</v>
      </c>
      <c r="DB34" s="38" t="str">
        <f t="shared" si="20"/>
        <v>0.0</v>
      </c>
      <c r="DC34" s="38" t="str">
        <f t="shared" si="20"/>
        <v>0.0</v>
      </c>
      <c r="DD34" s="38" t="str">
        <f t="shared" si="20"/>
        <v>0.0</v>
      </c>
      <c r="DE34" s="38" t="str">
        <f t="shared" si="20"/>
        <v>0.0</v>
      </c>
      <c r="DF34" s="38" t="str">
        <f t="shared" si="20"/>
        <v>0.0</v>
      </c>
      <c r="DG34" s="38" t="str">
        <f t="shared" si="20"/>
        <v>0.0</v>
      </c>
      <c r="DH34" s="38" t="str">
        <f t="shared" si="20"/>
        <v>0.0</v>
      </c>
      <c r="DI34" s="17"/>
      <c r="DJ34" s="23">
        <f t="shared" si="9"/>
        <v>0</v>
      </c>
    </row>
    <row r="35" spans="1:114" ht="16" thickBot="1">
      <c r="B35" s="112" t="s">
        <v>5</v>
      </c>
      <c r="C35" s="113">
        <f>SUM(C8:C34)</f>
        <v>417635.03657407407</v>
      </c>
      <c r="D35" s="114">
        <f t="shared" ref="D35:J35" si="21">SUMPRODUCT(D8:D34,$C$8:$C$34)/$C$35</f>
        <v>14.879631449007425</v>
      </c>
      <c r="E35" s="114">
        <f t="shared" si="21"/>
        <v>10.920571095229777</v>
      </c>
      <c r="F35" s="114">
        <f t="shared" si="21"/>
        <v>6.58495724896677</v>
      </c>
      <c r="G35" s="114">
        <f t="shared" si="21"/>
        <v>2.0936374329450498</v>
      </c>
      <c r="H35" s="115">
        <f t="shared" si="21"/>
        <v>6166.1059818842759</v>
      </c>
      <c r="I35" s="115">
        <f t="shared" si="21"/>
        <v>5901.084868248794</v>
      </c>
      <c r="J35" s="115">
        <f t="shared" si="21"/>
        <v>5601.4708315586786</v>
      </c>
      <c r="K35" s="116"/>
      <c r="L35" s="117">
        <f>SUM(L8:L34)</f>
        <v>25159.300000000003</v>
      </c>
      <c r="M35" s="173" t="str">
        <f>IF(AND(SUM(C8:C34)=C35,SUM(D8:I34)&gt;1,L35=SUM(L8:L34)),"TRUE","CHECK QUANTITY")</f>
        <v>TRUE</v>
      </c>
      <c r="N35" s="86">
        <f>SUM(N8:N34)</f>
        <v>650000</v>
      </c>
      <c r="O35" s="87">
        <f t="shared" si="1"/>
        <v>-232364.96342592593</v>
      </c>
      <c r="P35" s="45"/>
      <c r="S35" s="31">
        <f t="shared" ref="S35:AN35" si="22">SUM(S8:S34)</f>
        <v>48367.11</v>
      </c>
      <c r="T35" s="31">
        <f t="shared" si="22"/>
        <v>0</v>
      </c>
      <c r="U35" s="31">
        <f t="shared" si="22"/>
        <v>0</v>
      </c>
      <c r="V35" s="31">
        <f t="shared" si="22"/>
        <v>10718.4</v>
      </c>
      <c r="W35" s="31">
        <f t="shared" si="22"/>
        <v>328413.52657407406</v>
      </c>
      <c r="X35" s="31">
        <f t="shared" si="22"/>
        <v>0</v>
      </c>
      <c r="Y35" s="31">
        <f t="shared" si="22"/>
        <v>0</v>
      </c>
      <c r="Z35" s="31">
        <f t="shared" si="22"/>
        <v>0</v>
      </c>
      <c r="AA35" s="31">
        <f t="shared" si="22"/>
        <v>0</v>
      </c>
      <c r="AB35" s="31">
        <f t="shared" si="22"/>
        <v>0</v>
      </c>
      <c r="AC35" s="31">
        <f t="shared" si="22"/>
        <v>0</v>
      </c>
      <c r="AD35" s="31">
        <f t="shared" si="22"/>
        <v>0</v>
      </c>
      <c r="AE35" s="31">
        <f t="shared" si="22"/>
        <v>0</v>
      </c>
      <c r="AF35" s="31">
        <f t="shared" si="22"/>
        <v>0</v>
      </c>
      <c r="AG35" s="31">
        <f t="shared" si="22"/>
        <v>0</v>
      </c>
      <c r="AH35" s="31">
        <f t="shared" si="22"/>
        <v>0</v>
      </c>
      <c r="AI35" s="31">
        <f t="shared" si="22"/>
        <v>0</v>
      </c>
      <c r="AJ35" s="31">
        <f t="shared" si="22"/>
        <v>0</v>
      </c>
      <c r="AK35" s="31">
        <f t="shared" si="22"/>
        <v>0</v>
      </c>
      <c r="AL35" s="31">
        <f t="shared" si="22"/>
        <v>0</v>
      </c>
      <c r="AM35" s="31">
        <f t="shared" si="22"/>
        <v>0</v>
      </c>
      <c r="AN35" s="31">
        <f t="shared" si="22"/>
        <v>0</v>
      </c>
      <c r="AO35" s="31">
        <f t="shared" ref="AO35:BA35" si="23">SUM(AO8:AO34)</f>
        <v>0</v>
      </c>
      <c r="AP35" s="31">
        <f t="shared" si="23"/>
        <v>7525</v>
      </c>
      <c r="AQ35" s="31">
        <f t="shared" si="23"/>
        <v>0</v>
      </c>
      <c r="AR35" s="31">
        <f t="shared" si="23"/>
        <v>0</v>
      </c>
      <c r="AS35" s="31">
        <f t="shared" si="23"/>
        <v>0</v>
      </c>
      <c r="AT35" s="31">
        <f t="shared" si="23"/>
        <v>0</v>
      </c>
      <c r="AU35" s="31">
        <f t="shared" si="23"/>
        <v>0</v>
      </c>
      <c r="AV35" s="31">
        <f t="shared" si="23"/>
        <v>0</v>
      </c>
      <c r="AW35" s="31">
        <f t="shared" si="23"/>
        <v>0</v>
      </c>
      <c r="AX35" s="31">
        <f t="shared" si="23"/>
        <v>0</v>
      </c>
      <c r="AY35" s="31">
        <f t="shared" si="23"/>
        <v>0</v>
      </c>
      <c r="AZ35" s="31">
        <f t="shared" si="23"/>
        <v>0</v>
      </c>
      <c r="BA35" s="149">
        <f t="shared" si="23"/>
        <v>0</v>
      </c>
      <c r="BB35" s="149">
        <f t="shared" ref="BB35:BL35" si="24">SUM(BB8:BB34)</f>
        <v>0</v>
      </c>
      <c r="BC35" s="149">
        <f t="shared" si="24"/>
        <v>0</v>
      </c>
      <c r="BD35" s="149">
        <f t="shared" si="24"/>
        <v>0</v>
      </c>
      <c r="BE35" s="149">
        <f t="shared" si="24"/>
        <v>0</v>
      </c>
      <c r="BF35" s="149">
        <f t="shared" si="24"/>
        <v>0</v>
      </c>
      <c r="BG35" s="149">
        <f t="shared" si="24"/>
        <v>0</v>
      </c>
      <c r="BH35" s="149">
        <f t="shared" si="24"/>
        <v>22611</v>
      </c>
      <c r="BI35" s="149">
        <f t="shared" si="24"/>
        <v>0</v>
      </c>
      <c r="BJ35" s="149">
        <f t="shared" si="24"/>
        <v>0</v>
      </c>
      <c r="BK35" s="149">
        <f t="shared" si="24"/>
        <v>0</v>
      </c>
      <c r="BL35" s="149">
        <f t="shared" si="24"/>
        <v>0</v>
      </c>
      <c r="BM35" s="31"/>
      <c r="BN35" s="31">
        <f t="shared" ref="BN35:CJ35" si="25">SUM(BN8:BN34)</f>
        <v>395024.03657407407</v>
      </c>
      <c r="BO35" s="31">
        <f t="shared" si="25"/>
        <v>2722.85</v>
      </c>
      <c r="BP35" s="31">
        <f t="shared" si="25"/>
        <v>0</v>
      </c>
      <c r="BQ35" s="31">
        <f t="shared" si="25"/>
        <v>0</v>
      </c>
      <c r="BR35" s="31">
        <f t="shared" si="25"/>
        <v>2008.4</v>
      </c>
      <c r="BS35" s="31">
        <f t="shared" si="25"/>
        <v>12923.05</v>
      </c>
      <c r="BT35" s="31">
        <f t="shared" si="25"/>
        <v>0</v>
      </c>
      <c r="BU35" s="31">
        <f t="shared" si="25"/>
        <v>0</v>
      </c>
      <c r="BV35" s="31">
        <f t="shared" si="25"/>
        <v>0</v>
      </c>
      <c r="BW35" s="31">
        <f t="shared" si="25"/>
        <v>0</v>
      </c>
      <c r="BX35" s="31">
        <f t="shared" si="25"/>
        <v>0</v>
      </c>
      <c r="BY35" s="31">
        <f t="shared" si="25"/>
        <v>0</v>
      </c>
      <c r="BZ35" s="31">
        <f t="shared" si="25"/>
        <v>0</v>
      </c>
      <c r="CA35" s="31">
        <f t="shared" si="25"/>
        <v>0</v>
      </c>
      <c r="CB35" s="31">
        <f t="shared" si="25"/>
        <v>0</v>
      </c>
      <c r="CC35" s="31">
        <f t="shared" si="25"/>
        <v>0</v>
      </c>
      <c r="CD35" s="31">
        <f t="shared" si="25"/>
        <v>0</v>
      </c>
      <c r="CE35" s="31">
        <f t="shared" si="25"/>
        <v>0</v>
      </c>
      <c r="CF35" s="31">
        <f t="shared" si="25"/>
        <v>0</v>
      </c>
      <c r="CG35" s="31">
        <f t="shared" si="25"/>
        <v>0</v>
      </c>
      <c r="CH35" s="31">
        <f t="shared" si="25"/>
        <v>0</v>
      </c>
      <c r="CI35" s="31">
        <f t="shared" si="25"/>
        <v>0</v>
      </c>
      <c r="CJ35" s="31">
        <f t="shared" si="25"/>
        <v>0</v>
      </c>
      <c r="CK35" s="31">
        <f t="shared" ref="CK35:CW35" si="26">SUM(CK8:CK34)</f>
        <v>0</v>
      </c>
      <c r="CL35" s="31">
        <f t="shared" si="26"/>
        <v>0</v>
      </c>
      <c r="CM35" s="31">
        <f t="shared" si="26"/>
        <v>0</v>
      </c>
      <c r="CN35" s="31">
        <f t="shared" si="26"/>
        <v>0</v>
      </c>
      <c r="CO35" s="31">
        <f t="shared" si="26"/>
        <v>0</v>
      </c>
      <c r="CP35" s="31">
        <f t="shared" si="26"/>
        <v>0</v>
      </c>
      <c r="CQ35" s="31">
        <f t="shared" si="26"/>
        <v>0</v>
      </c>
      <c r="CR35" s="31">
        <f t="shared" si="26"/>
        <v>0</v>
      </c>
      <c r="CS35" s="31">
        <f t="shared" si="26"/>
        <v>0</v>
      </c>
      <c r="CT35" s="31">
        <f t="shared" si="26"/>
        <v>0</v>
      </c>
      <c r="CU35" s="31">
        <f t="shared" si="26"/>
        <v>0</v>
      </c>
      <c r="CV35" s="31">
        <f t="shared" si="26"/>
        <v>0</v>
      </c>
      <c r="CW35" s="31">
        <f t="shared" si="26"/>
        <v>0</v>
      </c>
      <c r="CX35" s="31">
        <f t="shared" ref="CX35:DH35" si="27">SUM(CX8:CX34)</f>
        <v>0</v>
      </c>
      <c r="CY35" s="31">
        <f t="shared" si="27"/>
        <v>0</v>
      </c>
      <c r="CZ35" s="31">
        <f t="shared" si="27"/>
        <v>0</v>
      </c>
      <c r="DA35" s="31">
        <f t="shared" si="27"/>
        <v>0</v>
      </c>
      <c r="DB35" s="31">
        <f t="shared" si="27"/>
        <v>0</v>
      </c>
      <c r="DC35" s="31">
        <f t="shared" si="27"/>
        <v>0</v>
      </c>
      <c r="DD35" s="31">
        <f t="shared" si="27"/>
        <v>7505</v>
      </c>
      <c r="DE35" s="31">
        <f t="shared" si="27"/>
        <v>0</v>
      </c>
      <c r="DF35" s="31">
        <f t="shared" si="27"/>
        <v>0</v>
      </c>
      <c r="DG35" s="31">
        <f t="shared" si="27"/>
        <v>0</v>
      </c>
      <c r="DH35" s="31">
        <f t="shared" si="27"/>
        <v>0</v>
      </c>
      <c r="DI35" s="31"/>
      <c r="DJ35" s="31">
        <f>SUM(DJ8:DJ34)</f>
        <v>17654.3</v>
      </c>
    </row>
    <row r="36" spans="1:114">
      <c r="B36" s="7"/>
      <c r="C36" s="7"/>
      <c r="D36" s="7"/>
      <c r="E36" s="7"/>
      <c r="F36" s="7"/>
      <c r="G36" s="7"/>
      <c r="H36" s="7"/>
      <c r="I36" s="7"/>
      <c r="J36" s="7"/>
      <c r="K36" s="7"/>
      <c r="L36" s="150">
        <v>42236.630000000005</v>
      </c>
      <c r="M36" s="32"/>
    </row>
    <row r="37" spans="1:114" ht="17.5">
      <c r="B37" s="43" t="s">
        <v>19</v>
      </c>
      <c r="C37" s="83">
        <f>SUM(C8:C14)</f>
        <v>178562.51657407408</v>
      </c>
      <c r="D37" s="7"/>
      <c r="E37" s="7"/>
      <c r="F37" s="7"/>
      <c r="G37" s="7"/>
      <c r="H37" s="7"/>
      <c r="I37" s="7"/>
      <c r="J37" s="7"/>
      <c r="K37" s="7"/>
      <c r="L37" s="6"/>
      <c r="M37" s="32"/>
    </row>
    <row r="38" spans="1:114" ht="17.5">
      <c r="B38" s="43" t="s">
        <v>20</v>
      </c>
      <c r="C38" s="84">
        <f>SUM(C15:C23)</f>
        <v>178854.71999999997</v>
      </c>
      <c r="D38" s="7"/>
      <c r="E38" s="7"/>
      <c r="F38" s="7"/>
      <c r="G38" s="7"/>
      <c r="H38" s="7"/>
      <c r="I38" s="7"/>
      <c r="J38" s="7"/>
      <c r="K38" s="7"/>
      <c r="L38" s="6"/>
      <c r="M38" s="32"/>
    </row>
    <row r="39" spans="1:114" ht="17.5">
      <c r="B39" s="43" t="s">
        <v>21</v>
      </c>
      <c r="C39" s="84">
        <f>SUM(C24:C34)</f>
        <v>60217.8</v>
      </c>
      <c r="D39" s="7"/>
      <c r="E39" s="7"/>
      <c r="F39" s="7"/>
      <c r="G39" s="7"/>
      <c r="H39" s="7"/>
      <c r="I39" s="7"/>
      <c r="J39" s="7"/>
      <c r="K39" s="7"/>
      <c r="L39" s="6"/>
      <c r="M39" s="32"/>
    </row>
    <row r="40" spans="1:114" ht="17.5">
      <c r="B40" s="43" t="s">
        <v>5</v>
      </c>
      <c r="C40" s="85">
        <f>SUM(C37:C39)</f>
        <v>417635.03657407401</v>
      </c>
      <c r="D40" s="10"/>
      <c r="E40" s="10"/>
      <c r="F40" s="10"/>
      <c r="G40" s="10"/>
      <c r="H40" s="10"/>
      <c r="I40" s="10"/>
      <c r="J40" s="10"/>
      <c r="K40" s="11"/>
      <c r="L40" s="6"/>
    </row>
    <row r="41" spans="1:114">
      <c r="B41" s="12"/>
      <c r="C41" s="13"/>
      <c r="D41" s="10"/>
      <c r="E41" s="10"/>
      <c r="F41" s="10"/>
      <c r="G41" s="10"/>
      <c r="H41" s="10"/>
      <c r="I41" s="14"/>
      <c r="J41" s="14"/>
      <c r="K41" s="15"/>
      <c r="L41" s="6"/>
    </row>
    <row r="42" spans="1:114" ht="16" thickBot="1">
      <c r="B42" s="96" t="s">
        <v>61</v>
      </c>
      <c r="C42" s="97"/>
      <c r="D42" s="98">
        <f>A2</f>
        <v>46273.291666666664</v>
      </c>
      <c r="E42" s="96" t="s">
        <v>151</v>
      </c>
      <c r="F42" s="97"/>
      <c r="G42" s="97"/>
      <c r="H42" s="97"/>
      <c r="I42" s="97"/>
      <c r="J42" s="97"/>
      <c r="K42" s="99"/>
      <c r="L42" s="6"/>
    </row>
    <row r="43" spans="1:114" ht="15.5" thickBot="1">
      <c r="A43" s="203"/>
      <c r="B43" s="201" t="s">
        <v>14</v>
      </c>
      <c r="C43" s="202" t="s">
        <v>8</v>
      </c>
      <c r="D43" s="202" t="s">
        <v>17</v>
      </c>
      <c r="E43" s="202" t="s">
        <v>3</v>
      </c>
      <c r="F43" s="202" t="s">
        <v>9</v>
      </c>
      <c r="G43" s="202" t="s">
        <v>10</v>
      </c>
      <c r="H43" s="202" t="s">
        <v>11</v>
      </c>
      <c r="I43" s="202" t="s">
        <v>12</v>
      </c>
      <c r="J43" s="202" t="s">
        <v>13</v>
      </c>
      <c r="K43" s="202" t="s">
        <v>30</v>
      </c>
      <c r="L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</row>
    <row r="44" spans="1:114" s="6" customFormat="1" ht="15.5">
      <c r="A44" s="189">
        <v>1</v>
      </c>
      <c r="B44" s="227" t="s">
        <v>71</v>
      </c>
      <c r="C44" s="228">
        <f>S35</f>
        <v>48367.11</v>
      </c>
      <c r="D44" s="228">
        <f>BO35</f>
        <v>2722.85</v>
      </c>
      <c r="E44" s="229">
        <f>IF(ISERR(SUMPRODUCT(D8:D34,$S$8:$S$34)/$C$44),"0.00",SUMPRODUCT(D8:D34,$S$8:$S$34)/$C$44)</f>
        <v>11.102073656151926</v>
      </c>
      <c r="F44" s="229">
        <f t="shared" ref="F44:I44" si="28">IF(ISERR(SUMPRODUCT(E8:E34,$S$8:$S$34)/$C$44),"0.00",SUMPRODUCT(E8:E34,$S$8:$S$34)/$C$44)</f>
        <v>8.6921853435140353</v>
      </c>
      <c r="G44" s="229">
        <f t="shared" si="28"/>
        <v>7.6591729138123927</v>
      </c>
      <c r="H44" s="229">
        <f t="shared" si="28"/>
        <v>1.0322870983675378</v>
      </c>
      <c r="I44" s="228">
        <f t="shared" si="28"/>
        <v>6397.7632102448533</v>
      </c>
      <c r="J44" s="228">
        <f t="shared" ref="J44:J89" si="29">I44*(100-E44)/(100-F44)</f>
        <v>6228.9069645292129</v>
      </c>
      <c r="K44" s="230">
        <f>IF(E44=0,0,(J44-(5.72*9*(4.88*(100-E44)/100+0.1119*E44))))</f>
        <v>5941.6207216894527</v>
      </c>
      <c r="M44" s="32"/>
      <c r="N44" s="32"/>
      <c r="O44" s="32"/>
    </row>
    <row r="45" spans="1:114" ht="15.5">
      <c r="A45" s="189">
        <v>2</v>
      </c>
      <c r="B45" s="231" t="s">
        <v>72</v>
      </c>
      <c r="C45" s="215">
        <f>T35</f>
        <v>0</v>
      </c>
      <c r="D45" s="215">
        <f>BP35</f>
        <v>0</v>
      </c>
      <c r="E45" s="214" t="str">
        <f>IF(ISERR(SUMPRODUCT(D8:D34,$T$8:$T$34)/$C$45),"0.00",SUMPRODUCT(D8:D34,$T$8:$T$34)/$C$45)</f>
        <v>0.00</v>
      </c>
      <c r="F45" s="214" t="str">
        <f t="shared" ref="F45:I45" si="30">IF(ISERR(SUMPRODUCT(E8:E34,$T$8:$T$34)/$C$45),"0.00",SUMPRODUCT(E8:E34,$T$8:$T$34)/$C$45)</f>
        <v>0.00</v>
      </c>
      <c r="G45" s="214" t="str">
        <f t="shared" si="30"/>
        <v>0.00</v>
      </c>
      <c r="H45" s="214" t="str">
        <f t="shared" si="30"/>
        <v>0.00</v>
      </c>
      <c r="I45" s="215" t="str">
        <f t="shared" si="30"/>
        <v>0.00</v>
      </c>
      <c r="J45" s="215">
        <f t="shared" si="29"/>
        <v>0</v>
      </c>
      <c r="K45" s="216">
        <f>IF(E45=0,0,(J45-(5.72*9*(4.85*(100-E45)/100+0.1119*E45))))</f>
        <v>-249.67799999999997</v>
      </c>
      <c r="S45" s="190"/>
      <c r="T45" s="191"/>
      <c r="U45" s="48"/>
      <c r="V45" s="49"/>
      <c r="W45" s="49"/>
      <c r="X45" s="49"/>
      <c r="Y45" s="49"/>
      <c r="Z45" s="48"/>
    </row>
    <row r="46" spans="1:114" ht="15.5">
      <c r="A46" s="189">
        <v>3</v>
      </c>
      <c r="B46" s="232" t="s">
        <v>73</v>
      </c>
      <c r="C46" s="210">
        <f>U35</f>
        <v>0</v>
      </c>
      <c r="D46" s="210">
        <f>BQ35</f>
        <v>0</v>
      </c>
      <c r="E46" s="211" t="str">
        <f>IF(ISERR(SUMPRODUCT(D8:D34,$U$8:$U$34)/$C$46),"0.00",SUMPRODUCT(D8:D34,$U$8:$U$34)/$C$46)</f>
        <v>0.00</v>
      </c>
      <c r="F46" s="211" t="str">
        <f t="shared" ref="F46:I46" si="31">IF(ISERR(SUMPRODUCT(E8:E34,$U$8:$U$34)/$C$46),"0.00",SUMPRODUCT(E8:E34,$U$8:$U$34)/$C$46)</f>
        <v>0.00</v>
      </c>
      <c r="G46" s="211" t="str">
        <f t="shared" si="31"/>
        <v>0.00</v>
      </c>
      <c r="H46" s="211" t="str">
        <f t="shared" si="31"/>
        <v>0.00</v>
      </c>
      <c r="I46" s="210" t="str">
        <f t="shared" si="31"/>
        <v>0.00</v>
      </c>
      <c r="J46" s="218">
        <f>I46*(100-E46)/(100-F46)</f>
        <v>0</v>
      </c>
      <c r="K46" s="219">
        <f>IF(E46=0,0,(J46-(5.72*9*(4.92*(100-E46)/100+0.1119*E46))))</f>
        <v>-253.28159999999997</v>
      </c>
      <c r="S46" s="190"/>
      <c r="T46" s="191"/>
      <c r="U46" s="48"/>
      <c r="V46" s="49"/>
      <c r="W46" s="49"/>
      <c r="X46" s="49"/>
      <c r="Y46" s="49"/>
      <c r="Z46" s="48"/>
    </row>
    <row r="47" spans="1:114" ht="15.5">
      <c r="A47" s="189">
        <v>4</v>
      </c>
      <c r="B47" s="233" t="s">
        <v>74</v>
      </c>
      <c r="C47" s="221">
        <f>V35</f>
        <v>10718.4</v>
      </c>
      <c r="D47" s="221">
        <f>BR35</f>
        <v>2008.4</v>
      </c>
      <c r="E47" s="220">
        <f>IF(ISERR(SUMPRODUCT(D8:D34,$V$8:$V$34)/$C$47),"0.00",SUMPRODUCT(D8:D34,$V$8:$V$34)/$C$47)</f>
        <v>13.636668554759591</v>
      </c>
      <c r="F47" s="220">
        <f t="shared" ref="F47:I47" si="32">IF(ISERR(SUMPRODUCT(E8:E34,$V$8:$V$34)/$C$47),"0.00",SUMPRODUCT(E8:E34,$V$8:$V$34)/$C$47)</f>
        <v>10.417757026842525</v>
      </c>
      <c r="G47" s="220">
        <f t="shared" si="32"/>
        <v>5.9866640563466929</v>
      </c>
      <c r="H47" s="220">
        <f t="shared" si="32"/>
        <v>1.5717211149621428</v>
      </c>
      <c r="I47" s="221">
        <f t="shared" si="32"/>
        <v>6261.3608324833058</v>
      </c>
      <c r="J47" s="221">
        <f t="shared" si="29"/>
        <v>6036.3746533566209</v>
      </c>
      <c r="K47" s="222">
        <f>IF(E47=0,0,(J47-(5.72*9*(4.84*(100-E47)/100+0.1119*E47))))</f>
        <v>5742.6334565844827</v>
      </c>
      <c r="S47" s="192"/>
      <c r="T47" s="192"/>
      <c r="U47" s="192"/>
      <c r="V47" s="192"/>
      <c r="W47" s="192"/>
      <c r="X47" s="192"/>
      <c r="Y47" s="192"/>
      <c r="Z47" s="192"/>
    </row>
    <row r="48" spans="1:114" ht="15.5">
      <c r="A48" s="189">
        <v>5</v>
      </c>
      <c r="B48" s="234" t="s">
        <v>75</v>
      </c>
      <c r="C48" s="224">
        <f>W35</f>
        <v>328413.52657407406</v>
      </c>
      <c r="D48" s="224">
        <f>BS35</f>
        <v>12923.05</v>
      </c>
      <c r="E48" s="223">
        <f>IF(ISERR(SUMPRODUCT(D8:D34,$W$8:$W$34)/$C$48),"0.00",SUMPRODUCT(D8:D34,$W$8:$W$34)/$C$48)</f>
        <v>12.840755285894234</v>
      </c>
      <c r="F48" s="223">
        <f t="shared" ref="F48:I48" si="33">IF(ISERR(SUMPRODUCT(E8:E34,$W$8:$W$34)/$C$48),"0.00",SUMPRODUCT(E8:E34,$W$8:$W$34)/$C$48)</f>
        <v>10.418708059774637</v>
      </c>
      <c r="G48" s="223">
        <f t="shared" si="33"/>
        <v>6.5860358188396004</v>
      </c>
      <c r="H48" s="223">
        <f t="shared" si="33"/>
        <v>2.4180734214091575</v>
      </c>
      <c r="I48" s="224">
        <f t="shared" si="33"/>
        <v>6221.1605307865275</v>
      </c>
      <c r="J48" s="224">
        <f t="shared" si="29"/>
        <v>6052.9563859200916</v>
      </c>
      <c r="K48" s="225">
        <f>IF(E48=0,0,(J48-(5.72*9*(4.83*(100-E48)/100+0.1119*E48))))</f>
        <v>5762.2657094973974</v>
      </c>
      <c r="S48" s="193"/>
      <c r="T48" s="191"/>
      <c r="U48" s="48"/>
      <c r="V48" s="49"/>
      <c r="W48" s="49"/>
      <c r="X48" s="49"/>
      <c r="Y48" s="49"/>
      <c r="Z48" s="48"/>
    </row>
    <row r="49" spans="1:26" ht="15.5">
      <c r="A49" s="189">
        <v>6</v>
      </c>
      <c r="B49" s="235" t="s">
        <v>76</v>
      </c>
      <c r="C49" s="236">
        <f>X35</f>
        <v>0</v>
      </c>
      <c r="D49" s="236">
        <f>BT35</f>
        <v>0</v>
      </c>
      <c r="E49" s="237" t="str">
        <f>IF(ISERR(SUMPRODUCT(D8:D34,$X$8:$X$34)/$C$49),"0.00",SUMPRODUCT(D8:D34,$X$8:$X$34)/$C$49)</f>
        <v>0.00</v>
      </c>
      <c r="F49" s="237" t="str">
        <f t="shared" ref="F49:I49" si="34">IF(ISERR(SUMPRODUCT(E8:E34,$X$8:$X$34)/$C$49),"0.00",SUMPRODUCT(E8:E34,$X$8:$X$34)/$C$49)</f>
        <v>0.00</v>
      </c>
      <c r="G49" s="237" t="str">
        <f t="shared" si="34"/>
        <v>0.00</v>
      </c>
      <c r="H49" s="237" t="str">
        <f t="shared" si="34"/>
        <v>0.00</v>
      </c>
      <c r="I49" s="236" t="str">
        <f t="shared" si="34"/>
        <v>0.00</v>
      </c>
      <c r="J49" s="236">
        <f t="shared" si="29"/>
        <v>0</v>
      </c>
      <c r="K49" s="238">
        <f>IF(E49=0,0,(J49-(5.72*9*(5.08*(100-E49)/100+0.1119*E49))))</f>
        <v>-261.51839999999999</v>
      </c>
      <c r="S49" s="190"/>
      <c r="T49" s="191"/>
      <c r="U49" s="48"/>
      <c r="V49" s="49"/>
      <c r="W49" s="49"/>
      <c r="X49" s="49"/>
      <c r="Y49" s="49"/>
      <c r="Z49" s="48"/>
    </row>
    <row r="50" spans="1:26" ht="15.5" hidden="1">
      <c r="A50" s="189">
        <v>7</v>
      </c>
      <c r="B50" s="239" t="s">
        <v>77</v>
      </c>
      <c r="C50" s="240">
        <f>Y35</f>
        <v>0</v>
      </c>
      <c r="D50" s="240">
        <f>BU35</f>
        <v>0</v>
      </c>
      <c r="E50" s="241" t="str">
        <f>IF(ISERR(SUMPRODUCT(D8:D34,$Y$8:$Y$34)/$C$50),"0.00",SUMPRODUCT(D8:D34,$Y$8:$Y$34)/$C$50)</f>
        <v>0.00</v>
      </c>
      <c r="F50" s="241" t="str">
        <f t="shared" ref="F50:I50" si="35">IF(ISERR(SUMPRODUCT(E8:E34,$Y$8:$Y$34)/$C$50),"0.00",SUMPRODUCT(E8:E34,$Y$8:$Y$34)/$C$50)</f>
        <v>0.00</v>
      </c>
      <c r="G50" s="241" t="str">
        <f t="shared" si="35"/>
        <v>0.00</v>
      </c>
      <c r="H50" s="241" t="str">
        <f t="shared" si="35"/>
        <v>0.00</v>
      </c>
      <c r="I50" s="242" t="str">
        <f t="shared" si="35"/>
        <v>0.00</v>
      </c>
      <c r="J50" s="243">
        <f t="shared" si="29"/>
        <v>0</v>
      </c>
      <c r="K50" s="244">
        <f>IF(E50=0,0,(J50-(5.72*9*(5.29*(100-E50)/100+0.1119*E50))))</f>
        <v>-272.32919999999996</v>
      </c>
      <c r="S50" s="190"/>
      <c r="T50" s="191"/>
      <c r="U50" s="48"/>
      <c r="V50" s="49"/>
      <c r="W50" s="49"/>
      <c r="X50" s="49"/>
      <c r="Y50" s="49"/>
      <c r="Z50" s="48"/>
    </row>
    <row r="51" spans="1:26" ht="15.5">
      <c r="A51" s="189">
        <v>8</v>
      </c>
      <c r="B51" s="245" t="s">
        <v>78</v>
      </c>
      <c r="C51" s="246">
        <f>Z35</f>
        <v>0</v>
      </c>
      <c r="D51" s="246">
        <f>BV35</f>
        <v>0</v>
      </c>
      <c r="E51" s="247" t="str">
        <f>IF(ISERR(SUMPRODUCT(D8:D34,$Z$8:$Z$34)/$C$51),"0.00",SUMPRODUCT(D8:D34,$Z$8:$Z$34)/$C$51)</f>
        <v>0.00</v>
      </c>
      <c r="F51" s="247" t="str">
        <f t="shared" ref="F51:I51" si="36">IF(ISERR(SUMPRODUCT(E8:E34,$Z$8:$Z$34)/$C$51),"0.00",SUMPRODUCT(E8:E34,$Z$8:$Z$34)/$C$51)</f>
        <v>0.00</v>
      </c>
      <c r="G51" s="247" t="str">
        <f t="shared" si="36"/>
        <v>0.00</v>
      </c>
      <c r="H51" s="247" t="str">
        <f t="shared" si="36"/>
        <v>0.00</v>
      </c>
      <c r="I51" s="246" t="str">
        <f t="shared" si="36"/>
        <v>0.00</v>
      </c>
      <c r="J51" s="246">
        <f t="shared" si="29"/>
        <v>0</v>
      </c>
      <c r="K51" s="248">
        <f>IF(E51=0,0,(J51-(5.72*9*(5.29*(100-E51)/100+0.1119*E51))))</f>
        <v>-272.32919999999996</v>
      </c>
      <c r="S51" s="190"/>
      <c r="T51" s="191"/>
      <c r="U51" s="48"/>
      <c r="V51" s="49"/>
      <c r="W51" s="49"/>
      <c r="X51" s="49"/>
      <c r="Y51" s="49"/>
      <c r="Z51" s="48"/>
    </row>
    <row r="52" spans="1:26" ht="15.5">
      <c r="A52" s="189">
        <v>9</v>
      </c>
      <c r="B52" s="249" t="s">
        <v>79</v>
      </c>
      <c r="C52" s="250">
        <f>AA35</f>
        <v>0</v>
      </c>
      <c r="D52" s="250">
        <f>BW35</f>
        <v>0</v>
      </c>
      <c r="E52" s="251" t="str">
        <f>IF(ISERR(SUMPRODUCT(D8:D34,$AA$8:$AA$34)/$C$52),"0.00",SUMPRODUCT(D8:D34,$AA$8:$AA$34)/$C$52)</f>
        <v>0.00</v>
      </c>
      <c r="F52" s="251" t="str">
        <f t="shared" ref="F52:I52" si="37">IF(ISERR(SUMPRODUCT(E8:E34,$AA$8:$AA$34)/$C$52),"0.00",SUMPRODUCT(E8:E34,$AA$8:$AA$34)/$C$52)</f>
        <v>0.00</v>
      </c>
      <c r="G52" s="251" t="str">
        <f t="shared" si="37"/>
        <v>0.00</v>
      </c>
      <c r="H52" s="251" t="str">
        <f t="shared" si="37"/>
        <v>0.00</v>
      </c>
      <c r="I52" s="250" t="str">
        <f t="shared" si="37"/>
        <v>0.00</v>
      </c>
      <c r="J52" s="250">
        <f t="shared" si="29"/>
        <v>0</v>
      </c>
      <c r="K52" s="252">
        <f>IF(E52=0,0,(J52-(5.72*9*(5.23*(100-E52)/100+0.1119*E52))))</f>
        <v>-269.24040000000002</v>
      </c>
      <c r="R52" s="45" t="s">
        <v>62</v>
      </c>
      <c r="S52" s="190"/>
      <c r="T52" s="191"/>
      <c r="U52" s="48"/>
      <c r="V52" s="49"/>
      <c r="W52" s="49"/>
      <c r="X52" s="49"/>
      <c r="Y52" s="49"/>
      <c r="Z52" s="48"/>
    </row>
    <row r="53" spans="1:26" ht="15.5">
      <c r="A53" s="189">
        <v>10</v>
      </c>
      <c r="B53" s="253" t="s">
        <v>154</v>
      </c>
      <c r="C53" s="254">
        <f>AB35</f>
        <v>0</v>
      </c>
      <c r="D53" s="254">
        <f>BX35</f>
        <v>0</v>
      </c>
      <c r="E53" s="255" t="str">
        <f>IF(ISERR(SUMPRODUCT(D8:D34,$AB$8:$AB$34)/$C$53),"0.00",SUMPRODUCT(D8:D34,$AB$8:$AB$34)/$C$53)</f>
        <v>0.00</v>
      </c>
      <c r="F53" s="255" t="str">
        <f t="shared" ref="F53:I53" si="38">IF(ISERR(SUMPRODUCT(E8:E34,$AB$8:$AB$34)/$C$53),"0.00",SUMPRODUCT(E8:E34,$AB$8:$AB$34)/$C$53)</f>
        <v>0.00</v>
      </c>
      <c r="G53" s="255" t="str">
        <f t="shared" si="38"/>
        <v>0.00</v>
      </c>
      <c r="H53" s="255" t="str">
        <f t="shared" si="38"/>
        <v>0.00</v>
      </c>
      <c r="I53" s="254" t="str">
        <f t="shared" si="38"/>
        <v>0.00</v>
      </c>
      <c r="J53" s="254">
        <f t="shared" si="29"/>
        <v>0</v>
      </c>
      <c r="K53" s="256">
        <f>IF(E53=0,0,(J53-(5.72*9*(5.16*(100-E53)/100+0.1119*E53))))</f>
        <v>-265.63679999999999</v>
      </c>
      <c r="S53" s="190"/>
      <c r="T53" s="191"/>
      <c r="U53" s="48"/>
      <c r="V53" s="49"/>
      <c r="W53" s="49"/>
      <c r="X53" s="49"/>
      <c r="Y53" s="49"/>
      <c r="Z53" s="48"/>
    </row>
    <row r="54" spans="1:26" ht="15.5" hidden="1">
      <c r="A54" s="189">
        <v>11</v>
      </c>
      <c r="B54" s="257" t="s">
        <v>2</v>
      </c>
      <c r="C54" s="258">
        <f>AC35</f>
        <v>0</v>
      </c>
      <c r="D54" s="258">
        <f>BY35</f>
        <v>0</v>
      </c>
      <c r="E54" s="259" t="str">
        <f>IF(ISERR(SUMPRODUCT(D8:D34,$AC$8:$AC$34)/$C$54),"0.00",SUMPRODUCT(D8:D34,$AC$8:$AC$34)/$C$54)</f>
        <v>0.00</v>
      </c>
      <c r="F54" s="259" t="str">
        <f t="shared" ref="F54:I54" si="39">IF(ISERR(SUMPRODUCT(E8:E34,$AC$8:$AC$34)/$C$54),"0.00",SUMPRODUCT(E8:E34,$AC$8:$AC$34)/$C$54)</f>
        <v>0.00</v>
      </c>
      <c r="G54" s="259" t="str">
        <f t="shared" si="39"/>
        <v>0.00</v>
      </c>
      <c r="H54" s="259" t="str">
        <f t="shared" si="39"/>
        <v>0.00</v>
      </c>
      <c r="I54" s="260" t="str">
        <f t="shared" si="39"/>
        <v>0.00</v>
      </c>
      <c r="J54" s="258">
        <f t="shared" si="29"/>
        <v>0</v>
      </c>
      <c r="K54" s="261">
        <f t="shared" ref="K54:K87" si="40">IF(E54=0,0,(J54-(5.72*9*(4.88*(100-E54)/100+0.1119*E54))))</f>
        <v>-251.22239999999999</v>
      </c>
      <c r="S54" s="190"/>
      <c r="T54" s="191"/>
      <c r="U54" s="48"/>
      <c r="V54" s="49"/>
      <c r="W54" s="49"/>
      <c r="X54" s="49"/>
      <c r="Y54" s="49"/>
      <c r="Z54" s="48"/>
    </row>
    <row r="55" spans="1:26" ht="15.5">
      <c r="A55" s="189">
        <v>12</v>
      </c>
      <c r="B55" s="262" t="s">
        <v>15</v>
      </c>
      <c r="C55" s="263">
        <f>AD35</f>
        <v>0</v>
      </c>
      <c r="D55" s="263">
        <f>BZ35</f>
        <v>0</v>
      </c>
      <c r="E55" s="264" t="str">
        <f>IF(ISERR(SUMPRODUCT(D8:D34,$AD$8:$AD$34)/$C$55),"0.00",SUMPRODUCT(D8:D34,$AD$8:$AD$34)/$C$55)</f>
        <v>0.00</v>
      </c>
      <c r="F55" s="264" t="str">
        <f t="shared" ref="F55:I55" si="41">IF(ISERR(SUMPRODUCT(E8:E34,$AD$8:$AD$34)/$C$55),"0.00",SUMPRODUCT(E8:E34,$AD$8:$AD$34)/$C$55)</f>
        <v>0.00</v>
      </c>
      <c r="G55" s="264" t="str">
        <f t="shared" si="41"/>
        <v>0.00</v>
      </c>
      <c r="H55" s="264" t="str">
        <f t="shared" si="41"/>
        <v>0.00</v>
      </c>
      <c r="I55" s="263" t="str">
        <f t="shared" si="41"/>
        <v>0.00</v>
      </c>
      <c r="J55" s="265">
        <f t="shared" si="29"/>
        <v>0</v>
      </c>
      <c r="K55" s="266">
        <f>IF(E55=0,0,(J55-(5.72*9*(5.26*(100-E55)/100+0.1119*E55))))</f>
        <v>-270.78479999999996</v>
      </c>
      <c r="S55" s="190"/>
      <c r="T55" s="191"/>
      <c r="U55" s="48"/>
      <c r="V55" s="49"/>
      <c r="W55" s="49"/>
      <c r="X55" s="49"/>
      <c r="Y55" s="49"/>
      <c r="Z55" s="48"/>
    </row>
    <row r="56" spans="1:26" ht="15.5">
      <c r="A56" s="189">
        <v>13</v>
      </c>
      <c r="B56" s="267" t="s">
        <v>80</v>
      </c>
      <c r="C56" s="268">
        <f>AE35</f>
        <v>0</v>
      </c>
      <c r="D56" s="268">
        <f>CA35</f>
        <v>0</v>
      </c>
      <c r="E56" s="269" t="str">
        <f>IF(ISERR(SUMPRODUCT(D8:D34,$AE$8:$AE$34)/$C$56),"0.00",SUMPRODUCT(D8:D34,$AE$8:$AE$34)/$C$56)</f>
        <v>0.00</v>
      </c>
      <c r="F56" s="269" t="str">
        <f t="shared" ref="F56:I56" si="42">IF(ISERR(SUMPRODUCT(E8:E34,$AE$8:$AE$34)/$C$56),"0.00",SUMPRODUCT(E8:E34,$AE$8:$AE$34)/$C$56)</f>
        <v>0.00</v>
      </c>
      <c r="G56" s="269" t="str">
        <f t="shared" si="42"/>
        <v>0.00</v>
      </c>
      <c r="H56" s="269" t="str">
        <f t="shared" si="42"/>
        <v>0.00</v>
      </c>
      <c r="I56" s="268" t="str">
        <f t="shared" si="42"/>
        <v>0.00</v>
      </c>
      <c r="J56" s="270">
        <f t="shared" si="29"/>
        <v>0</v>
      </c>
      <c r="K56" s="271">
        <f>IF(E56=0,0,(J56-(5.72*9*(5.2*(100-E56)/100+0.1119*E56))))</f>
        <v>-267.69599999999997</v>
      </c>
      <c r="S56" s="190"/>
      <c r="T56" s="191"/>
      <c r="U56" s="48"/>
      <c r="V56" s="49"/>
      <c r="W56" s="49"/>
      <c r="X56" s="49"/>
      <c r="Y56" s="49"/>
      <c r="Z56" s="48"/>
    </row>
    <row r="57" spans="1:26" ht="15.5">
      <c r="A57" s="189">
        <v>14</v>
      </c>
      <c r="B57" s="272" t="s">
        <v>118</v>
      </c>
      <c r="C57" s="273">
        <f>AF35</f>
        <v>0</v>
      </c>
      <c r="D57" s="273">
        <f>CB35</f>
        <v>0</v>
      </c>
      <c r="E57" s="274" t="str">
        <f>IF(ISERR(SUMPRODUCT(D8:D34,$AF$8:$AF$34)/$C$57),"0.00",SUMPRODUCT(D8:D34,$AF$8:$AF$34)/$C$57)</f>
        <v>0.00</v>
      </c>
      <c r="F57" s="274" t="str">
        <f t="shared" ref="F57:I57" si="43">IF(ISERR(SUMPRODUCT(E8:E34,$AF$8:$AF$34)/$C$57),"0.00",SUMPRODUCT(E8:E34,$AF$8:$AF$34)/$C$57)</f>
        <v>0.00</v>
      </c>
      <c r="G57" s="274" t="str">
        <f t="shared" si="43"/>
        <v>0.00</v>
      </c>
      <c r="H57" s="274" t="str">
        <f t="shared" si="43"/>
        <v>0.00</v>
      </c>
      <c r="I57" s="273" t="str">
        <f t="shared" si="43"/>
        <v>0.00</v>
      </c>
      <c r="J57" s="273">
        <f t="shared" si="29"/>
        <v>0</v>
      </c>
      <c r="K57" s="275">
        <f>IF(E57=0,0,(J57-(5.72*9*(4.65*(100-E57)/100+0.1119*E57))))</f>
        <v>-239.38200000000001</v>
      </c>
      <c r="S57" s="190"/>
      <c r="T57" s="191"/>
      <c r="U57" s="48"/>
      <c r="V57" s="49"/>
      <c r="W57" s="49"/>
      <c r="X57" s="49"/>
      <c r="Y57" s="49"/>
      <c r="Z57" s="48"/>
    </row>
    <row r="58" spans="1:26" ht="15.5">
      <c r="A58" s="189">
        <v>15</v>
      </c>
      <c r="B58" s="272" t="s">
        <v>88</v>
      </c>
      <c r="C58" s="276">
        <f>AG35</f>
        <v>0</v>
      </c>
      <c r="D58" s="276">
        <f>CC35</f>
        <v>0</v>
      </c>
      <c r="E58" s="274" t="str">
        <f>IF(ISERR(SUMPRODUCT(D8:D34,$AG$8:$AG$34)/$C$58),"0.00",SUMPRODUCT(D8:D34,$AG$8:$AG$34)/$C$58)</f>
        <v>0.00</v>
      </c>
      <c r="F58" s="274" t="str">
        <f t="shared" ref="F58:I58" si="44">IF(ISERR(SUMPRODUCT(E8:E34,$AG$8:$AG$34)/$C$58),"0.00",SUMPRODUCT(E8:E34,$AG$8:$AG$34)/$C$58)</f>
        <v>0.00</v>
      </c>
      <c r="G58" s="274" t="str">
        <f t="shared" si="44"/>
        <v>0.00</v>
      </c>
      <c r="H58" s="274" t="str">
        <f t="shared" si="44"/>
        <v>0.00</v>
      </c>
      <c r="I58" s="273" t="str">
        <f t="shared" si="44"/>
        <v>0.00</v>
      </c>
      <c r="J58" s="273">
        <f t="shared" si="29"/>
        <v>0</v>
      </c>
      <c r="K58" s="275">
        <f>IF(E58=0,0,(J58-(5.72*9*(4.49*(100-E58)/100+0.1119*E58))))</f>
        <v>-231.14519999999999</v>
      </c>
      <c r="P58" s="45"/>
      <c r="S58" s="190"/>
      <c r="T58" s="191"/>
      <c r="U58" s="48"/>
      <c r="V58" s="49"/>
      <c r="W58" s="49"/>
      <c r="X58" s="49"/>
      <c r="Y58" s="49"/>
      <c r="Z58" s="48"/>
    </row>
    <row r="59" spans="1:26" ht="15.5" hidden="1">
      <c r="A59" s="189">
        <v>16</v>
      </c>
      <c r="B59" s="277" t="s">
        <v>119</v>
      </c>
      <c r="C59" s="276">
        <f>AH35</f>
        <v>0</v>
      </c>
      <c r="D59" s="273">
        <f>CD35</f>
        <v>0</v>
      </c>
      <c r="E59" s="274" t="str">
        <f>IF(ISERR(SUMPRODUCT(D8:D34,$AH$8:$AH$34)/$C$59),"0.00",SUMPRODUCT(D8:D34,$AH$8:$AH$34)/$C$59)</f>
        <v>0.00</v>
      </c>
      <c r="F59" s="274" t="str">
        <f t="shared" ref="F59:I59" si="45">IF(ISERR(SUMPRODUCT(E8:E34,$AH$8:$AH$34)/$C$59),"0.00",SUMPRODUCT(E8:E34,$AH$8:$AH$34)/$C$59)</f>
        <v>0.00</v>
      </c>
      <c r="G59" s="274" t="str">
        <f t="shared" si="45"/>
        <v>0.00</v>
      </c>
      <c r="H59" s="274" t="str">
        <f t="shared" si="45"/>
        <v>0.00</v>
      </c>
      <c r="I59" s="273" t="str">
        <f t="shared" si="45"/>
        <v>0.00</v>
      </c>
      <c r="J59" s="273">
        <f t="shared" si="29"/>
        <v>0</v>
      </c>
      <c r="K59" s="275">
        <f t="shared" si="40"/>
        <v>-251.22239999999999</v>
      </c>
      <c r="S59" s="190"/>
      <c r="T59" s="191"/>
      <c r="U59" s="48"/>
      <c r="V59" s="49"/>
      <c r="W59" s="49"/>
      <c r="X59" s="49"/>
      <c r="Y59" s="49"/>
      <c r="Z59" s="48"/>
    </row>
    <row r="60" spans="1:26" ht="15.5" hidden="1">
      <c r="A60" s="189">
        <v>17</v>
      </c>
      <c r="B60" s="277" t="s">
        <v>120</v>
      </c>
      <c r="C60" s="276">
        <f>AI35</f>
        <v>0</v>
      </c>
      <c r="D60" s="273">
        <f>CE35</f>
        <v>0</v>
      </c>
      <c r="E60" s="274" t="str">
        <f>IF(ISERR(SUMPRODUCT(D8:D34,$AI$8:$AI$34)/$C$60),"0.00",SUMPRODUCT(D8:D34,$AI$8:$AI$34)/$C$60)</f>
        <v>0.00</v>
      </c>
      <c r="F60" s="274" t="str">
        <f t="shared" ref="F60:I60" si="46">IF(ISERR(SUMPRODUCT(E8:E34,$AI$8:$AI$34)/$C$60),"0.00",SUMPRODUCT(E8:E34,$AI$8:$AI$34)/$C$60)</f>
        <v>0.00</v>
      </c>
      <c r="G60" s="274" t="str">
        <f t="shared" si="46"/>
        <v>0.00</v>
      </c>
      <c r="H60" s="274" t="str">
        <f t="shared" si="46"/>
        <v>0.00</v>
      </c>
      <c r="I60" s="273" t="str">
        <f t="shared" si="46"/>
        <v>0.00</v>
      </c>
      <c r="J60" s="273">
        <f t="shared" si="29"/>
        <v>0</v>
      </c>
      <c r="K60" s="275">
        <f t="shared" si="40"/>
        <v>-251.22239999999999</v>
      </c>
      <c r="S60" s="190"/>
      <c r="T60" s="191"/>
      <c r="U60" s="48"/>
      <c r="V60" s="49"/>
      <c r="W60" s="49"/>
      <c r="X60" s="49"/>
      <c r="Y60" s="49"/>
      <c r="Z60" s="48"/>
    </row>
    <row r="61" spans="1:26" ht="15.5" hidden="1">
      <c r="A61" s="189">
        <v>18</v>
      </c>
      <c r="B61" s="277" t="s">
        <v>121</v>
      </c>
      <c r="C61" s="276">
        <f>AJ35</f>
        <v>0</v>
      </c>
      <c r="D61" s="273">
        <f>CF35</f>
        <v>0</v>
      </c>
      <c r="E61" s="274" t="str">
        <f>IF(ISERR(SUMPRODUCT(D8:D34,$AJ$8:$AJ$34)/$C$61),"0.00",SUMPRODUCT(D8:D34,$AJ$8:$AJ$34)/$C$61)</f>
        <v>0.00</v>
      </c>
      <c r="F61" s="274" t="str">
        <f t="shared" ref="F61:I61" si="47">IF(ISERR(SUMPRODUCT(E8:E34,$AJ$8:$AJ$34)/$C$61),"0.00",SUMPRODUCT(E8:E34,$AJ$8:$AJ$34)/$C$61)</f>
        <v>0.00</v>
      </c>
      <c r="G61" s="274" t="str">
        <f t="shared" si="47"/>
        <v>0.00</v>
      </c>
      <c r="H61" s="274" t="str">
        <f t="shared" si="47"/>
        <v>0.00</v>
      </c>
      <c r="I61" s="273" t="str">
        <f t="shared" si="47"/>
        <v>0.00</v>
      </c>
      <c r="J61" s="273">
        <f t="shared" si="29"/>
        <v>0</v>
      </c>
      <c r="K61" s="275">
        <f t="shared" si="40"/>
        <v>-251.22239999999999</v>
      </c>
      <c r="S61" s="190"/>
      <c r="T61" s="191"/>
      <c r="U61" s="48"/>
      <c r="V61" s="49"/>
      <c r="W61" s="49"/>
      <c r="X61" s="49"/>
      <c r="Y61" s="49"/>
      <c r="Z61" s="48"/>
    </row>
    <row r="62" spans="1:26" ht="15.5">
      <c r="A62" s="189">
        <v>19</v>
      </c>
      <c r="B62" s="278" t="s">
        <v>98</v>
      </c>
      <c r="C62" s="279">
        <f>AK35</f>
        <v>0</v>
      </c>
      <c r="D62" s="279">
        <f>CG35</f>
        <v>0</v>
      </c>
      <c r="E62" s="280" t="str">
        <f>IF(ISERR(SUMPRODUCT(D8:D34,$AK$8:$AK$34)/$C$62),"0.00",SUMPRODUCT(D8:D34,$AK$8:$AK$34)/$C$62)</f>
        <v>0.00</v>
      </c>
      <c r="F62" s="280" t="str">
        <f t="shared" ref="F62:I62" si="48">IF(ISERR(SUMPRODUCT(E8:E34,$AK$8:$AK$34)/$C$62),"0.00",SUMPRODUCT(E8:E34,$AK$8:$AK$34)/$C$62)</f>
        <v>0.00</v>
      </c>
      <c r="G62" s="280" t="str">
        <f t="shared" si="48"/>
        <v>0.00</v>
      </c>
      <c r="H62" s="280" t="str">
        <f t="shared" si="48"/>
        <v>0.00</v>
      </c>
      <c r="I62" s="279" t="str">
        <f t="shared" si="48"/>
        <v>0.00</v>
      </c>
      <c r="J62" s="279">
        <f t="shared" si="29"/>
        <v>0</v>
      </c>
      <c r="K62" s="281">
        <f>IF(E62=0,0,(J62-(5.72*9*(5.3*(100-E62)/100+0.1119*E62))))</f>
        <v>-272.84399999999999</v>
      </c>
      <c r="S62" s="190"/>
      <c r="T62" s="194"/>
      <c r="U62" s="194"/>
      <c r="V62" s="195"/>
      <c r="W62" s="195"/>
      <c r="X62" s="195"/>
      <c r="Y62" s="195"/>
      <c r="Z62" s="196"/>
    </row>
    <row r="63" spans="1:26" ht="15.5">
      <c r="A63" s="189">
        <v>20</v>
      </c>
      <c r="B63" s="278" t="s">
        <v>122</v>
      </c>
      <c r="C63" s="279">
        <f>AL35</f>
        <v>0</v>
      </c>
      <c r="D63" s="279">
        <f>CH35</f>
        <v>0</v>
      </c>
      <c r="E63" s="280" t="str">
        <f>IF(ISERR(SUMPRODUCT(D8:D34,$AL$8:$AL$34)/$C$63),"0.00",SUMPRODUCT(D8:D34,$AL$8:$AL$34)/$C$63)</f>
        <v>0.00</v>
      </c>
      <c r="F63" s="280" t="str">
        <f t="shared" ref="F63:I63" si="49">IF(ISERR(SUMPRODUCT(E8:E34,$AL$8:$AL$34)/$C$63),"0.00",SUMPRODUCT(E8:E34,$AL$8:$AL$34)/$C$63)</f>
        <v>0.00</v>
      </c>
      <c r="G63" s="280" t="str">
        <f t="shared" si="49"/>
        <v>0.00</v>
      </c>
      <c r="H63" s="280" t="str">
        <f t="shared" si="49"/>
        <v>0.00</v>
      </c>
      <c r="I63" s="279" t="str">
        <f t="shared" si="49"/>
        <v>0.00</v>
      </c>
      <c r="J63" s="279">
        <f t="shared" si="29"/>
        <v>0</v>
      </c>
      <c r="K63" s="281">
        <f>IF(E63=0,0,(J63-(5.72*9*(4.49*(100-E63)/100+0.1119*E63))))</f>
        <v>-231.14519999999999</v>
      </c>
      <c r="S63" s="190"/>
      <c r="T63" s="194"/>
      <c r="U63" s="194"/>
      <c r="V63" s="195"/>
      <c r="W63" s="195"/>
      <c r="X63" s="195"/>
      <c r="Y63" s="195"/>
      <c r="Z63" s="196"/>
    </row>
    <row r="64" spans="1:26" ht="15.5">
      <c r="A64" s="189">
        <v>21</v>
      </c>
      <c r="B64" s="278" t="s">
        <v>123</v>
      </c>
      <c r="C64" s="279">
        <f>AM35</f>
        <v>0</v>
      </c>
      <c r="D64" s="279">
        <f>CI35</f>
        <v>0</v>
      </c>
      <c r="E64" s="280" t="str">
        <f>IF(ISERR(SUMPRODUCT(D8:D34,$AM$8:$AM$34)/$C$64),"0.00",SUMPRODUCT(D8:D34,$AM$8:$AM$34)/$C$64)</f>
        <v>0.00</v>
      </c>
      <c r="F64" s="280" t="str">
        <f t="shared" ref="F64:I64" si="50">IF(ISERR(SUMPRODUCT(E8:E34,$AM$8:$AM$34)/$C$64),"0.00",SUMPRODUCT(E8:E34,$AM$8:$AM$34)/$C$64)</f>
        <v>0.00</v>
      </c>
      <c r="G64" s="280" t="str">
        <f t="shared" si="50"/>
        <v>0.00</v>
      </c>
      <c r="H64" s="280" t="str">
        <f t="shared" si="50"/>
        <v>0.00</v>
      </c>
      <c r="I64" s="279" t="str">
        <f t="shared" si="50"/>
        <v>0.00</v>
      </c>
      <c r="J64" s="279">
        <f t="shared" si="29"/>
        <v>0</v>
      </c>
      <c r="K64" s="281">
        <f>IF(E64=0,0,(J64-(5.72*9*(5.15*(100-E64)/100+0.1119*E64))))</f>
        <v>-265.12200000000001</v>
      </c>
      <c r="S64" s="190"/>
      <c r="T64" s="194"/>
      <c r="U64" s="194"/>
      <c r="V64" s="195"/>
      <c r="W64" s="195"/>
      <c r="X64" s="195"/>
      <c r="Y64" s="195"/>
      <c r="Z64" s="196"/>
    </row>
    <row r="65" spans="1:26" ht="15.5" hidden="1">
      <c r="A65" s="189">
        <v>22</v>
      </c>
      <c r="B65" s="278" t="s">
        <v>93</v>
      </c>
      <c r="C65" s="279">
        <f>AN35</f>
        <v>0</v>
      </c>
      <c r="D65" s="279">
        <f>CJ35</f>
        <v>0</v>
      </c>
      <c r="E65" s="280" t="str">
        <f>IF(ISERR(SUMPRODUCT(D8:D34,$AN$8:$AN$34)/$C$65),"0.00",SUMPRODUCT(D8:D34,$AN$8:$AN$34)/$C$65)</f>
        <v>0.00</v>
      </c>
      <c r="F65" s="280" t="str">
        <f t="shared" ref="F65:I65" si="51">IF(ISERR(SUMPRODUCT(E8:E34,$AN$8:$AN$34)/$C$65),"0.00",SUMPRODUCT(E8:E34,$AN$8:$AN$34)/$C$65)</f>
        <v>0.00</v>
      </c>
      <c r="G65" s="280" t="str">
        <f t="shared" si="51"/>
        <v>0.00</v>
      </c>
      <c r="H65" s="280" t="str">
        <f t="shared" si="51"/>
        <v>0.00</v>
      </c>
      <c r="I65" s="279" t="str">
        <f t="shared" si="51"/>
        <v>0.00</v>
      </c>
      <c r="J65" s="279">
        <f t="shared" si="29"/>
        <v>0</v>
      </c>
      <c r="K65" s="281">
        <f t="shared" si="40"/>
        <v>-251.22239999999999</v>
      </c>
      <c r="S65" s="190"/>
      <c r="T65" s="194"/>
      <c r="U65" s="194"/>
      <c r="V65" s="195"/>
      <c r="W65" s="195"/>
      <c r="X65" s="195"/>
      <c r="Y65" s="195"/>
      <c r="Z65" s="196"/>
    </row>
    <row r="66" spans="1:26" ht="15.5" hidden="1">
      <c r="A66" s="189">
        <v>23</v>
      </c>
      <c r="B66" s="278" t="s">
        <v>124</v>
      </c>
      <c r="C66" s="279">
        <f>AO35</f>
        <v>0</v>
      </c>
      <c r="D66" s="279">
        <f>CK35</f>
        <v>0</v>
      </c>
      <c r="E66" s="280" t="str">
        <f>IF(ISERR(SUMPRODUCT(D8:D34,$AO$8:$AO$34)/$C$66),"0.00",SUMPRODUCT(D8:D34,$AO$8:$AO$34)/$C$66)</f>
        <v>0.00</v>
      </c>
      <c r="F66" s="280" t="str">
        <f t="shared" ref="F66:I66" si="52">IF(ISERR(SUMPRODUCT(E8:E34,$AO$8:$AO$34)/$C$66),"0.00",SUMPRODUCT(E8:E34,$AO$8:$AO$34)/$C$66)</f>
        <v>0.00</v>
      </c>
      <c r="G66" s="280" t="str">
        <f t="shared" si="52"/>
        <v>0.00</v>
      </c>
      <c r="H66" s="280" t="str">
        <f t="shared" si="52"/>
        <v>0.00</v>
      </c>
      <c r="I66" s="279" t="str">
        <f t="shared" si="52"/>
        <v>0.00</v>
      </c>
      <c r="J66" s="279">
        <f t="shared" si="29"/>
        <v>0</v>
      </c>
      <c r="K66" s="281">
        <f t="shared" si="40"/>
        <v>-251.22239999999999</v>
      </c>
      <c r="S66" s="190"/>
      <c r="T66" s="194"/>
      <c r="U66" s="194"/>
      <c r="V66" s="195"/>
      <c r="W66" s="195"/>
      <c r="X66" s="195"/>
      <c r="Y66" s="195"/>
      <c r="Z66" s="196"/>
    </row>
    <row r="67" spans="1:26" ht="15.5">
      <c r="A67" s="189">
        <v>24</v>
      </c>
      <c r="B67" s="282" t="s">
        <v>117</v>
      </c>
      <c r="C67" s="283">
        <f>AP35</f>
        <v>7525</v>
      </c>
      <c r="D67" s="283">
        <f>CL35</f>
        <v>0</v>
      </c>
      <c r="E67" s="284">
        <f>IF(ISERR(SUMPRODUCT(D8:D34,$AP$8:$AP$34)/$C$67),"0.00",SUMPRODUCT(D8:D34,$AP$8:$AP$34)/$C$67)</f>
        <v>26.65</v>
      </c>
      <c r="F67" s="284">
        <f t="shared" ref="F67:I67" si="53">IF(ISERR(SUMPRODUCT(E8:E34,$AP$8:$AP$34)/$C$67),"0.00",SUMPRODUCT(E8:E34,$AP$8:$AP$34)/$C$67)</f>
        <v>16.47</v>
      </c>
      <c r="G67" s="284">
        <f t="shared" si="53"/>
        <v>5.54</v>
      </c>
      <c r="H67" s="284">
        <f t="shared" si="53"/>
        <v>0.49</v>
      </c>
      <c r="I67" s="283">
        <f t="shared" si="53"/>
        <v>5848</v>
      </c>
      <c r="J67" s="283">
        <f t="shared" si="29"/>
        <v>5135.2903148569376</v>
      </c>
      <c r="K67" s="285">
        <f>IF(E67=0,0,(J67-(5.72*9*(4.7*(100-E67)/100+0.1119*E67))))</f>
        <v>4804.2952790569379</v>
      </c>
      <c r="S67" s="190"/>
      <c r="T67" s="194"/>
      <c r="U67" s="194"/>
      <c r="V67" s="195"/>
      <c r="W67" s="195"/>
      <c r="X67" s="195"/>
      <c r="Y67" s="195"/>
      <c r="Z67" s="196"/>
    </row>
    <row r="68" spans="1:26" ht="15.5">
      <c r="A68" s="189">
        <v>25</v>
      </c>
      <c r="B68" s="282" t="s">
        <v>95</v>
      </c>
      <c r="C68" s="283">
        <f>AQ35</f>
        <v>0</v>
      </c>
      <c r="D68" s="283">
        <f>CM35</f>
        <v>0</v>
      </c>
      <c r="E68" s="284" t="str">
        <f>IF(ISERR(SUMPRODUCT(D8:D34,$AQ$8:$AQ$34)/$C$68),"0.00",SUMPRODUCT(D8:D34,$AQ$8:$AQ$34)/$C$68)</f>
        <v>0.00</v>
      </c>
      <c r="F68" s="284" t="str">
        <f t="shared" ref="F68:I68" si="54">IF(ISERR(SUMPRODUCT(E8:E34,$AQ$8:$AQ$34)/$C$68),"0.00",SUMPRODUCT(E8:E34,$AQ$8:$AQ$34)/$C$68)</f>
        <v>0.00</v>
      </c>
      <c r="G68" s="284" t="str">
        <f t="shared" si="54"/>
        <v>0.00</v>
      </c>
      <c r="H68" s="284" t="str">
        <f t="shared" si="54"/>
        <v>0.00</v>
      </c>
      <c r="I68" s="283" t="str">
        <f t="shared" si="54"/>
        <v>0.00</v>
      </c>
      <c r="J68" s="283">
        <f t="shared" si="29"/>
        <v>0</v>
      </c>
      <c r="K68" s="285">
        <f>IF(E68=0,0,(J68-(5.72*9*(5.03*(100-E68)/100+0.1119*E68))))</f>
        <v>-258.94439999999997</v>
      </c>
      <c r="S68" s="190"/>
      <c r="T68" s="194"/>
      <c r="U68" s="194"/>
      <c r="V68" s="195"/>
      <c r="W68" s="195"/>
      <c r="X68" s="195"/>
      <c r="Y68" s="195"/>
      <c r="Z68" s="196"/>
    </row>
    <row r="69" spans="1:26" ht="15.5" hidden="1">
      <c r="A69" s="189">
        <v>26</v>
      </c>
      <c r="B69" s="282" t="s">
        <v>125</v>
      </c>
      <c r="C69" s="283">
        <f>AR35</f>
        <v>0</v>
      </c>
      <c r="D69" s="283">
        <f>CN35</f>
        <v>0</v>
      </c>
      <c r="E69" s="284" t="str">
        <f>IF(ISERR(SUMPRODUCT(D8:D34,$AR$8:$AR$34)/$C$69),"0.00",SUMPRODUCT(D8:D34,$AR$8:$AR$34)/$C$69)</f>
        <v>0.00</v>
      </c>
      <c r="F69" s="284" t="str">
        <f t="shared" ref="F69:I69" si="55">IF(ISERR(SUMPRODUCT(E8:E34,$AR$8:$AR$34)/$C$69),"0.00",SUMPRODUCT(E8:E34,$AR$8:$AR$34)/$C$69)</f>
        <v>0.00</v>
      </c>
      <c r="G69" s="284" t="str">
        <f t="shared" si="55"/>
        <v>0.00</v>
      </c>
      <c r="H69" s="284" t="str">
        <f t="shared" si="55"/>
        <v>0.00</v>
      </c>
      <c r="I69" s="283" t="str">
        <f t="shared" si="55"/>
        <v>0.00</v>
      </c>
      <c r="J69" s="283">
        <f t="shared" si="29"/>
        <v>0</v>
      </c>
      <c r="K69" s="285">
        <f t="shared" si="40"/>
        <v>-251.22239999999999</v>
      </c>
      <c r="S69" s="190"/>
      <c r="T69" s="194"/>
      <c r="U69" s="194"/>
      <c r="V69" s="195"/>
      <c r="W69" s="195"/>
      <c r="X69" s="195"/>
      <c r="Y69" s="195"/>
      <c r="Z69" s="196"/>
    </row>
    <row r="70" spans="1:26" ht="15.5">
      <c r="A70" s="189">
        <v>27</v>
      </c>
      <c r="B70" s="286" t="s">
        <v>137</v>
      </c>
      <c r="C70" s="287">
        <f>AS35</f>
        <v>0</v>
      </c>
      <c r="D70" s="287">
        <f>CO35</f>
        <v>0</v>
      </c>
      <c r="E70" s="288" t="str">
        <f>IF(ISERR(SUMPRODUCT(D8:D34,$AS$8:$AS$34)/$C$70),"0.00",SUMPRODUCT(D8:D34,$AS$8:$AS$34)/$C$70)</f>
        <v>0.00</v>
      </c>
      <c r="F70" s="288" t="str">
        <f t="shared" ref="F70:I70" si="56">IF(ISERR(SUMPRODUCT(E8:E34,$AS$8:$AS$34)/$C$70),"0.00",SUMPRODUCT(E8:E34,$AS$8:$AS$34)/$C$70)</f>
        <v>0.00</v>
      </c>
      <c r="G70" s="288" t="str">
        <f t="shared" si="56"/>
        <v>0.00</v>
      </c>
      <c r="H70" s="288" t="str">
        <f t="shared" si="56"/>
        <v>0.00</v>
      </c>
      <c r="I70" s="287" t="str">
        <f t="shared" si="56"/>
        <v>0.00</v>
      </c>
      <c r="J70" s="287">
        <f t="shared" si="29"/>
        <v>0</v>
      </c>
      <c r="K70" s="289">
        <f>IF(E70=0,0,(J70-(5.72*9*(4.9*(100-E70)/100+0.1119*E70))))</f>
        <v>-252.25200000000001</v>
      </c>
      <c r="S70" s="190"/>
      <c r="T70" s="194"/>
      <c r="U70" s="194"/>
      <c r="V70" s="195"/>
      <c r="W70" s="195"/>
      <c r="X70" s="195"/>
      <c r="Y70" s="195"/>
      <c r="Z70" s="196"/>
    </row>
    <row r="71" spans="1:26" ht="15.5" hidden="1">
      <c r="A71" s="189">
        <v>28</v>
      </c>
      <c r="B71" s="286" t="s">
        <v>126</v>
      </c>
      <c r="C71" s="287">
        <f>AT35</f>
        <v>0</v>
      </c>
      <c r="D71" s="287">
        <f>CP35</f>
        <v>0</v>
      </c>
      <c r="E71" s="288" t="str">
        <f>IF(ISERR(SUMPRODUCT(D8:D34,$AT$8:$AT$34)/$C$71),"0.00",SUMPRODUCT(D8:D34,$AT$8:$AT$34)/$C$71)</f>
        <v>0.00</v>
      </c>
      <c r="F71" s="288" t="str">
        <f t="shared" ref="F71:I71" si="57">IF(ISERR(SUMPRODUCT(E8:E34,$AT$8:$AT$34)/$C$71),"0.00",SUMPRODUCT(E8:E34,$AT$8:$AT$34)/$C$71)</f>
        <v>0.00</v>
      </c>
      <c r="G71" s="288" t="str">
        <f t="shared" si="57"/>
        <v>0.00</v>
      </c>
      <c r="H71" s="288" t="str">
        <f t="shared" si="57"/>
        <v>0.00</v>
      </c>
      <c r="I71" s="287" t="str">
        <f t="shared" si="57"/>
        <v>0.00</v>
      </c>
      <c r="J71" s="287">
        <f t="shared" si="29"/>
        <v>0</v>
      </c>
      <c r="K71" s="289">
        <f t="shared" si="40"/>
        <v>-251.22239999999999</v>
      </c>
      <c r="S71" s="190"/>
      <c r="T71" s="194"/>
      <c r="U71" s="194"/>
      <c r="V71" s="195"/>
      <c r="W71" s="195"/>
      <c r="X71" s="195"/>
      <c r="Y71" s="195"/>
      <c r="Z71" s="196"/>
    </row>
    <row r="72" spans="1:26" ht="15.5" hidden="1">
      <c r="A72" s="189">
        <v>29</v>
      </c>
      <c r="B72" s="286" t="s">
        <v>127</v>
      </c>
      <c r="C72" s="287">
        <f>AU35</f>
        <v>0</v>
      </c>
      <c r="D72" s="287">
        <f>CQ35</f>
        <v>0</v>
      </c>
      <c r="E72" s="288" t="str">
        <f>IF(ISERR(SUMPRODUCT(D8:D34,$AU$8:$AU$34)/$C$72),"0.00",SUMPRODUCT(D8:D34,$AU$8:$AU$34)/$C$72)</f>
        <v>0.00</v>
      </c>
      <c r="F72" s="288" t="str">
        <f t="shared" ref="F72:I72" si="58">IF(ISERR(SUMPRODUCT(E8:E34,$AU$8:$AU$34)/$C$72),"0.00",SUMPRODUCT(E8:E34,$AU$8:$AU$34)/$C$72)</f>
        <v>0.00</v>
      </c>
      <c r="G72" s="288" t="str">
        <f t="shared" si="58"/>
        <v>0.00</v>
      </c>
      <c r="H72" s="288" t="str">
        <f t="shared" si="58"/>
        <v>0.00</v>
      </c>
      <c r="I72" s="287" t="str">
        <f t="shared" si="58"/>
        <v>0.00</v>
      </c>
      <c r="J72" s="287">
        <f t="shared" si="29"/>
        <v>0</v>
      </c>
      <c r="K72" s="289">
        <f t="shared" si="40"/>
        <v>-251.22239999999999</v>
      </c>
      <c r="S72" s="190"/>
      <c r="T72" s="194"/>
      <c r="U72" s="194"/>
      <c r="V72" s="195"/>
      <c r="W72" s="195"/>
      <c r="X72" s="195"/>
      <c r="Y72" s="195"/>
      <c r="Z72" s="196"/>
    </row>
    <row r="73" spans="1:26" ht="15.5">
      <c r="A73" s="189">
        <v>30</v>
      </c>
      <c r="B73" s="286" t="s">
        <v>97</v>
      </c>
      <c r="C73" s="287">
        <f>AV35</f>
        <v>0</v>
      </c>
      <c r="D73" s="287">
        <f>CR35</f>
        <v>0</v>
      </c>
      <c r="E73" s="288" t="str">
        <f>IF(ISERR(SUMPRODUCT(D8:D34,$AV$8:$AV$34)/$C$73),"0.00",SUMPRODUCT(D8:D34,$AV$8:$AV$34)/$C$73)</f>
        <v>0.00</v>
      </c>
      <c r="F73" s="288" t="str">
        <f t="shared" ref="F73:I73" si="59">IF(ISERR(SUMPRODUCT(E8:E34,$AV$8:$AV$34)/$C$73),"0.00",SUMPRODUCT(E8:E34,$AV$8:$AV$34)/$C$73)</f>
        <v>0.00</v>
      </c>
      <c r="G73" s="288" t="str">
        <f t="shared" si="59"/>
        <v>0.00</v>
      </c>
      <c r="H73" s="288" t="str">
        <f t="shared" si="59"/>
        <v>0.00</v>
      </c>
      <c r="I73" s="287" t="str">
        <f t="shared" si="59"/>
        <v>0.00</v>
      </c>
      <c r="J73" s="287">
        <f t="shared" si="29"/>
        <v>0</v>
      </c>
      <c r="K73" s="289">
        <f>IF(E73=0,0,(J73-(5.72*9*(4.9*(100-E73)/100+0.1119*E73))))</f>
        <v>-252.25200000000001</v>
      </c>
      <c r="S73" s="190"/>
      <c r="T73" s="194"/>
      <c r="U73" s="194"/>
      <c r="V73" s="195"/>
      <c r="W73" s="195"/>
      <c r="X73" s="195"/>
      <c r="Y73" s="195"/>
      <c r="Z73" s="196"/>
    </row>
    <row r="74" spans="1:26" ht="15.5" hidden="1">
      <c r="A74" s="189">
        <v>31</v>
      </c>
      <c r="B74" s="286" t="s">
        <v>128</v>
      </c>
      <c r="C74" s="287">
        <f>AW35</f>
        <v>0</v>
      </c>
      <c r="D74" s="287">
        <f>CS35</f>
        <v>0</v>
      </c>
      <c r="E74" s="288" t="str">
        <f>IF(ISERR(SUMPRODUCT(D8:D34,$AW$8:$AW$34)/$C$74),"0.00",SUMPRODUCT(D8:D34,$AW$8:$AW$34)/$C$74)</f>
        <v>0.00</v>
      </c>
      <c r="F74" s="288" t="str">
        <f t="shared" ref="F74:I74" si="60">IF(ISERR(SUMPRODUCT(E8:E34,$AW$8:$AW$34)/$C$74),"0.00",SUMPRODUCT(E8:E34,$AW$8:$AW$34)/$C$74)</f>
        <v>0.00</v>
      </c>
      <c r="G74" s="288" t="str">
        <f t="shared" si="60"/>
        <v>0.00</v>
      </c>
      <c r="H74" s="288" t="str">
        <f t="shared" si="60"/>
        <v>0.00</v>
      </c>
      <c r="I74" s="287" t="str">
        <f t="shared" si="60"/>
        <v>0.00</v>
      </c>
      <c r="J74" s="287">
        <f t="shared" si="29"/>
        <v>0</v>
      </c>
      <c r="K74" s="289">
        <f>IF(E74=0,0,(J74-(5.72*9*(4.9*(100-E74)/100+0.1119*E74))))</f>
        <v>-252.25200000000001</v>
      </c>
      <c r="S74" s="190"/>
      <c r="T74" s="194"/>
      <c r="U74" s="194"/>
      <c r="V74" s="195"/>
      <c r="W74" s="195"/>
      <c r="X74" s="195"/>
      <c r="Y74" s="195"/>
      <c r="Z74" s="196"/>
    </row>
    <row r="75" spans="1:26" ht="15.5">
      <c r="A75" s="189">
        <v>32</v>
      </c>
      <c r="B75" s="286" t="s">
        <v>129</v>
      </c>
      <c r="C75" s="287">
        <f>AX35</f>
        <v>0</v>
      </c>
      <c r="D75" s="287">
        <f>CT35</f>
        <v>0</v>
      </c>
      <c r="E75" s="288" t="str">
        <f>IF(ISERR(SUMPRODUCT(D8:D34,$AX$8:$AX$34)/$C$75),"0.00",SUMPRODUCT(D8:D34,$AX$8:$AX$34)/$C$75)</f>
        <v>0.00</v>
      </c>
      <c r="F75" s="288" t="str">
        <f t="shared" ref="F75:I75" si="61">IF(ISERR(SUMPRODUCT(E8:E34,$AX$8:$AX$34)/$C$75),"0.00",SUMPRODUCT(E8:E34,$AX$8:$AX$34)/$C$75)</f>
        <v>0.00</v>
      </c>
      <c r="G75" s="288" t="str">
        <f t="shared" si="61"/>
        <v>0.00</v>
      </c>
      <c r="H75" s="288" t="str">
        <f t="shared" si="61"/>
        <v>0.00</v>
      </c>
      <c r="I75" s="287" t="str">
        <f t="shared" si="61"/>
        <v>0.00</v>
      </c>
      <c r="J75" s="287">
        <f t="shared" si="29"/>
        <v>0</v>
      </c>
      <c r="K75" s="289">
        <f t="shared" si="40"/>
        <v>-251.22239999999999</v>
      </c>
      <c r="S75" s="190"/>
      <c r="T75" s="194"/>
      <c r="U75" s="194"/>
      <c r="V75" s="195"/>
      <c r="W75" s="195"/>
      <c r="X75" s="195"/>
      <c r="Y75" s="195"/>
      <c r="Z75" s="196"/>
    </row>
    <row r="76" spans="1:26" ht="15.5">
      <c r="A76" s="189">
        <v>33</v>
      </c>
      <c r="B76" s="286" t="s">
        <v>130</v>
      </c>
      <c r="C76" s="287">
        <f>AY35</f>
        <v>0</v>
      </c>
      <c r="D76" s="287">
        <f>CU35</f>
        <v>0</v>
      </c>
      <c r="E76" s="288" t="str">
        <f>IF(ISERR(SUMPRODUCT(D8:D34,$AY$8:$AY$34)/$C$76),"0.00",SUMPRODUCT(D8:D34,$AY$8:$AY$34)/$C$76)</f>
        <v>0.00</v>
      </c>
      <c r="F76" s="288" t="str">
        <f t="shared" ref="F76:I76" si="62">IF(ISERR(SUMPRODUCT(E8:E34,$AY$8:$AY$34)/$C$76),"0.00",SUMPRODUCT(E8:E34,$AY$8:$AY$34)/$C$76)</f>
        <v>0.00</v>
      </c>
      <c r="G76" s="288" t="str">
        <f t="shared" si="62"/>
        <v>0.00</v>
      </c>
      <c r="H76" s="288" t="str">
        <f t="shared" si="62"/>
        <v>0.00</v>
      </c>
      <c r="I76" s="287" t="str">
        <f t="shared" si="62"/>
        <v>0.00</v>
      </c>
      <c r="J76" s="287">
        <f t="shared" si="29"/>
        <v>0</v>
      </c>
      <c r="K76" s="289">
        <f>IF(E76=0,0,(J76-(5.72*9*(4.9*(100-E76)/100+0.1119*E76))))</f>
        <v>-252.25200000000001</v>
      </c>
      <c r="S76" s="190"/>
      <c r="T76" s="194"/>
      <c r="U76" s="194"/>
      <c r="V76" s="195"/>
      <c r="W76" s="195"/>
      <c r="X76" s="195"/>
      <c r="Y76" s="195"/>
      <c r="Z76" s="196"/>
    </row>
    <row r="77" spans="1:26" ht="15.5">
      <c r="A77" s="189">
        <v>34</v>
      </c>
      <c r="B77" s="286" t="s">
        <v>131</v>
      </c>
      <c r="C77" s="287">
        <f>AZ35</f>
        <v>0</v>
      </c>
      <c r="D77" s="287">
        <f>CV35</f>
        <v>0</v>
      </c>
      <c r="E77" s="288" t="str">
        <f>IF(ISERR(SUMPRODUCT(D8:D34,$AZ$8:$AZ$34)/$C$77),"0.00",SUMPRODUCT(D8:D34,$AZ$8:$AZ$34)/$C$77)</f>
        <v>0.00</v>
      </c>
      <c r="F77" s="288" t="str">
        <f t="shared" ref="F77:I77" si="63">IF(ISERR(SUMPRODUCT(E8:E34,$AZ$8:$AZ$34)/$C$77),"0.00",SUMPRODUCT(E8:E34,$AZ$8:$AZ$34)/$C$77)</f>
        <v>0.00</v>
      </c>
      <c r="G77" s="288" t="str">
        <f t="shared" si="63"/>
        <v>0.00</v>
      </c>
      <c r="H77" s="288" t="str">
        <f t="shared" si="63"/>
        <v>0.00</v>
      </c>
      <c r="I77" s="287" t="str">
        <f t="shared" si="63"/>
        <v>0.00</v>
      </c>
      <c r="J77" s="287">
        <f t="shared" si="29"/>
        <v>0</v>
      </c>
      <c r="K77" s="289">
        <f>IF(E77=0,0,(J77-(5.72*9*(4.9*(100-E77)/100+0.1119*E77))))</f>
        <v>-252.25200000000001</v>
      </c>
      <c r="S77" s="190"/>
      <c r="T77" s="194"/>
      <c r="U77" s="194"/>
      <c r="V77" s="195"/>
      <c r="W77" s="195"/>
      <c r="X77" s="195"/>
      <c r="Y77" s="195"/>
      <c r="Z77" s="196"/>
    </row>
    <row r="78" spans="1:26" ht="15.5">
      <c r="A78" s="189">
        <v>35</v>
      </c>
      <c r="B78" s="286" t="s">
        <v>142</v>
      </c>
      <c r="C78" s="287">
        <f>BA35</f>
        <v>0</v>
      </c>
      <c r="D78" s="287">
        <f>CW35</f>
        <v>0</v>
      </c>
      <c r="E78" s="288" t="str">
        <f>IF(ISERR(SUMPRODUCT(D8:D34,$BA$8:$BA$34)/$C$78),"0.00",SUMPRODUCT(D8:D34,$BA$8:$BA$34)/$C$78)</f>
        <v>0.00</v>
      </c>
      <c r="F78" s="288" t="str">
        <f t="shared" ref="F78:I78" si="64">IF(ISERR(SUMPRODUCT(E8:E34,$BA$8:$BA$34)/$C$78),"0.00",SUMPRODUCT(E8:E34,$BA$8:$BA$34)/$C$78)</f>
        <v>0.00</v>
      </c>
      <c r="G78" s="288" t="str">
        <f t="shared" si="64"/>
        <v>0.00</v>
      </c>
      <c r="H78" s="288" t="str">
        <f t="shared" si="64"/>
        <v>0.00</v>
      </c>
      <c r="I78" s="287" t="str">
        <f t="shared" si="64"/>
        <v>0.00</v>
      </c>
      <c r="J78" s="287">
        <f t="shared" si="29"/>
        <v>0</v>
      </c>
      <c r="K78" s="289">
        <f t="shared" si="40"/>
        <v>-251.22239999999999</v>
      </c>
      <c r="S78" s="190"/>
      <c r="T78" s="194"/>
      <c r="U78" s="194"/>
      <c r="V78" s="195"/>
      <c r="W78" s="195"/>
      <c r="X78" s="195"/>
      <c r="Y78" s="195"/>
      <c r="Z78" s="196"/>
    </row>
    <row r="79" spans="1:26" ht="15.5">
      <c r="A79" s="189">
        <v>36</v>
      </c>
      <c r="B79" s="290" t="s">
        <v>82</v>
      </c>
      <c r="C79" s="291">
        <f>BB35</f>
        <v>0</v>
      </c>
      <c r="D79" s="291">
        <f>CX35</f>
        <v>0</v>
      </c>
      <c r="E79" s="292" t="str">
        <f>IF(ISERR(SUMPRODUCT(D8:D34,$BB$8:$BB$34)/$C$79),"0.00",SUMPRODUCT(D8:D34,$BB$8:$BB$34)/$C$79)</f>
        <v>0.00</v>
      </c>
      <c r="F79" s="292" t="str">
        <f t="shared" ref="F79:I79" si="65">IF(ISERR(SUMPRODUCT(E8:E34,$BB$8:$BB$34)/$C$79),"0.00",SUMPRODUCT(E8:E34,$BB$8:$BB$34)/$C$79)</f>
        <v>0.00</v>
      </c>
      <c r="G79" s="292" t="str">
        <f t="shared" si="65"/>
        <v>0.00</v>
      </c>
      <c r="H79" s="292" t="str">
        <f t="shared" si="65"/>
        <v>0.00</v>
      </c>
      <c r="I79" s="291" t="str">
        <f t="shared" si="65"/>
        <v>0.00</v>
      </c>
      <c r="J79" s="291">
        <f t="shared" si="29"/>
        <v>0</v>
      </c>
      <c r="K79" s="293">
        <f t="shared" ref="K79:K85" si="66">IF(E79=0,0,(J79-(5.72*9*(4.9*(100-E79)/100+0.1119*E79))))</f>
        <v>-252.25200000000001</v>
      </c>
      <c r="S79" s="190"/>
      <c r="T79" s="194"/>
      <c r="U79" s="194"/>
      <c r="V79" s="195"/>
      <c r="W79" s="195"/>
      <c r="X79" s="195"/>
      <c r="Y79" s="195"/>
      <c r="Z79" s="196"/>
    </row>
    <row r="80" spans="1:26" ht="15.5">
      <c r="A80" s="189">
        <v>37</v>
      </c>
      <c r="B80" s="290" t="s">
        <v>132</v>
      </c>
      <c r="C80" s="291">
        <f>BC35</f>
        <v>0</v>
      </c>
      <c r="D80" s="291">
        <f>CY35</f>
        <v>0</v>
      </c>
      <c r="E80" s="292" t="str">
        <f>IF(ISERR(SUMPRODUCT(D8:D34,$BC$8:$BC$34)/$C$80),"0.00",SUMPRODUCT(D8:D34,$BC$8:$BC$34)/$C$80)</f>
        <v>0.00</v>
      </c>
      <c r="F80" s="292" t="str">
        <f t="shared" ref="F80:I80" si="67">IF(ISERR(SUMPRODUCT(E8:E34,$BC$8:$BC$34)/$C$80),"0.00",SUMPRODUCT(E8:E34,$BC$8:$BC$34)/$C$80)</f>
        <v>0.00</v>
      </c>
      <c r="G80" s="292" t="str">
        <f t="shared" si="67"/>
        <v>0.00</v>
      </c>
      <c r="H80" s="292" t="str">
        <f t="shared" si="67"/>
        <v>0.00</v>
      </c>
      <c r="I80" s="291" t="str">
        <f t="shared" si="67"/>
        <v>0.00</v>
      </c>
      <c r="J80" s="291">
        <f t="shared" si="29"/>
        <v>0</v>
      </c>
      <c r="K80" s="293">
        <f t="shared" si="66"/>
        <v>-252.25200000000001</v>
      </c>
      <c r="S80" s="190"/>
      <c r="T80" s="194"/>
      <c r="U80" s="194"/>
      <c r="V80" s="195"/>
      <c r="W80" s="195"/>
      <c r="X80" s="195"/>
      <c r="Y80" s="195"/>
      <c r="Z80" s="196"/>
    </row>
    <row r="81" spans="1:26" ht="15.5">
      <c r="A81" s="189">
        <v>38</v>
      </c>
      <c r="B81" s="290" t="s">
        <v>133</v>
      </c>
      <c r="C81" s="291">
        <f>BD35</f>
        <v>0</v>
      </c>
      <c r="D81" s="291">
        <f>CZ35</f>
        <v>0</v>
      </c>
      <c r="E81" s="292" t="str">
        <f>IF(ISERR(SUMPRODUCT(D8:D34,$BD$8:$BD$34)/$C$81),"0.00",SUMPRODUCT(D8:D34,$BD$8:$BD$34)/$C$81)</f>
        <v>0.00</v>
      </c>
      <c r="F81" s="292" t="str">
        <f t="shared" ref="F81:I81" si="68">IF(ISERR(SUMPRODUCT(E8:E34,$BD$8:$BD$34)/$C$81),"0.00",SUMPRODUCT(E8:E34,$BD$8:$BD$34)/$C$81)</f>
        <v>0.00</v>
      </c>
      <c r="G81" s="292" t="str">
        <f t="shared" si="68"/>
        <v>0.00</v>
      </c>
      <c r="H81" s="292" t="str">
        <f t="shared" si="68"/>
        <v>0.00</v>
      </c>
      <c r="I81" s="291" t="str">
        <f t="shared" si="68"/>
        <v>0.00</v>
      </c>
      <c r="J81" s="291">
        <f t="shared" si="29"/>
        <v>0</v>
      </c>
      <c r="K81" s="293">
        <f t="shared" si="66"/>
        <v>-252.25200000000001</v>
      </c>
      <c r="S81" s="190"/>
      <c r="T81" s="194"/>
      <c r="U81" s="194"/>
      <c r="V81" s="195"/>
      <c r="W81" s="195"/>
      <c r="X81" s="195"/>
      <c r="Y81" s="195"/>
      <c r="Z81" s="196"/>
    </row>
    <row r="82" spans="1:26" ht="15.5">
      <c r="A82" s="189">
        <v>39</v>
      </c>
      <c r="B82" s="290" t="s">
        <v>134</v>
      </c>
      <c r="C82" s="291">
        <f>BE35</f>
        <v>0</v>
      </c>
      <c r="D82" s="291">
        <f>DA35</f>
        <v>0</v>
      </c>
      <c r="E82" s="292" t="str">
        <f>IF(ISERR(SUMPRODUCT(D8:D34,$BE$8:$BE$34)/$C$82),"0.00",SUMPRODUCT(D8:D34,$BE$8:$BE$34)/$C$82)</f>
        <v>0.00</v>
      </c>
      <c r="F82" s="292" t="str">
        <f t="shared" ref="F82:I82" si="69">IF(ISERR(SUMPRODUCT(E8:E34,$BE$8:$BE$34)/$C$82),"0.00",SUMPRODUCT(E8:E34,$BE$8:$BE$34)/$C$82)</f>
        <v>0.00</v>
      </c>
      <c r="G82" s="292" t="str">
        <f t="shared" si="69"/>
        <v>0.00</v>
      </c>
      <c r="H82" s="292" t="str">
        <f t="shared" si="69"/>
        <v>0.00</v>
      </c>
      <c r="I82" s="291" t="str">
        <f t="shared" si="69"/>
        <v>0.00</v>
      </c>
      <c r="J82" s="291">
        <f t="shared" si="29"/>
        <v>0</v>
      </c>
      <c r="K82" s="293">
        <f t="shared" si="66"/>
        <v>-252.25200000000001</v>
      </c>
      <c r="S82" s="190"/>
      <c r="T82" s="194"/>
      <c r="U82" s="194"/>
      <c r="V82" s="195"/>
      <c r="W82" s="195"/>
      <c r="X82" s="195"/>
      <c r="Y82" s="195"/>
      <c r="Z82" s="196"/>
    </row>
    <row r="83" spans="1:26" ht="15.5">
      <c r="A83" s="189">
        <v>40</v>
      </c>
      <c r="B83" s="290" t="s">
        <v>157</v>
      </c>
      <c r="C83" s="291">
        <f>BF35</f>
        <v>0</v>
      </c>
      <c r="D83" s="291">
        <f>DB35</f>
        <v>0</v>
      </c>
      <c r="E83" s="292" t="str">
        <f>IF(ISERR(SUMPRODUCT(D8:D34,$BF$8:$BF$34)/$C$83),"0.00",SUMPRODUCT(D8:D34,$BF$8:$BF$34)/$C$83)</f>
        <v>0.00</v>
      </c>
      <c r="F83" s="292" t="str">
        <f t="shared" ref="F83:I83" si="70">IF(ISERR(SUMPRODUCT(E8:E34,$BF$8:$BF$34)/$C$83),"0.00",SUMPRODUCT(E8:E34,$BF$8:$BF$34)/$C$83)</f>
        <v>0.00</v>
      </c>
      <c r="G83" s="292" t="str">
        <f t="shared" si="70"/>
        <v>0.00</v>
      </c>
      <c r="H83" s="292" t="str">
        <f t="shared" si="70"/>
        <v>0.00</v>
      </c>
      <c r="I83" s="291" t="str">
        <f t="shared" si="70"/>
        <v>0.00</v>
      </c>
      <c r="J83" s="291">
        <f t="shared" si="29"/>
        <v>0</v>
      </c>
      <c r="K83" s="293">
        <f t="shared" si="66"/>
        <v>-252.25200000000001</v>
      </c>
      <c r="S83" s="190"/>
      <c r="T83" s="194"/>
      <c r="U83" s="194"/>
      <c r="V83" s="195"/>
      <c r="W83" s="195"/>
      <c r="X83" s="195"/>
      <c r="Y83" s="195"/>
      <c r="Z83" s="196"/>
    </row>
    <row r="84" spans="1:26" ht="15.5">
      <c r="A84" s="189">
        <v>41</v>
      </c>
      <c r="B84" s="290" t="s">
        <v>135</v>
      </c>
      <c r="C84" s="291">
        <f>BG35</f>
        <v>0</v>
      </c>
      <c r="D84" s="291">
        <f>DC35</f>
        <v>0</v>
      </c>
      <c r="E84" s="292" t="str">
        <f>IF(ISERR(SUMPRODUCT(D8:D34,$BG$8:$BG$34)/$C$84),"0.00",SUMPRODUCT(D8:D34,$BG$8:$BG$34)/$C$84)</f>
        <v>0.00</v>
      </c>
      <c r="F84" s="292" t="str">
        <f t="shared" ref="F84:I84" si="71">IF(ISERR(SUMPRODUCT(E8:E34,$BG$8:$BG$34)/$C$84),"0.00",SUMPRODUCT(E8:E34,$BG$8:$BG$34)/$C$84)</f>
        <v>0.00</v>
      </c>
      <c r="G84" s="292" t="str">
        <f t="shared" si="71"/>
        <v>0.00</v>
      </c>
      <c r="H84" s="292" t="str">
        <f t="shared" si="71"/>
        <v>0.00</v>
      </c>
      <c r="I84" s="291" t="str">
        <f t="shared" si="71"/>
        <v>0.00</v>
      </c>
      <c r="J84" s="291">
        <f t="shared" si="29"/>
        <v>0</v>
      </c>
      <c r="K84" s="293">
        <f t="shared" si="66"/>
        <v>-252.25200000000001</v>
      </c>
      <c r="S84" s="190"/>
      <c r="T84" s="194"/>
      <c r="U84" s="194"/>
      <c r="V84" s="195"/>
      <c r="W84" s="195"/>
      <c r="X84" s="195"/>
      <c r="Y84" s="195"/>
      <c r="Z84" s="196"/>
    </row>
    <row r="85" spans="1:26" ht="15.5">
      <c r="A85" s="189">
        <v>42</v>
      </c>
      <c r="B85" s="290" t="s">
        <v>158</v>
      </c>
      <c r="C85" s="291">
        <f>BH35</f>
        <v>22611</v>
      </c>
      <c r="D85" s="291">
        <f>DD35</f>
        <v>7505</v>
      </c>
      <c r="E85" s="292">
        <f>IF(ISERR(SUMPRODUCT(D8:D34,$BH$8:$BH$34)/$C$85),"0.00",SUMPRODUCT(D8:D34,$BH$8:$BH$34)/$C$85)</f>
        <v>49.245852067896692</v>
      </c>
      <c r="F85" s="292">
        <f t="shared" ref="F85:I85" si="72">IF(ISERR(SUMPRODUCT(E8:E34,$BH$8:$BH$34)/$C$85),"0.00",SUMPRODUCT(E8:E34,$BH$8:$BH$34)/$C$85)</f>
        <v>21.368100966038941</v>
      </c>
      <c r="G85" s="292">
        <f t="shared" si="72"/>
        <v>4.9028169143221501</v>
      </c>
      <c r="H85" s="292">
        <f t="shared" si="72"/>
        <v>0.43279805421715284</v>
      </c>
      <c r="I85" s="291">
        <f t="shared" si="72"/>
        <v>4931.6412840678859</v>
      </c>
      <c r="J85" s="291">
        <f t="shared" si="29"/>
        <v>3183.202419816218</v>
      </c>
      <c r="K85" s="293">
        <f t="shared" si="66"/>
        <v>2771.4878202019781</v>
      </c>
      <c r="S85" s="190"/>
      <c r="T85" s="194"/>
      <c r="U85" s="194"/>
      <c r="V85" s="195"/>
      <c r="W85" s="195"/>
      <c r="X85" s="195"/>
      <c r="Y85" s="195"/>
      <c r="Z85" s="196"/>
    </row>
    <row r="86" spans="1:26" ht="15.5">
      <c r="A86" s="189">
        <v>43</v>
      </c>
      <c r="B86" s="290" t="s">
        <v>155</v>
      </c>
      <c r="C86" s="291">
        <f>BI35</f>
        <v>0</v>
      </c>
      <c r="D86" s="291">
        <f>DE35</f>
        <v>0</v>
      </c>
      <c r="E86" s="292" t="str">
        <f>IF(ISERR(SUMPRODUCT(D8:D34,$BI$8:$BI$34)/$C$86),"0.00",SUMPRODUCT(D8:D34,$BI$8:$BI$34)/$C$86)</f>
        <v>0.00</v>
      </c>
      <c r="F86" s="292" t="str">
        <f t="shared" ref="F86:I86" si="73">IF(ISERR(SUMPRODUCT(E8:E34,$BI$8:$BI$34)/$C$86),"0.00",SUMPRODUCT(E8:E34,$BI$8:$BI$34)/$C$86)</f>
        <v>0.00</v>
      </c>
      <c r="G86" s="292" t="str">
        <f t="shared" si="73"/>
        <v>0.00</v>
      </c>
      <c r="H86" s="292" t="str">
        <f t="shared" si="73"/>
        <v>0.00</v>
      </c>
      <c r="I86" s="291" t="str">
        <f t="shared" si="73"/>
        <v>0.00</v>
      </c>
      <c r="J86" s="291">
        <f t="shared" si="29"/>
        <v>0</v>
      </c>
      <c r="K86" s="293">
        <f t="shared" si="40"/>
        <v>-251.22239999999999</v>
      </c>
      <c r="S86" s="190"/>
      <c r="T86" s="194"/>
      <c r="U86" s="194"/>
      <c r="V86" s="195"/>
      <c r="W86" s="195"/>
      <c r="X86" s="195"/>
      <c r="Y86" s="195"/>
      <c r="Z86" s="196"/>
    </row>
    <row r="87" spans="1:26" ht="15.5">
      <c r="A87" s="189">
        <v>44</v>
      </c>
      <c r="B87" s="290" t="s">
        <v>143</v>
      </c>
      <c r="C87" s="291">
        <f>BJ35</f>
        <v>0</v>
      </c>
      <c r="D87" s="291">
        <f>DF35</f>
        <v>0</v>
      </c>
      <c r="E87" s="292" t="str">
        <f>IF(ISERR(SUMPRODUCT(D8:D34,$BJ$8:$BJ$34)/$C$87),"0.00",SUMPRODUCT(D8:D34,$BJ$8:$BJ$34)/$C$87)</f>
        <v>0.00</v>
      </c>
      <c r="F87" s="292" t="str">
        <f t="shared" ref="F87:I87" si="74">IF(ISERR(SUMPRODUCT(E8:E34,$BJ$8:$BJ$34)/$C$87),"0.00",SUMPRODUCT(E8:E34,$BJ$8:$BJ$34)/$C$87)</f>
        <v>0.00</v>
      </c>
      <c r="G87" s="292" t="str">
        <f t="shared" si="74"/>
        <v>0.00</v>
      </c>
      <c r="H87" s="292" t="str">
        <f t="shared" si="74"/>
        <v>0.00</v>
      </c>
      <c r="I87" s="291" t="str">
        <f t="shared" si="74"/>
        <v>0.00</v>
      </c>
      <c r="J87" s="291">
        <f t="shared" si="29"/>
        <v>0</v>
      </c>
      <c r="K87" s="293">
        <f t="shared" si="40"/>
        <v>-251.22239999999999</v>
      </c>
      <c r="S87" s="190"/>
      <c r="T87" s="194"/>
      <c r="U87" s="194"/>
      <c r="V87" s="195"/>
      <c r="W87" s="195"/>
      <c r="X87" s="195"/>
      <c r="Y87" s="195"/>
      <c r="Z87" s="196"/>
    </row>
    <row r="88" spans="1:26" ht="15.5">
      <c r="A88" s="189">
        <v>45</v>
      </c>
      <c r="B88" s="290" t="s">
        <v>156</v>
      </c>
      <c r="C88" s="291">
        <f>BK35</f>
        <v>0</v>
      </c>
      <c r="D88" s="291">
        <f>DG35</f>
        <v>0</v>
      </c>
      <c r="E88" s="292" t="str">
        <f>IF(ISERR(SUMPRODUCT(D8:D34,$BK$8:$BK$34)/$C$88),"0.00",SUMPRODUCT(D8:D34,$BK$8:$BK$34)/$C$88)</f>
        <v>0.00</v>
      </c>
      <c r="F88" s="292" t="str">
        <f t="shared" ref="F88:I88" si="75">IF(ISERR(SUMPRODUCT(E8:E34,$BK$8:$BK$34)/$C$88),"0.00",SUMPRODUCT(E8:E34,$BK$8:$BK$34)/$C$88)</f>
        <v>0.00</v>
      </c>
      <c r="G88" s="292" t="str">
        <f t="shared" si="75"/>
        <v>0.00</v>
      </c>
      <c r="H88" s="292" t="str">
        <f t="shared" si="75"/>
        <v>0.00</v>
      </c>
      <c r="I88" s="291" t="str">
        <f t="shared" si="75"/>
        <v>0.00</v>
      </c>
      <c r="J88" s="291">
        <f t="shared" si="29"/>
        <v>0</v>
      </c>
      <c r="K88" s="293">
        <f>IF(E88=0,0,(J88-(5.72*9*(4.9*(100-E88)/100+0.1119*E88))))</f>
        <v>-252.25200000000001</v>
      </c>
      <c r="S88" s="190"/>
      <c r="T88" s="194"/>
      <c r="U88" s="194"/>
      <c r="V88" s="195"/>
      <c r="W88" s="195"/>
      <c r="X88" s="195"/>
      <c r="Y88" s="195"/>
      <c r="Z88" s="196"/>
    </row>
    <row r="89" spans="1:26" ht="16" thickBot="1">
      <c r="A89" s="189">
        <v>46</v>
      </c>
      <c r="B89" s="294" t="s">
        <v>136</v>
      </c>
      <c r="C89" s="295">
        <f>BL35</f>
        <v>0</v>
      </c>
      <c r="D89" s="295">
        <f>DH35</f>
        <v>0</v>
      </c>
      <c r="E89" s="296" t="str">
        <f>IF(ISERR(SUMPRODUCT(D8:D34,$BL$8:$BL$34)/$C$89),"0.00",SUMPRODUCT(D8:D34,$BL$8:$BL$34)/$C$89)</f>
        <v>0.00</v>
      </c>
      <c r="F89" s="296" t="str">
        <f t="shared" ref="F89:I89" si="76">IF(ISERR(SUMPRODUCT(E8:E34,$BL$8:$BL$34)/$C$89),"0.00",SUMPRODUCT(E8:E34,$BL$8:$BL$34)/$C$89)</f>
        <v>0.00</v>
      </c>
      <c r="G89" s="296" t="str">
        <f t="shared" si="76"/>
        <v>0.00</v>
      </c>
      <c r="H89" s="296" t="str">
        <f t="shared" si="76"/>
        <v>0.00</v>
      </c>
      <c r="I89" s="295" t="str">
        <f t="shared" si="76"/>
        <v>0.00</v>
      </c>
      <c r="J89" s="295">
        <f t="shared" si="29"/>
        <v>0</v>
      </c>
      <c r="K89" s="297">
        <f>IF(E89=0,0,(J89-(5.72*9*(4.9*(100-E89)/100+0.1119*E89))))</f>
        <v>-252.25200000000001</v>
      </c>
      <c r="S89" s="190"/>
      <c r="T89" s="194"/>
      <c r="U89" s="194"/>
      <c r="V89" s="195"/>
      <c r="W89" s="195"/>
      <c r="X89" s="195"/>
      <c r="Y89" s="195"/>
      <c r="Z89" s="196"/>
    </row>
    <row r="90" spans="1:26" ht="15.5" thickBot="1">
      <c r="A90" s="204"/>
      <c r="B90" s="355" t="s">
        <v>5</v>
      </c>
      <c r="C90" s="298">
        <f>SUM(C44:C89)</f>
        <v>417635.03657407407</v>
      </c>
      <c r="D90" s="299">
        <f>SUM(D44:D89)</f>
        <v>25159.3</v>
      </c>
      <c r="E90" s="300">
        <f t="shared" ref="E90:K90" si="77">SUMPRODUCT(E44:E89,$C$44:$C$89)/$C$90</f>
        <v>14.879631449007423</v>
      </c>
      <c r="F90" s="300">
        <f t="shared" si="77"/>
        <v>10.920571095229777</v>
      </c>
      <c r="G90" s="300">
        <f t="shared" si="77"/>
        <v>6.5849572489667718</v>
      </c>
      <c r="H90" s="300">
        <f t="shared" si="77"/>
        <v>2.0936374329450493</v>
      </c>
      <c r="I90" s="301">
        <f t="shared" si="77"/>
        <v>6166.105981884275</v>
      </c>
      <c r="J90" s="301">
        <f t="shared" si="77"/>
        <v>5901.0032517073532</v>
      </c>
      <c r="K90" s="301">
        <f t="shared" si="77"/>
        <v>5603.3500456579022</v>
      </c>
    </row>
    <row r="91" spans="1:26" ht="20.5" customHeight="1" thickBot="1">
      <c r="B91" s="472" t="s">
        <v>152</v>
      </c>
      <c r="C91" s="473"/>
      <c r="D91" s="473"/>
      <c r="E91" s="473"/>
      <c r="F91" s="473"/>
      <c r="G91" s="473"/>
      <c r="H91" s="473"/>
      <c r="I91" s="473"/>
      <c r="J91" s="473"/>
      <c r="K91" s="474"/>
      <c r="P91" s="45"/>
    </row>
    <row r="92" spans="1:26" ht="15.5">
      <c r="B92" s="370"/>
      <c r="C92" s="365"/>
      <c r="D92" s="356"/>
      <c r="E92" s="357"/>
      <c r="F92" s="357"/>
      <c r="G92" s="357"/>
      <c r="H92" s="357"/>
      <c r="I92" s="356"/>
      <c r="J92" s="356"/>
      <c r="K92" s="368"/>
    </row>
    <row r="93" spans="1:26" ht="15.5">
      <c r="B93" s="371"/>
      <c r="C93" s="366"/>
      <c r="D93" s="354"/>
      <c r="E93" s="360"/>
      <c r="F93" s="360"/>
      <c r="G93" s="360"/>
      <c r="H93" s="360"/>
      <c r="I93" s="361"/>
      <c r="J93" s="361"/>
      <c r="K93" s="363"/>
      <c r="L93" s="45"/>
    </row>
    <row r="94" spans="1:26" ht="16" thickBot="1">
      <c r="B94" s="358"/>
      <c r="C94" s="367"/>
      <c r="D94" s="359"/>
      <c r="E94" s="362"/>
      <c r="F94" s="362"/>
      <c r="G94" s="362"/>
      <c r="H94" s="362"/>
      <c r="I94" s="373"/>
      <c r="J94" s="373"/>
      <c r="K94" s="373"/>
    </row>
    <row r="95" spans="1:26" ht="15.5" hidden="1">
      <c r="A95" s="88">
        <v>1</v>
      </c>
      <c r="B95" s="353" t="s">
        <v>71</v>
      </c>
      <c r="C95" s="353"/>
      <c r="D95" s="353"/>
      <c r="E95" s="353"/>
      <c r="F95" s="353"/>
      <c r="G95" s="353"/>
      <c r="H95" s="353"/>
      <c r="I95" s="353"/>
      <c r="J95" s="353"/>
      <c r="K95" s="353"/>
    </row>
    <row r="96" spans="1:26" ht="15.5" hidden="1">
      <c r="A96" s="88">
        <v>2</v>
      </c>
      <c r="B96" s="353" t="s">
        <v>72</v>
      </c>
      <c r="C96" s="353"/>
      <c r="D96" s="353"/>
      <c r="E96" s="353"/>
      <c r="F96" s="353"/>
      <c r="G96" s="353"/>
      <c r="H96" s="353"/>
      <c r="I96" s="353"/>
      <c r="J96" s="353"/>
      <c r="K96" s="353"/>
    </row>
    <row r="97" spans="1:11" ht="15.5" hidden="1">
      <c r="A97" s="88">
        <v>3</v>
      </c>
      <c r="B97" s="353" t="s">
        <v>73</v>
      </c>
      <c r="C97" s="353"/>
      <c r="D97" s="353"/>
      <c r="E97" s="353"/>
      <c r="F97" s="353"/>
      <c r="G97" s="353"/>
      <c r="H97" s="353"/>
      <c r="I97" s="353"/>
      <c r="J97" s="353"/>
      <c r="K97" s="353"/>
    </row>
    <row r="98" spans="1:11" ht="15.5" hidden="1">
      <c r="A98" s="88">
        <v>4</v>
      </c>
      <c r="B98" s="353" t="s">
        <v>74</v>
      </c>
      <c r="C98" s="353"/>
      <c r="D98" s="353"/>
      <c r="E98" s="353"/>
      <c r="F98" s="353"/>
      <c r="G98" s="353"/>
      <c r="H98" s="353"/>
      <c r="I98" s="353"/>
      <c r="J98" s="353"/>
      <c r="K98" s="353"/>
    </row>
    <row r="99" spans="1:11" ht="15.5" hidden="1">
      <c r="A99" s="88">
        <v>5</v>
      </c>
      <c r="B99" s="353" t="s">
        <v>75</v>
      </c>
      <c r="C99" s="353"/>
      <c r="D99" s="353"/>
      <c r="E99" s="353"/>
      <c r="F99" s="353"/>
      <c r="G99" s="353"/>
      <c r="H99" s="353"/>
      <c r="I99" s="353"/>
      <c r="J99" s="353"/>
      <c r="K99" s="353"/>
    </row>
    <row r="100" spans="1:11" ht="15.5" hidden="1">
      <c r="A100" s="88">
        <v>6</v>
      </c>
      <c r="B100" s="353" t="s">
        <v>76</v>
      </c>
      <c r="C100" s="353"/>
      <c r="D100" s="353"/>
      <c r="E100" s="353"/>
      <c r="F100" s="353"/>
      <c r="G100" s="353"/>
      <c r="H100" s="353"/>
      <c r="I100" s="353"/>
      <c r="J100" s="353"/>
      <c r="K100" s="353"/>
    </row>
    <row r="101" spans="1:11" ht="15.5" hidden="1">
      <c r="A101" s="88">
        <v>7</v>
      </c>
      <c r="B101" s="353" t="s">
        <v>77</v>
      </c>
      <c r="C101" s="353"/>
      <c r="D101" s="353"/>
      <c r="E101" s="353"/>
      <c r="F101" s="353"/>
      <c r="G101" s="353"/>
      <c r="H101" s="353"/>
      <c r="I101" s="353"/>
      <c r="J101" s="353"/>
      <c r="K101" s="353"/>
    </row>
    <row r="102" spans="1:11" ht="15.5" hidden="1">
      <c r="A102" s="88">
        <v>8</v>
      </c>
      <c r="B102" s="353" t="s">
        <v>78</v>
      </c>
      <c r="C102" s="353"/>
      <c r="D102" s="353"/>
      <c r="E102" s="353"/>
      <c r="F102" s="353"/>
      <c r="G102" s="353"/>
      <c r="H102" s="353"/>
      <c r="I102" s="353"/>
      <c r="J102" s="353"/>
      <c r="K102" s="353"/>
    </row>
    <row r="103" spans="1:11" ht="15.5" hidden="1">
      <c r="A103" s="88">
        <v>9</v>
      </c>
      <c r="B103" s="353" t="s">
        <v>79</v>
      </c>
      <c r="C103" s="353"/>
      <c r="D103" s="353"/>
      <c r="E103" s="353"/>
      <c r="F103" s="353"/>
      <c r="G103" s="353"/>
      <c r="H103" s="353"/>
      <c r="I103" s="353"/>
      <c r="J103" s="353"/>
      <c r="K103" s="353"/>
    </row>
    <row r="104" spans="1:11" ht="15.5" hidden="1">
      <c r="A104" s="88">
        <v>10</v>
      </c>
      <c r="B104" s="353" t="s">
        <v>103</v>
      </c>
      <c r="C104" s="353"/>
      <c r="D104" s="353"/>
      <c r="E104" s="353"/>
      <c r="F104" s="353"/>
      <c r="G104" s="353"/>
      <c r="H104" s="353"/>
      <c r="I104" s="353"/>
      <c r="J104" s="353"/>
      <c r="K104" s="353"/>
    </row>
    <row r="105" spans="1:11" ht="15.5" hidden="1">
      <c r="A105" s="88">
        <v>11</v>
      </c>
      <c r="B105" s="353" t="s">
        <v>2</v>
      </c>
      <c r="C105" s="353"/>
      <c r="D105" s="353"/>
      <c r="E105" s="353"/>
      <c r="F105" s="353"/>
      <c r="G105" s="353"/>
      <c r="H105" s="353"/>
      <c r="I105" s="353"/>
      <c r="J105" s="353"/>
      <c r="K105" s="353"/>
    </row>
    <row r="106" spans="1:11" ht="15.5" hidden="1">
      <c r="A106" s="88">
        <v>12</v>
      </c>
      <c r="B106" s="353" t="s">
        <v>15</v>
      </c>
      <c r="C106" s="353"/>
      <c r="D106" s="353"/>
      <c r="E106" s="353"/>
      <c r="F106" s="353"/>
      <c r="G106" s="353"/>
      <c r="H106" s="353"/>
      <c r="I106" s="353"/>
      <c r="J106" s="353"/>
      <c r="K106" s="353"/>
    </row>
    <row r="107" spans="1:11" ht="15.5" hidden="1">
      <c r="A107" s="88">
        <v>13</v>
      </c>
      <c r="B107" s="353" t="s">
        <v>80</v>
      </c>
      <c r="C107" s="353"/>
      <c r="D107" s="353"/>
      <c r="E107" s="353"/>
      <c r="F107" s="353"/>
      <c r="G107" s="353"/>
      <c r="H107" s="353"/>
      <c r="I107" s="353"/>
      <c r="J107" s="353"/>
      <c r="K107" s="353"/>
    </row>
    <row r="108" spans="1:11" ht="15.5" hidden="1">
      <c r="A108" s="88">
        <v>14</v>
      </c>
      <c r="B108" s="353" t="s">
        <v>81</v>
      </c>
      <c r="C108" s="353"/>
      <c r="D108" s="353"/>
      <c r="E108" s="353"/>
      <c r="F108" s="353"/>
      <c r="G108" s="353"/>
      <c r="H108" s="353"/>
      <c r="I108" s="353"/>
      <c r="J108" s="353"/>
      <c r="K108" s="353"/>
    </row>
    <row r="109" spans="1:11" ht="15.5" hidden="1">
      <c r="A109" s="88">
        <v>15</v>
      </c>
      <c r="B109" s="353" t="s">
        <v>82</v>
      </c>
      <c r="C109" s="353"/>
      <c r="D109" s="353"/>
      <c r="E109" s="353"/>
      <c r="F109" s="353"/>
      <c r="G109" s="353"/>
      <c r="H109" s="353"/>
      <c r="I109" s="353"/>
      <c r="J109" s="353"/>
      <c r="K109" s="353"/>
    </row>
    <row r="110" spans="1:11" ht="15.5" hidden="1">
      <c r="A110" s="88">
        <v>16</v>
      </c>
      <c r="B110" s="353" t="s">
        <v>83</v>
      </c>
      <c r="C110" s="353"/>
      <c r="D110" s="353"/>
      <c r="E110" s="353"/>
      <c r="F110" s="353"/>
      <c r="G110" s="353"/>
      <c r="H110" s="353"/>
      <c r="I110" s="353"/>
      <c r="J110" s="353"/>
      <c r="K110" s="353"/>
    </row>
    <row r="111" spans="1:11" ht="15.5" hidden="1">
      <c r="A111" s="88">
        <v>17</v>
      </c>
      <c r="B111" s="353" t="s">
        <v>84</v>
      </c>
      <c r="C111" s="353"/>
      <c r="D111" s="353"/>
      <c r="E111" s="353"/>
      <c r="F111" s="353"/>
      <c r="G111" s="353"/>
      <c r="H111" s="353"/>
      <c r="I111" s="353"/>
      <c r="J111" s="353"/>
      <c r="K111" s="353"/>
    </row>
    <row r="112" spans="1:11" ht="15.5" hidden="1">
      <c r="A112" s="88">
        <v>18</v>
      </c>
      <c r="B112" s="353" t="s">
        <v>85</v>
      </c>
      <c r="C112" s="353"/>
      <c r="D112" s="353"/>
      <c r="E112" s="353"/>
      <c r="F112" s="353"/>
      <c r="G112" s="353"/>
      <c r="H112" s="353"/>
      <c r="I112" s="353"/>
      <c r="J112" s="353"/>
      <c r="K112" s="353"/>
    </row>
    <row r="113" spans="1:13" ht="15.5" hidden="1">
      <c r="A113" s="88">
        <v>19</v>
      </c>
      <c r="B113" s="353" t="s">
        <v>86</v>
      </c>
      <c r="C113" s="353"/>
      <c r="D113" s="353"/>
      <c r="E113" s="353"/>
      <c r="F113" s="353"/>
      <c r="G113" s="353"/>
      <c r="H113" s="353"/>
      <c r="I113" s="353"/>
      <c r="J113" s="353"/>
      <c r="K113" s="353"/>
    </row>
    <row r="114" spans="1:13" ht="15.5" hidden="1">
      <c r="A114" s="88">
        <v>20</v>
      </c>
      <c r="B114" s="353" t="s">
        <v>87</v>
      </c>
      <c r="C114" s="353"/>
      <c r="D114" s="353"/>
      <c r="E114" s="353"/>
      <c r="F114" s="353"/>
      <c r="G114" s="353"/>
      <c r="H114" s="353"/>
      <c r="I114" s="353"/>
      <c r="J114" s="353"/>
      <c r="K114" s="353"/>
    </row>
    <row r="115" spans="1:13" ht="15.5" hidden="1">
      <c r="A115" s="88">
        <v>21</v>
      </c>
      <c r="B115" s="353" t="s">
        <v>88</v>
      </c>
      <c r="C115" s="353"/>
      <c r="D115" s="353"/>
      <c r="E115" s="353"/>
      <c r="F115" s="353"/>
      <c r="G115" s="353"/>
      <c r="H115" s="353"/>
      <c r="I115" s="353"/>
      <c r="J115" s="353"/>
      <c r="K115" s="353"/>
    </row>
    <row r="116" spans="1:13" ht="15.5" hidden="1">
      <c r="A116" s="88">
        <v>22</v>
      </c>
      <c r="B116" s="353" t="s">
        <v>89</v>
      </c>
      <c r="C116" s="353"/>
      <c r="D116" s="353"/>
      <c r="E116" s="353"/>
      <c r="F116" s="353"/>
      <c r="G116" s="353"/>
      <c r="H116" s="353"/>
      <c r="I116" s="353"/>
      <c r="J116" s="353"/>
      <c r="K116" s="353"/>
    </row>
    <row r="117" spans="1:13" ht="15.5" hidden="1">
      <c r="A117" s="88">
        <v>23</v>
      </c>
      <c r="B117" s="353" t="s">
        <v>90</v>
      </c>
      <c r="C117" s="353"/>
      <c r="D117" s="353"/>
      <c r="E117" s="353"/>
      <c r="F117" s="353"/>
      <c r="G117" s="353"/>
      <c r="H117" s="353"/>
      <c r="I117" s="353"/>
      <c r="J117" s="353"/>
      <c r="K117" s="353"/>
    </row>
    <row r="118" spans="1:13" ht="15.5" hidden="1">
      <c r="A118" s="88">
        <v>24</v>
      </c>
      <c r="B118" s="353" t="s">
        <v>91</v>
      </c>
      <c r="C118" s="353"/>
      <c r="D118" s="353"/>
      <c r="E118" s="353"/>
      <c r="F118" s="353"/>
      <c r="G118" s="353"/>
      <c r="H118" s="353"/>
      <c r="I118" s="353"/>
      <c r="J118" s="353"/>
      <c r="K118" s="353"/>
      <c r="M118" s="197"/>
    </row>
    <row r="119" spans="1:13" ht="15.5" hidden="1">
      <c r="A119" s="88">
        <v>25</v>
      </c>
      <c r="B119" s="353" t="s">
        <v>92</v>
      </c>
      <c r="C119" s="353"/>
      <c r="D119" s="353"/>
      <c r="E119" s="353"/>
      <c r="F119" s="353"/>
      <c r="G119" s="353"/>
      <c r="H119" s="353"/>
      <c r="I119" s="353"/>
      <c r="J119" s="353"/>
      <c r="K119" s="353"/>
    </row>
    <row r="120" spans="1:13" ht="15.5" hidden="1">
      <c r="A120" s="88">
        <v>26</v>
      </c>
      <c r="B120" s="353" t="s">
        <v>93</v>
      </c>
      <c r="C120" s="353"/>
      <c r="D120" s="353"/>
      <c r="E120" s="353"/>
      <c r="F120" s="353"/>
      <c r="G120" s="353"/>
      <c r="H120" s="353"/>
      <c r="I120" s="353"/>
      <c r="J120" s="353"/>
      <c r="K120" s="353"/>
    </row>
    <row r="121" spans="1:13" ht="15.5" hidden="1">
      <c r="A121" s="88">
        <v>27</v>
      </c>
      <c r="B121" s="353" t="s">
        <v>94</v>
      </c>
      <c r="C121" s="353"/>
      <c r="D121" s="353"/>
      <c r="E121" s="353"/>
      <c r="F121" s="353"/>
      <c r="G121" s="353"/>
      <c r="H121" s="353"/>
      <c r="I121" s="353"/>
      <c r="J121" s="353"/>
      <c r="K121" s="353"/>
    </row>
    <row r="122" spans="1:13" ht="15.5" hidden="1">
      <c r="A122" s="88">
        <v>28</v>
      </c>
      <c r="B122" s="353" t="s">
        <v>95</v>
      </c>
      <c r="C122" s="353"/>
      <c r="D122" s="353"/>
      <c r="E122" s="353"/>
      <c r="F122" s="353"/>
      <c r="G122" s="353"/>
      <c r="H122" s="353"/>
      <c r="I122" s="353"/>
      <c r="J122" s="353"/>
      <c r="K122" s="353"/>
    </row>
    <row r="123" spans="1:13" ht="15.5" hidden="1">
      <c r="A123" s="88">
        <v>29</v>
      </c>
      <c r="B123" s="353" t="s">
        <v>96</v>
      </c>
      <c r="C123" s="353"/>
      <c r="D123" s="353"/>
      <c r="E123" s="353"/>
      <c r="F123" s="353"/>
      <c r="G123" s="353"/>
      <c r="H123" s="353"/>
      <c r="I123" s="353"/>
      <c r="J123" s="353"/>
      <c r="K123" s="353"/>
    </row>
    <row r="124" spans="1:13" ht="15.5" hidden="1">
      <c r="A124" s="88">
        <v>30</v>
      </c>
      <c r="B124" s="353" t="s">
        <v>97</v>
      </c>
      <c r="C124" s="353"/>
      <c r="D124" s="353"/>
      <c r="E124" s="353"/>
      <c r="F124" s="353"/>
      <c r="G124" s="353"/>
      <c r="H124" s="353"/>
      <c r="I124" s="353"/>
      <c r="J124" s="353"/>
      <c r="K124" s="353"/>
    </row>
    <row r="125" spans="1:13" ht="15.5" hidden="1">
      <c r="A125" s="88">
        <v>31</v>
      </c>
      <c r="B125" s="353" t="s">
        <v>98</v>
      </c>
      <c r="C125" s="353"/>
      <c r="D125" s="353"/>
      <c r="E125" s="353"/>
      <c r="F125" s="353"/>
      <c r="G125" s="353"/>
      <c r="H125" s="353"/>
      <c r="I125" s="353"/>
      <c r="J125" s="353"/>
      <c r="K125" s="353"/>
    </row>
    <row r="126" spans="1:13" ht="15.5" hidden="1">
      <c r="A126" s="88">
        <v>32</v>
      </c>
      <c r="B126" s="353" t="s">
        <v>99</v>
      </c>
      <c r="C126" s="353"/>
      <c r="D126" s="353"/>
      <c r="E126" s="353"/>
      <c r="F126" s="353"/>
      <c r="G126" s="353"/>
      <c r="H126" s="353"/>
      <c r="I126" s="353"/>
      <c r="J126" s="353"/>
      <c r="K126" s="353"/>
    </row>
    <row r="127" spans="1:13" ht="15.5" hidden="1">
      <c r="A127" s="88">
        <v>33</v>
      </c>
      <c r="B127" s="353" t="s">
        <v>100</v>
      </c>
      <c r="C127" s="353"/>
      <c r="D127" s="353"/>
      <c r="E127" s="353"/>
      <c r="F127" s="353"/>
      <c r="G127" s="353"/>
      <c r="H127" s="353"/>
      <c r="I127" s="353"/>
      <c r="J127" s="353"/>
      <c r="K127" s="353"/>
    </row>
    <row r="128" spans="1:13" ht="15.5" hidden="1">
      <c r="A128" s="88">
        <v>34</v>
      </c>
      <c r="B128" s="353" t="s">
        <v>101</v>
      </c>
      <c r="C128" s="353"/>
      <c r="D128" s="353"/>
      <c r="E128" s="353"/>
      <c r="F128" s="353"/>
      <c r="G128" s="353"/>
      <c r="H128" s="353"/>
      <c r="I128" s="353"/>
      <c r="J128" s="353"/>
      <c r="K128" s="353"/>
    </row>
    <row r="129" spans="1:12" ht="15.5" hidden="1">
      <c r="A129" s="88">
        <v>35</v>
      </c>
      <c r="B129" s="353" t="s">
        <v>104</v>
      </c>
      <c r="C129" s="353"/>
      <c r="D129" s="353"/>
      <c r="E129" s="353"/>
      <c r="F129" s="353"/>
      <c r="G129" s="353"/>
      <c r="H129" s="353"/>
      <c r="I129" s="353"/>
      <c r="J129" s="353"/>
      <c r="K129" s="353"/>
    </row>
    <row r="130" spans="1:12" ht="15.5">
      <c r="B130" s="353"/>
      <c r="C130" s="353"/>
      <c r="D130" s="353"/>
      <c r="E130" s="353"/>
      <c r="F130" s="353"/>
      <c r="G130" s="353"/>
      <c r="H130" s="353"/>
      <c r="I130" s="353"/>
      <c r="J130" s="353"/>
      <c r="K130" s="353"/>
    </row>
    <row r="131" spans="1:12" ht="15.5">
      <c r="B131" s="353"/>
      <c r="C131" s="353"/>
      <c r="D131" s="380"/>
      <c r="E131" s="380"/>
      <c r="F131" s="380"/>
      <c r="G131" s="380"/>
      <c r="H131" s="380"/>
      <c r="I131" s="380"/>
      <c r="J131" s="380"/>
      <c r="K131" s="380"/>
    </row>
    <row r="132" spans="1:12" ht="15.5">
      <c r="B132" s="353"/>
      <c r="C132" s="353"/>
      <c r="D132" s="380"/>
      <c r="E132" s="380"/>
      <c r="F132" s="380"/>
      <c r="G132" s="380"/>
      <c r="H132" s="380"/>
      <c r="I132" s="380"/>
      <c r="J132" s="380"/>
      <c r="K132" s="380"/>
    </row>
    <row r="133" spans="1:12" ht="15.5">
      <c r="B133" s="353"/>
      <c r="C133" s="353"/>
      <c r="D133" s="380"/>
      <c r="E133" s="380"/>
      <c r="F133" s="380"/>
      <c r="G133" s="380"/>
      <c r="H133" s="380"/>
      <c r="I133" s="380"/>
      <c r="J133" s="380"/>
      <c r="K133" s="380"/>
    </row>
    <row r="134" spans="1:12" ht="15.5">
      <c r="B134" s="353"/>
      <c r="C134" s="353"/>
      <c r="D134" s="353"/>
      <c r="E134" s="353"/>
      <c r="F134" s="353"/>
      <c r="G134" s="353"/>
      <c r="H134" s="353"/>
      <c r="I134" s="353"/>
      <c r="J134" s="353"/>
      <c r="K134" s="353"/>
    </row>
    <row r="135" spans="1:12"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</row>
    <row r="136" spans="1:12">
      <c r="B136" s="2"/>
      <c r="C136" s="2"/>
      <c r="D136" s="2"/>
      <c r="E136" s="2"/>
      <c r="F136" s="2"/>
      <c r="G136" s="2"/>
      <c r="H136" s="2"/>
      <c r="I136" s="2"/>
      <c r="J136" s="2"/>
      <c r="K136" s="2"/>
    </row>
    <row r="137" spans="1:12">
      <c r="B137" s="2"/>
      <c r="C137" s="2"/>
      <c r="D137" s="2"/>
      <c r="E137" s="2"/>
      <c r="F137" s="2"/>
      <c r="G137" s="2"/>
      <c r="H137" s="2"/>
      <c r="I137" s="2"/>
      <c r="J137" s="2"/>
      <c r="K137" s="2"/>
    </row>
    <row r="138" spans="1:12">
      <c r="B138" s="2"/>
      <c r="C138" s="2"/>
      <c r="D138" s="2"/>
      <c r="E138" s="2"/>
      <c r="F138" s="2"/>
      <c r="G138" s="2"/>
      <c r="H138" s="2"/>
      <c r="I138" s="2"/>
      <c r="J138" s="2"/>
      <c r="K138" s="2"/>
    </row>
    <row r="171" spans="2:2">
      <c r="B171" s="2" t="e">
        <f>9273-#REF!</f>
        <v>#REF!</v>
      </c>
    </row>
    <row r="295" spans="2:2">
      <c r="B295" s="1"/>
    </row>
    <row r="296" spans="2:2">
      <c r="B296" s="1"/>
    </row>
    <row r="297" spans="2:2">
      <c r="B297" s="1"/>
    </row>
    <row r="298" spans="2:2">
      <c r="B298" s="1"/>
    </row>
    <row r="299" spans="2:2">
      <c r="B299" s="1"/>
    </row>
    <row r="300" spans="2:2">
      <c r="B300" s="1"/>
    </row>
    <row r="301" spans="2:2">
      <c r="B301" s="1"/>
    </row>
    <row r="302" spans="2:2">
      <c r="B302" s="1"/>
    </row>
    <row r="303" spans="2:2">
      <c r="B303" s="1"/>
    </row>
    <row r="304" spans="2:2">
      <c r="B304" s="1"/>
    </row>
    <row r="305" spans="2:2">
      <c r="B305" s="1"/>
    </row>
    <row r="306" spans="2:2">
      <c r="B306" s="1"/>
    </row>
    <row r="307" spans="2:2">
      <c r="B307" s="1"/>
    </row>
    <row r="308" spans="2:2">
      <c r="B308" s="1"/>
    </row>
  </sheetData>
  <mergeCells count="4">
    <mergeCell ref="S6:T6"/>
    <mergeCell ref="A1:M1"/>
    <mergeCell ref="A2:L2"/>
    <mergeCell ref="B91:K91"/>
  </mergeCells>
  <phoneticPr fontId="2" type="noConversion"/>
  <printOptions horizontalCentered="1"/>
  <pageMargins left="0.25" right="0.25" top="0.25" bottom="0.25" header="0.25" footer="0.25"/>
  <pageSetup paperSize="9" scale="64" orientation="landscape" r:id="rId1"/>
  <headerFooter alignWithMargins="0"/>
  <ignoredErrors>
    <ignoredError sqref="C37:C39" formulaRange="1"/>
    <ignoredError sqref="M35 K70 K75 K7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693" r:id="rId4" name="Button 165">
              <controlPr defaultSize="0" print="0" autoFill="0" autoPict="0" macro="[0]!proResetValues">
                <anchor moveWithCells="1" sizeWithCells="1">
                  <from>
                    <xdr:col>5</xdr:col>
                    <xdr:colOff>342900</xdr:colOff>
                    <xdr:row>2</xdr:row>
                    <xdr:rowOff>0</xdr:rowOff>
                  </from>
                  <to>
                    <xdr:col>6</xdr:col>
                    <xdr:colOff>660400</xdr:colOff>
                    <xdr:row>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5" name="Button 166">
              <controlPr defaultSize="0" print="0" autoFill="0" autoPict="0" macro="[0]!proSelectCaseValues">
                <anchor moveWithCells="1" sizeWithCells="1">
                  <from>
                    <xdr:col>3</xdr:col>
                    <xdr:colOff>622300</xdr:colOff>
                    <xdr:row>1</xdr:row>
                    <xdr:rowOff>184150</xdr:rowOff>
                  </from>
                  <to>
                    <xdr:col>5</xdr:col>
                    <xdr:colOff>203200</xdr:colOff>
                    <xdr:row>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6" name="Button 167">
              <controlPr defaultSize="0" print="0" autoFill="0" autoPict="0" macro="[0]!Select_PSYTable">
                <anchor moveWithCells="1" sizeWithCells="1">
                  <from>
                    <xdr:col>10</xdr:col>
                    <xdr:colOff>946150</xdr:colOff>
                    <xdr:row>1</xdr:row>
                    <xdr:rowOff>190500</xdr:rowOff>
                  </from>
                  <to>
                    <xdr:col>10</xdr:col>
                    <xdr:colOff>1162050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7" name="Button 168">
              <controlPr defaultSize="0" print="0" autoFill="0" autoPict="0" macro="[0]!Select_PSYTable">
                <anchor moveWithCells="1" sizeWithCells="1">
                  <from>
                    <xdr:col>6</xdr:col>
                    <xdr:colOff>742950</xdr:colOff>
                    <xdr:row>1</xdr:row>
                    <xdr:rowOff>190500</xdr:rowOff>
                  </from>
                  <to>
                    <xdr:col>8</xdr:col>
                    <xdr:colOff>298450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5">
    <pageSetUpPr fitToPage="1"/>
  </sheetPr>
  <dimension ref="A1:AN252"/>
  <sheetViews>
    <sheetView showGridLines="0" zoomScale="60" zoomScaleNormal="60" workbookViewId="0">
      <selection activeCell="N6" sqref="N6"/>
    </sheetView>
  </sheetViews>
  <sheetFormatPr defaultRowHeight="12.5"/>
  <cols>
    <col min="1" max="1" width="5.453125" style="33" customWidth="1"/>
    <col min="2" max="2" width="24.26953125" customWidth="1"/>
    <col min="3" max="3" width="22.1796875" customWidth="1"/>
    <col min="4" max="4" width="13.54296875" customWidth="1"/>
    <col min="5" max="5" width="12" customWidth="1"/>
    <col min="6" max="6" width="12.453125" customWidth="1"/>
    <col min="7" max="7" width="11.7265625" customWidth="1"/>
    <col min="8" max="10" width="14.1796875" customWidth="1"/>
    <col min="11" max="11" width="22.54296875" customWidth="1"/>
    <col min="12" max="12" width="14.7265625" customWidth="1"/>
    <col min="13" max="13" width="10.7265625" hidden="1" customWidth="1"/>
    <col min="14" max="14" width="9.1796875" customWidth="1"/>
    <col min="16" max="16" width="10.7265625" bestFit="1" customWidth="1"/>
    <col min="21" max="21" width="15.81640625" hidden="1" customWidth="1"/>
    <col min="22" max="22" width="10.1796875" hidden="1" customWidth="1"/>
    <col min="23" max="24" width="9.1796875" hidden="1" customWidth="1"/>
    <col min="25" max="25" width="11.81640625" hidden="1" customWidth="1"/>
    <col min="26" max="39" width="9.1796875" hidden="1" customWidth="1"/>
    <col min="40" max="40" width="12.54296875" hidden="1" customWidth="1"/>
  </cols>
  <sheetData>
    <row r="1" spans="1:40" ht="20">
      <c r="A1" s="470" t="s">
        <v>29</v>
      </c>
      <c r="B1" s="470"/>
      <c r="C1" s="470"/>
      <c r="D1" s="470"/>
      <c r="E1" s="470"/>
      <c r="F1" s="470"/>
      <c r="G1" s="470"/>
      <c r="H1" s="470"/>
      <c r="I1" s="470"/>
      <c r="J1" s="470"/>
      <c r="K1" s="470"/>
      <c r="L1" s="470"/>
      <c r="M1" s="470"/>
      <c r="N1" s="6"/>
      <c r="O1" s="6"/>
    </row>
    <row r="2" spans="1:40" ht="17.5">
      <c r="A2" s="471">
        <f>sum_PSY!A2</f>
        <v>46273.291666666664</v>
      </c>
      <c r="B2" s="471"/>
      <c r="C2" s="471"/>
      <c r="D2" s="471"/>
      <c r="E2" s="471"/>
      <c r="F2" s="471"/>
      <c r="G2" s="471"/>
      <c r="H2" s="471"/>
      <c r="I2" s="471"/>
      <c r="J2" s="471"/>
      <c r="K2" s="471"/>
      <c r="L2" s="471"/>
      <c r="M2" s="6"/>
      <c r="N2" s="6"/>
      <c r="O2" s="6"/>
    </row>
    <row r="3" spans="1:40"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</row>
    <row r="4" spans="1:40"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</row>
    <row r="5" spans="1:40" ht="15.5" thickBot="1">
      <c r="B5" s="174" t="s">
        <v>107</v>
      </c>
      <c r="C5" s="102"/>
      <c r="D5" s="102"/>
      <c r="E5" s="102"/>
      <c r="F5" s="102"/>
      <c r="G5" s="102"/>
      <c r="H5" s="102"/>
      <c r="I5" s="102"/>
      <c r="J5" s="102"/>
      <c r="K5" s="102"/>
      <c r="L5" s="102"/>
      <c r="N5" s="6"/>
      <c r="O5" s="6"/>
    </row>
    <row r="6" spans="1:40" ht="15.5" thickBot="1">
      <c r="B6" s="118">
        <f>A2</f>
        <v>46273.291666666664</v>
      </c>
      <c r="C6" s="119">
        <v>0.29166666666666669</v>
      </c>
      <c r="D6" s="120" t="s">
        <v>6</v>
      </c>
      <c r="E6" s="120"/>
      <c r="F6" s="120"/>
      <c r="G6" s="120"/>
      <c r="H6" s="120"/>
      <c r="I6" s="120"/>
      <c r="J6" s="120"/>
      <c r="K6" s="120"/>
      <c r="L6" s="121"/>
      <c r="M6" s="69"/>
      <c r="N6" s="32"/>
      <c r="O6" s="6"/>
      <c r="U6" s="468">
        <f>B6</f>
        <v>46273.291666666664</v>
      </c>
      <c r="V6" s="469"/>
      <c r="W6" s="18" t="s">
        <v>16</v>
      </c>
      <c r="X6" s="18"/>
      <c r="Y6" s="18"/>
      <c r="Z6" s="18"/>
      <c r="AA6" s="18"/>
      <c r="AB6" s="3"/>
      <c r="AC6" s="3"/>
      <c r="AD6" s="19"/>
      <c r="AE6" s="468"/>
      <c r="AF6" s="469"/>
      <c r="AG6" s="18" t="s">
        <v>58</v>
      </c>
      <c r="AH6" s="18"/>
      <c r="AI6" s="18"/>
      <c r="AJ6" s="18"/>
      <c r="AK6" s="18"/>
      <c r="AL6" s="3"/>
      <c r="AM6" s="3"/>
      <c r="AN6" s="19"/>
    </row>
    <row r="7" spans="1:40" ht="15.75" customHeight="1" thickBot="1">
      <c r="B7" s="170" t="s">
        <v>108</v>
      </c>
      <c r="C7" s="157" t="s">
        <v>8</v>
      </c>
      <c r="D7" s="157" t="s">
        <v>3</v>
      </c>
      <c r="E7" s="157" t="s">
        <v>9</v>
      </c>
      <c r="F7" s="157" t="s">
        <v>10</v>
      </c>
      <c r="G7" s="157" t="s">
        <v>11</v>
      </c>
      <c r="H7" s="157" t="s">
        <v>12</v>
      </c>
      <c r="I7" s="157" t="s">
        <v>13</v>
      </c>
      <c r="J7" s="157" t="s">
        <v>30</v>
      </c>
      <c r="K7" s="157" t="s">
        <v>14</v>
      </c>
      <c r="L7" s="171" t="s">
        <v>59</v>
      </c>
      <c r="M7" s="70" t="str">
        <f>IF(AND((B6=_DATE),EXACT(M17,"TRUE")),"TRUE","NOT OK")</f>
        <v>TRUE</v>
      </c>
      <c r="N7" s="32"/>
      <c r="O7" s="6"/>
      <c r="U7" s="153" t="str">
        <f>"1"</f>
        <v>1</v>
      </c>
      <c r="V7" s="154" t="str">
        <f>"2"</f>
        <v>2</v>
      </c>
      <c r="W7" s="154" t="str">
        <f>"3"</f>
        <v>3</v>
      </c>
      <c r="X7" s="154" t="str">
        <f>"4"</f>
        <v>4</v>
      </c>
      <c r="Y7" s="154" t="str">
        <f>"5"</f>
        <v>5</v>
      </c>
      <c r="Z7" s="154" t="str">
        <f>"6"</f>
        <v>6</v>
      </c>
      <c r="AA7" s="154" t="str">
        <f>"7"</f>
        <v>7</v>
      </c>
      <c r="AB7" s="154" t="str">
        <f>"8"</f>
        <v>8</v>
      </c>
      <c r="AC7" s="154" t="str">
        <f>"9"</f>
        <v>9</v>
      </c>
      <c r="AD7" s="155" t="s">
        <v>0</v>
      </c>
      <c r="AE7" s="153" t="str">
        <f>"1"</f>
        <v>1</v>
      </c>
      <c r="AF7" s="154" t="str">
        <f>"2"</f>
        <v>2</v>
      </c>
      <c r="AG7" s="154" t="str">
        <f>"3"</f>
        <v>3</v>
      </c>
      <c r="AH7" s="154" t="str">
        <f>"4"</f>
        <v>4</v>
      </c>
      <c r="AI7" s="154" t="str">
        <f>"5"</f>
        <v>5</v>
      </c>
      <c r="AJ7" s="154" t="str">
        <f>"6"</f>
        <v>6</v>
      </c>
      <c r="AK7" s="154" t="str">
        <f>"7"</f>
        <v>7</v>
      </c>
      <c r="AL7" s="154" t="str">
        <f>"8"</f>
        <v>8</v>
      </c>
      <c r="AM7" s="154" t="str">
        <f>"9"</f>
        <v>9</v>
      </c>
      <c r="AN7" s="155" t="s">
        <v>0</v>
      </c>
    </row>
    <row r="8" spans="1:40" ht="15.75" hidden="1" customHeight="1" thickBot="1">
      <c r="B8" s="165" t="s">
        <v>105</v>
      </c>
      <c r="C8" s="166">
        <v>0</v>
      </c>
      <c r="D8" s="167">
        <v>0</v>
      </c>
      <c r="E8" s="167">
        <v>0</v>
      </c>
      <c r="F8" s="167">
        <v>0</v>
      </c>
      <c r="G8" s="167">
        <v>0</v>
      </c>
      <c r="H8" s="101">
        <v>0</v>
      </c>
      <c r="I8" s="168">
        <f t="shared" ref="I8:I9" si="0">H8*(100-D8)/(100-E8)</f>
        <v>0</v>
      </c>
      <c r="J8" s="168">
        <f>IF(D8=0,0,(I8-(5.72*9*(4.85*(100-D8)/100+0.1119*D8))))</f>
        <v>0</v>
      </c>
      <c r="K8" s="122" t="s">
        <v>75</v>
      </c>
      <c r="L8" s="169"/>
      <c r="M8" s="151" t="str">
        <f t="shared" ref="M8:M16" si="1">IF(K8="IMM-WB.HCV.LS","1",IF(K8="IMM-WB.HCV.HS","2",IF(K8="IMM-EB.MCV.LS","3",IF(K8="IMM-EB.MCV.MS","4",IF(K8="IMM-EB.MCV.HS","5",IF(K8="IMM WEST LCV","5",))))))</f>
        <v>5</v>
      </c>
      <c r="N8" s="6"/>
      <c r="O8" s="6"/>
      <c r="U8" s="156" t="str">
        <f t="shared" ref="U8:AC9" si="2">IF($M8=U$7,$C8,"0.0")</f>
        <v>0.0</v>
      </c>
      <c r="V8" s="156" t="str">
        <f t="shared" si="2"/>
        <v>0.0</v>
      </c>
      <c r="W8" s="156" t="str">
        <f t="shared" si="2"/>
        <v>0.0</v>
      </c>
      <c r="X8" s="156" t="str">
        <f t="shared" si="2"/>
        <v>0.0</v>
      </c>
      <c r="Y8" s="156">
        <f t="shared" si="2"/>
        <v>0</v>
      </c>
      <c r="Z8" s="156" t="str">
        <f t="shared" si="2"/>
        <v>0.0</v>
      </c>
      <c r="AA8" s="156" t="str">
        <f t="shared" si="2"/>
        <v>0.0</v>
      </c>
      <c r="AB8" s="156" t="str">
        <f t="shared" si="2"/>
        <v>0.0</v>
      </c>
      <c r="AC8" s="156" t="str">
        <f t="shared" si="2"/>
        <v>0.0</v>
      </c>
      <c r="AD8" s="156">
        <f t="shared" ref="AD8:AD16" si="3">SUM(U8:AC8)</f>
        <v>0</v>
      </c>
      <c r="AE8" s="156" t="str">
        <f t="shared" ref="AE8:AM16" si="4">IF($M8=AE$7,$L8,"0.0")</f>
        <v>0.0</v>
      </c>
      <c r="AF8" s="156" t="str">
        <f t="shared" si="4"/>
        <v>0.0</v>
      </c>
      <c r="AG8" s="156" t="str">
        <f t="shared" si="4"/>
        <v>0.0</v>
      </c>
      <c r="AH8" s="156" t="str">
        <f t="shared" si="4"/>
        <v>0.0</v>
      </c>
      <c r="AI8" s="156">
        <f t="shared" si="4"/>
        <v>0</v>
      </c>
      <c r="AJ8" s="156" t="str">
        <f t="shared" si="4"/>
        <v>0.0</v>
      </c>
      <c r="AK8" s="156" t="str">
        <f t="shared" si="4"/>
        <v>0.0</v>
      </c>
      <c r="AL8" s="156" t="str">
        <f t="shared" si="4"/>
        <v>0.0</v>
      </c>
      <c r="AM8" s="156" t="str">
        <f t="shared" si="4"/>
        <v>0.0</v>
      </c>
      <c r="AN8" s="156">
        <f>SUM(AE8:AM8)</f>
        <v>0</v>
      </c>
    </row>
    <row r="9" spans="1:40" ht="15.75" hidden="1" customHeight="1" thickBot="1">
      <c r="B9" s="159" t="s">
        <v>106</v>
      </c>
      <c r="C9" s="160">
        <v>0</v>
      </c>
      <c r="D9" s="161">
        <v>0</v>
      </c>
      <c r="E9" s="161">
        <v>0</v>
      </c>
      <c r="F9" s="161">
        <v>0</v>
      </c>
      <c r="G9" s="161">
        <v>0</v>
      </c>
      <c r="H9" s="158">
        <v>0</v>
      </c>
      <c r="I9" s="162">
        <f t="shared" si="0"/>
        <v>0</v>
      </c>
      <c r="J9" s="162">
        <f>IF(D9=0,0,(I9-(5.72*9*(4.85*(100-D9)/100+0.1119*D9))))</f>
        <v>0</v>
      </c>
      <c r="K9" s="163" t="s">
        <v>75</v>
      </c>
      <c r="L9" s="164"/>
      <c r="M9" s="152" t="str">
        <f t="shared" si="1"/>
        <v>5</v>
      </c>
      <c r="N9" s="6"/>
      <c r="O9" s="6"/>
      <c r="U9" s="156" t="str">
        <f t="shared" si="2"/>
        <v>0.0</v>
      </c>
      <c r="V9" s="156" t="str">
        <f t="shared" si="2"/>
        <v>0.0</v>
      </c>
      <c r="W9" s="156" t="str">
        <f t="shared" si="2"/>
        <v>0.0</v>
      </c>
      <c r="X9" s="156" t="str">
        <f t="shared" si="2"/>
        <v>0.0</v>
      </c>
      <c r="Y9" s="156">
        <f t="shared" si="2"/>
        <v>0</v>
      </c>
      <c r="Z9" s="156" t="str">
        <f t="shared" si="2"/>
        <v>0.0</v>
      </c>
      <c r="AA9" s="156" t="str">
        <f t="shared" si="2"/>
        <v>0.0</v>
      </c>
      <c r="AB9" s="156" t="str">
        <f t="shared" si="2"/>
        <v>0.0</v>
      </c>
      <c r="AC9" s="156" t="str">
        <f t="shared" si="2"/>
        <v>0.0</v>
      </c>
      <c r="AD9" s="156">
        <f t="shared" si="3"/>
        <v>0</v>
      </c>
      <c r="AE9" s="156" t="str">
        <f t="shared" si="4"/>
        <v>0.0</v>
      </c>
      <c r="AF9" s="156" t="str">
        <f t="shared" si="4"/>
        <v>0.0</v>
      </c>
      <c r="AG9" s="156" t="str">
        <f t="shared" si="4"/>
        <v>0.0</v>
      </c>
      <c r="AH9" s="156" t="str">
        <f t="shared" si="4"/>
        <v>0.0</v>
      </c>
      <c r="AI9" s="156">
        <f t="shared" si="4"/>
        <v>0</v>
      </c>
      <c r="AJ9" s="156" t="str">
        <f t="shared" si="4"/>
        <v>0.0</v>
      </c>
      <c r="AK9" s="156" t="str">
        <f t="shared" si="4"/>
        <v>0.0</v>
      </c>
      <c r="AL9" s="156" t="str">
        <f t="shared" si="4"/>
        <v>0.0</v>
      </c>
      <c r="AM9" s="156" t="str">
        <f t="shared" si="4"/>
        <v>0.0</v>
      </c>
      <c r="AN9" s="156">
        <f>SUM(AE9:AM9)</f>
        <v>0</v>
      </c>
    </row>
    <row r="10" spans="1:40" ht="16" thickBot="1">
      <c r="B10" s="453" t="s">
        <v>22</v>
      </c>
      <c r="C10" s="454">
        <v>0</v>
      </c>
      <c r="D10" s="455">
        <v>0</v>
      </c>
      <c r="E10" s="455">
        <v>0</v>
      </c>
      <c r="F10" s="455">
        <v>0</v>
      </c>
      <c r="G10" s="455">
        <v>0</v>
      </c>
      <c r="H10" s="454">
        <v>0</v>
      </c>
      <c r="I10" s="454">
        <f t="shared" ref="I10:I16" si="5">H10*(100-D10)/(100-E10)</f>
        <v>0</v>
      </c>
      <c r="J10" s="456">
        <f>IF(D10=0,0,(I10-(5.72*9*(4.85*(100-D10)/100+0.1119*D10))))</f>
        <v>0</v>
      </c>
      <c r="K10" s="457" t="s">
        <v>71</v>
      </c>
      <c r="L10" s="458">
        <v>0</v>
      </c>
      <c r="M10" s="68" t="str">
        <f t="shared" si="1"/>
        <v>1</v>
      </c>
      <c r="N10" s="6"/>
      <c r="O10" s="6"/>
      <c r="U10" s="29">
        <f t="shared" ref="U10:AC16" si="6">IF($M10=U$7,$C10,"0.0")</f>
        <v>0</v>
      </c>
      <c r="V10" s="44" t="str">
        <f t="shared" si="6"/>
        <v>0.0</v>
      </c>
      <c r="W10" s="44" t="str">
        <f t="shared" si="6"/>
        <v>0.0</v>
      </c>
      <c r="X10" s="44" t="str">
        <f t="shared" si="6"/>
        <v>0.0</v>
      </c>
      <c r="Y10" s="44" t="str">
        <f t="shared" si="6"/>
        <v>0.0</v>
      </c>
      <c r="Z10" s="44" t="str">
        <f t="shared" si="6"/>
        <v>0.0</v>
      </c>
      <c r="AA10" s="44" t="str">
        <f t="shared" si="6"/>
        <v>0.0</v>
      </c>
      <c r="AB10" s="44" t="str">
        <f t="shared" si="6"/>
        <v>0.0</v>
      </c>
      <c r="AC10" s="37" t="str">
        <f t="shared" si="6"/>
        <v>0.0</v>
      </c>
      <c r="AD10" s="28">
        <f t="shared" si="3"/>
        <v>0</v>
      </c>
      <c r="AE10" s="29">
        <f t="shared" si="4"/>
        <v>0</v>
      </c>
      <c r="AF10" s="44" t="str">
        <f t="shared" si="4"/>
        <v>0.0</v>
      </c>
      <c r="AG10" s="44" t="str">
        <f t="shared" si="4"/>
        <v>0.0</v>
      </c>
      <c r="AH10" s="44" t="str">
        <f t="shared" si="4"/>
        <v>0.0</v>
      </c>
      <c r="AI10" s="44" t="str">
        <f t="shared" si="4"/>
        <v>0.0</v>
      </c>
      <c r="AJ10" s="44" t="str">
        <f t="shared" si="4"/>
        <v>0.0</v>
      </c>
      <c r="AK10" s="44" t="str">
        <f t="shared" si="4"/>
        <v>0.0</v>
      </c>
      <c r="AL10" s="44" t="str">
        <f t="shared" si="4"/>
        <v>0.0</v>
      </c>
      <c r="AM10" s="37" t="str">
        <f t="shared" si="4"/>
        <v>0.0</v>
      </c>
      <c r="AN10" s="28">
        <f t="shared" ref="AN10:AN16" si="7">SUM(AE10:AM10)</f>
        <v>0</v>
      </c>
    </row>
    <row r="11" spans="1:40" ht="16" thickBot="1">
      <c r="B11" s="383" t="s">
        <v>23</v>
      </c>
      <c r="C11" s="475">
        <v>7679</v>
      </c>
      <c r="D11" s="476">
        <v>14.06</v>
      </c>
      <c r="E11" s="476">
        <v>10.87</v>
      </c>
      <c r="F11" s="476">
        <v>5.78</v>
      </c>
      <c r="G11" s="476">
        <v>2.73</v>
      </c>
      <c r="H11" s="475">
        <v>6237.17</v>
      </c>
      <c r="I11" s="475">
        <f t="shared" si="5"/>
        <v>6013.9390755076856</v>
      </c>
      <c r="J11" s="477">
        <f>IF(D11=0,0,(I11-(5.72*9*(4.83*(100-D11)/100+0.1119*D11))))</f>
        <v>5719.2564358276859</v>
      </c>
      <c r="K11" s="382" t="s">
        <v>75</v>
      </c>
      <c r="L11" s="384">
        <v>7679</v>
      </c>
      <c r="M11" s="68" t="str">
        <f t="shared" si="1"/>
        <v>5</v>
      </c>
      <c r="N11" s="6"/>
      <c r="O11" s="6"/>
      <c r="U11" s="24" t="str">
        <f t="shared" si="6"/>
        <v>0.0</v>
      </c>
      <c r="V11" s="16" t="str">
        <f t="shared" si="6"/>
        <v>0.0</v>
      </c>
      <c r="W11" s="16" t="str">
        <f t="shared" si="6"/>
        <v>0.0</v>
      </c>
      <c r="X11" s="16" t="str">
        <f t="shared" si="6"/>
        <v>0.0</v>
      </c>
      <c r="Y11" s="16">
        <f t="shared" si="6"/>
        <v>7679</v>
      </c>
      <c r="Z11" s="16" t="str">
        <f t="shared" si="6"/>
        <v>0.0</v>
      </c>
      <c r="AA11" s="16" t="str">
        <f t="shared" si="6"/>
        <v>0.0</v>
      </c>
      <c r="AB11" s="16" t="str">
        <f t="shared" si="6"/>
        <v>0.0</v>
      </c>
      <c r="AC11" s="35" t="str">
        <f t="shared" si="6"/>
        <v>0.0</v>
      </c>
      <c r="AD11" s="25">
        <f t="shared" si="3"/>
        <v>7679</v>
      </c>
      <c r="AE11" s="24" t="str">
        <f t="shared" si="4"/>
        <v>0.0</v>
      </c>
      <c r="AF11" s="16" t="str">
        <f t="shared" si="4"/>
        <v>0.0</v>
      </c>
      <c r="AG11" s="16" t="str">
        <f t="shared" si="4"/>
        <v>0.0</v>
      </c>
      <c r="AH11" s="16" t="str">
        <f t="shared" si="4"/>
        <v>0.0</v>
      </c>
      <c r="AI11" s="16">
        <f t="shared" si="4"/>
        <v>7679</v>
      </c>
      <c r="AJ11" s="16" t="str">
        <f t="shared" si="4"/>
        <v>0.0</v>
      </c>
      <c r="AK11" s="16" t="str">
        <f t="shared" si="4"/>
        <v>0.0</v>
      </c>
      <c r="AL11" s="16" t="str">
        <f t="shared" si="4"/>
        <v>0.0</v>
      </c>
      <c r="AM11" s="35" t="str">
        <f t="shared" si="4"/>
        <v>0.0</v>
      </c>
      <c r="AN11" s="25">
        <f t="shared" si="7"/>
        <v>7679</v>
      </c>
    </row>
    <row r="12" spans="1:40" ht="16" thickBot="1">
      <c r="B12" s="478" t="s">
        <v>24</v>
      </c>
      <c r="C12" s="479">
        <v>6093</v>
      </c>
      <c r="D12" s="480">
        <v>14.133894633185625</v>
      </c>
      <c r="E12" s="480">
        <v>10.539005416051205</v>
      </c>
      <c r="F12" s="480">
        <v>6.8957656326932533</v>
      </c>
      <c r="G12" s="480">
        <v>2.5701920236336782</v>
      </c>
      <c r="H12" s="479">
        <v>6234.771048744461</v>
      </c>
      <c r="I12" s="479">
        <f t="shared" si="5"/>
        <v>5984.2338026667767</v>
      </c>
      <c r="J12" s="381">
        <f>IF(D12=0,0,(I12-(5.72*9*(4.83*(100-D12)/100+0.1119*D12))))</f>
        <v>5689.3092224992142</v>
      </c>
      <c r="K12" s="382" t="s">
        <v>75</v>
      </c>
      <c r="L12" s="481">
        <v>6093</v>
      </c>
      <c r="M12" s="68" t="str">
        <f t="shared" si="1"/>
        <v>5</v>
      </c>
      <c r="N12" s="6"/>
      <c r="O12" s="6"/>
      <c r="U12" s="24" t="str">
        <f t="shared" si="6"/>
        <v>0.0</v>
      </c>
      <c r="V12" s="16" t="str">
        <f t="shared" si="6"/>
        <v>0.0</v>
      </c>
      <c r="W12" s="16" t="str">
        <f t="shared" si="6"/>
        <v>0.0</v>
      </c>
      <c r="X12" s="16" t="str">
        <f t="shared" si="6"/>
        <v>0.0</v>
      </c>
      <c r="Y12" s="16">
        <f t="shared" si="6"/>
        <v>6093</v>
      </c>
      <c r="Z12" s="16" t="str">
        <f t="shared" si="6"/>
        <v>0.0</v>
      </c>
      <c r="AA12" s="16" t="str">
        <f t="shared" si="6"/>
        <v>0.0</v>
      </c>
      <c r="AB12" s="16" t="str">
        <f t="shared" si="6"/>
        <v>0.0</v>
      </c>
      <c r="AC12" s="35" t="str">
        <f t="shared" si="6"/>
        <v>0.0</v>
      </c>
      <c r="AD12" s="25">
        <f t="shared" si="3"/>
        <v>6093</v>
      </c>
      <c r="AE12" s="24" t="str">
        <f t="shared" si="4"/>
        <v>0.0</v>
      </c>
      <c r="AF12" s="16" t="str">
        <f t="shared" si="4"/>
        <v>0.0</v>
      </c>
      <c r="AG12" s="16" t="str">
        <f t="shared" si="4"/>
        <v>0.0</v>
      </c>
      <c r="AH12" s="16" t="str">
        <f t="shared" si="4"/>
        <v>0.0</v>
      </c>
      <c r="AI12" s="16">
        <f t="shared" si="4"/>
        <v>6093</v>
      </c>
      <c r="AJ12" s="16" t="str">
        <f t="shared" si="4"/>
        <v>0.0</v>
      </c>
      <c r="AK12" s="16" t="str">
        <f t="shared" si="4"/>
        <v>0.0</v>
      </c>
      <c r="AL12" s="16" t="str">
        <f t="shared" si="4"/>
        <v>0.0</v>
      </c>
      <c r="AM12" s="35" t="str">
        <f t="shared" si="4"/>
        <v>0.0</v>
      </c>
      <c r="AN12" s="28">
        <f t="shared" si="7"/>
        <v>6093</v>
      </c>
    </row>
    <row r="13" spans="1:40" ht="16" thickBot="1">
      <c r="B13" s="383" t="s">
        <v>25</v>
      </c>
      <c r="C13" s="400">
        <v>5852.1</v>
      </c>
      <c r="D13" s="401">
        <v>13.088918020207188</v>
      </c>
      <c r="E13" s="401">
        <v>8.31364624632306</v>
      </c>
      <c r="F13" s="401">
        <v>12.609836296201561</v>
      </c>
      <c r="G13" s="401">
        <v>2.8842128149379715</v>
      </c>
      <c r="H13" s="400">
        <v>5851.7176109476914</v>
      </c>
      <c r="I13" s="400">
        <f t="shared" si="5"/>
        <v>5546.9444272373667</v>
      </c>
      <c r="J13" s="381">
        <f>IF(D13=0,0,(I13-(5.72*9*(4.83*(100-D13)/100+0.1119*D13))))</f>
        <v>5255.4412342577016</v>
      </c>
      <c r="K13" s="382" t="s">
        <v>75</v>
      </c>
      <c r="L13" s="384">
        <v>0</v>
      </c>
      <c r="M13" s="68" t="str">
        <f t="shared" si="1"/>
        <v>5</v>
      </c>
      <c r="N13" s="32"/>
      <c r="O13" s="6"/>
      <c r="U13" s="24" t="str">
        <f t="shared" si="6"/>
        <v>0.0</v>
      </c>
      <c r="V13" s="16" t="str">
        <f t="shared" si="6"/>
        <v>0.0</v>
      </c>
      <c r="W13" s="16" t="str">
        <f t="shared" si="6"/>
        <v>0.0</v>
      </c>
      <c r="X13" s="16" t="str">
        <f t="shared" si="6"/>
        <v>0.0</v>
      </c>
      <c r="Y13" s="16">
        <f t="shared" si="6"/>
        <v>5852.1</v>
      </c>
      <c r="Z13" s="16" t="str">
        <f t="shared" si="6"/>
        <v>0.0</v>
      </c>
      <c r="AA13" s="16" t="str">
        <f t="shared" si="6"/>
        <v>0.0</v>
      </c>
      <c r="AB13" s="16" t="str">
        <f t="shared" si="6"/>
        <v>0.0</v>
      </c>
      <c r="AC13" s="35" t="str">
        <f t="shared" si="6"/>
        <v>0.0</v>
      </c>
      <c r="AD13" s="25">
        <f t="shared" si="3"/>
        <v>5852.1</v>
      </c>
      <c r="AE13" s="24" t="str">
        <f t="shared" si="4"/>
        <v>0.0</v>
      </c>
      <c r="AF13" s="16" t="str">
        <f t="shared" si="4"/>
        <v>0.0</v>
      </c>
      <c r="AG13" s="16" t="str">
        <f t="shared" si="4"/>
        <v>0.0</v>
      </c>
      <c r="AH13" s="16" t="str">
        <f t="shared" si="4"/>
        <v>0.0</v>
      </c>
      <c r="AI13" s="16">
        <f t="shared" si="4"/>
        <v>0</v>
      </c>
      <c r="AJ13" s="16" t="str">
        <f t="shared" si="4"/>
        <v>0.0</v>
      </c>
      <c r="AK13" s="16" t="str">
        <f t="shared" si="4"/>
        <v>0.0</v>
      </c>
      <c r="AL13" s="16" t="str">
        <f t="shared" si="4"/>
        <v>0.0</v>
      </c>
      <c r="AM13" s="35" t="str">
        <f t="shared" si="4"/>
        <v>0.0</v>
      </c>
      <c r="AN13" s="25">
        <f t="shared" si="7"/>
        <v>0</v>
      </c>
    </row>
    <row r="14" spans="1:40" ht="16" thickBot="1">
      <c r="B14" s="464" t="s">
        <v>26</v>
      </c>
      <c r="C14" s="224">
        <v>9406.5499999999993</v>
      </c>
      <c r="D14" s="223">
        <v>14.337938737684128</v>
      </c>
      <c r="E14" s="223">
        <v>10.452352941176471</v>
      </c>
      <c r="F14" s="223">
        <v>5.2697707540727734</v>
      </c>
      <c r="G14" s="223">
        <v>2.7969690761876884</v>
      </c>
      <c r="H14" s="224">
        <v>6245.4976099892692</v>
      </c>
      <c r="I14" s="224">
        <f t="shared" si="5"/>
        <v>5974.4975602665145</v>
      </c>
      <c r="J14" s="465">
        <f>IF(D14=0,0,(I14-(5.72*9*(4.85*(100-D14)/100+0.1119*D14))))</f>
        <v>5678.0229370004217</v>
      </c>
      <c r="K14" s="466" t="s">
        <v>75</v>
      </c>
      <c r="L14" s="467">
        <v>4012</v>
      </c>
      <c r="M14" s="68" t="str">
        <f t="shared" si="1"/>
        <v>5</v>
      </c>
      <c r="N14" s="6"/>
      <c r="O14" s="6"/>
      <c r="U14" s="29" t="str">
        <f t="shared" si="6"/>
        <v>0.0</v>
      </c>
      <c r="V14" s="16" t="str">
        <f t="shared" si="6"/>
        <v>0.0</v>
      </c>
      <c r="W14" s="16" t="str">
        <f t="shared" si="6"/>
        <v>0.0</v>
      </c>
      <c r="X14" s="16" t="str">
        <f t="shared" si="6"/>
        <v>0.0</v>
      </c>
      <c r="Y14" s="16">
        <f t="shared" si="6"/>
        <v>9406.5499999999993</v>
      </c>
      <c r="Z14" s="16" t="str">
        <f t="shared" si="6"/>
        <v>0.0</v>
      </c>
      <c r="AA14" s="16" t="str">
        <f t="shared" si="6"/>
        <v>0.0</v>
      </c>
      <c r="AB14" s="16" t="str">
        <f t="shared" si="6"/>
        <v>0.0</v>
      </c>
      <c r="AC14" s="35" t="str">
        <f t="shared" si="6"/>
        <v>0.0</v>
      </c>
      <c r="AD14" s="25">
        <f t="shared" si="3"/>
        <v>9406.5499999999993</v>
      </c>
      <c r="AE14" s="24" t="str">
        <f t="shared" si="4"/>
        <v>0.0</v>
      </c>
      <c r="AF14" s="16" t="str">
        <f t="shared" si="4"/>
        <v>0.0</v>
      </c>
      <c r="AG14" s="16" t="str">
        <f t="shared" si="4"/>
        <v>0.0</v>
      </c>
      <c r="AH14" s="16" t="str">
        <f t="shared" si="4"/>
        <v>0.0</v>
      </c>
      <c r="AI14" s="16">
        <f t="shared" si="4"/>
        <v>4012</v>
      </c>
      <c r="AJ14" s="16" t="str">
        <f t="shared" si="4"/>
        <v>0.0</v>
      </c>
      <c r="AK14" s="16" t="str">
        <f t="shared" si="4"/>
        <v>0.0</v>
      </c>
      <c r="AL14" s="16" t="str">
        <f t="shared" si="4"/>
        <v>0.0</v>
      </c>
      <c r="AM14" s="35" t="str">
        <f t="shared" si="4"/>
        <v>0.0</v>
      </c>
      <c r="AN14" s="28">
        <f t="shared" si="7"/>
        <v>4012</v>
      </c>
    </row>
    <row r="15" spans="1:40" ht="16" thickBot="1">
      <c r="B15" s="383" t="s">
        <v>27</v>
      </c>
      <c r="C15" s="400">
        <v>0</v>
      </c>
      <c r="D15" s="401">
        <v>0</v>
      </c>
      <c r="E15" s="401">
        <v>0</v>
      </c>
      <c r="F15" s="401">
        <v>0</v>
      </c>
      <c r="G15" s="401">
        <v>0</v>
      </c>
      <c r="H15" s="400">
        <v>0</v>
      </c>
      <c r="I15" s="400">
        <f t="shared" si="5"/>
        <v>0</v>
      </c>
      <c r="J15" s="381">
        <f>IF(D15=0,0,(I15-(5.72*9*(4.84*(100-D15)/100+0.1119*D15))))</f>
        <v>0</v>
      </c>
      <c r="K15" s="382" t="s">
        <v>75</v>
      </c>
      <c r="L15" s="384">
        <v>0</v>
      </c>
      <c r="M15" s="68" t="str">
        <f t="shared" si="1"/>
        <v>5</v>
      </c>
      <c r="N15" s="6"/>
      <c r="O15" s="6"/>
      <c r="U15" s="24" t="str">
        <f t="shared" si="6"/>
        <v>0.0</v>
      </c>
      <c r="V15" s="16" t="str">
        <f t="shared" si="6"/>
        <v>0.0</v>
      </c>
      <c r="W15" s="16" t="str">
        <f t="shared" si="6"/>
        <v>0.0</v>
      </c>
      <c r="X15" s="16" t="str">
        <f t="shared" si="6"/>
        <v>0.0</v>
      </c>
      <c r="Y15" s="16">
        <f t="shared" si="6"/>
        <v>0</v>
      </c>
      <c r="Z15" s="16" t="str">
        <f t="shared" si="6"/>
        <v>0.0</v>
      </c>
      <c r="AA15" s="16" t="str">
        <f t="shared" si="6"/>
        <v>0.0</v>
      </c>
      <c r="AB15" s="16" t="str">
        <f t="shared" si="6"/>
        <v>0.0</v>
      </c>
      <c r="AC15" s="35" t="str">
        <f t="shared" si="6"/>
        <v>0.0</v>
      </c>
      <c r="AD15" s="25">
        <f t="shared" si="3"/>
        <v>0</v>
      </c>
      <c r="AE15" s="24" t="str">
        <f t="shared" si="4"/>
        <v>0.0</v>
      </c>
      <c r="AF15" s="16" t="str">
        <f t="shared" si="4"/>
        <v>0.0</v>
      </c>
      <c r="AG15" s="16" t="str">
        <f t="shared" si="4"/>
        <v>0.0</v>
      </c>
      <c r="AH15" s="16" t="str">
        <f t="shared" si="4"/>
        <v>0.0</v>
      </c>
      <c r="AI15" s="16">
        <f t="shared" si="4"/>
        <v>0</v>
      </c>
      <c r="AJ15" s="16" t="str">
        <f t="shared" si="4"/>
        <v>0.0</v>
      </c>
      <c r="AK15" s="16" t="str">
        <f t="shared" si="4"/>
        <v>0.0</v>
      </c>
      <c r="AL15" s="16" t="str">
        <f t="shared" si="4"/>
        <v>0.0</v>
      </c>
      <c r="AM15" s="35" t="str">
        <f t="shared" si="4"/>
        <v>0.0</v>
      </c>
      <c r="AN15" s="25">
        <f t="shared" si="7"/>
        <v>0</v>
      </c>
    </row>
    <row r="16" spans="1:40" ht="16" thickBot="1">
      <c r="B16" s="432" t="s">
        <v>28</v>
      </c>
      <c r="C16" s="433">
        <v>0</v>
      </c>
      <c r="D16" s="434">
        <v>0</v>
      </c>
      <c r="E16" s="434">
        <v>0</v>
      </c>
      <c r="F16" s="434">
        <v>0</v>
      </c>
      <c r="G16" s="434">
        <v>0</v>
      </c>
      <c r="H16" s="433">
        <v>0</v>
      </c>
      <c r="I16" s="433">
        <f t="shared" si="5"/>
        <v>0</v>
      </c>
      <c r="J16" s="435">
        <f>IF(D16=0,0,(I16-(5.72*9*(4.83*(100-D16)/100+0.1119*D16))))</f>
        <v>0</v>
      </c>
      <c r="K16" s="436" t="s">
        <v>75</v>
      </c>
      <c r="L16" s="437">
        <v>0</v>
      </c>
      <c r="M16" s="68" t="str">
        <f t="shared" si="1"/>
        <v>5</v>
      </c>
      <c r="N16" s="6"/>
      <c r="O16" s="6"/>
      <c r="U16" s="24" t="str">
        <f t="shared" si="6"/>
        <v>0.0</v>
      </c>
      <c r="V16" s="16" t="str">
        <f t="shared" si="6"/>
        <v>0.0</v>
      </c>
      <c r="W16" s="16" t="str">
        <f t="shared" si="6"/>
        <v>0.0</v>
      </c>
      <c r="X16" s="16" t="str">
        <f t="shared" si="6"/>
        <v>0.0</v>
      </c>
      <c r="Y16" s="16">
        <f t="shared" si="6"/>
        <v>0</v>
      </c>
      <c r="Z16" s="16" t="str">
        <f t="shared" si="6"/>
        <v>0.0</v>
      </c>
      <c r="AA16" s="16" t="str">
        <f t="shared" si="6"/>
        <v>0.0</v>
      </c>
      <c r="AB16" s="16" t="str">
        <f t="shared" si="6"/>
        <v>0.0</v>
      </c>
      <c r="AC16" s="35" t="str">
        <f t="shared" si="6"/>
        <v>0.0</v>
      </c>
      <c r="AD16" s="25">
        <f t="shared" si="3"/>
        <v>0</v>
      </c>
      <c r="AE16" s="24" t="str">
        <f t="shared" si="4"/>
        <v>0.0</v>
      </c>
      <c r="AF16" s="16" t="str">
        <f t="shared" si="4"/>
        <v>0.0</v>
      </c>
      <c r="AG16" s="16" t="str">
        <f t="shared" si="4"/>
        <v>0.0</v>
      </c>
      <c r="AH16" s="16" t="str">
        <f t="shared" si="4"/>
        <v>0.0</v>
      </c>
      <c r="AI16" s="16">
        <f t="shared" si="4"/>
        <v>0</v>
      </c>
      <c r="AJ16" s="16" t="str">
        <f t="shared" si="4"/>
        <v>0.0</v>
      </c>
      <c r="AK16" s="16" t="str">
        <f t="shared" si="4"/>
        <v>0.0</v>
      </c>
      <c r="AL16" s="16" t="str">
        <f t="shared" si="4"/>
        <v>0.0</v>
      </c>
      <c r="AM16" s="35" t="str">
        <f t="shared" si="4"/>
        <v>0.0</v>
      </c>
      <c r="AN16" s="28">
        <f t="shared" si="7"/>
        <v>0</v>
      </c>
    </row>
    <row r="17" spans="2:40" ht="16" thickBot="1">
      <c r="B17" s="123" t="s">
        <v>5</v>
      </c>
      <c r="C17" s="124">
        <f>SUM(C8:C16)</f>
        <v>29030.649999999998</v>
      </c>
      <c r="D17" s="175">
        <f>IFERROR(SUMPRODUCT(D8:D16,$C$8:$C$16)/$C$17,0)</f>
        <v>13.969813103703057</v>
      </c>
      <c r="E17" s="175">
        <f t="shared" ref="E17:J17" si="8">IFERROR(SUMPRODUCT(E8:E16,$C$8:$C$16)/$C$17,0)</f>
        <v>10.14988502692605</v>
      </c>
      <c r="F17" s="175">
        <f t="shared" si="8"/>
        <v>7.2256358392156015</v>
      </c>
      <c r="G17" s="175">
        <f t="shared" si="8"/>
        <v>2.7492454105544248</v>
      </c>
      <c r="H17" s="175">
        <f t="shared" si="8"/>
        <v>6161.6639863134842</v>
      </c>
      <c r="I17" s="175">
        <f t="shared" si="8"/>
        <v>5900.7861769761603</v>
      </c>
      <c r="J17" s="175">
        <f t="shared" si="8"/>
        <v>5606.1130415078314</v>
      </c>
      <c r="K17" s="331"/>
      <c r="L17" s="124">
        <f>SUM(L8:M16)</f>
        <v>17784</v>
      </c>
      <c r="M17" s="71" t="str">
        <f>IF(AND(SUM(C8:C16)=C17,SUM(D8:I16)&gt;1,L17=SUM(L8:L16)),"TRUE","CHECK QUANTITY")</f>
        <v>TRUE</v>
      </c>
      <c r="N17" s="6"/>
      <c r="O17" s="6"/>
      <c r="U17" s="31">
        <f>SUM(U8:U16)</f>
        <v>0</v>
      </c>
      <c r="V17" s="31">
        <f t="shared" ref="V17:AC17" si="9">SUM(V8:V16)</f>
        <v>0</v>
      </c>
      <c r="W17" s="31">
        <f t="shared" si="9"/>
        <v>0</v>
      </c>
      <c r="X17" s="31">
        <f t="shared" si="9"/>
        <v>0</v>
      </c>
      <c r="Y17" s="31">
        <f t="shared" si="9"/>
        <v>29030.649999999998</v>
      </c>
      <c r="Z17" s="31">
        <f t="shared" si="9"/>
        <v>0</v>
      </c>
      <c r="AA17" s="31">
        <f t="shared" si="9"/>
        <v>0</v>
      </c>
      <c r="AB17" s="31">
        <f t="shared" si="9"/>
        <v>0</v>
      </c>
      <c r="AC17" s="31">
        <f t="shared" si="9"/>
        <v>0</v>
      </c>
      <c r="AD17" s="31">
        <f>SUM(AD8:AD16)</f>
        <v>29030.649999999998</v>
      </c>
      <c r="AE17" s="31">
        <f>SUM(AE8:AE16)</f>
        <v>0</v>
      </c>
      <c r="AF17" s="31">
        <f t="shared" ref="AF17:AM17" si="10">SUM(AF8:AF16)</f>
        <v>0</v>
      </c>
      <c r="AG17" s="31">
        <f t="shared" si="10"/>
        <v>0</v>
      </c>
      <c r="AH17" s="31">
        <f t="shared" si="10"/>
        <v>0</v>
      </c>
      <c r="AI17" s="31">
        <f t="shared" si="10"/>
        <v>17784</v>
      </c>
      <c r="AJ17" s="31">
        <f t="shared" si="10"/>
        <v>0</v>
      </c>
      <c r="AK17" s="31">
        <f t="shared" si="10"/>
        <v>0</v>
      </c>
      <c r="AL17" s="31">
        <f t="shared" si="10"/>
        <v>0</v>
      </c>
      <c r="AM17" s="31">
        <f t="shared" si="10"/>
        <v>0</v>
      </c>
      <c r="AN17" s="31">
        <f>SUM(AN8:AN16)</f>
        <v>17784</v>
      </c>
    </row>
    <row r="18" spans="2:40">
      <c r="B18" s="7"/>
      <c r="C18" s="7"/>
      <c r="D18" s="7"/>
      <c r="E18" s="7"/>
      <c r="F18" s="7"/>
      <c r="G18" s="7"/>
      <c r="H18" s="7"/>
      <c r="I18" s="7"/>
      <c r="J18" s="7"/>
      <c r="K18" s="7"/>
      <c r="L18" s="6"/>
      <c r="M18" s="6"/>
      <c r="N18" s="6"/>
      <c r="O18" s="6"/>
    </row>
    <row r="19" spans="2:40" ht="17.5">
      <c r="B19" s="43" t="s">
        <v>60</v>
      </c>
      <c r="C19" s="85">
        <f>SUM(C8:C16)</f>
        <v>29030.649999999998</v>
      </c>
      <c r="D19" s="10"/>
      <c r="E19" s="10"/>
      <c r="F19" s="10"/>
      <c r="G19" s="10"/>
      <c r="H19" s="10"/>
      <c r="I19" s="14"/>
      <c r="J19" s="14"/>
      <c r="K19" s="52"/>
      <c r="L19" s="51"/>
    </row>
    <row r="20" spans="2:40" ht="17.5">
      <c r="B20" s="43" t="s">
        <v>5</v>
      </c>
      <c r="C20" s="85">
        <f>SUM(C19:C19)</f>
        <v>29030.649999999998</v>
      </c>
      <c r="D20" s="10"/>
      <c r="E20" s="10"/>
      <c r="F20" s="10"/>
      <c r="G20" s="10"/>
      <c r="H20" s="10"/>
      <c r="I20" s="14"/>
      <c r="J20" s="14"/>
      <c r="K20" s="52"/>
      <c r="L20" s="51"/>
    </row>
    <row r="21" spans="2:40" ht="10.5" customHeight="1">
      <c r="B21" s="12"/>
      <c r="C21" s="90"/>
      <c r="D21" s="10"/>
      <c r="E21" s="10"/>
      <c r="F21" s="10"/>
      <c r="G21" s="10"/>
      <c r="H21" s="10"/>
      <c r="I21" s="14"/>
      <c r="J21" s="14"/>
      <c r="K21" s="15"/>
      <c r="L21" s="6"/>
    </row>
    <row r="22" spans="2:40" ht="16" thickBot="1">
      <c r="B22" s="96" t="s">
        <v>102</v>
      </c>
      <c r="C22" s="97"/>
      <c r="D22" s="98">
        <f>sum_PSY!D42</f>
        <v>46273.291666666664</v>
      </c>
      <c r="E22" s="96" t="s">
        <v>151</v>
      </c>
      <c r="F22" s="97"/>
      <c r="G22" s="97"/>
      <c r="H22" s="97"/>
      <c r="I22" s="97"/>
      <c r="J22" s="97"/>
      <c r="K22" s="99"/>
      <c r="L22" s="32"/>
    </row>
    <row r="23" spans="2:40" ht="15">
      <c r="B23" s="125" t="s">
        <v>4</v>
      </c>
      <c r="C23" s="126" t="s">
        <v>8</v>
      </c>
      <c r="D23" s="127" t="s">
        <v>59</v>
      </c>
      <c r="E23" s="126" t="s">
        <v>3</v>
      </c>
      <c r="F23" s="126" t="s">
        <v>9</v>
      </c>
      <c r="G23" s="126" t="s">
        <v>10</v>
      </c>
      <c r="H23" s="126" t="s">
        <v>11</v>
      </c>
      <c r="I23" s="126" t="s">
        <v>12</v>
      </c>
      <c r="J23" s="127" t="s">
        <v>13</v>
      </c>
      <c r="K23" s="128" t="s">
        <v>30</v>
      </c>
      <c r="U23" s="6"/>
      <c r="V23" s="6"/>
      <c r="W23" s="6"/>
      <c r="X23" s="6"/>
      <c r="Y23" s="6"/>
      <c r="Z23" s="6"/>
      <c r="AA23" s="6"/>
      <c r="AB23" s="6"/>
      <c r="AC23" s="6"/>
    </row>
    <row r="24" spans="2:40" ht="15.5">
      <c r="B24" s="205" t="s">
        <v>71</v>
      </c>
      <c r="C24" s="215">
        <f>U17</f>
        <v>0</v>
      </c>
      <c r="D24" s="302">
        <f>AE17</f>
        <v>0</v>
      </c>
      <c r="E24" s="214" t="str">
        <f>IF(ISERR(SUMPRODUCT(D8:D16,$U$8:$U$16)/$C$24),"0.00",SUMPRODUCT(D8:D16,$U$8:$U$16)/$C$24)</f>
        <v>0.00</v>
      </c>
      <c r="F24" s="214" t="str">
        <f>IF(ISERR(SUMPRODUCT(E8:E16,$U$8:$U$16)/$C$24),"0.00",SUMPRODUCT(E8:E16,$U$8:$U$16)/$C$24)</f>
        <v>0.00</v>
      </c>
      <c r="G24" s="214" t="str">
        <f>IF(ISERR(SUMPRODUCT(F8:F16,$U$8:$U$16)/$C$24),"0.00",SUMPRODUCT(F8:F16,$U$8:$U$16)/$C$24)</f>
        <v>0.00</v>
      </c>
      <c r="H24" s="214" t="str">
        <f>IF(ISERR(SUMPRODUCT(G8:G16,$U$8:$U$16)/$C$24),"0.00",SUMPRODUCT(G8:G16,$U$8:$U$16)/$C$24)</f>
        <v>0.00</v>
      </c>
      <c r="I24" s="215" t="str">
        <f>IF(ISERR(SUMPRODUCT(H8:H16,$U$8:$U$16)/$C$24),"0.00",SUMPRODUCT(H8:H16,$U$8:$U$16)/$C$24)</f>
        <v>0.00</v>
      </c>
      <c r="J24" s="215">
        <f>I24*(100-E24)/(100-F24)</f>
        <v>0</v>
      </c>
      <c r="K24" s="216">
        <f>IF(E24=0,0,(J24-(5.72*9*(4.88*(100-E24)/100+0.1119*E24))))</f>
        <v>-251.22239999999999</v>
      </c>
      <c r="U24" s="6"/>
      <c r="V24" s="6"/>
      <c r="W24" s="6"/>
      <c r="X24" s="6"/>
      <c r="Y24" s="6"/>
      <c r="Z24" s="6"/>
      <c r="AA24" s="6"/>
      <c r="AB24" s="6"/>
      <c r="AC24" s="6"/>
    </row>
    <row r="25" spans="2:40" ht="15.5">
      <c r="B25" s="206" t="s">
        <v>72</v>
      </c>
      <c r="C25" s="218">
        <f>V17</f>
        <v>0</v>
      </c>
      <c r="D25" s="303">
        <f>AF17</f>
        <v>0</v>
      </c>
      <c r="E25" s="217" t="str">
        <f>IF(ISERR(SUMPRODUCT(D8:D16,$V$8:$V$16)/$C$25),"0.00",SUMPRODUCT(D8:D16,$V$8:$V$16)/$C$25)</f>
        <v>0.00</v>
      </c>
      <c r="F25" s="217" t="str">
        <f>IF(ISERR(SUMPRODUCT(E8:E16,$V$8:$V$16)/$C$25),"0.00",SUMPRODUCT(E8:E16,$V$8:$V$16)/$C$25)</f>
        <v>0.00</v>
      </c>
      <c r="G25" s="217" t="str">
        <f>IF(ISERR(SUMPRODUCT(F8:F16,$V$8:$V$16)/$C$25),"0.00",SUMPRODUCT(F8:F16,$V$8:$V$16)/$C$25)</f>
        <v>0.00</v>
      </c>
      <c r="H25" s="217" t="str">
        <f>IF(ISERR(SUMPRODUCT(G8:G16,$V$8:$V$16)/$C$25),"0.00",SUMPRODUCT(G8:G16,$V$8:$V$16)/$C$25)</f>
        <v>0.00</v>
      </c>
      <c r="I25" s="218" t="str">
        <f>IF(ISERR(SUMPRODUCT(H8:H16,$V$8:$V$16)/$C$25),"0.00",SUMPRODUCT(H8:H16,$V$8:$V$16)/$C$25)</f>
        <v>0.00</v>
      </c>
      <c r="J25" s="218">
        <f t="shared" ref="J25:J32" si="11">I25*(100-E25)/(100-F25)</f>
        <v>0</v>
      </c>
      <c r="K25" s="219">
        <f>IF(E25=0,0,(J25-(5.72*9*(4.85*(100-E25)/100+0.1119*E25))))</f>
        <v>-249.67799999999997</v>
      </c>
      <c r="U25" s="7"/>
      <c r="V25" s="7"/>
      <c r="W25" s="7"/>
      <c r="X25" s="7"/>
      <c r="Y25" s="7"/>
      <c r="Z25" s="7"/>
      <c r="AA25" s="7"/>
      <c r="AB25" s="7"/>
      <c r="AC25" s="6"/>
    </row>
    <row r="26" spans="2:40" ht="15.5">
      <c r="B26" s="207" t="s">
        <v>73</v>
      </c>
      <c r="C26" s="221">
        <f>W17</f>
        <v>0</v>
      </c>
      <c r="D26" s="304">
        <f>AG17</f>
        <v>0</v>
      </c>
      <c r="E26" s="220" t="str">
        <f>IF(ISERR(SUMPRODUCT(D8:D16,$W$8:$W$16)/$C$26),"0.00",SUMPRODUCT(D8:D16,$W$8:$W$16)/$C$26)</f>
        <v>0.00</v>
      </c>
      <c r="F26" s="220" t="str">
        <f>IF(ISERR(SUMPRODUCT(E8:E16,$W$8:$W$16)/$C$26),"0.00",SUMPRODUCT(E8:E16,$W$8:$W$16)/$C$26)</f>
        <v>0.00</v>
      </c>
      <c r="G26" s="220" t="str">
        <f>IF(ISERR(SUMPRODUCT(F8:F16,$W$8:$W$16)/$C$26),"0.00",SUMPRODUCT(F8:F16,$W$8:$W$16)/$C$26)</f>
        <v>0.00</v>
      </c>
      <c r="H26" s="220" t="str">
        <f>IF(ISERR(SUMPRODUCT(G8:G16,$W$8:$W$16)/$C$26),"0.00",SUMPRODUCT(G8:G16,$W$8:$W$16)/$C$26)</f>
        <v>0.00</v>
      </c>
      <c r="I26" s="221" t="str">
        <f>IF(ISERR(SUMPRODUCT(H8:H16,$W$8:$W$16)/$C$26),"0.00",SUMPRODUCT(H8:H16,$W$8:$W$16)/$C$26)</f>
        <v>0.00</v>
      </c>
      <c r="J26" s="221">
        <f>I26*(100-E26)/(100-F26)</f>
        <v>0</v>
      </c>
      <c r="K26" s="222">
        <f>IF(E26=0,0,(J26-(5.72*9*(4.92*(100-E26)/100+0.1119*E26))))</f>
        <v>-253.28159999999997</v>
      </c>
      <c r="L26" s="45"/>
      <c r="U26" s="12"/>
      <c r="V26" s="39"/>
      <c r="W26" s="9"/>
      <c r="X26" s="10"/>
      <c r="Y26" s="10"/>
      <c r="Z26" s="10"/>
      <c r="AA26" s="10"/>
      <c r="AB26" s="9"/>
      <c r="AC26" s="6"/>
    </row>
    <row r="27" spans="2:40" ht="15.5">
      <c r="B27" s="208" t="s">
        <v>74</v>
      </c>
      <c r="C27" s="224">
        <f>X17</f>
        <v>0</v>
      </c>
      <c r="D27" s="305">
        <f>AH17</f>
        <v>0</v>
      </c>
      <c r="E27" s="223" t="str">
        <f>IF(ISERR(SUMPRODUCT(D8:D16,$X$8:$X$16)/$C$27),"0.00",SUMPRODUCT(D8:D16,$X$8:$X$16)/$C$27)</f>
        <v>0.00</v>
      </c>
      <c r="F27" s="223" t="str">
        <f>IF(ISERR(SUMPRODUCT(E8:E16,$X$8:$X$16)/$C$27),"0.00",SUMPRODUCT(E8:E16,$X$8:$X$16)/$C$27)</f>
        <v>0.00</v>
      </c>
      <c r="G27" s="223" t="str">
        <f>IF(ISERR(SUMPRODUCT(F8:F16,$X$8:$X$16)/$C$27),"0.00",SUMPRODUCT(F8:F16,$X$8:$X$16)/$C$27)</f>
        <v>0.00</v>
      </c>
      <c r="H27" s="223" t="str">
        <f>IF(ISERR(SUMPRODUCT(G8:G16,$X$8:$X$16)/$C$27),"0.00",SUMPRODUCT(G8:G16,$X$8:$X$16)/$C$27)</f>
        <v>0.00</v>
      </c>
      <c r="I27" s="224" t="str">
        <f>IF(ISERR(SUMPRODUCT(H8:H16,$X$8:$X$16)/$C$27),"0.00",SUMPRODUCT(H8:H16,$X$8:$X$16)/$C$27)</f>
        <v>0.00</v>
      </c>
      <c r="J27" s="224">
        <f>I27*(100-E27)/(100-F27)</f>
        <v>0</v>
      </c>
      <c r="K27" s="225">
        <f>IF(E27=0,0,(J27-(5.72*9*(4.84*(100-E27)/100+0.1119*E27))))</f>
        <v>-249.16319999999999</v>
      </c>
      <c r="U27" s="12"/>
      <c r="V27" s="39"/>
      <c r="W27" s="9"/>
      <c r="X27" s="10"/>
      <c r="Y27" s="10"/>
      <c r="Z27" s="10"/>
      <c r="AA27" s="10"/>
      <c r="AB27" s="9"/>
      <c r="AC27" s="6"/>
    </row>
    <row r="28" spans="2:40" ht="15.5">
      <c r="B28" s="209" t="s">
        <v>75</v>
      </c>
      <c r="C28" s="212">
        <f>Y17</f>
        <v>29030.649999999998</v>
      </c>
      <c r="D28" s="306">
        <f>AI17</f>
        <v>17784</v>
      </c>
      <c r="E28" s="213">
        <f>IF(ISERR(SUMPRODUCT(D8:D16,$Y$8:$Y$16)/$C$28),"0.00",SUMPRODUCT(D8:D16,$Y$8:$Y$16)/$C$28)</f>
        <v>13.969813103703057</v>
      </c>
      <c r="F28" s="213">
        <f>IF(ISERR(SUMPRODUCT(E8:E16,$Y$8:$Y$16)/$C$28),"0.00",SUMPRODUCT(E8:E16,$Y$8:$Y$16)/$C$28)</f>
        <v>10.14988502692605</v>
      </c>
      <c r="G28" s="213">
        <f>IF(ISERR(SUMPRODUCT(F8:F16,$Y$8:$Y$16)/$C$28),"0.00",SUMPRODUCT(F8:F16,$Y$8:$Y$16)/$C$28)</f>
        <v>7.2256358392156015</v>
      </c>
      <c r="H28" s="213">
        <f>IF(ISERR(SUMPRODUCT(G8:G16,$Y$8:$Y$16)/$C$28),"0.00",SUMPRODUCT(G8:G16,$Y$8:$Y$16)/$C$28)</f>
        <v>2.7492454105544248</v>
      </c>
      <c r="I28" s="212">
        <f>IF(ISERR(SUMPRODUCT(H8:H16,$Y$8:$Y$16)/$C$28),"0.00",SUMPRODUCT(H8:H16,$Y$8:$Y$16)/$C$28)</f>
        <v>6161.6639863134842</v>
      </c>
      <c r="J28" s="212">
        <f>I28*(100-E28)/(100-F28)</f>
        <v>5899.7042407078379</v>
      </c>
      <c r="K28" s="226">
        <f>IF(E28=0,0,(J28-(5.72*9*(4.83*(100-E28)/100+0.1119*E28))))</f>
        <v>5605.3168844702368</v>
      </c>
      <c r="U28" s="8"/>
      <c r="V28" s="39"/>
      <c r="W28" s="9"/>
      <c r="X28" s="10"/>
      <c r="Y28" s="10"/>
      <c r="Z28" s="10"/>
      <c r="AA28" s="10"/>
      <c r="AB28" s="9"/>
      <c r="AC28" s="6"/>
    </row>
    <row r="29" spans="2:40" ht="15" hidden="1">
      <c r="B29" s="133"/>
      <c r="C29" s="129"/>
      <c r="D29" s="130"/>
      <c r="E29" s="131"/>
      <c r="F29" s="131"/>
      <c r="G29" s="131"/>
      <c r="H29" s="131"/>
      <c r="I29" s="134"/>
      <c r="J29" s="134">
        <f t="shared" si="11"/>
        <v>0</v>
      </c>
      <c r="K29" s="132">
        <f>IF(E29=0,0,(J29-(5.72*9*(4.79*(100-E29)/100+0.1119*E29))))</f>
        <v>0</v>
      </c>
      <c r="U29" s="12"/>
      <c r="V29" s="39"/>
      <c r="W29" s="9"/>
      <c r="X29" s="10"/>
      <c r="Y29" s="10"/>
      <c r="Z29" s="10"/>
      <c r="AA29" s="10"/>
      <c r="AB29" s="9"/>
      <c r="AC29" s="6"/>
    </row>
    <row r="30" spans="2:40" ht="15" hidden="1">
      <c r="B30" s="133"/>
      <c r="C30" s="129"/>
      <c r="D30" s="130"/>
      <c r="E30" s="131"/>
      <c r="F30" s="131"/>
      <c r="G30" s="131"/>
      <c r="H30" s="131"/>
      <c r="I30" s="129"/>
      <c r="J30" s="129">
        <f t="shared" si="11"/>
        <v>0</v>
      </c>
      <c r="K30" s="132">
        <f>IF(E30=0,0,(J30-(5.72*9*(4.79*(100-E30)/100+0.1119*E30))))</f>
        <v>0</v>
      </c>
      <c r="U30" s="12"/>
      <c r="V30" s="39"/>
      <c r="W30" s="9"/>
      <c r="X30" s="10"/>
      <c r="Y30" s="10"/>
      <c r="Z30" s="10"/>
      <c r="AA30" s="10"/>
      <c r="AB30" s="9"/>
      <c r="AC30" s="6"/>
    </row>
    <row r="31" spans="2:40" ht="15" hidden="1">
      <c r="B31" s="135"/>
      <c r="C31" s="129"/>
      <c r="D31" s="129"/>
      <c r="E31" s="131"/>
      <c r="F31" s="131"/>
      <c r="G31" s="131"/>
      <c r="H31" s="131"/>
      <c r="I31" s="134"/>
      <c r="J31" s="134">
        <f t="shared" si="11"/>
        <v>0</v>
      </c>
      <c r="K31" s="132">
        <f>IF(E31=0,0,(J31-(5.72*9*(4.79*(100-E31)/100+0.1119*E31))))</f>
        <v>0</v>
      </c>
      <c r="U31" s="12"/>
      <c r="V31" s="39"/>
      <c r="W31" s="9"/>
      <c r="X31" s="10"/>
      <c r="Y31" s="10"/>
      <c r="Z31" s="10"/>
      <c r="AA31" s="10"/>
      <c r="AB31" s="9"/>
      <c r="AC31" s="6"/>
    </row>
    <row r="32" spans="2:40" ht="15" hidden="1">
      <c r="B32" s="136"/>
      <c r="C32" s="137"/>
      <c r="D32" s="137"/>
      <c r="E32" s="138"/>
      <c r="F32" s="138"/>
      <c r="G32" s="138"/>
      <c r="H32" s="138"/>
      <c r="I32" s="139"/>
      <c r="J32" s="139">
        <f t="shared" si="11"/>
        <v>0</v>
      </c>
      <c r="K32" s="132">
        <f>IF(E32=0,0,(J32-(5.72*9*(4.79*(100-E32)/100+0.1119*E32))))</f>
        <v>0</v>
      </c>
      <c r="U32" s="12"/>
      <c r="V32" s="39"/>
      <c r="W32" s="9"/>
      <c r="X32" s="10"/>
      <c r="Y32" s="10"/>
      <c r="Z32" s="10"/>
      <c r="AA32" s="10"/>
      <c r="AB32" s="9"/>
      <c r="AC32" s="6"/>
    </row>
    <row r="33" spans="1:29" ht="15" hidden="1">
      <c r="B33" s="140"/>
      <c r="C33" s="129"/>
      <c r="D33" s="130"/>
      <c r="E33" s="131"/>
      <c r="F33" s="131"/>
      <c r="G33" s="131"/>
      <c r="H33" s="131"/>
      <c r="I33" s="134"/>
      <c r="J33" s="129">
        <f>I33*(100-E33)/(100-F33)</f>
        <v>0</v>
      </c>
      <c r="K33" s="141">
        <f>IF(C33=0,0,(J33-(5.72*9*(VLOOKUP(B33,NAR,2)+0.1119*E33))))</f>
        <v>0</v>
      </c>
      <c r="U33" s="12"/>
      <c r="V33" s="39"/>
      <c r="W33" s="9"/>
      <c r="X33" s="10"/>
      <c r="Y33" s="10"/>
      <c r="Z33" s="10"/>
      <c r="AA33" s="10"/>
      <c r="AB33" s="9"/>
      <c r="AC33" s="6"/>
    </row>
    <row r="34" spans="1:29" ht="15.5" thickBot="1">
      <c r="B34" s="142" t="s">
        <v>5</v>
      </c>
      <c r="C34" s="143">
        <f>SUM(C24:C33)</f>
        <v>29030.649999999998</v>
      </c>
      <c r="D34" s="144">
        <f>SUM(D24:D33)</f>
        <v>17784</v>
      </c>
      <c r="E34" s="322">
        <f>D17</f>
        <v>13.969813103703057</v>
      </c>
      <c r="F34" s="322">
        <f t="shared" ref="F34:K34" si="12">E17</f>
        <v>10.14988502692605</v>
      </c>
      <c r="G34" s="322">
        <f t="shared" si="12"/>
        <v>7.2256358392156015</v>
      </c>
      <c r="H34" s="322">
        <f t="shared" si="12"/>
        <v>2.7492454105544248</v>
      </c>
      <c r="I34" s="323">
        <f t="shared" si="12"/>
        <v>6161.6639863134842</v>
      </c>
      <c r="J34" s="323">
        <f t="shared" si="12"/>
        <v>5900.7861769761603</v>
      </c>
      <c r="K34" s="324">
        <f t="shared" si="12"/>
        <v>5606.1130415078314</v>
      </c>
      <c r="U34" s="12"/>
      <c r="V34" s="39"/>
      <c r="W34" s="9"/>
      <c r="X34" s="10"/>
      <c r="Y34" s="10"/>
      <c r="Z34" s="10"/>
      <c r="AA34" s="10"/>
      <c r="AB34" s="9"/>
      <c r="AC34" s="6"/>
    </row>
    <row r="35" spans="1:29">
      <c r="C35" s="2"/>
      <c r="D35" s="2"/>
      <c r="U35" s="12"/>
      <c r="V35" s="40"/>
      <c r="W35" s="40"/>
      <c r="X35" s="41"/>
      <c r="Y35" s="41"/>
      <c r="Z35" s="41"/>
      <c r="AA35" s="41"/>
      <c r="AB35" s="42"/>
      <c r="AC35" s="6"/>
    </row>
    <row r="36" spans="1:29">
      <c r="G36" s="45" t="s">
        <v>109</v>
      </c>
      <c r="H36" s="45" t="s">
        <v>109</v>
      </c>
    </row>
    <row r="37" spans="1:29">
      <c r="B37" s="47"/>
      <c r="C37" s="48"/>
      <c r="D37" s="49"/>
      <c r="E37" s="49"/>
      <c r="F37" s="49"/>
      <c r="G37" s="49"/>
      <c r="H37" s="48"/>
    </row>
    <row r="38" spans="1:29">
      <c r="B38" s="47"/>
      <c r="C38" s="48"/>
      <c r="D38" s="49"/>
      <c r="E38" s="49"/>
      <c r="F38" s="49"/>
      <c r="G38" s="49"/>
      <c r="H38" s="48"/>
    </row>
    <row r="39" spans="1:29">
      <c r="B39" s="46"/>
      <c r="C39" s="1"/>
      <c r="D39" s="50"/>
      <c r="E39" s="57"/>
      <c r="F39" s="57"/>
      <c r="G39" s="57"/>
      <c r="H39" s="57"/>
      <c r="I39" s="46"/>
    </row>
    <row r="40" spans="1:29" hidden="1">
      <c r="A40" s="88">
        <v>1</v>
      </c>
      <c r="B40" s="46" t="s">
        <v>71</v>
      </c>
      <c r="C40" s="53"/>
      <c r="D40" s="46"/>
      <c r="E40" s="58"/>
      <c r="F40" s="59"/>
      <c r="G40" s="59"/>
      <c r="H40" s="60"/>
      <c r="I40" s="46"/>
    </row>
    <row r="41" spans="1:29" hidden="1">
      <c r="A41" s="88">
        <v>2</v>
      </c>
      <c r="B41" s="46" t="s">
        <v>72</v>
      </c>
      <c r="C41" s="46"/>
      <c r="D41" s="46"/>
      <c r="E41" s="58"/>
      <c r="F41" s="61"/>
      <c r="G41" s="62"/>
      <c r="H41" s="63"/>
      <c r="I41" s="46"/>
      <c r="J41" s="2"/>
    </row>
    <row r="42" spans="1:29" ht="13" hidden="1">
      <c r="A42" s="88">
        <v>3</v>
      </c>
      <c r="B42" s="46" t="s">
        <v>73</v>
      </c>
      <c r="C42" s="33"/>
      <c r="D42" s="33"/>
      <c r="E42" s="64"/>
      <c r="F42" s="65"/>
      <c r="G42" s="65"/>
      <c r="H42" s="66"/>
      <c r="I42" s="33"/>
    </row>
    <row r="43" spans="1:29" hidden="1">
      <c r="A43" s="88">
        <v>4</v>
      </c>
      <c r="B43" s="53" t="s">
        <v>74</v>
      </c>
      <c r="C43" s="33"/>
      <c r="D43" s="33"/>
      <c r="E43" s="59"/>
      <c r="F43" s="59"/>
      <c r="G43" s="59"/>
      <c r="H43" s="59"/>
      <c r="I43" s="33"/>
    </row>
    <row r="44" spans="1:29" hidden="1">
      <c r="A44" s="88">
        <v>5</v>
      </c>
      <c r="B44" s="46" t="s">
        <v>75</v>
      </c>
      <c r="C44" s="46"/>
      <c r="D44" s="54"/>
      <c r="E44" s="56"/>
      <c r="F44" s="56"/>
      <c r="G44" s="56"/>
      <c r="H44" s="56"/>
      <c r="I44" s="33"/>
    </row>
    <row r="45" spans="1:29">
      <c r="B45" s="46"/>
      <c r="C45" s="46"/>
      <c r="D45" s="46"/>
      <c r="E45" s="55"/>
      <c r="F45" s="55"/>
      <c r="G45" s="46"/>
      <c r="H45" s="172" t="s">
        <v>109</v>
      </c>
      <c r="I45" s="46"/>
    </row>
    <row r="46" spans="1:29">
      <c r="B46" s="46"/>
      <c r="C46" s="46"/>
      <c r="D46" s="46"/>
      <c r="E46" s="46"/>
      <c r="F46" s="46"/>
      <c r="H46" s="46"/>
      <c r="I46" s="46"/>
      <c r="K46" s="45" t="s">
        <v>109</v>
      </c>
    </row>
    <row r="64" spans="13:13">
      <c r="M64" s="2"/>
    </row>
    <row r="115" spans="2:2">
      <c r="B115" s="2" t="e">
        <f>9273-#REF!</f>
        <v>#REF!</v>
      </c>
    </row>
    <row r="239" spans="2:2">
      <c r="B239" s="1"/>
    </row>
    <row r="240" spans="2:2">
      <c r="B240" s="1"/>
    </row>
    <row r="241" spans="2:2">
      <c r="B241" s="1"/>
    </row>
    <row r="242" spans="2:2">
      <c r="B242" s="1"/>
    </row>
    <row r="243" spans="2:2">
      <c r="B243" s="1"/>
    </row>
    <row r="244" spans="2:2">
      <c r="B244" s="1"/>
    </row>
    <row r="245" spans="2:2">
      <c r="B245" s="1"/>
    </row>
    <row r="246" spans="2:2">
      <c r="B246" s="1"/>
    </row>
    <row r="247" spans="2:2">
      <c r="B247" s="1"/>
    </row>
    <row r="248" spans="2:2">
      <c r="B248" s="1"/>
    </row>
    <row r="249" spans="2:2">
      <c r="B249" s="1"/>
    </row>
    <row r="250" spans="2:2">
      <c r="B250" s="1"/>
    </row>
    <row r="251" spans="2:2">
      <c r="B251" s="1"/>
    </row>
    <row r="252" spans="2:2">
      <c r="B252" s="1"/>
    </row>
  </sheetData>
  <mergeCells count="4">
    <mergeCell ref="A1:M1"/>
    <mergeCell ref="A2:L2"/>
    <mergeCell ref="U6:V6"/>
    <mergeCell ref="AE6:AF6"/>
  </mergeCells>
  <printOptions horizontalCentered="1"/>
  <pageMargins left="0.7" right="0.7" top="0.75" bottom="0.75" header="0.3" footer="0.3"/>
  <pageSetup paperSize="9" scale="73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proResetValuesM">
                <anchor moveWithCells="1" sizeWithCells="1">
                  <from>
                    <xdr:col>1</xdr:col>
                    <xdr:colOff>1447800</xdr:colOff>
                    <xdr:row>1</xdr:row>
                    <xdr:rowOff>0</xdr:rowOff>
                  </from>
                  <to>
                    <xdr:col>2</xdr:col>
                    <xdr:colOff>247650</xdr:colOff>
                    <xdr:row>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proSelectCaseValuesM">
                <anchor moveWithCells="1" sizeWithCells="1">
                  <from>
                    <xdr:col>1</xdr:col>
                    <xdr:colOff>990600</xdr:colOff>
                    <xdr:row>1</xdr:row>
                    <xdr:rowOff>0</xdr:rowOff>
                  </from>
                  <to>
                    <xdr:col>1</xdr:col>
                    <xdr:colOff>1422400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Select_MSYTable1">
                <anchor moveWithCells="1" sizeWithCells="1">
                  <from>
                    <xdr:col>3</xdr:col>
                    <xdr:colOff>260350</xdr:colOff>
                    <xdr:row>0</xdr:row>
                    <xdr:rowOff>133350</xdr:rowOff>
                  </from>
                  <to>
                    <xdr:col>3</xdr:col>
                    <xdr:colOff>279400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7" name="Button 5">
              <controlPr defaultSize="0" print="0" autoFill="0" autoPict="0" macro="[0]!Select_MSYTable1">
                <anchor moveWithCells="1" sizeWithCells="1">
                  <from>
                    <xdr:col>2</xdr:col>
                    <xdr:colOff>304800</xdr:colOff>
                    <xdr:row>0</xdr:row>
                    <xdr:rowOff>241300</xdr:rowOff>
                  </from>
                  <to>
                    <xdr:col>2</xdr:col>
                    <xdr:colOff>698500</xdr:colOff>
                    <xdr:row>1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927E5-908C-4126-8CE1-770CF5F34AD2}">
  <sheetPr codeName="Sheet1">
    <tabColor rgb="FFFFFF00"/>
  </sheetPr>
  <dimension ref="A1:U86"/>
  <sheetViews>
    <sheetView zoomScale="70" zoomScaleNormal="70" workbookViewId="0">
      <selection activeCell="I9" sqref="I9"/>
    </sheetView>
  </sheetViews>
  <sheetFormatPr defaultRowHeight="12.5"/>
  <cols>
    <col min="1" max="1" width="15.6328125" customWidth="1"/>
    <col min="2" max="2" width="15.6328125" style="334" bestFit="1" customWidth="1"/>
    <col min="3" max="3" width="16.08984375" style="334" bestFit="1" customWidth="1"/>
    <col min="4" max="4" width="15.1796875" style="334" hidden="1" customWidth="1"/>
    <col min="5" max="5" width="15.6328125" style="334" bestFit="1" customWidth="1"/>
    <col min="6" max="6" width="15.26953125" style="334" bestFit="1" customWidth="1"/>
    <col min="7" max="7" width="11.26953125" style="334" hidden="1" customWidth="1"/>
    <col min="8" max="8" width="8.90625" style="334" bestFit="1" customWidth="1"/>
    <col min="9" max="9" width="22" style="334" bestFit="1" customWidth="1"/>
    <col min="10" max="10" width="22" bestFit="1" customWidth="1"/>
    <col min="11" max="11" width="19" customWidth="1"/>
    <col min="12" max="12" width="22" bestFit="1" customWidth="1"/>
    <col min="13" max="13" width="16.08984375" bestFit="1" customWidth="1"/>
    <col min="14" max="14" width="15.90625" bestFit="1" customWidth="1"/>
    <col min="15" max="15" width="15.6328125" customWidth="1"/>
    <col min="16" max="16" width="15.6328125" bestFit="1" customWidth="1"/>
    <col min="17" max="17" width="18.54296875" bestFit="1" customWidth="1"/>
    <col min="18" max="18" width="18.26953125" bestFit="1" customWidth="1"/>
    <col min="19" max="19" width="10.7265625" bestFit="1" customWidth="1"/>
    <col min="20" max="20" width="9.54296875" bestFit="1" customWidth="1"/>
    <col min="21" max="21" width="19" bestFit="1" customWidth="1"/>
  </cols>
  <sheetData>
    <row r="1" spans="1:20">
      <c r="A1" s="45" t="s">
        <v>140</v>
      </c>
      <c r="H1" s="335"/>
      <c r="L1" s="45" t="s">
        <v>58</v>
      </c>
    </row>
    <row r="2" spans="1:20">
      <c r="A2" s="177" t="s">
        <v>111</v>
      </c>
      <c r="B2" s="307" t="s">
        <v>71</v>
      </c>
      <c r="C2" s="308" t="s">
        <v>110</v>
      </c>
      <c r="D2" s="309" t="s">
        <v>73</v>
      </c>
      <c r="E2" s="310" t="s">
        <v>74</v>
      </c>
      <c r="F2" s="311" t="s">
        <v>75</v>
      </c>
      <c r="G2" s="333" t="s">
        <v>146</v>
      </c>
      <c r="H2" s="336" t="s">
        <v>5</v>
      </c>
      <c r="L2" s="177" t="s">
        <v>111</v>
      </c>
      <c r="M2" s="307" t="s">
        <v>71</v>
      </c>
      <c r="N2" s="308" t="s">
        <v>110</v>
      </c>
      <c r="O2" s="309" t="s">
        <v>73</v>
      </c>
      <c r="P2" s="310" t="s">
        <v>74</v>
      </c>
      <c r="Q2" s="333" t="s">
        <v>75</v>
      </c>
      <c r="R2" s="311" t="s">
        <v>138</v>
      </c>
      <c r="S2" s="333" t="s">
        <v>145</v>
      </c>
      <c r="T2" s="312" t="s">
        <v>5</v>
      </c>
    </row>
    <row r="3" spans="1:20">
      <c r="A3" s="179">
        <v>45901</v>
      </c>
      <c r="B3" s="178">
        <v>0</v>
      </c>
      <c r="C3" s="178">
        <v>0</v>
      </c>
      <c r="D3" s="178"/>
      <c r="E3" s="178">
        <v>0</v>
      </c>
      <c r="F3" s="178">
        <v>23267.5</v>
      </c>
      <c r="G3" s="178">
        <v>0</v>
      </c>
      <c r="H3" s="313">
        <f>SUM(B3:G3)</f>
        <v>23267.5</v>
      </c>
      <c r="I3" s="337"/>
      <c r="L3" s="179">
        <f t="shared" ref="L3:L33" si="0">A3</f>
        <v>45901</v>
      </c>
      <c r="M3" s="313">
        <v>3771</v>
      </c>
      <c r="N3" s="313">
        <v>0</v>
      </c>
      <c r="O3" s="313">
        <v>0</v>
      </c>
      <c r="P3" s="313">
        <v>0</v>
      </c>
      <c r="Q3" s="313">
        <v>4289</v>
      </c>
      <c r="R3" s="313">
        <v>8731</v>
      </c>
      <c r="S3" s="313">
        <v>360</v>
      </c>
      <c r="T3" s="313">
        <f t="shared" ref="T3:T8" si="1">SUM(M3:S3)</f>
        <v>17151</v>
      </c>
    </row>
    <row r="4" spans="1:20">
      <c r="A4" s="179">
        <v>45902</v>
      </c>
      <c r="B4" s="178">
        <v>3980</v>
      </c>
      <c r="C4" s="178">
        <v>0</v>
      </c>
      <c r="D4" s="178"/>
      <c r="E4" s="182">
        <v>0</v>
      </c>
      <c r="F4" s="178">
        <v>17615</v>
      </c>
      <c r="G4" s="178">
        <v>0</v>
      </c>
      <c r="H4" s="313">
        <f t="shared" ref="H4:H33" si="2">SUM(B4:G4)</f>
        <v>21595</v>
      </c>
      <c r="I4" s="337">
        <v>128.80000000000001</v>
      </c>
      <c r="L4" s="179">
        <f t="shared" si="0"/>
        <v>45902</v>
      </c>
      <c r="M4" s="313">
        <v>0</v>
      </c>
      <c r="N4" s="313">
        <v>0</v>
      </c>
      <c r="O4" s="313">
        <v>0</v>
      </c>
      <c r="P4" s="313">
        <v>3076</v>
      </c>
      <c r="Q4" s="313">
        <v>0</v>
      </c>
      <c r="R4" s="313">
        <v>12315</v>
      </c>
      <c r="S4" s="313">
        <v>504</v>
      </c>
      <c r="T4" s="313">
        <f t="shared" si="1"/>
        <v>15895</v>
      </c>
    </row>
    <row r="5" spans="1:20">
      <c r="A5" s="179">
        <v>45903</v>
      </c>
      <c r="B5" s="178">
        <v>4395</v>
      </c>
      <c r="C5" s="178">
        <v>0</v>
      </c>
      <c r="D5" s="178"/>
      <c r="E5" s="178">
        <v>3064.1</v>
      </c>
      <c r="F5" s="178">
        <v>8600</v>
      </c>
      <c r="G5" s="178">
        <v>0</v>
      </c>
      <c r="H5" s="313">
        <f t="shared" si="2"/>
        <v>16059.1</v>
      </c>
      <c r="I5" s="337"/>
      <c r="L5" s="179">
        <f t="shared" si="0"/>
        <v>45903</v>
      </c>
      <c r="M5" s="313">
        <v>8076</v>
      </c>
      <c r="N5" s="313">
        <v>0</v>
      </c>
      <c r="O5" s="313">
        <v>0</v>
      </c>
      <c r="P5" s="313">
        <v>0</v>
      </c>
      <c r="Q5" s="313">
        <v>15101</v>
      </c>
      <c r="R5" s="313">
        <v>0</v>
      </c>
      <c r="S5" s="313">
        <v>270</v>
      </c>
      <c r="T5" s="313">
        <f t="shared" si="1"/>
        <v>23447</v>
      </c>
    </row>
    <row r="6" spans="1:20">
      <c r="A6" s="179">
        <v>45904</v>
      </c>
      <c r="B6" s="178">
        <v>730.35</v>
      </c>
      <c r="C6" s="178">
        <v>0</v>
      </c>
      <c r="D6" s="178"/>
      <c r="E6" s="178">
        <v>0</v>
      </c>
      <c r="F6" s="178">
        <v>18545</v>
      </c>
      <c r="G6" s="178">
        <v>0</v>
      </c>
      <c r="H6" s="313">
        <f t="shared" si="2"/>
        <v>19275.349999999999</v>
      </c>
      <c r="I6" s="337"/>
      <c r="L6" s="179">
        <f t="shared" si="0"/>
        <v>45904</v>
      </c>
      <c r="M6" s="313">
        <v>4541</v>
      </c>
      <c r="N6" s="313"/>
      <c r="O6" s="313"/>
      <c r="P6" s="313">
        <v>3537</v>
      </c>
      <c r="Q6" s="313">
        <v>6257</v>
      </c>
      <c r="R6" s="313">
        <v>7124</v>
      </c>
      <c r="S6" s="313">
        <v>396</v>
      </c>
      <c r="T6" s="313">
        <f t="shared" si="1"/>
        <v>21855</v>
      </c>
    </row>
    <row r="7" spans="1:20">
      <c r="A7" s="179">
        <v>45905</v>
      </c>
      <c r="B7" s="178">
        <v>1898</v>
      </c>
      <c r="C7" s="178">
        <v>0</v>
      </c>
      <c r="D7" s="178"/>
      <c r="E7" s="178">
        <v>3665</v>
      </c>
      <c r="F7" s="178">
        <v>14633</v>
      </c>
      <c r="G7" s="178">
        <v>0</v>
      </c>
      <c r="H7" s="313">
        <f t="shared" si="2"/>
        <v>20196</v>
      </c>
      <c r="I7" s="337"/>
      <c r="L7" s="179">
        <f t="shared" si="0"/>
        <v>45905</v>
      </c>
      <c r="M7" s="313">
        <v>0</v>
      </c>
      <c r="N7" s="313">
        <v>0</v>
      </c>
      <c r="O7" s="313">
        <v>0</v>
      </c>
      <c r="P7" s="313">
        <v>8039</v>
      </c>
      <c r="Q7" s="313">
        <v>0</v>
      </c>
      <c r="R7" s="313">
        <v>13116</v>
      </c>
      <c r="S7" s="313">
        <v>486</v>
      </c>
      <c r="T7" s="313">
        <f t="shared" si="1"/>
        <v>21641</v>
      </c>
    </row>
    <row r="8" spans="1:20">
      <c r="A8" s="179">
        <v>45906</v>
      </c>
      <c r="B8" s="178">
        <v>6251</v>
      </c>
      <c r="C8" s="178">
        <v>0</v>
      </c>
      <c r="D8" s="178"/>
      <c r="E8" s="178">
        <v>1050.75</v>
      </c>
      <c r="F8" s="178">
        <v>14539</v>
      </c>
      <c r="G8" s="178">
        <v>0</v>
      </c>
      <c r="H8" s="313">
        <f t="shared" si="2"/>
        <v>21840.75</v>
      </c>
      <c r="I8" s="337"/>
      <c r="L8" s="179">
        <f t="shared" si="0"/>
        <v>45906</v>
      </c>
      <c r="M8" s="313">
        <v>2326</v>
      </c>
      <c r="N8" s="313">
        <v>0</v>
      </c>
      <c r="O8" s="313">
        <v>0</v>
      </c>
      <c r="P8" s="313">
        <v>2658</v>
      </c>
      <c r="Q8" s="313">
        <v>0</v>
      </c>
      <c r="R8" s="313">
        <v>12293</v>
      </c>
      <c r="S8" s="313">
        <v>486</v>
      </c>
      <c r="T8" s="313">
        <f t="shared" si="1"/>
        <v>17763</v>
      </c>
    </row>
    <row r="9" spans="1:20">
      <c r="A9" s="179">
        <v>45907</v>
      </c>
      <c r="B9" s="178">
        <v>2722.85</v>
      </c>
      <c r="C9" s="178">
        <v>0</v>
      </c>
      <c r="D9" s="178"/>
      <c r="E9" s="178">
        <v>2008.4</v>
      </c>
      <c r="F9" s="178">
        <v>12923</v>
      </c>
      <c r="G9" s="178">
        <v>0</v>
      </c>
      <c r="H9" s="313">
        <f t="shared" si="2"/>
        <v>17654.25</v>
      </c>
      <c r="I9" s="337">
        <v>60.3</v>
      </c>
      <c r="L9" s="179">
        <f t="shared" si="0"/>
        <v>45907</v>
      </c>
      <c r="M9" s="313">
        <v>0</v>
      </c>
      <c r="N9" s="313">
        <v>0</v>
      </c>
      <c r="O9" s="313">
        <v>0</v>
      </c>
      <c r="P9" s="313">
        <v>0</v>
      </c>
      <c r="Q9" s="313">
        <v>0</v>
      </c>
      <c r="R9" s="320">
        <v>17784</v>
      </c>
      <c r="S9" s="313">
        <v>360</v>
      </c>
      <c r="T9" s="313">
        <f>SUM(M9:S9)</f>
        <v>18144</v>
      </c>
    </row>
    <row r="10" spans="1:20">
      <c r="A10" s="179">
        <v>45908</v>
      </c>
      <c r="B10" s="178"/>
      <c r="C10" s="178"/>
      <c r="D10" s="178"/>
      <c r="E10" s="178"/>
      <c r="F10" s="178"/>
      <c r="G10" s="178">
        <v>0</v>
      </c>
      <c r="H10" s="313">
        <f t="shared" si="2"/>
        <v>0</v>
      </c>
      <c r="I10" s="337"/>
      <c r="L10" s="179">
        <f t="shared" si="0"/>
        <v>45908</v>
      </c>
      <c r="M10" s="313"/>
      <c r="N10" s="313"/>
      <c r="O10" s="313"/>
      <c r="P10" s="313"/>
      <c r="Q10" s="313"/>
      <c r="R10" s="313"/>
      <c r="S10" s="313"/>
      <c r="T10" s="313">
        <f>SUM(M10:S10)</f>
        <v>0</v>
      </c>
    </row>
    <row r="11" spans="1:20">
      <c r="A11" s="179">
        <v>45909</v>
      </c>
      <c r="B11" s="178"/>
      <c r="C11" s="178"/>
      <c r="D11" s="178"/>
      <c r="E11" s="178"/>
      <c r="F11" s="178"/>
      <c r="G11" s="178">
        <v>0</v>
      </c>
      <c r="H11" s="313">
        <f t="shared" si="2"/>
        <v>0</v>
      </c>
      <c r="I11" s="337"/>
      <c r="L11" s="179">
        <f t="shared" si="0"/>
        <v>45909</v>
      </c>
      <c r="M11" s="313"/>
      <c r="N11" s="313"/>
      <c r="O11" s="313"/>
      <c r="P11" s="313"/>
      <c r="Q11" s="313"/>
      <c r="R11" s="313"/>
      <c r="S11" s="313"/>
      <c r="T11" s="313">
        <f>SUM(M11:S11)</f>
        <v>0</v>
      </c>
    </row>
    <row r="12" spans="1:20">
      <c r="A12" s="179">
        <v>45910</v>
      </c>
      <c r="B12" s="178"/>
      <c r="C12" s="178"/>
      <c r="D12" s="178"/>
      <c r="E12" s="182"/>
      <c r="F12" s="178"/>
      <c r="G12" s="178">
        <v>0</v>
      </c>
      <c r="H12" s="313">
        <f t="shared" si="2"/>
        <v>0</v>
      </c>
      <c r="I12" s="337"/>
      <c r="L12" s="179">
        <f t="shared" si="0"/>
        <v>45910</v>
      </c>
      <c r="M12" s="313"/>
      <c r="N12" s="313"/>
      <c r="O12" s="313"/>
      <c r="P12" s="313"/>
      <c r="Q12" s="313"/>
      <c r="R12" s="313"/>
      <c r="S12" s="313"/>
      <c r="T12" s="313">
        <f t="shared" ref="T12:T17" si="3">SUM(M12:S12)</f>
        <v>0</v>
      </c>
    </row>
    <row r="13" spans="1:20">
      <c r="A13" s="179">
        <v>45911</v>
      </c>
      <c r="B13" s="178"/>
      <c r="C13" s="178"/>
      <c r="D13" s="178"/>
      <c r="E13" s="178"/>
      <c r="F13" s="178"/>
      <c r="G13" s="178">
        <v>0</v>
      </c>
      <c r="H13" s="313">
        <f>SUM(B13:G13)</f>
        <v>0</v>
      </c>
      <c r="I13" s="337"/>
      <c r="L13" s="179">
        <f t="shared" si="0"/>
        <v>45911</v>
      </c>
      <c r="M13" s="313"/>
      <c r="N13" s="313"/>
      <c r="O13" s="313"/>
      <c r="P13" s="313"/>
      <c r="Q13" s="313"/>
      <c r="R13" s="313"/>
      <c r="S13" s="313"/>
      <c r="T13" s="313">
        <f t="shared" si="3"/>
        <v>0</v>
      </c>
    </row>
    <row r="14" spans="1:20">
      <c r="A14" s="179">
        <v>45912</v>
      </c>
      <c r="B14" s="178"/>
      <c r="C14" s="178"/>
      <c r="D14" s="178"/>
      <c r="E14" s="178"/>
      <c r="F14" s="178"/>
      <c r="G14" s="178">
        <v>0</v>
      </c>
      <c r="H14" s="313">
        <f t="shared" si="2"/>
        <v>0</v>
      </c>
      <c r="I14" s="337"/>
      <c r="L14" s="179">
        <f t="shared" si="0"/>
        <v>45912</v>
      </c>
      <c r="M14" s="313"/>
      <c r="N14" s="313"/>
      <c r="O14" s="313"/>
      <c r="P14" s="313"/>
      <c r="Q14" s="313"/>
      <c r="R14" s="313"/>
      <c r="S14" s="313"/>
      <c r="T14" s="313">
        <f t="shared" si="3"/>
        <v>0</v>
      </c>
    </row>
    <row r="15" spans="1:20">
      <c r="A15" s="179">
        <v>45913</v>
      </c>
      <c r="B15" s="178"/>
      <c r="C15" s="178"/>
      <c r="D15" s="178"/>
      <c r="E15" s="178"/>
      <c r="F15" s="178"/>
      <c r="G15" s="178">
        <v>0</v>
      </c>
      <c r="H15" s="313">
        <f t="shared" si="2"/>
        <v>0</v>
      </c>
      <c r="I15" s="337"/>
      <c r="L15" s="179">
        <f t="shared" si="0"/>
        <v>45913</v>
      </c>
      <c r="M15" s="313"/>
      <c r="N15" s="313"/>
      <c r="O15" s="313"/>
      <c r="P15" s="313"/>
      <c r="Q15" s="313"/>
      <c r="R15" s="313"/>
      <c r="S15" s="313"/>
      <c r="T15" s="313">
        <f t="shared" si="3"/>
        <v>0</v>
      </c>
    </row>
    <row r="16" spans="1:20">
      <c r="A16" s="179">
        <v>45914</v>
      </c>
      <c r="B16" s="178"/>
      <c r="C16" s="178"/>
      <c r="D16" s="178"/>
      <c r="E16" s="178"/>
      <c r="F16" s="178"/>
      <c r="G16" s="178">
        <v>0</v>
      </c>
      <c r="H16" s="313">
        <f t="shared" si="2"/>
        <v>0</v>
      </c>
      <c r="I16" s="337">
        <v>249</v>
      </c>
      <c r="L16" s="179">
        <f t="shared" si="0"/>
        <v>45914</v>
      </c>
      <c r="M16" s="313"/>
      <c r="N16" s="313"/>
      <c r="O16" s="313"/>
      <c r="P16" s="313"/>
      <c r="Q16" s="313"/>
      <c r="R16" s="313"/>
      <c r="S16" s="313"/>
      <c r="T16" s="313">
        <f t="shared" si="3"/>
        <v>0</v>
      </c>
    </row>
    <row r="17" spans="1:20">
      <c r="A17" s="179">
        <v>45915</v>
      </c>
      <c r="B17" s="178"/>
      <c r="C17" s="178"/>
      <c r="D17" s="178"/>
      <c r="E17" s="178"/>
      <c r="F17" s="178"/>
      <c r="G17" s="178">
        <v>0</v>
      </c>
      <c r="H17" s="313">
        <f t="shared" si="2"/>
        <v>0</v>
      </c>
      <c r="I17" s="337"/>
      <c r="L17" s="179">
        <f t="shared" si="0"/>
        <v>45915</v>
      </c>
      <c r="M17" s="313"/>
      <c r="N17" s="313"/>
      <c r="O17" s="313"/>
      <c r="P17" s="313"/>
      <c r="Q17" s="313"/>
      <c r="R17" s="313"/>
      <c r="S17" s="313"/>
      <c r="T17" s="313">
        <f t="shared" si="3"/>
        <v>0</v>
      </c>
    </row>
    <row r="18" spans="1:20">
      <c r="A18" s="179">
        <v>45916</v>
      </c>
      <c r="B18" s="182"/>
      <c r="C18" s="178"/>
      <c r="D18" s="178"/>
      <c r="E18" s="178"/>
      <c r="F18" s="182"/>
      <c r="G18" s="182">
        <v>0</v>
      </c>
      <c r="H18" s="313">
        <f t="shared" si="2"/>
        <v>0</v>
      </c>
      <c r="I18" s="337"/>
      <c r="L18" s="179">
        <f t="shared" si="0"/>
        <v>45916</v>
      </c>
      <c r="M18" s="313"/>
      <c r="N18" s="313"/>
      <c r="O18" s="313"/>
      <c r="P18" s="313"/>
      <c r="Q18" s="326"/>
      <c r="R18" s="326"/>
      <c r="S18" s="313"/>
      <c r="T18" s="313">
        <f t="shared" ref="T18:T23" si="4">SUM(M18:S18)</f>
        <v>0</v>
      </c>
    </row>
    <row r="19" spans="1:20">
      <c r="A19" s="179">
        <v>45917</v>
      </c>
      <c r="B19" s="182"/>
      <c r="C19" s="178"/>
      <c r="D19" s="178"/>
      <c r="E19" s="178"/>
      <c r="F19" s="182"/>
      <c r="G19" s="182">
        <v>0</v>
      </c>
      <c r="H19" s="313">
        <f t="shared" si="2"/>
        <v>0</v>
      </c>
      <c r="I19" s="337"/>
      <c r="L19" s="179">
        <f t="shared" si="0"/>
        <v>45917</v>
      </c>
      <c r="M19" s="313"/>
      <c r="N19" s="313"/>
      <c r="O19" s="313"/>
      <c r="P19" s="313"/>
      <c r="Q19" s="313"/>
      <c r="R19" s="313"/>
      <c r="S19" s="313"/>
      <c r="T19" s="313">
        <f t="shared" si="4"/>
        <v>0</v>
      </c>
    </row>
    <row r="20" spans="1:20">
      <c r="A20" s="179">
        <v>45918</v>
      </c>
      <c r="B20" s="182"/>
      <c r="C20" s="182"/>
      <c r="D20" s="182"/>
      <c r="E20" s="182"/>
      <c r="F20" s="182"/>
      <c r="G20" s="182">
        <v>0</v>
      </c>
      <c r="H20" s="313">
        <f t="shared" si="2"/>
        <v>0</v>
      </c>
      <c r="I20" s="337">
        <v>38</v>
      </c>
      <c r="L20" s="179">
        <f t="shared" si="0"/>
        <v>45918</v>
      </c>
      <c r="M20" s="313"/>
      <c r="N20" s="313"/>
      <c r="O20" s="313"/>
      <c r="P20" s="313"/>
      <c r="Q20" s="313"/>
      <c r="R20" s="313"/>
      <c r="S20" s="313"/>
      <c r="T20" s="313">
        <f t="shared" si="4"/>
        <v>0</v>
      </c>
    </row>
    <row r="21" spans="1:20">
      <c r="A21" s="179">
        <v>45919</v>
      </c>
      <c r="B21" s="182"/>
      <c r="C21" s="182"/>
      <c r="D21" s="182"/>
      <c r="E21" s="182"/>
      <c r="F21" s="182"/>
      <c r="G21" s="182">
        <v>0</v>
      </c>
      <c r="H21" s="313">
        <f t="shared" si="2"/>
        <v>0</v>
      </c>
      <c r="I21" s="337"/>
      <c r="L21" s="179">
        <f t="shared" si="0"/>
        <v>45919</v>
      </c>
      <c r="M21" s="313"/>
      <c r="N21" s="313"/>
      <c r="O21" s="313"/>
      <c r="P21" s="313"/>
      <c r="Q21" s="313"/>
      <c r="R21" s="313"/>
      <c r="S21" s="313"/>
      <c r="T21" s="313">
        <f t="shared" si="4"/>
        <v>0</v>
      </c>
    </row>
    <row r="22" spans="1:20">
      <c r="A22" s="179">
        <v>45920</v>
      </c>
      <c r="B22" s="182"/>
      <c r="C22" s="182"/>
      <c r="D22" s="182"/>
      <c r="E22" s="182"/>
      <c r="F22" s="182"/>
      <c r="G22" s="182"/>
      <c r="H22" s="313">
        <f t="shared" si="2"/>
        <v>0</v>
      </c>
      <c r="I22" s="337"/>
      <c r="L22" s="179">
        <f t="shared" si="0"/>
        <v>45920</v>
      </c>
      <c r="M22" s="313"/>
      <c r="N22" s="313"/>
      <c r="O22" s="313"/>
      <c r="P22" s="313"/>
      <c r="Q22" s="313"/>
      <c r="R22" s="313"/>
      <c r="S22" s="313"/>
      <c r="T22" s="313">
        <f t="shared" si="4"/>
        <v>0</v>
      </c>
    </row>
    <row r="23" spans="1:20">
      <c r="A23" s="179">
        <v>45921</v>
      </c>
      <c r="B23" s="182"/>
      <c r="C23" s="182"/>
      <c r="D23" s="182"/>
      <c r="E23" s="182"/>
      <c r="F23" s="182"/>
      <c r="G23" s="182"/>
      <c r="H23" s="313">
        <f t="shared" si="2"/>
        <v>0</v>
      </c>
      <c r="I23" s="337"/>
      <c r="L23" s="179">
        <f t="shared" si="0"/>
        <v>45921</v>
      </c>
      <c r="M23" s="313"/>
      <c r="N23" s="313"/>
      <c r="O23" s="313"/>
      <c r="P23" s="313"/>
      <c r="Q23" s="313"/>
      <c r="R23" s="313"/>
      <c r="S23" s="313"/>
      <c r="T23" s="313">
        <f t="shared" si="4"/>
        <v>0</v>
      </c>
    </row>
    <row r="24" spans="1:20">
      <c r="A24" s="179">
        <v>45922</v>
      </c>
      <c r="B24" s="182"/>
      <c r="C24" s="182"/>
      <c r="D24" s="182"/>
      <c r="E24" s="182"/>
      <c r="F24" s="182"/>
      <c r="G24" s="182"/>
      <c r="H24" s="313">
        <f t="shared" si="2"/>
        <v>0</v>
      </c>
      <c r="I24" s="337"/>
      <c r="L24" s="179">
        <f t="shared" si="0"/>
        <v>45922</v>
      </c>
      <c r="M24" s="313"/>
      <c r="N24" s="313"/>
      <c r="O24" s="313"/>
      <c r="P24" s="313"/>
      <c r="Q24" s="313"/>
      <c r="R24" s="313"/>
      <c r="S24" s="313"/>
      <c r="T24" s="313">
        <f t="shared" ref="T24:T29" si="5">SUM(M24:S24)</f>
        <v>0</v>
      </c>
    </row>
    <row r="25" spans="1:20">
      <c r="A25" s="179">
        <v>45923</v>
      </c>
      <c r="B25" s="182"/>
      <c r="C25" s="182"/>
      <c r="D25" s="182"/>
      <c r="E25" s="182"/>
      <c r="F25" s="182"/>
      <c r="G25" s="182"/>
      <c r="H25" s="313">
        <f t="shared" si="2"/>
        <v>0</v>
      </c>
      <c r="I25" s="337"/>
      <c r="L25" s="179">
        <f t="shared" si="0"/>
        <v>45923</v>
      </c>
      <c r="M25" s="313"/>
      <c r="N25" s="313"/>
      <c r="O25" s="313"/>
      <c r="P25" s="313"/>
      <c r="Q25" s="313"/>
      <c r="R25" s="313"/>
      <c r="S25" s="313"/>
      <c r="T25" s="313">
        <f t="shared" si="5"/>
        <v>0</v>
      </c>
    </row>
    <row r="26" spans="1:20">
      <c r="A26" s="179">
        <v>45924</v>
      </c>
      <c r="B26" s="182"/>
      <c r="C26" s="182"/>
      <c r="D26" s="182"/>
      <c r="E26" s="182"/>
      <c r="F26" s="351"/>
      <c r="G26" s="182"/>
      <c r="H26" s="313">
        <f t="shared" si="2"/>
        <v>0</v>
      </c>
      <c r="I26" s="337">
        <v>25.5</v>
      </c>
      <c r="L26" s="179">
        <f t="shared" si="0"/>
        <v>45924</v>
      </c>
      <c r="M26" s="313"/>
      <c r="N26" s="313"/>
      <c r="O26" s="313"/>
      <c r="P26" s="313"/>
      <c r="Q26" s="313"/>
      <c r="R26" s="313"/>
      <c r="S26" s="313"/>
      <c r="T26" s="313">
        <f t="shared" si="5"/>
        <v>0</v>
      </c>
    </row>
    <row r="27" spans="1:20">
      <c r="A27" s="179">
        <v>45925</v>
      </c>
      <c r="B27" s="182"/>
      <c r="C27" s="182"/>
      <c r="D27" s="182"/>
      <c r="E27" s="182"/>
      <c r="F27" s="182"/>
      <c r="G27" s="182"/>
      <c r="H27" s="313">
        <f t="shared" si="2"/>
        <v>0</v>
      </c>
      <c r="L27" s="179">
        <f t="shared" si="0"/>
        <v>45925</v>
      </c>
      <c r="M27" s="313"/>
      <c r="N27" s="313"/>
      <c r="O27" s="313"/>
      <c r="P27" s="313"/>
      <c r="Q27" s="313"/>
      <c r="R27" s="313"/>
      <c r="S27" s="313"/>
      <c r="T27" s="313">
        <f t="shared" si="5"/>
        <v>0</v>
      </c>
    </row>
    <row r="28" spans="1:20">
      <c r="A28" s="179">
        <v>45926</v>
      </c>
      <c r="B28" s="182"/>
      <c r="C28" s="182"/>
      <c r="D28" s="182"/>
      <c r="E28" s="182"/>
      <c r="F28" s="182"/>
      <c r="G28" s="182"/>
      <c r="H28" s="313">
        <f t="shared" si="2"/>
        <v>0</v>
      </c>
      <c r="L28" s="179">
        <f t="shared" si="0"/>
        <v>45926</v>
      </c>
      <c r="M28" s="313"/>
      <c r="N28" s="313"/>
      <c r="O28" s="313"/>
      <c r="P28" s="313"/>
      <c r="Q28" s="313"/>
      <c r="R28" s="313"/>
      <c r="S28" s="313"/>
      <c r="T28" s="313">
        <f t="shared" si="5"/>
        <v>0</v>
      </c>
    </row>
    <row r="29" spans="1:20">
      <c r="A29" s="179">
        <v>45927</v>
      </c>
      <c r="B29" s="182"/>
      <c r="C29" s="182"/>
      <c r="D29" s="182"/>
      <c r="E29" s="182"/>
      <c r="F29" s="182"/>
      <c r="G29" s="182"/>
      <c r="H29" s="313">
        <f t="shared" si="2"/>
        <v>0</v>
      </c>
      <c r="L29" s="179">
        <f t="shared" si="0"/>
        <v>45927</v>
      </c>
      <c r="M29" s="313"/>
      <c r="N29" s="313"/>
      <c r="O29" s="320"/>
      <c r="P29" s="313"/>
      <c r="Q29" s="313"/>
      <c r="R29" s="313"/>
      <c r="S29" s="313"/>
      <c r="T29" s="313">
        <f t="shared" si="5"/>
        <v>0</v>
      </c>
    </row>
    <row r="30" spans="1:20">
      <c r="A30" s="179">
        <v>45928</v>
      </c>
      <c r="B30" s="182"/>
      <c r="C30" s="182"/>
      <c r="D30" s="182"/>
      <c r="E30" s="182"/>
      <c r="F30" s="182"/>
      <c r="G30" s="182"/>
      <c r="H30" s="313">
        <f t="shared" si="2"/>
        <v>0</v>
      </c>
      <c r="L30" s="179">
        <f t="shared" si="0"/>
        <v>45928</v>
      </c>
      <c r="M30" s="313"/>
      <c r="N30" s="313"/>
      <c r="O30" s="313"/>
      <c r="P30" s="313"/>
      <c r="Q30" s="313"/>
      <c r="R30" s="313"/>
      <c r="S30" s="313"/>
      <c r="T30" s="313">
        <f>SUM(M30:S30)</f>
        <v>0</v>
      </c>
    </row>
    <row r="31" spans="1:20">
      <c r="A31" s="179">
        <v>45929</v>
      </c>
      <c r="B31" s="182"/>
      <c r="C31" s="182"/>
      <c r="D31" s="182"/>
      <c r="E31" s="182"/>
      <c r="F31" s="182"/>
      <c r="G31" s="182"/>
      <c r="H31" s="313">
        <f t="shared" si="2"/>
        <v>0</v>
      </c>
      <c r="L31" s="179">
        <f t="shared" si="0"/>
        <v>45929</v>
      </c>
      <c r="M31" s="313"/>
      <c r="N31" s="313"/>
      <c r="O31" s="313"/>
      <c r="P31" s="313"/>
      <c r="Q31" s="313"/>
      <c r="R31" s="313"/>
      <c r="S31" s="313"/>
      <c r="T31" s="313">
        <f>SUM(M31:S31)</f>
        <v>0</v>
      </c>
    </row>
    <row r="32" spans="1:20">
      <c r="A32" s="179">
        <v>45930</v>
      </c>
      <c r="B32" s="182"/>
      <c r="C32" s="182"/>
      <c r="D32" s="182"/>
      <c r="E32" s="182"/>
      <c r="F32" s="182"/>
      <c r="G32" s="182"/>
      <c r="H32" s="313">
        <f t="shared" si="2"/>
        <v>0</v>
      </c>
      <c r="L32" s="179">
        <f t="shared" si="0"/>
        <v>45930</v>
      </c>
      <c r="M32" s="313"/>
      <c r="N32" s="313"/>
      <c r="O32" s="313"/>
      <c r="P32" s="313"/>
      <c r="Q32" s="313"/>
      <c r="R32" s="313"/>
      <c r="S32" s="313"/>
      <c r="T32" s="313">
        <f>SUM(M32:S32)</f>
        <v>0</v>
      </c>
    </row>
    <row r="33" spans="1:21">
      <c r="A33" s="179">
        <v>45931</v>
      </c>
      <c r="B33" s="182"/>
      <c r="C33" s="182"/>
      <c r="D33" s="182"/>
      <c r="E33" s="182"/>
      <c r="F33" s="182"/>
      <c r="G33" s="182"/>
      <c r="H33" s="313">
        <f t="shared" si="2"/>
        <v>0</v>
      </c>
      <c r="L33" s="179">
        <f t="shared" si="0"/>
        <v>45931</v>
      </c>
      <c r="M33" s="313"/>
      <c r="N33" s="313"/>
      <c r="O33" s="313"/>
      <c r="P33" s="313"/>
      <c r="Q33" s="313"/>
      <c r="R33" s="313"/>
      <c r="S33" s="313"/>
      <c r="T33" s="313">
        <f>SUM(M33:S33)</f>
        <v>0</v>
      </c>
    </row>
    <row r="34" spans="1:21">
      <c r="A34" s="176"/>
      <c r="B34" s="313">
        <f>SUM(B3:B33)</f>
        <v>19977.199999999997</v>
      </c>
      <c r="C34" s="313">
        <f t="shared" ref="C34:G34" si="6">SUM(C3:C33)</f>
        <v>0</v>
      </c>
      <c r="D34" s="313">
        <f t="shared" si="6"/>
        <v>0</v>
      </c>
      <c r="E34" s="313">
        <f t="shared" si="6"/>
        <v>9788.25</v>
      </c>
      <c r="F34" s="313">
        <f t="shared" si="6"/>
        <v>110122.5</v>
      </c>
      <c r="G34" s="313">
        <f t="shared" si="6"/>
        <v>0</v>
      </c>
      <c r="H34" s="313">
        <f>SUM(B34:G34)</f>
        <v>139887.95000000001</v>
      </c>
      <c r="L34" s="176"/>
      <c r="M34" s="313">
        <f>SUM(M3:M33)</f>
        <v>18714</v>
      </c>
      <c r="N34" s="313">
        <f t="shared" ref="N34:S34" si="7">SUM(N3:N33)</f>
        <v>0</v>
      </c>
      <c r="O34" s="313">
        <f t="shared" si="7"/>
        <v>0</v>
      </c>
      <c r="P34" s="313">
        <f t="shared" si="7"/>
        <v>17310</v>
      </c>
      <c r="Q34" s="313">
        <f t="shared" si="7"/>
        <v>25647</v>
      </c>
      <c r="R34" s="313">
        <f t="shared" si="7"/>
        <v>71363</v>
      </c>
      <c r="S34" s="313">
        <f t="shared" si="7"/>
        <v>2862</v>
      </c>
      <c r="T34" s="313">
        <f t="shared" ref="T34" si="8">SUM(T3:T33)</f>
        <v>135896</v>
      </c>
    </row>
    <row r="35" spans="1:21" ht="13">
      <c r="F35" s="338"/>
      <c r="G35" s="338"/>
    </row>
    <row r="36" spans="1:21">
      <c r="A36" s="339">
        <v>30</v>
      </c>
    </row>
    <row r="37" spans="1:21">
      <c r="A37" s="340">
        <v>7</v>
      </c>
    </row>
    <row r="38" spans="1:21">
      <c r="A38" s="6"/>
      <c r="B38" s="341"/>
      <c r="C38" s="341"/>
      <c r="D38" s="341"/>
      <c r="E38" s="341"/>
      <c r="F38" s="341"/>
      <c r="G38" s="341"/>
      <c r="H38" s="341"/>
      <c r="I38" s="341"/>
      <c r="J38" s="6"/>
      <c r="K38" s="6"/>
      <c r="L38" s="341"/>
      <c r="M38" s="341"/>
      <c r="N38" s="341"/>
      <c r="O38" s="341"/>
      <c r="P38" s="341"/>
      <c r="Q38" s="341"/>
      <c r="R38" s="341"/>
      <c r="S38" s="341"/>
      <c r="T38" s="6"/>
      <c r="U38" s="6"/>
    </row>
    <row r="39" spans="1:21" ht="13">
      <c r="A39" s="181">
        <f>sum_MSY!D22-1</f>
        <v>46272.291666666664</v>
      </c>
      <c r="B39" s="314" t="s">
        <v>71</v>
      </c>
      <c r="C39" s="315" t="s">
        <v>110</v>
      </c>
      <c r="D39" s="316" t="s">
        <v>73</v>
      </c>
      <c r="E39" s="317" t="s">
        <v>74</v>
      </c>
      <c r="F39" s="318" t="s">
        <v>75</v>
      </c>
      <c r="G39" s="332" t="s">
        <v>145</v>
      </c>
      <c r="H39" s="319" t="s">
        <v>0</v>
      </c>
      <c r="I39" s="321" t="s">
        <v>116</v>
      </c>
      <c r="J39" s="6"/>
      <c r="K39" s="181">
        <f>A39</f>
        <v>46272.291666666664</v>
      </c>
      <c r="L39" s="314" t="s">
        <v>71</v>
      </c>
      <c r="M39" s="315" t="s">
        <v>110</v>
      </c>
      <c r="N39" s="316" t="s">
        <v>73</v>
      </c>
      <c r="O39" s="317" t="s">
        <v>74</v>
      </c>
      <c r="P39" s="318" t="s">
        <v>75</v>
      </c>
      <c r="Q39" s="318" t="s">
        <v>139</v>
      </c>
      <c r="R39" s="332" t="s">
        <v>145</v>
      </c>
      <c r="S39" s="319" t="s">
        <v>0</v>
      </c>
      <c r="T39" s="321" t="s">
        <v>116</v>
      </c>
      <c r="U39" s="6"/>
    </row>
    <row r="40" spans="1:21" ht="13">
      <c r="A40" s="180" t="s">
        <v>115</v>
      </c>
      <c r="B40" s="351">
        <f>L40</f>
        <v>31520</v>
      </c>
      <c r="C40" s="351">
        <f>M40</f>
        <v>0</v>
      </c>
      <c r="D40" s="351">
        <f t="shared" ref="D40" si="9">N40</f>
        <v>0</v>
      </c>
      <c r="E40" s="351">
        <f>O40</f>
        <v>25866</v>
      </c>
      <c r="F40" s="351">
        <f>P40+Q40</f>
        <v>568114</v>
      </c>
      <c r="G40" s="351">
        <f>R40</f>
        <v>27000</v>
      </c>
      <c r="H40" s="351">
        <f>SUM(B40:G40)</f>
        <v>652500</v>
      </c>
      <c r="I40" s="326">
        <f>H40/30</f>
        <v>21750</v>
      </c>
      <c r="J40" s="6"/>
      <c r="K40" s="180" t="s">
        <v>141</v>
      </c>
      <c r="L40" s="352">
        <v>31520</v>
      </c>
      <c r="M40" s="352"/>
      <c r="N40" s="352"/>
      <c r="O40" s="352">
        <v>25866</v>
      </c>
      <c r="P40" s="352">
        <v>333041</v>
      </c>
      <c r="Q40" s="352">
        <v>235073</v>
      </c>
      <c r="R40" s="352">
        <v>27000</v>
      </c>
      <c r="S40" s="320">
        <f>SUM(L40:R40)</f>
        <v>652500</v>
      </c>
      <c r="T40" s="313">
        <f>S40/30</f>
        <v>21750</v>
      </c>
      <c r="U40" s="6"/>
    </row>
    <row r="41" spans="1:21" ht="13">
      <c r="A41" s="180" t="s">
        <v>112</v>
      </c>
      <c r="B41" s="351">
        <f>B34</f>
        <v>19977.199999999997</v>
      </c>
      <c r="C41" s="351">
        <f t="shared" ref="C41:G41" si="10">C34</f>
        <v>0</v>
      </c>
      <c r="D41" s="351">
        <f t="shared" si="10"/>
        <v>0</v>
      </c>
      <c r="E41" s="351">
        <f t="shared" si="10"/>
        <v>9788.25</v>
      </c>
      <c r="F41" s="351">
        <f t="shared" si="10"/>
        <v>110122.5</v>
      </c>
      <c r="G41" s="351">
        <f t="shared" si="10"/>
        <v>0</v>
      </c>
      <c r="H41" s="351">
        <f>SUM(B41:G41)</f>
        <v>139887.95000000001</v>
      </c>
      <c r="I41" s="326">
        <f>H41/A37</f>
        <v>19983.992857142857</v>
      </c>
      <c r="J41" s="6"/>
      <c r="K41" s="180" t="s">
        <v>112</v>
      </c>
      <c r="L41" s="352">
        <f t="shared" ref="L41:P41" si="11">M34</f>
        <v>18714</v>
      </c>
      <c r="M41" s="352">
        <f t="shared" si="11"/>
        <v>0</v>
      </c>
      <c r="N41" s="352">
        <f t="shared" si="11"/>
        <v>0</v>
      </c>
      <c r="O41" s="352">
        <f t="shared" si="11"/>
        <v>17310</v>
      </c>
      <c r="P41" s="352">
        <f t="shared" si="11"/>
        <v>25647</v>
      </c>
      <c r="Q41" s="352">
        <f>R34</f>
        <v>71363</v>
      </c>
      <c r="R41" s="352">
        <f>S34</f>
        <v>2862</v>
      </c>
      <c r="S41" s="352">
        <f>SUM(L41:R41)</f>
        <v>135896</v>
      </c>
      <c r="T41" s="326">
        <f>S41/A37</f>
        <v>19413.714285714286</v>
      </c>
      <c r="U41" s="6"/>
    </row>
    <row r="42" spans="1:21" ht="13">
      <c r="A42" s="180" t="s">
        <v>113</v>
      </c>
      <c r="B42" s="364">
        <f>B41-B40</f>
        <v>-11542.800000000003</v>
      </c>
      <c r="C42" s="364">
        <f t="shared" ref="C42:G42" si="12">C41-C40</f>
        <v>0</v>
      </c>
      <c r="D42" s="364">
        <f t="shared" si="12"/>
        <v>0</v>
      </c>
      <c r="E42" s="364">
        <f t="shared" si="12"/>
        <v>-16077.75</v>
      </c>
      <c r="F42" s="364">
        <f t="shared" si="12"/>
        <v>-457991.5</v>
      </c>
      <c r="G42" s="392">
        <f t="shared" si="12"/>
        <v>-27000</v>
      </c>
      <c r="H42" s="364">
        <f>H41-H40</f>
        <v>-512612.05</v>
      </c>
      <c r="I42" s="364">
        <f>I41-I40</f>
        <v>-1766.0071428571428</v>
      </c>
      <c r="J42" s="6"/>
      <c r="K42" s="180" t="s">
        <v>113</v>
      </c>
      <c r="L42" s="364">
        <f>L41-L40</f>
        <v>-12806</v>
      </c>
      <c r="M42" s="364">
        <f t="shared" ref="M42:R42" si="13">M41-M40</f>
        <v>0</v>
      </c>
      <c r="N42" s="364">
        <f t="shared" si="13"/>
        <v>0</v>
      </c>
      <c r="O42" s="399">
        <f t="shared" si="13"/>
        <v>-8556</v>
      </c>
      <c r="P42" s="364">
        <f t="shared" si="13"/>
        <v>-307394</v>
      </c>
      <c r="Q42" s="364">
        <f t="shared" si="13"/>
        <v>-163710</v>
      </c>
      <c r="R42" s="364">
        <f t="shared" si="13"/>
        <v>-24138</v>
      </c>
      <c r="S42" s="364">
        <f>S41-S40</f>
        <v>-516604</v>
      </c>
      <c r="T42" s="364">
        <f>T41-T40</f>
        <v>-2336.2857142857138</v>
      </c>
      <c r="U42" s="6"/>
    </row>
    <row r="43" spans="1:21" ht="13.5" thickBot="1">
      <c r="A43" s="330" t="s">
        <v>114</v>
      </c>
      <c r="B43" s="342">
        <f t="shared" ref="B43:F43" si="14">IFERROR(B41/B40,0)</f>
        <v>0.63379441624365473</v>
      </c>
      <c r="C43" s="342">
        <f t="shared" si="14"/>
        <v>0</v>
      </c>
      <c r="D43" s="342">
        <f t="shared" si="14"/>
        <v>0</v>
      </c>
      <c r="E43" s="342">
        <f t="shared" si="14"/>
        <v>0.37842147993504988</v>
      </c>
      <c r="F43" s="342">
        <f t="shared" si="14"/>
        <v>0.19383873659159959</v>
      </c>
      <c r="G43" s="342">
        <f>IFERROR(G41/G40,0)</f>
        <v>0</v>
      </c>
      <c r="H43" s="342">
        <f>H41/H40</f>
        <v>0.21438766283524907</v>
      </c>
      <c r="I43" s="342">
        <f>I41/I40</f>
        <v>0.91880426929392445</v>
      </c>
      <c r="J43" s="6"/>
      <c r="K43" s="180" t="s">
        <v>114</v>
      </c>
      <c r="L43" s="325">
        <f t="shared" ref="L43:M43" si="15">IFERROR(L41/L40,0)</f>
        <v>0.5937182741116751</v>
      </c>
      <c r="M43" s="325">
        <f t="shared" si="15"/>
        <v>0</v>
      </c>
      <c r="N43" s="325">
        <f>IFERROR(N41/N40,0)</f>
        <v>0</v>
      </c>
      <c r="O43" s="325">
        <f t="shared" ref="O43:R43" si="16">IFERROR(O41/O40,0)</f>
        <v>0.66921827882161911</v>
      </c>
      <c r="P43" s="325">
        <f t="shared" si="16"/>
        <v>7.7008536486498663E-2</v>
      </c>
      <c r="Q43" s="325">
        <f t="shared" si="16"/>
        <v>0.30357803746070372</v>
      </c>
      <c r="R43" s="325">
        <f t="shared" si="16"/>
        <v>0.106</v>
      </c>
      <c r="S43" s="325">
        <f>S41/S40</f>
        <v>0.20826973180076627</v>
      </c>
      <c r="T43" s="325">
        <f>T41/T40</f>
        <v>0.89258456486042692</v>
      </c>
      <c r="U43" s="6"/>
    </row>
    <row r="44" spans="1:21" ht="13" hidden="1">
      <c r="A44" s="329" t="s">
        <v>144</v>
      </c>
      <c r="B44" s="348">
        <v>80000</v>
      </c>
      <c r="C44" s="348">
        <v>38500</v>
      </c>
      <c r="D44" s="348">
        <v>5000</v>
      </c>
      <c r="E44" s="348">
        <v>30000</v>
      </c>
      <c r="F44" s="348">
        <v>396500</v>
      </c>
      <c r="G44" s="348" t="s">
        <v>150</v>
      </c>
      <c r="H44" s="343">
        <f>SUM(B44:F44)</f>
        <v>550000</v>
      </c>
      <c r="I44" s="343">
        <f>H44/30</f>
        <v>18333.333333333332</v>
      </c>
      <c r="J44" s="6"/>
    </row>
    <row r="45" spans="1:21" ht="13" hidden="1">
      <c r="A45" s="327" t="s">
        <v>113</v>
      </c>
      <c r="B45" s="349">
        <f>B41-B44</f>
        <v>-60022.8</v>
      </c>
      <c r="C45" s="349">
        <f t="shared" ref="C45:F45" si="17">C41-C44</f>
        <v>-38500</v>
      </c>
      <c r="D45" s="349">
        <f t="shared" si="17"/>
        <v>-5000</v>
      </c>
      <c r="E45" s="349">
        <f t="shared" si="17"/>
        <v>-20211.75</v>
      </c>
      <c r="F45" s="349">
        <f t="shared" si="17"/>
        <v>-286377.5</v>
      </c>
      <c r="G45" s="349"/>
      <c r="H45" s="344">
        <f>SUM(B45:F45)</f>
        <v>-410112.05</v>
      </c>
      <c r="I45" s="344">
        <f>I41-I44</f>
        <v>1650.6595238095251</v>
      </c>
      <c r="J45" s="6"/>
    </row>
    <row r="46" spans="1:21" ht="13" hidden="1">
      <c r="A46" s="327" t="s">
        <v>114</v>
      </c>
      <c r="B46" s="350">
        <f>B41/B44</f>
        <v>0.24971499999999996</v>
      </c>
      <c r="C46" s="345">
        <f t="shared" ref="C46:F46" si="18">C41/C44</f>
        <v>0</v>
      </c>
      <c r="D46" s="345">
        <f t="shared" si="18"/>
        <v>0</v>
      </c>
      <c r="E46" s="345">
        <f t="shared" si="18"/>
        <v>0.32627499999999998</v>
      </c>
      <c r="F46" s="345">
        <f t="shared" si="18"/>
        <v>0.27773644388398488</v>
      </c>
      <c r="G46" s="350"/>
      <c r="H46" s="346">
        <f>H41/H44</f>
        <v>0.2543417272727273</v>
      </c>
      <c r="I46" s="346">
        <f>I41/I44</f>
        <v>1.0900359740259742</v>
      </c>
      <c r="J46" s="6"/>
    </row>
    <row r="47" spans="1:21">
      <c r="A47" s="347" t="s">
        <v>147</v>
      </c>
      <c r="B47" s="328">
        <f t="shared" ref="B47:G48" si="19">B40/$H$40</f>
        <v>4.8306513409961685E-2</v>
      </c>
      <c r="C47" s="328">
        <f t="shared" si="19"/>
        <v>0</v>
      </c>
      <c r="D47" s="328">
        <f t="shared" si="19"/>
        <v>0</v>
      </c>
      <c r="E47" s="328">
        <f t="shared" si="19"/>
        <v>3.9641379310344831E-2</v>
      </c>
      <c r="F47" s="328">
        <f t="shared" si="19"/>
        <v>0.87067279693486588</v>
      </c>
      <c r="G47" s="328">
        <f t="shared" si="19"/>
        <v>4.1379310344827586E-2</v>
      </c>
      <c r="H47" s="341"/>
      <c r="I47" s="341"/>
      <c r="J47" s="6"/>
      <c r="K47" s="347" t="s">
        <v>148</v>
      </c>
      <c r="L47" s="328">
        <f>L40/$S$40</f>
        <v>4.8306513409961685E-2</v>
      </c>
      <c r="M47" s="328">
        <f t="shared" ref="M47:R48" si="20">M40/$S$40</f>
        <v>0</v>
      </c>
      <c r="N47" s="328">
        <f t="shared" si="20"/>
        <v>0</v>
      </c>
      <c r="O47" s="328">
        <f t="shared" si="20"/>
        <v>3.9641379310344831E-2</v>
      </c>
      <c r="P47" s="328">
        <f t="shared" si="20"/>
        <v>0.51040766283524908</v>
      </c>
      <c r="Q47" s="328">
        <f t="shared" si="20"/>
        <v>0.36026513409961686</v>
      </c>
      <c r="R47" s="328">
        <f t="shared" si="20"/>
        <v>4.1379310344827586E-2</v>
      </c>
      <c r="S47" s="6"/>
      <c r="T47" s="6"/>
      <c r="U47" s="6"/>
    </row>
    <row r="48" spans="1:21">
      <c r="A48" s="347" t="s">
        <v>149</v>
      </c>
      <c r="B48" s="328">
        <f>B41/$H$40</f>
        <v>3.0616398467432946E-2</v>
      </c>
      <c r="C48" s="328">
        <f t="shared" si="19"/>
        <v>0</v>
      </c>
      <c r="D48" s="328">
        <f t="shared" si="19"/>
        <v>0</v>
      </c>
      <c r="E48" s="328">
        <f t="shared" si="19"/>
        <v>1.5001149425287356E-2</v>
      </c>
      <c r="F48" s="328">
        <f t="shared" si="19"/>
        <v>0.16877011494252875</v>
      </c>
      <c r="G48" s="328">
        <f t="shared" si="19"/>
        <v>0</v>
      </c>
      <c r="H48" s="341"/>
      <c r="I48" s="341"/>
      <c r="J48" s="6"/>
      <c r="K48" s="347" t="s">
        <v>149</v>
      </c>
      <c r="L48" s="328">
        <f t="shared" ref="L48:N48" si="21">L41/$S$40</f>
        <v>2.8680459770114942E-2</v>
      </c>
      <c r="M48" s="328">
        <f t="shared" si="21"/>
        <v>0</v>
      </c>
      <c r="N48" s="328">
        <f t="shared" si="21"/>
        <v>0</v>
      </c>
      <c r="O48" s="328">
        <f>O41/$S$40</f>
        <v>2.6528735632183907E-2</v>
      </c>
      <c r="P48" s="328">
        <f t="shared" si="20"/>
        <v>3.930574712643678E-2</v>
      </c>
      <c r="Q48" s="328">
        <f t="shared" si="20"/>
        <v>0.10936858237547893</v>
      </c>
      <c r="R48" s="328">
        <f t="shared" si="20"/>
        <v>4.3862068965517245E-3</v>
      </c>
      <c r="S48" s="6"/>
      <c r="T48" s="6"/>
      <c r="U48" s="6"/>
    </row>
    <row r="49" spans="2:21">
      <c r="B49"/>
      <c r="C49"/>
      <c r="D49"/>
      <c r="E49"/>
      <c r="F49"/>
      <c r="G49"/>
      <c r="H49"/>
      <c r="I49"/>
      <c r="J49" s="6"/>
      <c r="S49" s="6"/>
      <c r="T49" s="6"/>
      <c r="U49" s="6"/>
    </row>
    <row r="50" spans="2:21">
      <c r="B50"/>
      <c r="C50"/>
      <c r="D50"/>
      <c r="E50"/>
      <c r="F50"/>
      <c r="G50"/>
      <c r="H50"/>
      <c r="I50"/>
      <c r="J50" s="6"/>
      <c r="S50" s="6"/>
      <c r="T50" s="6"/>
      <c r="U50" s="6"/>
    </row>
    <row r="51" spans="2:21">
      <c r="B51" s="33"/>
      <c r="C51" s="33"/>
      <c r="D51" s="33"/>
      <c r="E51" s="33"/>
      <c r="F51" s="33"/>
      <c r="G51" s="33"/>
      <c r="H51"/>
      <c r="I51"/>
      <c r="J51" s="6"/>
      <c r="S51" s="6"/>
      <c r="T51" s="6"/>
      <c r="U51" s="6"/>
    </row>
    <row r="52" spans="2:21">
      <c r="B52"/>
      <c r="C52"/>
      <c r="D52"/>
      <c r="E52"/>
      <c r="F52"/>
      <c r="G52"/>
      <c r="H52"/>
      <c r="I52"/>
      <c r="J52" s="6"/>
      <c r="S52" s="6"/>
      <c r="T52" s="6"/>
      <c r="U52" s="6"/>
    </row>
    <row r="53" spans="2:21">
      <c r="B53"/>
      <c r="C53"/>
      <c r="D53"/>
      <c r="E53"/>
      <c r="F53"/>
      <c r="G53"/>
      <c r="H53"/>
      <c r="I53"/>
      <c r="J53" s="6"/>
      <c r="S53" s="6"/>
      <c r="T53" s="6"/>
      <c r="U53" s="6"/>
    </row>
    <row r="54" spans="2:21">
      <c r="B54"/>
      <c r="C54"/>
      <c r="D54"/>
      <c r="E54"/>
      <c r="F54"/>
      <c r="G54"/>
      <c r="H54"/>
      <c r="I54"/>
      <c r="J54" s="6"/>
      <c r="S54" s="6"/>
      <c r="T54" s="6"/>
      <c r="U54" s="6"/>
    </row>
    <row r="55" spans="2:21">
      <c r="B55"/>
      <c r="C55"/>
      <c r="D55"/>
      <c r="E55"/>
      <c r="F55"/>
      <c r="G55"/>
      <c r="H55"/>
      <c r="I55"/>
      <c r="J55" s="6"/>
      <c r="S55" s="6"/>
      <c r="T55" s="6"/>
      <c r="U55" s="6"/>
    </row>
    <row r="56" spans="2:21">
      <c r="B56"/>
      <c r="C56"/>
      <c r="D56"/>
      <c r="E56"/>
      <c r="F56"/>
      <c r="G56"/>
      <c r="H56"/>
      <c r="I56"/>
      <c r="J56" s="6"/>
      <c r="S56" s="6"/>
      <c r="T56" s="6"/>
      <c r="U56" s="6"/>
    </row>
    <row r="57" spans="2:21">
      <c r="B57"/>
      <c r="C57"/>
      <c r="D57"/>
      <c r="E57"/>
      <c r="F57"/>
      <c r="G57"/>
      <c r="H57"/>
      <c r="I57"/>
      <c r="J57" s="6"/>
      <c r="S57" s="6"/>
      <c r="T57" s="6"/>
      <c r="U57" s="6"/>
    </row>
    <row r="58" spans="2:21">
      <c r="B58"/>
      <c r="C58"/>
      <c r="D58"/>
      <c r="E58"/>
      <c r="F58"/>
      <c r="G58"/>
      <c r="H58"/>
      <c r="I58"/>
      <c r="J58" s="6"/>
      <c r="S58" s="6"/>
      <c r="T58" s="6"/>
      <c r="U58" s="6"/>
    </row>
    <row r="59" spans="2:21">
      <c r="B59"/>
      <c r="C59"/>
      <c r="D59"/>
      <c r="E59"/>
      <c r="F59"/>
      <c r="G59"/>
      <c r="J59" s="6"/>
      <c r="S59" s="6"/>
      <c r="T59" s="6"/>
      <c r="U59" s="6"/>
    </row>
    <row r="60" spans="2:21">
      <c r="B60"/>
      <c r="C60"/>
      <c r="D60"/>
      <c r="E60"/>
      <c r="F60"/>
      <c r="G60"/>
      <c r="J60" s="6"/>
      <c r="S60" s="6"/>
      <c r="T60" s="6"/>
      <c r="U60" s="6"/>
    </row>
    <row r="61" spans="2:21">
      <c r="B61"/>
      <c r="C61"/>
      <c r="D61"/>
      <c r="E61"/>
      <c r="F61"/>
      <c r="G61"/>
      <c r="J61" s="6"/>
      <c r="S61" s="6"/>
      <c r="T61" s="6"/>
      <c r="U61" s="6"/>
    </row>
    <row r="62" spans="2:21">
      <c r="B62"/>
      <c r="C62"/>
      <c r="D62"/>
      <c r="E62"/>
      <c r="F62"/>
      <c r="G62"/>
      <c r="J62" s="6"/>
      <c r="S62" s="6"/>
      <c r="T62" s="6"/>
      <c r="U62" s="6"/>
    </row>
    <row r="63" spans="2:21">
      <c r="B63"/>
      <c r="C63"/>
      <c r="D63"/>
      <c r="E63"/>
      <c r="J63" s="6"/>
      <c r="S63" s="6"/>
      <c r="T63" s="6"/>
      <c r="U63" s="6"/>
    </row>
    <row r="64" spans="2:21">
      <c r="B64"/>
      <c r="C64"/>
      <c r="D64"/>
      <c r="J64" s="6"/>
      <c r="S64" s="6"/>
      <c r="T64" s="6"/>
      <c r="U64" s="6"/>
    </row>
    <row r="65" spans="1:21">
      <c r="B65"/>
      <c r="C65"/>
      <c r="D65"/>
      <c r="J65" s="6"/>
      <c r="S65" s="6"/>
      <c r="T65" s="6"/>
      <c r="U65" s="6"/>
    </row>
    <row r="66" spans="1:21">
      <c r="B66"/>
      <c r="C66"/>
      <c r="D66"/>
      <c r="J66" s="6"/>
      <c r="S66" s="6"/>
      <c r="T66" s="6"/>
      <c r="U66" s="6"/>
    </row>
    <row r="67" spans="1:21">
      <c r="B67"/>
      <c r="C67"/>
      <c r="J67" s="6"/>
      <c r="S67" s="6"/>
      <c r="T67" s="6"/>
      <c r="U67" s="6"/>
    </row>
    <row r="68" spans="1:21">
      <c r="B68"/>
      <c r="C68"/>
      <c r="J68" s="6"/>
      <c r="S68" s="6"/>
      <c r="T68" s="6"/>
      <c r="U68" s="6"/>
    </row>
    <row r="69" spans="1:21">
      <c r="B69"/>
      <c r="C69"/>
      <c r="J69" s="6"/>
      <c r="S69" s="6"/>
      <c r="T69" s="6"/>
      <c r="U69" s="6"/>
    </row>
    <row r="70" spans="1:21">
      <c r="B70"/>
      <c r="C70"/>
      <c r="J70" s="6"/>
      <c r="S70" s="6"/>
      <c r="T70" s="6"/>
      <c r="U70" s="6"/>
    </row>
    <row r="71" spans="1:21">
      <c r="J71" s="6"/>
      <c r="S71" s="6"/>
      <c r="T71" s="6"/>
      <c r="U71" s="6"/>
    </row>
    <row r="72" spans="1:21">
      <c r="J72" s="6"/>
      <c r="S72" s="6"/>
      <c r="T72" s="6"/>
      <c r="U72" s="6"/>
    </row>
    <row r="73" spans="1:21">
      <c r="J73" s="6"/>
      <c r="S73" s="6"/>
      <c r="T73" s="6"/>
      <c r="U73" s="6"/>
    </row>
    <row r="74" spans="1:21">
      <c r="J74" s="6"/>
      <c r="S74" s="6"/>
      <c r="T74" s="6"/>
      <c r="U74" s="6"/>
    </row>
    <row r="75" spans="1:21">
      <c r="J75" s="6"/>
      <c r="S75" s="6"/>
      <c r="T75" s="6"/>
      <c r="U75" s="6"/>
    </row>
    <row r="76" spans="1:21">
      <c r="J76" s="6"/>
      <c r="S76" s="6"/>
      <c r="T76" s="6"/>
      <c r="U76" s="6"/>
    </row>
    <row r="77" spans="1:21">
      <c r="J77" s="6"/>
      <c r="S77" s="6"/>
      <c r="T77" s="6"/>
      <c r="U77" s="6"/>
    </row>
    <row r="78" spans="1:21">
      <c r="J78" s="6"/>
      <c r="S78" s="6"/>
      <c r="T78" s="6"/>
      <c r="U78" s="6"/>
    </row>
    <row r="79" spans="1:21">
      <c r="A79" s="6"/>
      <c r="B79" s="341"/>
      <c r="C79" s="341"/>
      <c r="D79" s="341"/>
      <c r="E79" s="341"/>
      <c r="F79" s="341"/>
      <c r="G79" s="341"/>
      <c r="H79" s="341"/>
      <c r="I79" s="341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</row>
    <row r="80" spans="1:21">
      <c r="A80" s="6"/>
      <c r="B80" s="341"/>
      <c r="C80" s="341"/>
      <c r="D80" s="341"/>
      <c r="E80" s="341"/>
      <c r="F80" s="341"/>
      <c r="G80" s="341"/>
      <c r="H80" s="341"/>
      <c r="I80" s="341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</row>
    <row r="81" spans="1:21">
      <c r="A81" s="6"/>
      <c r="B81" s="341"/>
      <c r="C81" s="341"/>
      <c r="D81" s="341"/>
      <c r="E81" s="341"/>
      <c r="F81" s="341"/>
      <c r="G81" s="341"/>
      <c r="H81" s="341"/>
      <c r="I81" s="341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</row>
    <row r="82" spans="1:21">
      <c r="A82" s="6"/>
      <c r="B82" s="341"/>
      <c r="C82" s="341"/>
      <c r="D82" s="341"/>
      <c r="E82" s="341"/>
      <c r="F82" s="341"/>
      <c r="G82" s="341"/>
      <c r="H82" s="341"/>
      <c r="I82" s="341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</row>
    <row r="83" spans="1:21">
      <c r="A83" s="6"/>
      <c r="B83" s="341"/>
      <c r="C83" s="341"/>
      <c r="D83" s="341"/>
      <c r="E83" s="341"/>
      <c r="F83" s="341"/>
      <c r="G83" s="341"/>
      <c r="H83" s="341"/>
      <c r="I83" s="341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</row>
    <row r="84" spans="1:21">
      <c r="A84" s="6"/>
      <c r="B84" s="341"/>
      <c r="C84" s="341"/>
      <c r="D84" s="341"/>
      <c r="E84" s="341"/>
      <c r="F84" s="341"/>
      <c r="G84" s="341"/>
      <c r="H84" s="341"/>
      <c r="I84" s="341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</row>
    <row r="85" spans="1:21">
      <c r="A85" s="6"/>
      <c r="B85" s="341"/>
      <c r="C85" s="341"/>
      <c r="D85" s="341"/>
      <c r="E85" s="341"/>
      <c r="F85" s="341"/>
      <c r="G85" s="341"/>
      <c r="H85" s="341"/>
      <c r="I85" s="341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</row>
    <row r="86" spans="1:21">
      <c r="S86" s="6"/>
      <c r="T86" s="6"/>
      <c r="U86" s="6"/>
    </row>
  </sheetData>
  <pageMargins left="0.7" right="0.7" top="0.75" bottom="0.75" header="0.3" footer="0.3"/>
  <ignoredErrors>
    <ignoredError sqref="G43 N43" formula="1"/>
  </ignoredErrors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5:J11"/>
  <sheetViews>
    <sheetView workbookViewId="0"/>
  </sheetViews>
  <sheetFormatPr defaultColWidth="9.1796875" defaultRowHeight="12.5"/>
  <cols>
    <col min="1" max="1" width="11.7265625" style="6" bestFit="1" customWidth="1"/>
    <col min="2" max="3" width="9.1796875" style="92"/>
    <col min="4" max="4" width="12.54296875" style="92" customWidth="1"/>
    <col min="5" max="5" width="11.26953125" style="92" customWidth="1"/>
    <col min="6" max="6" width="10.1796875" style="91" bestFit="1" customWidth="1"/>
    <col min="7" max="7" width="9.1796875" style="91"/>
    <col min="8" max="8" width="10.1796875" style="91" bestFit="1" customWidth="1"/>
    <col min="9" max="9" width="8.1796875" style="79" bestFit="1" customWidth="1"/>
    <col min="10" max="10" width="12.54296875" style="93" customWidth="1"/>
    <col min="11" max="16384" width="9.1796875" style="6"/>
  </cols>
  <sheetData>
    <row r="5" spans="2:9">
      <c r="B5" s="91"/>
      <c r="F5" s="92"/>
    </row>
    <row r="6" spans="2:9">
      <c r="B6" s="91"/>
      <c r="F6" s="92"/>
    </row>
    <row r="7" spans="2:9">
      <c r="B7" s="91"/>
      <c r="F7" s="92"/>
    </row>
    <row r="8" spans="2:9">
      <c r="B8" s="93"/>
    </row>
    <row r="9" spans="2:9">
      <c r="B9" s="91"/>
      <c r="F9" s="92"/>
      <c r="I9" s="91"/>
    </row>
    <row r="10" spans="2:9">
      <c r="B10" s="91"/>
    </row>
    <row r="11" spans="2:9">
      <c r="B11" s="91"/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236AB-BE71-4481-B4D7-C9A35020BED7}">
  <sheetPr codeName="Sheet3"/>
  <dimension ref="A5:L19"/>
  <sheetViews>
    <sheetView zoomScale="70" zoomScaleNormal="70" workbookViewId="0"/>
  </sheetViews>
  <sheetFormatPr defaultRowHeight="12.5"/>
  <cols>
    <col min="1" max="1" width="8.7265625" style="33"/>
    <col min="2" max="2" width="10.453125" style="33" bestFit="1" customWidth="1"/>
    <col min="3" max="6" width="8.81640625" style="33" bestFit="1" customWidth="1"/>
    <col min="7" max="7" width="18" style="33" bestFit="1" customWidth="1"/>
    <col min="8" max="9" width="9.453125" style="33" bestFit="1" customWidth="1"/>
    <col min="10" max="11" width="8.7265625" style="33"/>
    <col min="12" max="12" width="10.453125" style="33" bestFit="1" customWidth="1"/>
    <col min="13" max="16" width="8.7265625" style="33"/>
    <col min="17" max="19" width="9.453125" style="33" bestFit="1" customWidth="1"/>
    <col min="20" max="16384" width="8.7265625" style="33"/>
  </cols>
  <sheetData>
    <row r="5" spans="1:12">
      <c r="G5" s="33">
        <v>2667.55</v>
      </c>
      <c r="H5" s="33">
        <v>12.709324582517064</v>
      </c>
      <c r="I5" s="33">
        <v>10.831742483087829</v>
      </c>
      <c r="J5" s="33">
        <v>3.5511282984531385</v>
      </c>
      <c r="K5" s="33">
        <v>1.9754049135577796</v>
      </c>
      <c r="L5" s="33">
        <v>6168.946342230086</v>
      </c>
    </row>
    <row r="6" spans="1:12">
      <c r="G6" s="33">
        <v>17994.199999999997</v>
      </c>
      <c r="H6" s="33">
        <v>13.138836310397568</v>
      </c>
      <c r="I6" s="33">
        <v>11.022257888195538</v>
      </c>
      <c r="J6" s="33">
        <v>6.1549351400191918</v>
      </c>
      <c r="K6" s="33">
        <v>2.5649763868566211</v>
      </c>
      <c r="L6" s="33">
        <v>6209.0594575161394</v>
      </c>
    </row>
    <row r="7" spans="1:12">
      <c r="G7" s="33">
        <f>2827.45+3570</f>
        <v>6397.45</v>
      </c>
      <c r="H7" s="33">
        <v>12.709324582517064</v>
      </c>
      <c r="I7" s="33">
        <v>10.831742483087829</v>
      </c>
      <c r="J7" s="33">
        <v>3.5511282984531385</v>
      </c>
      <c r="K7" s="33">
        <v>1.9754049135577796</v>
      </c>
      <c r="L7" s="33">
        <v>6168.946342230086</v>
      </c>
    </row>
    <row r="8" spans="1:12">
      <c r="G8" s="33">
        <f>3241.85+5660</f>
        <v>8901.85</v>
      </c>
      <c r="H8" s="33">
        <v>13.220606605257245</v>
      </c>
      <c r="I8" s="33">
        <v>10.65594023814873</v>
      </c>
      <c r="J8" s="33">
        <v>5.2503482363513818</v>
      </c>
      <c r="K8" s="33">
        <v>2.1291754661873736</v>
      </c>
      <c r="L8" s="33">
        <v>6296.5185351606378</v>
      </c>
    </row>
    <row r="9" spans="1:12">
      <c r="H9" s="33">
        <f>SUMPRODUCT(H5:H8,$G$5:$G$8)/SUM($G$5:$G$8)</f>
        <v>13.050807264695619</v>
      </c>
      <c r="I9" s="33">
        <f t="shared" ref="I9:L9" si="0">SUMPRODUCT(I5:I8,$G$5:$G$8)/SUM($G$5:$G$8)</f>
        <v>10.883554293045492</v>
      </c>
      <c r="J9" s="33">
        <f t="shared" si="0"/>
        <v>5.2746492210259603</v>
      </c>
      <c r="K9" s="33">
        <f t="shared" si="0"/>
        <v>2.3084794316477621</v>
      </c>
      <c r="L9" s="33">
        <f t="shared" si="0"/>
        <v>6220.5975577735462</v>
      </c>
    </row>
    <row r="10" spans="1:12">
      <c r="G10" s="369"/>
    </row>
    <row r="13" spans="1:12">
      <c r="A13" s="183"/>
    </row>
    <row r="14" spans="1:12">
      <c r="A14" s="183"/>
      <c r="K14" s="183"/>
    </row>
    <row r="19" spans="7:7">
      <c r="G19" s="18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3:E16"/>
  <sheetViews>
    <sheetView workbookViewId="0">
      <selection activeCell="E8" sqref="E8"/>
    </sheetView>
  </sheetViews>
  <sheetFormatPr defaultColWidth="9.1796875" defaultRowHeight="12.5"/>
  <cols>
    <col min="1" max="1" width="9.1796875" style="6"/>
    <col min="2" max="2" width="17" style="6" customWidth="1"/>
    <col min="3" max="3" width="12.54296875" style="6" bestFit="1" customWidth="1"/>
    <col min="4" max="16384" width="9.1796875" style="6"/>
  </cols>
  <sheetData>
    <row r="3" spans="2:5" ht="13">
      <c r="B3" s="81" t="s">
        <v>65</v>
      </c>
      <c r="C3" s="81"/>
      <c r="D3" s="81"/>
      <c r="E3" s="81"/>
    </row>
    <row r="4" spans="2:5">
      <c r="B4" s="32" t="s">
        <v>64</v>
      </c>
      <c r="C4" s="79">
        <v>3338</v>
      </c>
    </row>
    <row r="5" spans="2:5">
      <c r="B5" s="32" t="s">
        <v>66</v>
      </c>
      <c r="C5" s="79">
        <v>27594</v>
      </c>
    </row>
    <row r="6" spans="2:5">
      <c r="B6" s="32" t="s">
        <v>2</v>
      </c>
      <c r="C6" s="79">
        <v>3872</v>
      </c>
    </row>
    <row r="7" spans="2:5">
      <c r="B7" s="32" t="s">
        <v>63</v>
      </c>
      <c r="C7" s="79">
        <v>8020</v>
      </c>
    </row>
    <row r="8" spans="2:5">
      <c r="B8" s="32" t="s">
        <v>67</v>
      </c>
      <c r="C8" s="82">
        <v>5721</v>
      </c>
    </row>
    <row r="9" spans="2:5">
      <c r="B9" s="32"/>
      <c r="C9" s="82"/>
    </row>
    <row r="10" spans="2:5">
      <c r="B10" s="32"/>
      <c r="C10" s="79"/>
    </row>
    <row r="11" spans="2:5" ht="13">
      <c r="C11" s="80">
        <f>SUM(C4:C10)</f>
        <v>48545</v>
      </c>
    </row>
    <row r="12" spans="2:5">
      <c r="C12" s="79"/>
    </row>
    <row r="13" spans="2:5">
      <c r="C13" s="79"/>
    </row>
    <row r="14" spans="2:5">
      <c r="C14" s="79"/>
    </row>
    <row r="15" spans="2:5">
      <c r="C15" s="79"/>
    </row>
    <row r="16" spans="2:5">
      <c r="C16" s="79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B3:D18"/>
  <sheetViews>
    <sheetView zoomScale="80" zoomScaleNormal="80" workbookViewId="0">
      <selection activeCell="D18" sqref="D18"/>
    </sheetView>
  </sheetViews>
  <sheetFormatPr defaultRowHeight="12.5"/>
  <cols>
    <col min="3" max="3" width="11.26953125" bestFit="1" customWidth="1"/>
    <col min="4" max="4" width="10.7265625" bestFit="1" customWidth="1"/>
  </cols>
  <sheetData>
    <row r="3" spans="2:4">
      <c r="B3" s="88">
        <v>-1</v>
      </c>
      <c r="C3" s="88">
        <v>13250</v>
      </c>
      <c r="D3" s="89">
        <f>C3*$B$3</f>
        <v>-13250</v>
      </c>
    </row>
    <row r="4" spans="2:4">
      <c r="C4" s="88">
        <v>11500</v>
      </c>
      <c r="D4" s="89">
        <f t="shared" ref="D4:D18" si="0">C4*$B$3</f>
        <v>-11500</v>
      </c>
    </row>
    <row r="5" spans="2:4">
      <c r="C5" s="88">
        <v>13000</v>
      </c>
      <c r="D5" s="89">
        <f t="shared" si="0"/>
        <v>-13000</v>
      </c>
    </row>
    <row r="6" spans="2:4">
      <c r="C6" s="88">
        <v>9500</v>
      </c>
      <c r="D6" s="89">
        <f t="shared" si="0"/>
        <v>-9500</v>
      </c>
    </row>
    <row r="7" spans="2:4">
      <c r="C7" s="88">
        <v>8500</v>
      </c>
      <c r="D7" s="89">
        <f t="shared" si="0"/>
        <v>-8500</v>
      </c>
    </row>
    <row r="8" spans="2:4">
      <c r="C8" s="88">
        <v>9000</v>
      </c>
      <c r="D8" s="89">
        <f t="shared" si="0"/>
        <v>-9000</v>
      </c>
    </row>
    <row r="9" spans="2:4">
      <c r="C9" s="88">
        <v>9750</v>
      </c>
      <c r="D9" s="89">
        <f t="shared" si="0"/>
        <v>-9750</v>
      </c>
    </row>
    <row r="10" spans="2:4">
      <c r="C10" s="88">
        <v>25000</v>
      </c>
      <c r="D10" s="89">
        <f t="shared" si="0"/>
        <v>-25000</v>
      </c>
    </row>
    <row r="11" spans="2:4">
      <c r="C11" s="88">
        <v>8700</v>
      </c>
      <c r="D11" s="89">
        <f t="shared" si="0"/>
        <v>-8700</v>
      </c>
    </row>
    <row r="12" spans="2:4">
      <c r="C12" s="88">
        <v>15000</v>
      </c>
      <c r="D12" s="89">
        <f t="shared" si="0"/>
        <v>-15000</v>
      </c>
    </row>
    <row r="13" spans="2:4">
      <c r="C13" s="88">
        <v>9500</v>
      </c>
      <c r="D13" s="89">
        <f t="shared" si="0"/>
        <v>-9500</v>
      </c>
    </row>
    <row r="14" spans="2:4">
      <c r="C14" s="88">
        <v>10000</v>
      </c>
      <c r="D14" s="89">
        <f t="shared" si="0"/>
        <v>-10000</v>
      </c>
    </row>
    <row r="15" spans="2:4">
      <c r="C15" s="88">
        <v>7500</v>
      </c>
      <c r="D15" s="89">
        <f t="shared" si="0"/>
        <v>-7500</v>
      </c>
    </row>
    <row r="16" spans="2:4">
      <c r="C16" s="88">
        <v>10000</v>
      </c>
      <c r="D16" s="89">
        <f t="shared" si="0"/>
        <v>-10000</v>
      </c>
    </row>
    <row r="17" spans="3:4">
      <c r="C17" s="88">
        <v>13500</v>
      </c>
      <c r="D17" s="89">
        <f t="shared" si="0"/>
        <v>-13500</v>
      </c>
    </row>
    <row r="18" spans="3:4">
      <c r="C18" s="88">
        <v>14000</v>
      </c>
      <c r="D18" s="89">
        <f t="shared" si="0"/>
        <v>-14000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26cc4ce3-5863-44e3-815a-1a73a089bf3b}" enabled="1" method="Standard" siteId="{bbb8da8f-f374-490f-9190-2242176e117c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26</vt:i4>
      </vt:variant>
    </vt:vector>
  </HeadingPairs>
  <TitlesOfParts>
    <vt:vector size="33" baseType="lpstr">
      <vt:lpstr>sum_PSY</vt:lpstr>
      <vt:lpstr>sum_MSY</vt:lpstr>
      <vt:lpstr>summary production RTH IMM</vt:lpstr>
      <vt:lpstr>Sheet1</vt:lpstr>
      <vt:lpstr>Sheet3</vt:lpstr>
      <vt:lpstr>in vessel</vt:lpstr>
      <vt:lpstr>Sheet2</vt:lpstr>
      <vt:lpstr>sum_MSY!_DATE</vt:lpstr>
      <vt:lpstr>_DATE</vt:lpstr>
      <vt:lpstr>MEASTHITS</vt:lpstr>
      <vt:lpstr>MEASTMHITS</vt:lpstr>
      <vt:lpstr>MMHITS</vt:lpstr>
      <vt:lpstr>MSYINV</vt:lpstr>
      <vt:lpstr>MTDMHCV</vt:lpstr>
      <vt:lpstr>MTOTAL</vt:lpstr>
      <vt:lpstr>MWASH</vt:lpstr>
      <vt:lpstr>MWESTHITS</vt:lpstr>
      <vt:lpstr>MWESTLOTS</vt:lpstr>
      <vt:lpstr>PASS</vt:lpstr>
      <vt:lpstr>PASS1</vt:lpstr>
      <vt:lpstr>PEASTHITS</vt:lpstr>
      <vt:lpstr>PEMB</vt:lpstr>
      <vt:lpstr>PJBG</vt:lpstr>
      <vt:lpstr>PMEASTHITS</vt:lpstr>
      <vt:lpstr>sum_MSY!Print_Area</vt:lpstr>
      <vt:lpstr>sum_PSY!Print_Area</vt:lpstr>
      <vt:lpstr>PSYINV2</vt:lpstr>
      <vt:lpstr>PTCMHCVHITS</vt:lpstr>
      <vt:lpstr>PTCMHCVLOTS</vt:lpstr>
      <vt:lpstr>PTCMLCVLOTS</vt:lpstr>
      <vt:lpstr>PTDMHCV</vt:lpstr>
      <vt:lpstr>PTOTAL</vt:lpstr>
      <vt:lpstr>PWESTLOTS</vt:lpstr>
    </vt:vector>
  </TitlesOfParts>
  <Company>banpuindo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leonardo_f</dc:creator>
  <cp:lastModifiedBy>Andreas Maruli Pakpahan</cp:lastModifiedBy>
  <cp:lastPrinted>2013-09-19T06:30:03Z</cp:lastPrinted>
  <dcterms:created xsi:type="dcterms:W3CDTF">2009-09-08T03:05:08Z</dcterms:created>
  <dcterms:modified xsi:type="dcterms:W3CDTF">2026-09-08T03:13:59Z</dcterms:modified>
</cp:coreProperties>
</file>