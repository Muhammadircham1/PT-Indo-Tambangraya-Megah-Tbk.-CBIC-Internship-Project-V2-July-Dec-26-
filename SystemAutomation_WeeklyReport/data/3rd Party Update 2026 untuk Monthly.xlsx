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3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pugroup-my.sharepoint.com/personal/landung_yudanto_banpuindo_co_id/Documents/05. Performance Review/"/>
    </mc:Choice>
  </mc:AlternateContent>
  <xr:revisionPtr revIDLastSave="4645" documentId="8_{1B2C0085-E209-476F-A60D-ED588291584D}" xr6:coauthVersionLast="47" xr6:coauthVersionMax="47" xr10:uidLastSave="{ECF2BE78-F058-4EBE-A307-20D347DF2F65}"/>
  <bookViews>
    <workbookView xWindow="-108" yWindow="-108" windowWidth="23256" windowHeight="13896" firstSheet="13" activeTab="13" xr2:uid="{B36AE761-97DE-4DD3-B761-0FFDA685F7CC}"/>
  </bookViews>
  <sheets>
    <sheet name="JAN" sheetId="8" r:id="rId1"/>
    <sheet name="FEB" sheetId="11" r:id="rId2"/>
    <sheet name="MAR" sheetId="12" r:id="rId3"/>
    <sheet name="APR" sheetId="13" r:id="rId4"/>
    <sheet name="MAY" sheetId="14" r:id="rId5"/>
    <sheet name="JUN" sheetId="16" r:id="rId6"/>
    <sheet name="JUL" sheetId="19" r:id="rId7"/>
    <sheet name="AUG" sheetId="18" r:id="rId8"/>
    <sheet name="SEP" sheetId="17" r:id="rId9"/>
    <sheet name="OCT" sheetId="15" r:id="rId10"/>
    <sheet name="NOV" sheetId="20" r:id="rId11"/>
    <sheet name="DEC" sheetId="21" r:id="rId12"/>
    <sheet name="Chart" sheetId="2" r:id="rId13"/>
    <sheet name="YTD" sheetId="9" r:id="rId14"/>
    <sheet name="Sheet1" sheetId="10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6" l="1"/>
  <c r="K11" i="16"/>
  <c r="L19" i="16"/>
  <c r="M19" i="16"/>
  <c r="N19" i="16"/>
  <c r="K19" i="16"/>
  <c r="L15" i="16"/>
  <c r="M15" i="16"/>
  <c r="N15" i="16"/>
  <c r="K15" i="16"/>
  <c r="L14" i="16"/>
  <c r="M14" i="16"/>
  <c r="N14" i="16"/>
  <c r="K14" i="16"/>
  <c r="D25" i="14"/>
  <c r="G27" i="14"/>
  <c r="L14" i="14"/>
  <c r="M14" i="14"/>
  <c r="N14" i="14"/>
  <c r="K14" i="14"/>
  <c r="L13" i="14"/>
  <c r="M13" i="14"/>
  <c r="N13" i="14"/>
  <c r="K13" i="14"/>
  <c r="N23" i="14"/>
  <c r="L8" i="9"/>
  <c r="L10" i="9"/>
  <c r="L11" i="9"/>
  <c r="L12" i="9"/>
  <c r="L13" i="9"/>
  <c r="L14" i="9"/>
  <c r="L19" i="9"/>
  <c r="L21" i="9"/>
  <c r="L25" i="9"/>
  <c r="F17" i="14"/>
  <c r="L19" i="14"/>
  <c r="M19" i="14"/>
  <c r="N19" i="14"/>
  <c r="K19" i="14"/>
  <c r="H27" i="13"/>
  <c r="K11" i="13"/>
  <c r="N13" i="13"/>
  <c r="M13" i="13"/>
  <c r="L13" i="13"/>
  <c r="K13" i="13"/>
  <c r="K19" i="13"/>
  <c r="J7" i="9" l="1"/>
  <c r="J8" i="9"/>
  <c r="J13" i="9"/>
  <c r="J14" i="9"/>
  <c r="J15" i="9"/>
  <c r="J19" i="9"/>
  <c r="J21" i="9"/>
  <c r="D24" i="13"/>
  <c r="E24" i="13"/>
  <c r="L22" i="13"/>
  <c r="M22" i="13"/>
  <c r="N22" i="13"/>
  <c r="K22" i="13"/>
  <c r="L19" i="13"/>
  <c r="M19" i="13"/>
  <c r="N19" i="13"/>
  <c r="I28" i="12"/>
  <c r="N13" i="12"/>
  <c r="M13" i="12"/>
  <c r="L13" i="12"/>
  <c r="K13" i="12"/>
  <c r="L19" i="12" l="1"/>
  <c r="M19" i="12"/>
  <c r="N19" i="12"/>
  <c r="K11" i="12"/>
  <c r="H9" i="9"/>
  <c r="H25" i="9"/>
  <c r="H7" i="9"/>
  <c r="H8" i="9"/>
  <c r="H10" i="9"/>
  <c r="H11" i="9"/>
  <c r="H12" i="9"/>
  <c r="H13" i="9"/>
  <c r="H14" i="9"/>
  <c r="H15" i="9"/>
  <c r="H19" i="9"/>
  <c r="H21" i="9"/>
  <c r="H24" i="9"/>
  <c r="H5" i="9"/>
  <c r="E24" i="12"/>
  <c r="D24" i="12"/>
  <c r="F24" i="12"/>
  <c r="H24" i="12" s="1"/>
  <c r="K19" i="12"/>
  <c r="K22" i="12"/>
  <c r="C10" i="11"/>
  <c r="K21" i="11"/>
  <c r="K12" i="11" l="1"/>
  <c r="K11" i="11"/>
  <c r="F9" i="11"/>
  <c r="H28" i="11" l="1"/>
  <c r="N13" i="11"/>
  <c r="M13" i="11"/>
  <c r="L13" i="11"/>
  <c r="K13" i="11"/>
  <c r="N19" i="11"/>
  <c r="M19" i="11"/>
  <c r="L19" i="11"/>
  <c r="K19" i="11"/>
  <c r="E24" i="11" l="1"/>
  <c r="D24" i="11"/>
  <c r="N13" i="8" l="1"/>
  <c r="M13" i="8"/>
  <c r="L13" i="8"/>
  <c r="K13" i="8"/>
  <c r="F28" i="21"/>
  <c r="N13" i="21"/>
  <c r="M13" i="21"/>
  <c r="L13" i="21"/>
  <c r="K13" i="21"/>
  <c r="F24" i="21" l="1"/>
  <c r="E24" i="21"/>
  <c r="D24" i="21"/>
  <c r="C24" i="21"/>
  <c r="F26" i="21" l="1"/>
  <c r="F28" i="20"/>
  <c r="F24" i="20" l="1"/>
  <c r="F26" i="20" s="1"/>
  <c r="E24" i="20"/>
  <c r="D24" i="20"/>
  <c r="C24" i="20"/>
  <c r="F24" i="15" l="1"/>
  <c r="C26" i="15" s="1"/>
  <c r="N14" i="15"/>
  <c r="M14" i="15"/>
  <c r="L14" i="15"/>
  <c r="K14" i="15"/>
  <c r="M13" i="15"/>
  <c r="L13" i="15"/>
  <c r="K13" i="15"/>
  <c r="E24" i="15"/>
  <c r="D24" i="15"/>
  <c r="C24" i="15"/>
  <c r="F24" i="18" l="1"/>
  <c r="E24" i="18"/>
  <c r="D24" i="18"/>
  <c r="C24" i="18" l="1"/>
  <c r="F26" i="18" s="1"/>
  <c r="H26" i="18" l="1"/>
  <c r="G27" i="19"/>
  <c r="F24" i="19" l="1"/>
  <c r="F25" i="19" s="1"/>
  <c r="E24" i="19"/>
  <c r="D24" i="19"/>
  <c r="C24" i="19"/>
  <c r="D27" i="16" l="1"/>
  <c r="F24" i="16" l="1"/>
  <c r="E24" i="16" l="1"/>
  <c r="D24" i="16"/>
  <c r="C24" i="16"/>
  <c r="F25" i="16" s="1"/>
  <c r="G20" i="14" l="1"/>
  <c r="E24" i="14" l="1"/>
  <c r="D24" i="14"/>
  <c r="F24" i="14" l="1"/>
  <c r="C24" i="14"/>
  <c r="G26" i="13" l="1"/>
  <c r="F24" i="13"/>
  <c r="D25" i="13" s="1"/>
  <c r="C24" i="13"/>
  <c r="C24" i="12" l="1"/>
  <c r="F24" i="11" l="1"/>
  <c r="C24" i="11"/>
  <c r="H24" i="11" l="1"/>
  <c r="D25" i="8"/>
  <c r="E25" i="8"/>
  <c r="F25" i="8"/>
  <c r="C25" i="8"/>
  <c r="F26" i="8" l="1"/>
  <c r="N23" i="21"/>
  <c r="M23" i="21"/>
  <c r="L23" i="21"/>
  <c r="K23" i="21"/>
  <c r="N22" i="21"/>
  <c r="M22" i="21"/>
  <c r="L22" i="21"/>
  <c r="K22" i="21"/>
  <c r="N21" i="21"/>
  <c r="M21" i="21"/>
  <c r="L21" i="21"/>
  <c r="K21" i="21"/>
  <c r="N20" i="21"/>
  <c r="M20" i="21"/>
  <c r="L20" i="21"/>
  <c r="K20" i="21"/>
  <c r="N19" i="21"/>
  <c r="M19" i="21"/>
  <c r="L19" i="21"/>
  <c r="K19" i="21"/>
  <c r="N18" i="21"/>
  <c r="M18" i="21"/>
  <c r="L18" i="21"/>
  <c r="K18" i="21"/>
  <c r="N17" i="21"/>
  <c r="M17" i="21"/>
  <c r="L17" i="21"/>
  <c r="K17" i="21"/>
  <c r="N16" i="21"/>
  <c r="M16" i="21"/>
  <c r="L16" i="21"/>
  <c r="K16" i="21"/>
  <c r="N15" i="21"/>
  <c r="M15" i="21"/>
  <c r="L15" i="21"/>
  <c r="K15" i="21"/>
  <c r="N14" i="21"/>
  <c r="M14" i="21"/>
  <c r="L14" i="21"/>
  <c r="K14" i="21"/>
  <c r="N12" i="21"/>
  <c r="M12" i="21"/>
  <c r="L12" i="21"/>
  <c r="K12" i="21"/>
  <c r="N11" i="21"/>
  <c r="M11" i="21"/>
  <c r="L11" i="21"/>
  <c r="K11" i="21"/>
  <c r="N10" i="21"/>
  <c r="M10" i="21"/>
  <c r="L10" i="21"/>
  <c r="K10" i="21"/>
  <c r="N9" i="21"/>
  <c r="M9" i="21"/>
  <c r="L9" i="21"/>
  <c r="K9" i="21"/>
  <c r="N8" i="21"/>
  <c r="M8" i="21"/>
  <c r="L8" i="21"/>
  <c r="K8" i="21"/>
  <c r="N7" i="21"/>
  <c r="M7" i="21"/>
  <c r="L7" i="21"/>
  <c r="K7" i="21"/>
  <c r="N6" i="21"/>
  <c r="M6" i="21"/>
  <c r="L6" i="21"/>
  <c r="K6" i="21"/>
  <c r="N5" i="21"/>
  <c r="M5" i="21"/>
  <c r="L5" i="21"/>
  <c r="K5" i="21"/>
  <c r="N4" i="21"/>
  <c r="M4" i="21"/>
  <c r="L4" i="21"/>
  <c r="K4" i="21"/>
  <c r="N3" i="21"/>
  <c r="M3" i="21"/>
  <c r="L3" i="21"/>
  <c r="K3" i="21"/>
  <c r="N23" i="20"/>
  <c r="M23" i="20"/>
  <c r="L23" i="20"/>
  <c r="K23" i="20"/>
  <c r="N22" i="20"/>
  <c r="M22" i="20"/>
  <c r="L22" i="20"/>
  <c r="K22" i="20"/>
  <c r="N21" i="20"/>
  <c r="M21" i="20"/>
  <c r="L21" i="20"/>
  <c r="K21" i="20"/>
  <c r="N20" i="20"/>
  <c r="M20" i="20"/>
  <c r="L20" i="20"/>
  <c r="K20" i="20"/>
  <c r="N19" i="20"/>
  <c r="M19" i="20"/>
  <c r="L19" i="20"/>
  <c r="K19" i="20"/>
  <c r="N18" i="20"/>
  <c r="M18" i="20"/>
  <c r="L18" i="20"/>
  <c r="K18" i="20"/>
  <c r="N17" i="20"/>
  <c r="M17" i="20"/>
  <c r="L17" i="20"/>
  <c r="K17" i="20"/>
  <c r="N16" i="20"/>
  <c r="M16" i="20"/>
  <c r="L16" i="20"/>
  <c r="K16" i="20"/>
  <c r="N15" i="20"/>
  <c r="M15" i="20"/>
  <c r="L15" i="20"/>
  <c r="K15" i="20"/>
  <c r="N14" i="20"/>
  <c r="M14" i="20"/>
  <c r="L14" i="20"/>
  <c r="K14" i="20"/>
  <c r="N13" i="20"/>
  <c r="M13" i="20"/>
  <c r="L13" i="20"/>
  <c r="K13" i="20"/>
  <c r="N12" i="20"/>
  <c r="M12" i="20"/>
  <c r="L12" i="20"/>
  <c r="K12" i="20"/>
  <c r="N11" i="20"/>
  <c r="M11" i="20"/>
  <c r="L11" i="20"/>
  <c r="K11" i="20"/>
  <c r="N10" i="20"/>
  <c r="M10" i="20"/>
  <c r="L10" i="20"/>
  <c r="K10" i="20"/>
  <c r="N9" i="20"/>
  <c r="M9" i="20"/>
  <c r="L9" i="20"/>
  <c r="K9" i="20"/>
  <c r="N8" i="20"/>
  <c r="M8" i="20"/>
  <c r="L8" i="20"/>
  <c r="K8" i="20"/>
  <c r="N7" i="20"/>
  <c r="M7" i="20"/>
  <c r="L7" i="20"/>
  <c r="K7" i="20"/>
  <c r="N6" i="20"/>
  <c r="M6" i="20"/>
  <c r="L6" i="20"/>
  <c r="K6" i="20"/>
  <c r="N5" i="20"/>
  <c r="M5" i="20"/>
  <c r="L5" i="20"/>
  <c r="K5" i="20"/>
  <c r="N4" i="20"/>
  <c r="M4" i="20"/>
  <c r="L4" i="20"/>
  <c r="K4" i="20"/>
  <c r="N3" i="20"/>
  <c r="M3" i="20"/>
  <c r="L3" i="20"/>
  <c r="K3" i="20"/>
  <c r="N23" i="19"/>
  <c r="M23" i="19"/>
  <c r="L23" i="19"/>
  <c r="K23" i="19"/>
  <c r="N22" i="19"/>
  <c r="M22" i="19"/>
  <c r="L22" i="19"/>
  <c r="K22" i="19"/>
  <c r="N21" i="19"/>
  <c r="M21" i="19"/>
  <c r="L21" i="19"/>
  <c r="K21" i="19"/>
  <c r="N20" i="19"/>
  <c r="M20" i="19"/>
  <c r="L20" i="19"/>
  <c r="K20" i="19"/>
  <c r="N19" i="19"/>
  <c r="M19" i="19"/>
  <c r="L19" i="19"/>
  <c r="K19" i="19"/>
  <c r="N18" i="19"/>
  <c r="M18" i="19"/>
  <c r="L18" i="19"/>
  <c r="K18" i="19"/>
  <c r="N17" i="19"/>
  <c r="M17" i="19"/>
  <c r="L17" i="19"/>
  <c r="K17" i="19"/>
  <c r="N16" i="19"/>
  <c r="M16" i="19"/>
  <c r="L16" i="19"/>
  <c r="K16" i="19"/>
  <c r="N15" i="19"/>
  <c r="M15" i="19"/>
  <c r="L15" i="19"/>
  <c r="K15" i="19"/>
  <c r="N14" i="19"/>
  <c r="M14" i="19"/>
  <c r="L14" i="19"/>
  <c r="K14" i="19"/>
  <c r="N13" i="19"/>
  <c r="M13" i="19"/>
  <c r="L13" i="19"/>
  <c r="K13" i="19"/>
  <c r="N12" i="19"/>
  <c r="M12" i="19"/>
  <c r="L12" i="19"/>
  <c r="K12" i="19"/>
  <c r="N11" i="19"/>
  <c r="M11" i="19"/>
  <c r="L11" i="19"/>
  <c r="K11" i="19"/>
  <c r="N10" i="19"/>
  <c r="M10" i="19"/>
  <c r="L10" i="19"/>
  <c r="K10" i="19"/>
  <c r="N9" i="19"/>
  <c r="M9" i="19"/>
  <c r="L9" i="19"/>
  <c r="K9" i="19"/>
  <c r="N8" i="19"/>
  <c r="M8" i="19"/>
  <c r="L8" i="19"/>
  <c r="K8" i="19"/>
  <c r="N7" i="19"/>
  <c r="M7" i="19"/>
  <c r="L7" i="19"/>
  <c r="K7" i="19"/>
  <c r="N6" i="19"/>
  <c r="M6" i="19"/>
  <c r="L6" i="19"/>
  <c r="K6" i="19"/>
  <c r="N5" i="19"/>
  <c r="M5" i="19"/>
  <c r="L5" i="19"/>
  <c r="K5" i="19"/>
  <c r="N4" i="19"/>
  <c r="M4" i="19"/>
  <c r="L4" i="19"/>
  <c r="K4" i="19"/>
  <c r="N3" i="19"/>
  <c r="M3" i="19"/>
  <c r="L3" i="19"/>
  <c r="K3" i="19"/>
  <c r="N23" i="18"/>
  <c r="M23" i="18"/>
  <c r="L23" i="18"/>
  <c r="K23" i="18"/>
  <c r="N22" i="18"/>
  <c r="M22" i="18"/>
  <c r="L22" i="18"/>
  <c r="K22" i="18"/>
  <c r="N21" i="18"/>
  <c r="M21" i="18"/>
  <c r="L21" i="18"/>
  <c r="K21" i="18"/>
  <c r="N20" i="18"/>
  <c r="M20" i="18"/>
  <c r="L20" i="18"/>
  <c r="K20" i="18"/>
  <c r="N19" i="18"/>
  <c r="M19" i="18"/>
  <c r="L19" i="18"/>
  <c r="K19" i="18"/>
  <c r="N18" i="18"/>
  <c r="M18" i="18"/>
  <c r="L18" i="18"/>
  <c r="K18" i="18"/>
  <c r="N17" i="18"/>
  <c r="M17" i="18"/>
  <c r="L17" i="18"/>
  <c r="K17" i="18"/>
  <c r="N16" i="18"/>
  <c r="M16" i="18"/>
  <c r="L16" i="18"/>
  <c r="K16" i="18"/>
  <c r="N15" i="18"/>
  <c r="M15" i="18"/>
  <c r="L15" i="18"/>
  <c r="K15" i="18"/>
  <c r="N14" i="18"/>
  <c r="M14" i="18"/>
  <c r="L14" i="18"/>
  <c r="K14" i="18"/>
  <c r="N13" i="18"/>
  <c r="M13" i="18"/>
  <c r="L13" i="18"/>
  <c r="K13" i="18"/>
  <c r="N12" i="18"/>
  <c r="M12" i="18"/>
  <c r="L12" i="18"/>
  <c r="K12" i="18"/>
  <c r="N11" i="18"/>
  <c r="M11" i="18"/>
  <c r="L11" i="18"/>
  <c r="K11" i="18"/>
  <c r="N10" i="18"/>
  <c r="M10" i="18"/>
  <c r="L10" i="18"/>
  <c r="K10" i="18"/>
  <c r="N9" i="18"/>
  <c r="M9" i="18"/>
  <c r="L9" i="18"/>
  <c r="K9" i="18"/>
  <c r="N8" i="18"/>
  <c r="M8" i="18"/>
  <c r="L8" i="18"/>
  <c r="K8" i="18"/>
  <c r="N7" i="18"/>
  <c r="M7" i="18"/>
  <c r="L7" i="18"/>
  <c r="K7" i="18"/>
  <c r="N6" i="18"/>
  <c r="M6" i="18"/>
  <c r="L6" i="18"/>
  <c r="K6" i="18"/>
  <c r="N5" i="18"/>
  <c r="M5" i="18"/>
  <c r="L5" i="18"/>
  <c r="K5" i="18"/>
  <c r="N4" i="18"/>
  <c r="M4" i="18"/>
  <c r="L4" i="18"/>
  <c r="K4" i="18"/>
  <c r="N3" i="18"/>
  <c r="M3" i="18"/>
  <c r="L3" i="18"/>
  <c r="K3" i="18"/>
  <c r="N23" i="17"/>
  <c r="M23" i="17"/>
  <c r="L23" i="17"/>
  <c r="K23" i="17"/>
  <c r="N22" i="17"/>
  <c r="M22" i="17"/>
  <c r="L22" i="17"/>
  <c r="K22" i="17"/>
  <c r="N21" i="17"/>
  <c r="M21" i="17"/>
  <c r="L21" i="17"/>
  <c r="K21" i="17"/>
  <c r="N20" i="17"/>
  <c r="M20" i="17"/>
  <c r="L20" i="17"/>
  <c r="K20" i="17"/>
  <c r="N19" i="17"/>
  <c r="M19" i="17"/>
  <c r="L19" i="17"/>
  <c r="K19" i="17"/>
  <c r="N18" i="17"/>
  <c r="M18" i="17"/>
  <c r="L18" i="17"/>
  <c r="K18" i="17"/>
  <c r="N17" i="17"/>
  <c r="M17" i="17"/>
  <c r="L17" i="17"/>
  <c r="K17" i="17"/>
  <c r="N16" i="17"/>
  <c r="M16" i="17"/>
  <c r="L16" i="17"/>
  <c r="K16" i="17"/>
  <c r="N15" i="17"/>
  <c r="M15" i="17"/>
  <c r="L15" i="17"/>
  <c r="K15" i="17"/>
  <c r="N14" i="17"/>
  <c r="M14" i="17"/>
  <c r="L14" i="17"/>
  <c r="K14" i="17"/>
  <c r="N13" i="17"/>
  <c r="M13" i="17"/>
  <c r="L13" i="17"/>
  <c r="K13" i="17"/>
  <c r="N12" i="17"/>
  <c r="M12" i="17"/>
  <c r="L12" i="17"/>
  <c r="K12" i="17"/>
  <c r="N11" i="17"/>
  <c r="M11" i="17"/>
  <c r="L11" i="17"/>
  <c r="K11" i="17"/>
  <c r="N10" i="17"/>
  <c r="M10" i="17"/>
  <c r="L10" i="17"/>
  <c r="K10" i="17"/>
  <c r="N9" i="17"/>
  <c r="M9" i="17"/>
  <c r="L9" i="17"/>
  <c r="K9" i="17"/>
  <c r="N8" i="17"/>
  <c r="M8" i="17"/>
  <c r="L8" i="17"/>
  <c r="K8" i="17"/>
  <c r="N7" i="17"/>
  <c r="M7" i="17"/>
  <c r="L7" i="17"/>
  <c r="K7" i="17"/>
  <c r="N6" i="17"/>
  <c r="M6" i="17"/>
  <c r="L6" i="17"/>
  <c r="K6" i="17"/>
  <c r="N5" i="17"/>
  <c r="M5" i="17"/>
  <c r="L5" i="17"/>
  <c r="K5" i="17"/>
  <c r="N4" i="17"/>
  <c r="M4" i="17"/>
  <c r="L4" i="17"/>
  <c r="K4" i="17"/>
  <c r="N3" i="17"/>
  <c r="M3" i="17"/>
  <c r="L3" i="17"/>
  <c r="K3" i="17"/>
  <c r="N23" i="16"/>
  <c r="M23" i="16"/>
  <c r="L23" i="16"/>
  <c r="N22" i="16"/>
  <c r="M22" i="16"/>
  <c r="L22" i="16"/>
  <c r="K22" i="16"/>
  <c r="N21" i="16"/>
  <c r="M21" i="16"/>
  <c r="L21" i="16"/>
  <c r="K21" i="16"/>
  <c r="N20" i="16"/>
  <c r="M20" i="16"/>
  <c r="L20" i="16"/>
  <c r="K20" i="16"/>
  <c r="N18" i="16"/>
  <c r="M18" i="16"/>
  <c r="L18" i="16"/>
  <c r="K18" i="16"/>
  <c r="N17" i="16"/>
  <c r="M17" i="16"/>
  <c r="L17" i="16"/>
  <c r="K17" i="16"/>
  <c r="N16" i="16"/>
  <c r="M16" i="16"/>
  <c r="L16" i="16"/>
  <c r="K16" i="16"/>
  <c r="N13" i="16"/>
  <c r="M13" i="16"/>
  <c r="L13" i="16"/>
  <c r="K13" i="16"/>
  <c r="N12" i="16"/>
  <c r="M12" i="16"/>
  <c r="L12" i="16"/>
  <c r="K12" i="16"/>
  <c r="N11" i="16"/>
  <c r="M11" i="16"/>
  <c r="L11" i="16"/>
  <c r="N10" i="16"/>
  <c r="M10" i="16"/>
  <c r="L10" i="16"/>
  <c r="K10" i="16"/>
  <c r="N9" i="16"/>
  <c r="M9" i="16"/>
  <c r="L9" i="16"/>
  <c r="K9" i="16"/>
  <c r="N8" i="16"/>
  <c r="M8" i="16"/>
  <c r="L8" i="16"/>
  <c r="K8" i="16"/>
  <c r="N7" i="16"/>
  <c r="M7" i="16"/>
  <c r="L7" i="16"/>
  <c r="K7" i="16"/>
  <c r="N6" i="16"/>
  <c r="M6" i="16"/>
  <c r="L6" i="16"/>
  <c r="K6" i="16"/>
  <c r="N5" i="16"/>
  <c r="M5" i="16"/>
  <c r="L5" i="16"/>
  <c r="K5" i="16"/>
  <c r="N4" i="16"/>
  <c r="M4" i="16"/>
  <c r="L4" i="16"/>
  <c r="K4" i="16"/>
  <c r="N3" i="16"/>
  <c r="M3" i="16"/>
  <c r="L3" i="16"/>
  <c r="K3" i="16"/>
  <c r="N23" i="15"/>
  <c r="M23" i="15"/>
  <c r="L23" i="15"/>
  <c r="K23" i="15"/>
  <c r="N22" i="15"/>
  <c r="M22" i="15"/>
  <c r="L22" i="15"/>
  <c r="K22" i="15"/>
  <c r="N21" i="15"/>
  <c r="M21" i="15"/>
  <c r="L21" i="15"/>
  <c r="K21" i="15"/>
  <c r="N20" i="15"/>
  <c r="M20" i="15"/>
  <c r="L20" i="15"/>
  <c r="K20" i="15"/>
  <c r="N19" i="15"/>
  <c r="M19" i="15"/>
  <c r="L19" i="15"/>
  <c r="K19" i="15"/>
  <c r="N18" i="15"/>
  <c r="M18" i="15"/>
  <c r="L18" i="15"/>
  <c r="K18" i="15"/>
  <c r="N17" i="15"/>
  <c r="M17" i="15"/>
  <c r="L17" i="15"/>
  <c r="K17" i="15"/>
  <c r="N16" i="15"/>
  <c r="M16" i="15"/>
  <c r="L16" i="15"/>
  <c r="K16" i="15"/>
  <c r="N15" i="15"/>
  <c r="M15" i="15"/>
  <c r="L15" i="15"/>
  <c r="K15" i="15"/>
  <c r="N12" i="15"/>
  <c r="M12" i="15"/>
  <c r="L12" i="15"/>
  <c r="K12" i="15"/>
  <c r="N11" i="15"/>
  <c r="M11" i="15"/>
  <c r="L11" i="15"/>
  <c r="K11" i="15"/>
  <c r="N10" i="15"/>
  <c r="M10" i="15"/>
  <c r="L10" i="15"/>
  <c r="K10" i="15"/>
  <c r="N9" i="15"/>
  <c r="M9" i="15"/>
  <c r="L9" i="15"/>
  <c r="K9" i="15"/>
  <c r="N8" i="15"/>
  <c r="M8" i="15"/>
  <c r="L8" i="15"/>
  <c r="K8" i="15"/>
  <c r="N7" i="15"/>
  <c r="M7" i="15"/>
  <c r="L7" i="15"/>
  <c r="K7" i="15"/>
  <c r="N6" i="15"/>
  <c r="M6" i="15"/>
  <c r="L6" i="15"/>
  <c r="K6" i="15"/>
  <c r="N5" i="15"/>
  <c r="M5" i="15"/>
  <c r="L5" i="15"/>
  <c r="K5" i="15"/>
  <c r="N4" i="15"/>
  <c r="M4" i="15"/>
  <c r="L4" i="15"/>
  <c r="K4" i="15"/>
  <c r="N3" i="15"/>
  <c r="M3" i="15"/>
  <c r="L3" i="15"/>
  <c r="K3" i="15"/>
  <c r="M23" i="14"/>
  <c r="L23" i="14"/>
  <c r="K23" i="14"/>
  <c r="N22" i="14"/>
  <c r="M22" i="14"/>
  <c r="L22" i="14"/>
  <c r="K22" i="14"/>
  <c r="N21" i="14"/>
  <c r="M21" i="14"/>
  <c r="L21" i="14"/>
  <c r="K21" i="14"/>
  <c r="N20" i="14"/>
  <c r="M20" i="14"/>
  <c r="L20" i="14"/>
  <c r="K20" i="14"/>
  <c r="N18" i="14"/>
  <c r="M18" i="14"/>
  <c r="L18" i="14"/>
  <c r="K18" i="14"/>
  <c r="N17" i="14"/>
  <c r="M17" i="14"/>
  <c r="L17" i="14"/>
  <c r="K17" i="14"/>
  <c r="N16" i="14"/>
  <c r="M16" i="14"/>
  <c r="L16" i="14"/>
  <c r="K16" i="14"/>
  <c r="N15" i="14"/>
  <c r="M15" i="14"/>
  <c r="L15" i="14"/>
  <c r="K15" i="14"/>
  <c r="N12" i="14"/>
  <c r="M12" i="14"/>
  <c r="L12" i="14"/>
  <c r="K12" i="14"/>
  <c r="N11" i="14"/>
  <c r="M11" i="14"/>
  <c r="L11" i="14"/>
  <c r="K11" i="14"/>
  <c r="N10" i="14"/>
  <c r="M10" i="14"/>
  <c r="L10" i="14"/>
  <c r="K10" i="14"/>
  <c r="N9" i="14"/>
  <c r="M9" i="14"/>
  <c r="L9" i="14"/>
  <c r="K9" i="14"/>
  <c r="N8" i="14"/>
  <c r="M8" i="14"/>
  <c r="L8" i="14"/>
  <c r="K8" i="14"/>
  <c r="N7" i="14"/>
  <c r="M7" i="14"/>
  <c r="L7" i="14"/>
  <c r="K7" i="14"/>
  <c r="N6" i="14"/>
  <c r="M6" i="14"/>
  <c r="L6" i="14"/>
  <c r="K6" i="14"/>
  <c r="N5" i="14"/>
  <c r="M5" i="14"/>
  <c r="L5" i="14"/>
  <c r="K5" i="14"/>
  <c r="N4" i="14"/>
  <c r="M4" i="14"/>
  <c r="L4" i="14"/>
  <c r="K4" i="14"/>
  <c r="N3" i="14"/>
  <c r="M3" i="14"/>
  <c r="L3" i="14"/>
  <c r="K3" i="14"/>
  <c r="N23" i="13"/>
  <c r="M23" i="13"/>
  <c r="L23" i="13"/>
  <c r="K23" i="13"/>
  <c r="N21" i="13"/>
  <c r="M21" i="13"/>
  <c r="L21" i="13"/>
  <c r="K21" i="13"/>
  <c r="N20" i="13"/>
  <c r="M20" i="13"/>
  <c r="L20" i="13"/>
  <c r="K20" i="13"/>
  <c r="N18" i="13"/>
  <c r="M18" i="13"/>
  <c r="L18" i="13"/>
  <c r="K18" i="13"/>
  <c r="N17" i="13"/>
  <c r="M17" i="13"/>
  <c r="L17" i="13"/>
  <c r="K17" i="13"/>
  <c r="N16" i="13"/>
  <c r="M16" i="13"/>
  <c r="L16" i="13"/>
  <c r="K16" i="13"/>
  <c r="N15" i="13"/>
  <c r="M15" i="13"/>
  <c r="L15" i="13"/>
  <c r="K15" i="13"/>
  <c r="N14" i="13"/>
  <c r="M14" i="13"/>
  <c r="L14" i="13"/>
  <c r="K14" i="13"/>
  <c r="N12" i="13"/>
  <c r="M12" i="13"/>
  <c r="L12" i="13"/>
  <c r="K12" i="13"/>
  <c r="N11" i="13"/>
  <c r="M11" i="13"/>
  <c r="L11" i="13"/>
  <c r="N10" i="13"/>
  <c r="M10" i="13"/>
  <c r="L10" i="13"/>
  <c r="K10" i="13"/>
  <c r="N9" i="13"/>
  <c r="M9" i="13"/>
  <c r="L9" i="13"/>
  <c r="K9" i="13"/>
  <c r="N8" i="13"/>
  <c r="M8" i="13"/>
  <c r="L8" i="13"/>
  <c r="K8" i="13"/>
  <c r="N7" i="13"/>
  <c r="M7" i="13"/>
  <c r="L7" i="13"/>
  <c r="K7" i="13"/>
  <c r="N6" i="13"/>
  <c r="M6" i="13"/>
  <c r="L6" i="13"/>
  <c r="K6" i="13"/>
  <c r="N5" i="13"/>
  <c r="M5" i="13"/>
  <c r="L5" i="13"/>
  <c r="K5" i="13"/>
  <c r="N4" i="13"/>
  <c r="M4" i="13"/>
  <c r="L4" i="13"/>
  <c r="K4" i="13"/>
  <c r="N3" i="13"/>
  <c r="M3" i="13"/>
  <c r="L3" i="13"/>
  <c r="K3" i="13"/>
  <c r="N23" i="12"/>
  <c r="M23" i="12"/>
  <c r="L23" i="12"/>
  <c r="K23" i="12"/>
  <c r="N22" i="12"/>
  <c r="M22" i="12"/>
  <c r="L22" i="12"/>
  <c r="N21" i="12"/>
  <c r="M21" i="12"/>
  <c r="L21" i="12"/>
  <c r="K21" i="12"/>
  <c r="N20" i="12"/>
  <c r="M20" i="12"/>
  <c r="L20" i="12"/>
  <c r="K20" i="12"/>
  <c r="N18" i="12"/>
  <c r="M18" i="12"/>
  <c r="L18" i="12"/>
  <c r="K18" i="12"/>
  <c r="N17" i="12"/>
  <c r="M17" i="12"/>
  <c r="L17" i="12"/>
  <c r="K17" i="12"/>
  <c r="N16" i="12"/>
  <c r="M16" i="12"/>
  <c r="L16" i="12"/>
  <c r="K16" i="12"/>
  <c r="N15" i="12"/>
  <c r="M15" i="12"/>
  <c r="L15" i="12"/>
  <c r="K15" i="12"/>
  <c r="N14" i="12"/>
  <c r="M14" i="12"/>
  <c r="L14" i="12"/>
  <c r="K14" i="12"/>
  <c r="N12" i="12"/>
  <c r="M12" i="12"/>
  <c r="L12" i="12"/>
  <c r="K12" i="12"/>
  <c r="N11" i="12"/>
  <c r="M11" i="12"/>
  <c r="L11" i="12"/>
  <c r="N10" i="12"/>
  <c r="M10" i="12"/>
  <c r="L10" i="12"/>
  <c r="K10" i="12"/>
  <c r="N9" i="12"/>
  <c r="M9" i="12"/>
  <c r="L9" i="12"/>
  <c r="K9" i="12"/>
  <c r="N8" i="12"/>
  <c r="M8" i="12"/>
  <c r="L8" i="12"/>
  <c r="K8" i="12"/>
  <c r="N7" i="12"/>
  <c r="M7" i="12"/>
  <c r="L7" i="12"/>
  <c r="K7" i="12"/>
  <c r="N6" i="12"/>
  <c r="M6" i="12"/>
  <c r="L6" i="12"/>
  <c r="K6" i="12"/>
  <c r="N5" i="12"/>
  <c r="M5" i="12"/>
  <c r="L5" i="12"/>
  <c r="K5" i="12"/>
  <c r="N4" i="12"/>
  <c r="M4" i="12"/>
  <c r="L4" i="12"/>
  <c r="K4" i="12"/>
  <c r="N3" i="12"/>
  <c r="M3" i="12"/>
  <c r="L3" i="12"/>
  <c r="K3" i="12"/>
  <c r="N23" i="11"/>
  <c r="M23" i="11"/>
  <c r="L23" i="11"/>
  <c r="K23" i="11"/>
  <c r="N22" i="11"/>
  <c r="M22" i="11"/>
  <c r="L22" i="11"/>
  <c r="K22" i="11"/>
  <c r="N21" i="11"/>
  <c r="M21" i="11"/>
  <c r="L21" i="11"/>
  <c r="N20" i="11"/>
  <c r="M20" i="11"/>
  <c r="L20" i="11"/>
  <c r="K20" i="11"/>
  <c r="N18" i="11"/>
  <c r="M18" i="11"/>
  <c r="L18" i="11"/>
  <c r="K18" i="11"/>
  <c r="N17" i="11"/>
  <c r="M17" i="11"/>
  <c r="L17" i="11"/>
  <c r="K17" i="11"/>
  <c r="N16" i="11"/>
  <c r="M16" i="11"/>
  <c r="L16" i="11"/>
  <c r="K16" i="11"/>
  <c r="N15" i="11"/>
  <c r="M15" i="11"/>
  <c r="L15" i="11"/>
  <c r="K15" i="11"/>
  <c r="N14" i="11"/>
  <c r="M14" i="11"/>
  <c r="L14" i="11"/>
  <c r="K14" i="11"/>
  <c r="N12" i="11"/>
  <c r="M12" i="11"/>
  <c r="L12" i="11"/>
  <c r="N11" i="11"/>
  <c r="M11" i="11"/>
  <c r="L11" i="11"/>
  <c r="N10" i="11"/>
  <c r="M10" i="11"/>
  <c r="L10" i="11"/>
  <c r="K10" i="11"/>
  <c r="N9" i="11"/>
  <c r="M9" i="11"/>
  <c r="L9" i="11"/>
  <c r="K9" i="11"/>
  <c r="N8" i="11"/>
  <c r="M8" i="11"/>
  <c r="L8" i="11"/>
  <c r="K8" i="11"/>
  <c r="N7" i="11"/>
  <c r="M7" i="11"/>
  <c r="L7" i="11"/>
  <c r="K7" i="11"/>
  <c r="N6" i="11"/>
  <c r="M6" i="11"/>
  <c r="L6" i="11"/>
  <c r="K6" i="11"/>
  <c r="N5" i="11"/>
  <c r="M5" i="11"/>
  <c r="L5" i="11"/>
  <c r="K5" i="11"/>
  <c r="N4" i="11"/>
  <c r="M4" i="11"/>
  <c r="L4" i="11"/>
  <c r="K4" i="11"/>
  <c r="N3" i="11"/>
  <c r="M3" i="11"/>
  <c r="L3" i="11"/>
  <c r="K3" i="11"/>
  <c r="K15" i="8"/>
  <c r="L15" i="8"/>
  <c r="M15" i="8"/>
  <c r="N15" i="8"/>
  <c r="K4" i="8"/>
  <c r="L4" i="8"/>
  <c r="M4" i="8"/>
  <c r="N4" i="8"/>
  <c r="L16" i="8"/>
  <c r="M16" i="8"/>
  <c r="N16" i="8"/>
  <c r="K16" i="8"/>
  <c r="AA26" i="9"/>
  <c r="Z26" i="9" l="1"/>
  <c r="Y26" i="9" l="1"/>
  <c r="X26" i="9" l="1"/>
  <c r="W26" i="9" l="1"/>
  <c r="V26" i="9"/>
  <c r="T26" i="9"/>
  <c r="U26" i="9"/>
  <c r="Q26" i="9" l="1"/>
  <c r="P26" i="9"/>
  <c r="S26" i="9"/>
  <c r="R26" i="9"/>
  <c r="E26" i="9" l="1"/>
  <c r="E6" i="10" s="1"/>
  <c r="E18" i="10" s="1"/>
  <c r="F26" i="9"/>
  <c r="G26" i="9"/>
  <c r="I26" i="9"/>
  <c r="I29" i="9" s="1"/>
  <c r="J26" i="9"/>
  <c r="K26" i="9"/>
  <c r="L26" i="9"/>
  <c r="M26" i="9"/>
  <c r="N26" i="9"/>
  <c r="O26" i="9"/>
  <c r="D26" i="9"/>
  <c r="D7" i="10" l="1"/>
  <c r="G29" i="9"/>
  <c r="D6" i="10"/>
  <c r="E29" i="9"/>
  <c r="D18" i="10"/>
  <c r="D19" i="10" s="1"/>
  <c r="H26" i="9"/>
  <c r="N23" i="8" l="1"/>
  <c r="M23" i="8"/>
  <c r="L23" i="8"/>
  <c r="K23" i="8"/>
  <c r="N22" i="8"/>
  <c r="M22" i="8"/>
  <c r="L22" i="8"/>
  <c r="K22" i="8"/>
  <c r="N21" i="8"/>
  <c r="M21" i="8"/>
  <c r="L21" i="8"/>
  <c r="K21" i="8"/>
  <c r="N20" i="8"/>
  <c r="M20" i="8"/>
  <c r="L20" i="8"/>
  <c r="K20" i="8"/>
  <c r="N19" i="8"/>
  <c r="M19" i="8"/>
  <c r="L19" i="8"/>
  <c r="K19" i="8"/>
  <c r="N18" i="8"/>
  <c r="M18" i="8"/>
  <c r="L18" i="8"/>
  <c r="K18" i="8"/>
  <c r="N17" i="8"/>
  <c r="M17" i="8"/>
  <c r="L17" i="8"/>
  <c r="K17" i="8"/>
  <c r="N14" i="8"/>
  <c r="M14" i="8"/>
  <c r="L14" i="8"/>
  <c r="K14" i="8"/>
  <c r="N12" i="8"/>
  <c r="M12" i="8"/>
  <c r="L12" i="8"/>
  <c r="K12" i="8"/>
  <c r="N11" i="8"/>
  <c r="M11" i="8"/>
  <c r="L11" i="8"/>
  <c r="K11" i="8"/>
  <c r="N10" i="8"/>
  <c r="M10" i="8"/>
  <c r="L10" i="8"/>
  <c r="K10" i="8"/>
  <c r="N9" i="8"/>
  <c r="M9" i="8"/>
  <c r="L9" i="8"/>
  <c r="K9" i="8"/>
  <c r="N8" i="8"/>
  <c r="M8" i="8"/>
  <c r="L8" i="8"/>
  <c r="K8" i="8"/>
  <c r="N7" i="8"/>
  <c r="M7" i="8"/>
  <c r="L7" i="8"/>
  <c r="K7" i="8"/>
  <c r="N6" i="8"/>
  <c r="M6" i="8"/>
  <c r="L6" i="8"/>
  <c r="K6" i="8"/>
  <c r="N5" i="8"/>
  <c r="M5" i="8"/>
  <c r="L5" i="8"/>
  <c r="K5" i="8"/>
  <c r="N3" i="8"/>
  <c r="M3" i="8"/>
  <c r="L3" i="8"/>
  <c r="K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7B5C6782-8DD5-4512-89FE-7E8F6E596D2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DF2EAD00-74FA-4CF4-A27B-73CE538709A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B557387F-C86C-4019-A5AF-16295E0AD991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B547431E-9246-4398-AFFA-08FAA2395EA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2B32AD9F-83E5-4BED-B3C7-533C52862C4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65578467-7D99-4C3A-81CA-51660BBC893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C61E95C5-D4AB-4966-8BCE-8F53F7CDAB76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E7556FC3-A05A-4C6F-94E1-828FB98F021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8AC5DF4B-726D-4F56-B007-4730AB82AA3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602FBFCC-AE1E-40AC-8E7D-68C3E98F57D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DA88CCE3-7722-4E13-B9C8-3BF76A3C203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E97C7412-77DF-4D03-8AE9-6F8679776C5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11" authorId="0" shapeId="0" xr:uid="{33D93A93-C967-446D-A280-EEB8EAEFD9FA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barge akan dipakai di akhir bulan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76AD360E-07EF-4F4F-8D18-2AFE523D786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A4C1A4C0-FBE2-4FD3-A0DC-C0472E133C8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0EA00A15-F929-4998-A411-4C3E0E20CBF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11" authorId="0" shapeId="0" xr:uid="{ACF99661-AB75-4612-AF14-0BA042F234CF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barge akan dipakai di akhir bulan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805E060B-3D1B-4C58-B620-BE801625F63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C3B942DA-5B54-4D8D-8DE8-F33B1CB6EDE4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FA2423EB-379C-48EF-A286-CA0FBD52D5FD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05682219-53C2-4E74-A24F-611BBB7984C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42CBCBF7-60C8-417A-94AC-61B23E26072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E816D161-4131-46A0-9769-E770BF53C9EF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9" authorId="0" shapeId="0" xr:uid="{9853580C-41C9-464F-A0FE-1AF9BF672CE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kbm karena following our schedule impact accident at bunyut area that related with their cargo in their jetty </t>
        </r>
      </text>
    </comment>
    <comment ref="F10" authorId="0" shapeId="0" xr:uid="{130D54C2-1DCB-438B-8E49-9DB3EAD5870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 sama kbm </t>
        </r>
      </text>
    </comment>
    <comment ref="F11" authorId="0" shapeId="0" xr:uid="{BB2CC06D-80D1-46E7-84A7-3F428A2F94D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limitation quota blending dan impact accident at bunyut and prioritize utilization of gpk coal </t>
        </r>
      </text>
    </comment>
    <comment ref="F14" authorId="0" shapeId="0" xr:uid="{45ADEAF6-8E2C-4535-872F-6B2A86BCC14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ensuring of quality product can utilize for our shipment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F3" authorId="0" shapeId="0" xr:uid="{8D52C354-F6CD-476E-92A0-E55A86C481B5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shipment loading end of month </t>
        </r>
      </text>
    </comment>
    <comment ref="H5" authorId="0" shapeId="0" xr:uid="{32CC2A85-3391-4943-AAFE-70A3401BF04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64E87BAC-A0EB-4A3D-BA07-55F8BC1D001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F7" authorId="0" shapeId="0" xr:uid="{F7C36149-F784-461E-8E90-6912CB5E78C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under progress loading</t>
        </r>
      </text>
    </comment>
    <comment ref="H7" authorId="0" shapeId="0" xr:uid="{44F06B95-3DFF-4D2E-8C90-6A110E1825DD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8" authorId="0" shapeId="0" xr:uid="{335A4D7C-27F9-4D32-9B27-6BDCE6E8731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under loading</t>
        </r>
      </text>
    </comment>
    <comment ref="F9" authorId="0" shapeId="0" xr:uid="{F3EA85AA-5D41-4DDA-8CA0-A02796ECBB8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under loading , 1 wil be carried over 
heavy rain </t>
        </r>
      </text>
    </comment>
    <comment ref="F10" authorId="0" shapeId="0" xr:uid="{703588CB-C3CC-4EC5-AE01-DD1A7A019E9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end of month , heavy rain</t>
        </r>
      </text>
    </comment>
    <comment ref="F13" authorId="0" shapeId="0" xr:uid="{E26047DD-EC6E-47BD-94D4-9D72B6B8BBE3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kontrak mcm 
</t>
        </r>
      </text>
    </comment>
    <comment ref="F14" authorId="0" shapeId="0" xr:uid="{7AD83EC4-4100-40E8-9F78-EA907D20CF71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permit jetty , ganti jetty baru </t>
        </r>
      </text>
    </comment>
    <comment ref="F17" authorId="0" shapeId="0" xr:uid="{6320BFB2-5F22-4ED9-B23D-AFDDC0BB3919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kontraktual </t>
        </r>
      </text>
    </comment>
    <comment ref="F23" authorId="0" shapeId="0" xr:uid="{899C7BF2-15FC-4217-B879-8DB6B361E59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ebp only , tidak ada demand 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E5C90444-D913-43DD-B784-CC88484A512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5FF5664F-D00B-4399-8895-24B0948D29F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2FF464F4-020C-4917-9057-83AB1FFD93F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11" authorId="0" shapeId="0" xr:uid="{318B747E-6BC3-4CDB-81BD-F6C502F2A5E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barge akan dipakai di akhir bulan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F3" authorId="0" shapeId="0" xr:uid="{B0CCA234-A437-4877-A6A9-2A24F21BEA1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contaminatio </t>
        </r>
      </text>
    </comment>
    <comment ref="H5" authorId="0" shapeId="0" xr:uid="{BA539529-4D09-4D65-8BDD-D1F67D59DB7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F6" authorId="0" shapeId="0" xr:uid="{3A2F2E97-6C02-463A-8C8F-FA4E7BD99EE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quota blending </t>
        </r>
      </text>
    </comment>
    <comment ref="H6" authorId="0" shapeId="0" xr:uid="{0904219F-80C4-464C-9FF6-57520322478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F7" authorId="0" shapeId="0" xr:uid="{E831257A-7ECA-47FA-848A-689249CB4C8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rkab</t>
        </r>
      </text>
    </comment>
    <comment ref="H7" authorId="0" shapeId="0" xr:uid="{1E725BB2-4E93-42E7-ADD3-FFEE404C38E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9" authorId="0" shapeId="0" xr:uid="{1A9CB76D-0B2F-443A-A127-82DA164AFF3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weatrher</t>
        </r>
      </text>
    </comment>
    <comment ref="N13" authorId="0" shapeId="0" xr:uid="{22DD571B-A693-4AA7-9889-4EE42348E09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dicek lagi ke november sesuai dengan kapasitas bargenya</t>
        </r>
      </text>
    </comment>
    <comment ref="F14" authorId="0" shapeId="0" xr:uid="{53AFBD5C-7BBF-47EC-8D70-C4189B80550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waiting new resources</t>
        </r>
      </text>
    </comment>
    <comment ref="F23" authorId="0" shapeId="0" xr:uid="{922A7699-CE50-4AA3-977C-206F55F4F312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quota blending 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F5" authorId="0" shapeId="0" xr:uid="{773ECFA3-8B40-4209-B58B-AB702A6BD5C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potential carry over , 2 barge under progress loading</t>
        </r>
      </text>
    </comment>
    <comment ref="H5" authorId="0" shapeId="0" xr:uid="{B31BC778-BB56-43CB-8451-374CFF85EAE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A72355A1-2241-44CA-83DE-9E67A4AB7A1A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F7" authorId="0" shapeId="0" xr:uid="{1C46825D-ACFB-4D9D-A9E3-70B0928E9671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loading end of month 
- low produksi impact + issue rkab mereka </t>
        </r>
      </text>
    </comment>
    <comment ref="H7" authorId="0" shapeId="0" xr:uid="{0BCC680E-CBBE-4DB2-8863-07C2E11402A6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8" authorId="0" shapeId="0" xr:uid="{478804D9-FA9F-45AB-A8A5-E9564AA4325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loading end of month</t>
        </r>
      </text>
    </comment>
    <comment ref="F9" authorId="0" shapeId="0" xr:uid="{5958A147-7267-48AD-961E-5D5A6034278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loading end of month </t>
        </r>
      </text>
    </comment>
    <comment ref="F11" authorId="0" shapeId="0" xr:uid="{8288EE32-8F3D-40BD-8176-E007EBCDA8BD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akan dipakai di akhir bulan</t>
        </r>
      </text>
    </comment>
    <comment ref="F12" authorId="0" shapeId="0" xr:uid="{F7931CD8-684F-4182-98CC-F5878F0F766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sistem issue (MoMs error)</t>
        </r>
      </text>
    </comment>
    <comment ref="F13" authorId="0" shapeId="0" xr:uid="{8C92B304-BEFC-4415-A345-058E20E8B9E9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loading di akhir bulan</t>
        </r>
      </text>
    </comment>
    <comment ref="F17" authorId="0" shapeId="0" xr:uid="{4E2F21D4-970C-48C7-B390-53F409CA68A4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low production , waiting schedule </t>
        </r>
      </text>
    </comment>
    <comment ref="F23" authorId="0" shapeId="0" xr:uid="{84D2D505-94FA-4373-9EA5-2E8F3C778D9D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low production due to high intesity of rain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119CF34C-2D4D-4A3C-A5A0-5E07943E095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ED667C51-3BB3-47D3-BAE4-EC4BBCB4AF2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CDB6FF90-3763-421E-A91E-CA40586EFE7F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11" authorId="0" shapeId="0" xr:uid="{9B373063-15BC-4D7C-B35B-369017776125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barge akan dipakai di akhir bulan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S5" authorId="0" shapeId="0" xr:uid="{621D8A17-11DA-422B-AF01-21C7E161D244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shipment loading end of month </t>
        </r>
      </text>
    </comment>
    <comment ref="S9" authorId="0" shapeId="0" xr:uid="{5ABFCB87-D4BD-4DA9-8A46-6C928E4EB19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under progress loading</t>
        </r>
      </text>
    </comment>
    <comment ref="S10" authorId="0" shapeId="0" xr:uid="{0A95B947-840D-4E33-B68F-41EDD9539D3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under loading</t>
        </r>
      </text>
    </comment>
    <comment ref="S11" authorId="0" shapeId="0" xr:uid="{16A104FF-FC20-4BB7-BC79-DE0A5B94AF5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under loading , 1 wil be carried over 
heavy rain </t>
        </r>
      </text>
    </comment>
    <comment ref="S12" authorId="0" shapeId="0" xr:uid="{80EB8EA7-8F6F-4F6D-860E-8B4EA6FA3FD5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end of month , heavy rain</t>
        </r>
      </text>
    </comment>
    <comment ref="S15" authorId="0" shapeId="0" xr:uid="{D205D4E8-D4CF-4430-B8F8-567A756BA7DF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kontrak mcm 
</t>
        </r>
      </text>
    </comment>
    <comment ref="S16" authorId="0" shapeId="0" xr:uid="{0E6EEAAD-308F-40E6-8236-7F8E8A18A64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permit jetty , ganti jetty baru </t>
        </r>
      </text>
    </comment>
    <comment ref="S19" authorId="0" shapeId="0" xr:uid="{802684E6-91E9-4CD8-A31D-3835CDE9A76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kontraktual </t>
        </r>
      </text>
    </comment>
    <comment ref="S25" authorId="0" shapeId="0" xr:uid="{A806EBD6-BF71-47EC-91EE-A7F5732736F9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ebp only , tidak ada demand </t>
        </r>
      </text>
    </comment>
  </commentList>
</comments>
</file>

<file path=xl/sharedStrings.xml><?xml version="1.0" encoding="utf-8"?>
<sst xmlns="http://schemas.openxmlformats.org/spreadsheetml/2006/main" count="762" uniqueCount="86">
  <si>
    <t>Supplier</t>
  </si>
  <si>
    <t>W1</t>
  </si>
  <si>
    <t>W2</t>
  </si>
  <si>
    <t>W3</t>
  </si>
  <si>
    <t>W4</t>
  </si>
  <si>
    <t>EBH</t>
  </si>
  <si>
    <t>AMN</t>
  </si>
  <si>
    <t>KMIA</t>
  </si>
  <si>
    <t>BBE</t>
  </si>
  <si>
    <t>MBL</t>
  </si>
  <si>
    <t>1 barge belum loading</t>
  </si>
  <si>
    <t>EMJ</t>
  </si>
  <si>
    <t xml:space="preserve">1 barge lagi loading </t>
  </si>
  <si>
    <t>KBM</t>
  </si>
  <si>
    <t>IKJ</t>
  </si>
  <si>
    <t xml:space="preserve">1 barge kelempar ke bulan feb </t>
  </si>
  <si>
    <t>KJA</t>
  </si>
  <si>
    <t>DMP</t>
  </si>
  <si>
    <t>MCM</t>
  </si>
  <si>
    <t>BMM</t>
  </si>
  <si>
    <t>ABA</t>
  </si>
  <si>
    <t>MKE</t>
  </si>
  <si>
    <t>BBA</t>
  </si>
  <si>
    <t>2 barge loading tgl 30-31</t>
  </si>
  <si>
    <t>MML</t>
  </si>
  <si>
    <t>KPM</t>
  </si>
  <si>
    <t>KJM</t>
  </si>
  <si>
    <t>BUM</t>
  </si>
  <si>
    <t>PSB</t>
  </si>
  <si>
    <t>BISM</t>
  </si>
  <si>
    <t>more</t>
  </si>
  <si>
    <t>bbe</t>
  </si>
  <si>
    <t>same</t>
  </si>
  <si>
    <t>kmia , mbl, emj, ikj, kja, bba</t>
  </si>
  <si>
    <t>less</t>
  </si>
  <si>
    <t>ebh,kbm,  dmp, mcm, bism</t>
  </si>
  <si>
    <t>NEI</t>
  </si>
  <si>
    <t>RKB</t>
  </si>
  <si>
    <t>IWBM</t>
  </si>
  <si>
    <t>bba, ikj, dmp</t>
  </si>
  <si>
    <t>ebh, kmia, bbe, kbm, kja, bism</t>
  </si>
  <si>
    <t>emj, mcm, nei, rkb</t>
  </si>
  <si>
    <t>Uncomp 1 barge</t>
  </si>
  <si>
    <t>actual</t>
  </si>
  <si>
    <t>DJA</t>
  </si>
  <si>
    <t>DMP,BBA</t>
  </si>
  <si>
    <t>KMIA,BBE,KJA,BISM</t>
  </si>
  <si>
    <t>EBH,EMJ,KBM,IKJ,MCM,NEI,DJA</t>
  </si>
  <si>
    <t>uncomp (need to fulfill their dmo)</t>
  </si>
  <si>
    <t>uncomp 2</t>
  </si>
  <si>
    <t>comp</t>
  </si>
  <si>
    <t>potential 0</t>
  </si>
  <si>
    <t>uncomp 1</t>
  </si>
  <si>
    <t>kmia, mcm, bism</t>
  </si>
  <si>
    <t>ebh, emj, kbm,ikj, dmp, bba, nei, dja</t>
  </si>
  <si>
    <t>bba have a concern with their cycling barge and unloading shcedule at BoCT</t>
  </si>
  <si>
    <t>waiting trial 1st barge result (quality concern) and schedule loading in their jetty</t>
  </si>
  <si>
    <t>HWA</t>
  </si>
  <si>
    <t>mcm, hwa</t>
  </si>
  <si>
    <t>bbe, mbl, kja, emj, bba</t>
  </si>
  <si>
    <t>ebh, kbm, ikj, dmp, nei, bism</t>
  </si>
  <si>
    <t>GIE</t>
  </si>
  <si>
    <t>January</t>
  </si>
  <si>
    <t>February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</si>
  <si>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</si>
  <si>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</si>
  <si>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</si>
  <si>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</si>
  <si>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</si>
  <si>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</si>
  <si>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</si>
  <si>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</si>
  <si>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</si>
  <si>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</si>
  <si>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Plan</t>
  </si>
  <si>
    <t>Actual</t>
  </si>
  <si>
    <t>EBH LCV</t>
  </si>
  <si>
    <t>GAM</t>
  </si>
  <si>
    <t>Total</t>
  </si>
  <si>
    <t xml:space="preserve">Plan </t>
  </si>
  <si>
    <t>Jan</t>
  </si>
  <si>
    <t>Feb</t>
  </si>
  <si>
    <t>Mar</t>
  </si>
  <si>
    <t>Apr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</si>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</sst>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00_);_(* \(#,##0.000\);_(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164" fontId="1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/>
    <xf numFmtId="164" fontId="0" fillId="2" borderId="0" xfId="1" applyNumberFormat="1" applyFont="1" applyFill="1"/>
    <xf numFmtId="164" fontId="0" fillId="2" borderId="1" xfId="1" applyNumberFormat="1" applyFont="1" applyFill="1" applyBorder="1" applyAlignment="1">
      <alignment horizontal="center"/>
    </xf>
    <xf numFmtId="164" fontId="1" fillId="2" borderId="2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1" applyNumberFormat="1" applyFont="1" applyFill="1" applyBorder="1" applyAlignment="1">
      <alignment horizontal="center"/>
    </xf>
    <xf numFmtId="164" fontId="0" fillId="2" borderId="0" xfId="1" applyNumberFormat="1" applyFont="1" applyFill="1" applyBorder="1" applyAlignment="1">
      <alignment horizontal="center"/>
    </xf>
    <xf numFmtId="0" fontId="1" fillId="2" borderId="1" xfId="0" applyFont="1" applyFill="1" applyBorder="1"/>
    <xf numFmtId="164" fontId="1" fillId="2" borderId="1" xfId="0" applyNumberFormat="1" applyFont="1" applyFill="1" applyBorder="1"/>
    <xf numFmtId="164" fontId="0" fillId="3" borderId="1" xfId="1" applyNumberFormat="1" applyFont="1" applyFill="1" applyBorder="1"/>
    <xf numFmtId="164" fontId="0" fillId="0" borderId="1" xfId="1" applyNumberFormat="1" applyFont="1" applyFill="1" applyBorder="1"/>
    <xf numFmtId="164" fontId="0" fillId="2" borderId="0" xfId="0" applyNumberFormat="1" applyFill="1"/>
    <xf numFmtId="164" fontId="0" fillId="0" borderId="1" xfId="1" applyNumberFormat="1" applyFont="1" applyFill="1" applyBorder="1" applyAlignment="1">
      <alignment horizontal="center"/>
    </xf>
    <xf numFmtId="164" fontId="0" fillId="2" borderId="0" xfId="0" applyNumberFormat="1" applyFill="1"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2" borderId="1" xfId="0" applyNumberForma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1" fontId="0" fillId="2" borderId="0" xfId="0" applyNumberFormat="1" applyFill="1" applyAlignment="1">
      <alignment vertical="center"/>
    </xf>
    <xf numFmtId="164" fontId="0" fillId="4" borderId="1" xfId="1" applyNumberFormat="1" applyFont="1" applyFill="1" applyBorder="1"/>
    <xf numFmtId="166" fontId="0" fillId="2" borderId="0" xfId="1" applyNumberFormat="1" applyFont="1" applyFill="1"/>
    <xf numFmtId="9" fontId="0" fillId="2" borderId="0" xfId="2" applyFont="1" applyFill="1" applyAlignment="1">
      <alignment horizontal="center"/>
    </xf>
    <xf numFmtId="9" fontId="0" fillId="2" borderId="0" xfId="2" applyFont="1" applyFill="1"/>
    <xf numFmtId="43" fontId="0" fillId="2" borderId="0" xfId="1" applyFont="1" applyFill="1"/>
    <xf numFmtId="164" fontId="1" fillId="4" borderId="1" xfId="0" applyNumberFormat="1" applyFont="1" applyFill="1" applyBorder="1"/>
    <xf numFmtId="1" fontId="0" fillId="4" borderId="1" xfId="0" applyNumberFormat="1" applyFill="1" applyBorder="1" applyAlignment="1">
      <alignment horizontal="right" vertical="center"/>
    </xf>
    <xf numFmtId="0" fontId="0" fillId="4" borderId="1" xfId="0" applyFill="1" applyBorder="1"/>
    <xf numFmtId="2" fontId="0" fillId="2" borderId="0" xfId="0" applyNumberFormat="1" applyFill="1"/>
    <xf numFmtId="0" fontId="1" fillId="2" borderId="0" xfId="0" applyFont="1" applyFill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0" fillId="2" borderId="0" xfId="2" applyFont="1" applyFill="1" applyAlignment="1">
      <alignment horizontal="center"/>
    </xf>
  </cellXfs>
  <cellStyles count="4">
    <cellStyle name="Comma" xfId="1" builtinId="3"/>
    <cellStyle name="Comma 4" xfId="3" xr:uid="{746A4742-0A4A-4FDB-BA29-0A2ACD83129E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3200" b="1">
                <a:solidFill>
                  <a:schemeClr val="tx1"/>
                </a:solidFill>
              </a:rPr>
              <a:t>3rd</a:t>
            </a:r>
            <a:r>
              <a:rPr lang="en-US" sz="3200" b="1" baseline="0">
                <a:solidFill>
                  <a:schemeClr val="tx1"/>
                </a:solidFill>
              </a:rPr>
              <a:t> Party Utilization per Week</a:t>
            </a:r>
            <a:endParaRPr lang="en-US" sz="3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64967210751618E-2"/>
          <c:y val="6.8710478028058367E-2"/>
          <c:w val="0.90117603616740793"/>
          <c:h val="0.885923402863770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MAY!$C$2</c:f>
              <c:strCache>
                <c:ptCount val="1"/>
                <c:pt idx="0">
                  <c:v> W1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MAY!$B$3:$B$23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HWA</c:v>
                </c:pt>
                <c:pt idx="12">
                  <c:v>ABA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NEI</c:v>
                </c:pt>
                <c:pt idx="17">
                  <c:v>KJM</c:v>
                </c:pt>
                <c:pt idx="18">
                  <c:v>RKB</c:v>
                </c:pt>
                <c:pt idx="19">
                  <c:v>DJA</c:v>
                </c:pt>
                <c:pt idx="20">
                  <c:v>BISM</c:v>
                </c:pt>
              </c:strCache>
            </c:strRef>
          </c:cat>
          <c:val>
            <c:numRef>
              <c:f>MAY!$C$3:$C$23</c:f>
              <c:numCache>
                <c:formatCode>_(* #,##0_);_(* \(#,##0\);_(* "-"??_);_(@_)</c:formatCode>
                <c:ptCount val="21"/>
                <c:pt idx="0">
                  <c:v>15000</c:v>
                </c:pt>
                <c:pt idx="1">
                  <c:v>0</c:v>
                </c:pt>
                <c:pt idx="2">
                  <c:v>0</c:v>
                </c:pt>
                <c:pt idx="3">
                  <c:v>15000</c:v>
                </c:pt>
                <c:pt idx="4">
                  <c:v>60000</c:v>
                </c:pt>
                <c:pt idx="5">
                  <c:v>15000</c:v>
                </c:pt>
                <c:pt idx="6">
                  <c:v>10600</c:v>
                </c:pt>
                <c:pt idx="7">
                  <c:v>10600</c:v>
                </c:pt>
                <c:pt idx="8">
                  <c:v>30000</c:v>
                </c:pt>
                <c:pt idx="9">
                  <c:v>5300</c:v>
                </c:pt>
                <c:pt idx="10">
                  <c:v>60000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10000</c:v>
                </c:pt>
                <c:pt idx="15">
                  <c:v>0</c:v>
                </c:pt>
                <c:pt idx="16">
                  <c:v>15000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9A-4B39-B3E6-CA389BDD520B}"/>
            </c:ext>
          </c:extLst>
        </c:ser>
        <c:ser>
          <c:idx val="1"/>
          <c:order val="1"/>
          <c:tx>
            <c:strRef>
              <c:f>MAR!$D$2</c:f>
              <c:strCache>
                <c:ptCount val="1"/>
                <c:pt idx="0">
                  <c:v> W2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MAY!$B$3:$B$23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HWA</c:v>
                </c:pt>
                <c:pt idx="12">
                  <c:v>ABA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NEI</c:v>
                </c:pt>
                <c:pt idx="17">
                  <c:v>KJM</c:v>
                </c:pt>
                <c:pt idx="18">
                  <c:v>RKB</c:v>
                </c:pt>
                <c:pt idx="19">
                  <c:v>DJA</c:v>
                </c:pt>
                <c:pt idx="20">
                  <c:v>BISM</c:v>
                </c:pt>
              </c:strCache>
            </c:strRef>
          </c:cat>
          <c:val>
            <c:numRef>
              <c:f>MAR!$D$3:$D$23</c:f>
              <c:numCache>
                <c:formatCode>_(* #,##0_);_(* \(#,##0\);_(* "-"??_);_(@_)</c:formatCode>
                <c:ptCount val="21"/>
                <c:pt idx="0">
                  <c:v>15000</c:v>
                </c:pt>
                <c:pt idx="2">
                  <c:v>22500</c:v>
                </c:pt>
                <c:pt idx="3">
                  <c:v>15000</c:v>
                </c:pt>
                <c:pt idx="5">
                  <c:v>22500</c:v>
                </c:pt>
                <c:pt idx="6">
                  <c:v>15900</c:v>
                </c:pt>
                <c:pt idx="7">
                  <c:v>15900</c:v>
                </c:pt>
                <c:pt idx="8">
                  <c:v>30000</c:v>
                </c:pt>
                <c:pt idx="9">
                  <c:v>5300</c:v>
                </c:pt>
                <c:pt idx="10">
                  <c:v>30000</c:v>
                </c:pt>
                <c:pt idx="14">
                  <c:v>10000</c:v>
                </c:pt>
                <c:pt idx="16">
                  <c:v>7500</c:v>
                </c:pt>
                <c:pt idx="19">
                  <c:v>7500</c:v>
                </c:pt>
                <c:pt idx="20">
                  <c:v>52500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9A-4B39-B3E6-CA389BDD520B}"/>
            </c:ext>
          </c:extLst>
        </c:ser>
        <c:ser>
          <c:idx val="2"/>
          <c:order val="2"/>
          <c:tx>
            <c:strRef>
              <c:f>MAR!$E$2</c:f>
              <c:strCache>
                <c:ptCount val="1"/>
                <c:pt idx="0">
                  <c:v> W3 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MAY!$B$3:$B$23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HWA</c:v>
                </c:pt>
                <c:pt idx="12">
                  <c:v>ABA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NEI</c:v>
                </c:pt>
                <c:pt idx="17">
                  <c:v>KJM</c:v>
                </c:pt>
                <c:pt idx="18">
                  <c:v>RKB</c:v>
                </c:pt>
                <c:pt idx="19">
                  <c:v>DJA</c:v>
                </c:pt>
                <c:pt idx="20">
                  <c:v>BISM</c:v>
                </c:pt>
              </c:strCache>
            </c:strRef>
          </c:cat>
          <c:val>
            <c:numRef>
              <c:f>MAR!$E$3:$E$23</c:f>
              <c:numCache>
                <c:formatCode>_(* #,##0_);_(* \(#,##0\);_(* "-"??_);_(@_)</c:formatCode>
                <c:ptCount val="21"/>
                <c:pt idx="0">
                  <c:v>7500</c:v>
                </c:pt>
                <c:pt idx="2">
                  <c:v>22500</c:v>
                </c:pt>
                <c:pt idx="3">
                  <c:v>15000</c:v>
                </c:pt>
                <c:pt idx="5">
                  <c:v>22500</c:v>
                </c:pt>
                <c:pt idx="6">
                  <c:v>15900</c:v>
                </c:pt>
                <c:pt idx="7">
                  <c:v>15900</c:v>
                </c:pt>
                <c:pt idx="8">
                  <c:v>30000</c:v>
                </c:pt>
                <c:pt idx="9">
                  <c:v>5300</c:v>
                </c:pt>
                <c:pt idx="10">
                  <c:v>30000</c:v>
                </c:pt>
                <c:pt idx="14">
                  <c:v>15000</c:v>
                </c:pt>
                <c:pt idx="16">
                  <c:v>0</c:v>
                </c:pt>
                <c:pt idx="19">
                  <c:v>0</c:v>
                </c:pt>
                <c:pt idx="20">
                  <c:v>52500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9A-4B39-B3E6-CA389BDD520B}"/>
            </c:ext>
          </c:extLst>
        </c:ser>
        <c:ser>
          <c:idx val="3"/>
          <c:order val="3"/>
          <c:tx>
            <c:strRef>
              <c:f>MAR!$F$2</c:f>
              <c:strCache>
                <c:ptCount val="1"/>
                <c:pt idx="0">
                  <c:v> W4 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MAY!$B$3:$B$23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HWA</c:v>
                </c:pt>
                <c:pt idx="12">
                  <c:v>ABA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NEI</c:v>
                </c:pt>
                <c:pt idx="17">
                  <c:v>KJM</c:v>
                </c:pt>
                <c:pt idx="18">
                  <c:v>RKB</c:v>
                </c:pt>
                <c:pt idx="19">
                  <c:v>DJA</c:v>
                </c:pt>
                <c:pt idx="20">
                  <c:v>BISM</c:v>
                </c:pt>
              </c:strCache>
            </c:strRef>
          </c:cat>
          <c:val>
            <c:numRef>
              <c:f>MAR!$F$3:$F$23</c:f>
              <c:numCache>
                <c:formatCode>_(* #,##0_);_(* \(#,##0\);_(* "-"??_);_(@_)</c:formatCode>
                <c:ptCount val="21"/>
                <c:pt idx="0">
                  <c:v>7625</c:v>
                </c:pt>
                <c:pt idx="2">
                  <c:v>22500</c:v>
                </c:pt>
                <c:pt idx="3">
                  <c:v>15000</c:v>
                </c:pt>
                <c:pt idx="5">
                  <c:v>14926</c:v>
                </c:pt>
                <c:pt idx="6">
                  <c:v>10276</c:v>
                </c:pt>
                <c:pt idx="7">
                  <c:v>5150</c:v>
                </c:pt>
                <c:pt idx="8">
                  <c:v>30116</c:v>
                </c:pt>
                <c:pt idx="9">
                  <c:v>10346</c:v>
                </c:pt>
                <c:pt idx="10">
                  <c:v>0</c:v>
                </c:pt>
                <c:pt idx="14">
                  <c:v>20310</c:v>
                </c:pt>
                <c:pt idx="16">
                  <c:v>0</c:v>
                </c:pt>
                <c:pt idx="19">
                  <c:v>0</c:v>
                </c:pt>
                <c:pt idx="20">
                  <c:v>68215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79A-4B39-B3E6-CA389BDD5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50814351"/>
        <c:axId val="1250835471"/>
      </c:barChart>
      <c:catAx>
        <c:axId val="1250814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35471"/>
        <c:crosses val="autoZero"/>
        <c:auto val="1"/>
        <c:lblAlgn val="ctr"/>
        <c:lblOffset val="100"/>
        <c:noMultiLvlLbl val="0"/>
      </c:catAx>
      <c:valAx>
        <c:axId val="1250835471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dk1"/>
              </a:solidFill>
              <a:prstDash val="sysDot"/>
              <a:miter lim="800000"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14351"/>
        <c:crosses val="autoZero"/>
        <c:crossBetween val="between"/>
      </c:valAx>
      <c:spPr>
        <a:pattFill prst="pct5">
          <a:fgClr>
            <a:schemeClr val="bg1">
              <a:lumMod val="75000"/>
            </a:schemeClr>
          </a:fgClr>
          <a:bgClr>
            <a:schemeClr val="bg1"/>
          </a:bgClr>
        </a:pattFill>
        <a:ln w="4445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3200" b="1">
                <a:solidFill>
                  <a:schemeClr val="tx1"/>
                </a:solidFill>
              </a:rPr>
              <a:t>Weekly Performance 3rd Party in</a:t>
            </a:r>
            <a:r>
              <a:rPr lang="en-US" sz="3200" b="1" baseline="0">
                <a:solidFill>
                  <a:schemeClr val="tx1"/>
                </a:solidFill>
              </a:rPr>
              <a:t> May</a:t>
            </a:r>
            <a:endParaRPr lang="en-US" sz="3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5429117153682532"/>
          <c:y val="8.686612334427126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251443070903417E-2"/>
          <c:y val="7.2313840161061377E-2"/>
          <c:w val="0.90117603616740793"/>
          <c:h val="0.885923402863770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MAY!$K$2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MAY!$J$3:$J$23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HWA</c:v>
                </c:pt>
                <c:pt idx="12">
                  <c:v>ABA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NEI</c:v>
                </c:pt>
                <c:pt idx="17">
                  <c:v>KJM</c:v>
                </c:pt>
                <c:pt idx="18">
                  <c:v>RKB</c:v>
                </c:pt>
                <c:pt idx="19">
                  <c:v>DJA</c:v>
                </c:pt>
                <c:pt idx="20">
                  <c:v>BISM</c:v>
                </c:pt>
              </c:strCache>
            </c:strRef>
          </c:cat>
          <c:val>
            <c:numRef>
              <c:f>MAY!$K$3:$K$23</c:f>
              <c:numCache>
                <c:formatCode>0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8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5-4890-B81F-DA93B208BB7D}"/>
            </c:ext>
          </c:extLst>
        </c:ser>
        <c:ser>
          <c:idx val="1"/>
          <c:order val="1"/>
          <c:tx>
            <c:strRef>
              <c:f>MAY!$L$2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MAY!$J$3:$J$23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HWA</c:v>
                </c:pt>
                <c:pt idx="12">
                  <c:v>ABA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NEI</c:v>
                </c:pt>
                <c:pt idx="17">
                  <c:v>KJM</c:v>
                </c:pt>
                <c:pt idx="18">
                  <c:v>RKB</c:v>
                </c:pt>
                <c:pt idx="19">
                  <c:v>DJA</c:v>
                </c:pt>
                <c:pt idx="20">
                  <c:v>BISM</c:v>
                </c:pt>
              </c:strCache>
            </c:strRef>
          </c:cat>
          <c:val>
            <c:numRef>
              <c:f>MAY!$L$3:$L$23</c:f>
              <c:numCache>
                <c:formatCode>0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8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8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C5-4890-B81F-DA93B208BB7D}"/>
            </c:ext>
          </c:extLst>
        </c:ser>
        <c:ser>
          <c:idx val="2"/>
          <c:order val="2"/>
          <c:tx>
            <c:strRef>
              <c:f>MAY!$M$2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MAY!$J$3:$J$23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HWA</c:v>
                </c:pt>
                <c:pt idx="12">
                  <c:v>ABA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NEI</c:v>
                </c:pt>
                <c:pt idx="17">
                  <c:v>KJM</c:v>
                </c:pt>
                <c:pt idx="18">
                  <c:v>RKB</c:v>
                </c:pt>
                <c:pt idx="19">
                  <c:v>DJA</c:v>
                </c:pt>
                <c:pt idx="20">
                  <c:v>BISM</c:v>
                </c:pt>
              </c:strCache>
            </c:strRef>
          </c:cat>
          <c:val>
            <c:numRef>
              <c:f>MAY!$M$3:$M$23</c:f>
              <c:numCache>
                <c:formatCode>0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8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8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C5-4890-B81F-DA93B208BB7D}"/>
            </c:ext>
          </c:extLst>
        </c:ser>
        <c:ser>
          <c:idx val="3"/>
          <c:order val="3"/>
          <c:tx>
            <c:strRef>
              <c:f>MAY!$N$2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rgbClr val="0070C0"/>
            </a:solidFill>
            <a:ln w="76200"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no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MAY!$J$3:$J$23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HWA</c:v>
                </c:pt>
                <c:pt idx="12">
                  <c:v>ABA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NEI</c:v>
                </c:pt>
                <c:pt idx="17">
                  <c:v>KJM</c:v>
                </c:pt>
                <c:pt idx="18">
                  <c:v>RKB</c:v>
                </c:pt>
                <c:pt idx="19">
                  <c:v>DJA</c:v>
                </c:pt>
                <c:pt idx="20">
                  <c:v>BISM</c:v>
                </c:pt>
              </c:strCache>
            </c:strRef>
          </c:cat>
          <c:val>
            <c:numRef>
              <c:f>MAY!$N$3:$N$23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8.0031999999999996</c:v>
                </c:pt>
                <c:pt idx="5">
                  <c:v>1.992</c:v>
                </c:pt>
                <c:pt idx="6">
                  <c:v>0.98320754716981129</c:v>
                </c:pt>
                <c:pt idx="7">
                  <c:v>0.97226415094339624</c:v>
                </c:pt>
                <c:pt idx="8">
                  <c:v>4.0095999999999998</c:v>
                </c:pt>
                <c:pt idx="9">
                  <c:v>0</c:v>
                </c:pt>
                <c:pt idx="10">
                  <c:v>11.029333333333334</c:v>
                </c:pt>
                <c:pt idx="11">
                  <c:v>0.94509433962264155</c:v>
                </c:pt>
                <c:pt idx="12">
                  <c:v>0</c:v>
                </c:pt>
                <c:pt idx="13">
                  <c:v>0</c:v>
                </c:pt>
                <c:pt idx="14">
                  <c:v>2.0119879999999997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15.084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C5-4890-B81F-DA93B208BB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15"/>
        <c:axId val="1250814351"/>
        <c:axId val="1250835471"/>
      </c:barChart>
      <c:catAx>
        <c:axId val="12508143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35471"/>
        <c:crossesAt val="0"/>
        <c:auto val="1"/>
        <c:lblAlgn val="ctr"/>
        <c:lblOffset val="100"/>
        <c:tickMarkSkip val="1"/>
        <c:noMultiLvlLbl val="0"/>
      </c:catAx>
      <c:valAx>
        <c:axId val="1250835471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dk1"/>
              </a:solidFill>
              <a:prstDash val="sysDot"/>
              <a:miter lim="800000"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143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5">
      <a:fgClr>
        <a:schemeClr val="bg1">
          <a:lumMod val="75000"/>
        </a:schemeClr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Performance</a:t>
            </a:r>
            <a:r>
              <a:rPr lang="en-US" b="1" baseline="0"/>
              <a:t> 3rd Party YTD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425558874106252E-2"/>
          <c:y val="0.10499597099113619"/>
          <c:w val="0.92480304904415689"/>
          <c:h val="0.776837534711867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Sheet1!$D$5</c:f>
              <c:strCache>
                <c:ptCount val="1"/>
                <c:pt idx="0">
                  <c:v>Plan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Sheet1!$C$6:$C$17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Sheet1!$D$6:$D$17</c:f>
              <c:numCache>
                <c:formatCode>_(* #,##0_);_(* \(#,##0\);_(* "-"??_);_(@_)</c:formatCode>
                <c:ptCount val="12"/>
                <c:pt idx="0">
                  <c:v>318000</c:v>
                </c:pt>
                <c:pt idx="1">
                  <c:v>317100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0-42BA-B6C4-AF8A79C87160}"/>
            </c:ext>
          </c:extLst>
        </c:ser>
        <c:ser>
          <c:idx val="1"/>
          <c:order val="1"/>
          <c:tx>
            <c:strRef>
              <c:f>Sheet1!$E$5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Sheet1!$C$6:$C$17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Sheet1!$E$6:$E$17</c:f>
              <c:numCache>
                <c:formatCode>_(* #,##0_);_(* \(#,##0\);_(* "-"??_);_(@_)</c:formatCode>
                <c:ptCount val="12"/>
                <c:pt idx="0">
                  <c:v>253925.34</c:v>
                </c:pt>
                <c:pt idx="1">
                  <c:v>283241.99599999998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20-42BA-B6C4-AF8A79C871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342992"/>
        <c:axId val="404365072"/>
      </c:barChart>
      <c:catAx>
        <c:axId val="40434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365072"/>
        <c:crosses val="autoZero"/>
        <c:auto val="1"/>
        <c:lblAlgn val="ctr"/>
        <c:lblOffset val="100"/>
        <c:noMultiLvlLbl val="0"/>
      </c:catAx>
      <c:valAx>
        <c:axId val="40436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34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259079</xdr:colOff>
      <xdr:row>1</xdr:row>
      <xdr:rowOff>152400</xdr:rowOff>
    </xdr:from>
    <xdr:to>
      <xdr:col>38</xdr:col>
      <xdr:colOff>329512</xdr:colOff>
      <xdr:row>59</xdr:row>
      <xdr:rowOff>123567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85BAF8-F129-2C2A-0367-A4219DFD5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438127</xdr:colOff>
      <xdr:row>61</xdr:row>
      <xdr:rowOff>93009</xdr:rowOff>
    </xdr:from>
    <xdr:to>
      <xdr:col>37</xdr:col>
      <xdr:colOff>485996</xdr:colOff>
      <xdr:row>135</xdr:row>
      <xdr:rowOff>93988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F328B3-A630-4155-8EDA-46C77264498F}"/>
            </a:ext>
            <a:ext uri="{147F2762-F138-4A5C-976F-8EAC2B608ADB}">
              <a16:predDERef xmlns:a16="http://schemas.microsoft.com/office/drawing/2014/main" pred="{C685BAF8-F129-2C2A-0367-A4219DFD5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3</xdr:row>
      <xdr:rowOff>26670</xdr:rowOff>
    </xdr:from>
    <xdr:to>
      <xdr:col>22</xdr:col>
      <xdr:colOff>304800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A84F58-C2E4-672A-5618-86278A3DA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DE75-115E-4010-874C-CEF9C42C7260}">
  <dimension ref="B2:N31"/>
  <sheetViews>
    <sheetView zoomScale="90" zoomScaleNormal="90" workbookViewId="0">
      <selection activeCell="B29" sqref="B29:E31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12.33203125" style="7" customWidth="1"/>
    <col min="7" max="7" width="19.109375" style="1" customWidth="1"/>
    <col min="8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16">
        <v>37500</v>
      </c>
      <c r="D3" s="16">
        <v>22500</v>
      </c>
      <c r="E3" s="16">
        <v>15000</v>
      </c>
      <c r="F3" s="23">
        <v>7504</v>
      </c>
      <c r="H3" s="1">
        <v>7500</v>
      </c>
      <c r="J3" s="3" t="s">
        <v>5</v>
      </c>
      <c r="K3" s="20">
        <f t="shared" ref="K3:K8" si="0">C3/$H$3</f>
        <v>5</v>
      </c>
      <c r="L3" s="20">
        <f t="shared" ref="L3:N8" si="1">D3/$H$3</f>
        <v>3</v>
      </c>
      <c r="M3" s="20">
        <f t="shared" si="1"/>
        <v>2</v>
      </c>
      <c r="N3" s="20">
        <f t="shared" si="1"/>
        <v>1.0005333333333333</v>
      </c>
    </row>
    <row r="4" spans="2:14" x14ac:dyDescent="0.3">
      <c r="B4" s="3" t="s">
        <v>6</v>
      </c>
      <c r="C4" s="16"/>
      <c r="D4" s="16"/>
      <c r="E4" s="16"/>
      <c r="F4" s="16"/>
      <c r="J4" s="3" t="s">
        <v>6</v>
      </c>
      <c r="K4" s="20">
        <f t="shared" si="0"/>
        <v>0</v>
      </c>
      <c r="L4" s="20">
        <f t="shared" ref="L4" si="2">D4/$H$3</f>
        <v>0</v>
      </c>
      <c r="M4" s="20">
        <f t="shared" ref="M4" si="3">E4/$H$3</f>
        <v>0</v>
      </c>
      <c r="N4" s="20">
        <f t="shared" ref="N4" si="4">F4/$H$3</f>
        <v>0</v>
      </c>
    </row>
    <row r="5" spans="2:14" x14ac:dyDescent="0.3">
      <c r="B5" s="3" t="s">
        <v>7</v>
      </c>
      <c r="C5" s="16">
        <v>45000</v>
      </c>
      <c r="D5" s="16">
        <v>45000</v>
      </c>
      <c r="E5" s="16">
        <v>45000</v>
      </c>
      <c r="F5" s="23">
        <v>45000</v>
      </c>
      <c r="H5" s="1">
        <v>5300</v>
      </c>
      <c r="J5" s="3" t="s">
        <v>7</v>
      </c>
      <c r="K5" s="20">
        <f t="shared" si="0"/>
        <v>6</v>
      </c>
      <c r="L5" s="20">
        <f t="shared" si="1"/>
        <v>6</v>
      </c>
      <c r="M5" s="20">
        <f t="shared" si="1"/>
        <v>6</v>
      </c>
      <c r="N5" s="20">
        <f t="shared" si="1"/>
        <v>6</v>
      </c>
    </row>
    <row r="6" spans="2:14" x14ac:dyDescent="0.3">
      <c r="B6" s="3" t="s">
        <v>8</v>
      </c>
      <c r="C6" s="16">
        <v>15000</v>
      </c>
      <c r="D6" s="16">
        <v>15000</v>
      </c>
      <c r="E6" s="16">
        <v>30000</v>
      </c>
      <c r="F6" s="23">
        <v>30000</v>
      </c>
      <c r="H6" s="1">
        <v>5000</v>
      </c>
      <c r="J6" s="3" t="s">
        <v>8</v>
      </c>
      <c r="K6" s="20">
        <f t="shared" si="0"/>
        <v>2</v>
      </c>
      <c r="L6" s="20">
        <f t="shared" si="1"/>
        <v>2</v>
      </c>
      <c r="M6" s="20">
        <f t="shared" si="1"/>
        <v>4</v>
      </c>
      <c r="N6" s="20">
        <f t="shared" si="1"/>
        <v>4</v>
      </c>
    </row>
    <row r="7" spans="2:14" x14ac:dyDescent="0.3">
      <c r="B7" s="3" t="s">
        <v>9</v>
      </c>
      <c r="C7" s="16">
        <v>15000</v>
      </c>
      <c r="D7" s="16">
        <v>15000</v>
      </c>
      <c r="E7" s="16">
        <v>15000</v>
      </c>
      <c r="F7" s="23">
        <v>15101.1</v>
      </c>
      <c r="G7" s="1" t="s">
        <v>10</v>
      </c>
      <c r="H7" s="1">
        <v>4000</v>
      </c>
      <c r="J7" s="3" t="s">
        <v>9</v>
      </c>
      <c r="K7" s="20">
        <f t="shared" si="0"/>
        <v>2</v>
      </c>
      <c r="L7" s="20">
        <f t="shared" si="1"/>
        <v>2</v>
      </c>
      <c r="M7" s="20">
        <f t="shared" si="1"/>
        <v>2</v>
      </c>
      <c r="N7" s="20">
        <f t="shared" si="1"/>
        <v>2.0134799999999999</v>
      </c>
    </row>
    <row r="8" spans="2:14" x14ac:dyDescent="0.3">
      <c r="B8" s="3" t="s">
        <v>11</v>
      </c>
      <c r="C8" s="16">
        <v>22500</v>
      </c>
      <c r="D8" s="16">
        <v>22500</v>
      </c>
      <c r="E8" s="16">
        <v>22500</v>
      </c>
      <c r="F8" s="23">
        <v>22494</v>
      </c>
      <c r="G8" s="1" t="s">
        <v>12</v>
      </c>
      <c r="J8" s="3" t="s">
        <v>11</v>
      </c>
      <c r="K8" s="20">
        <f t="shared" si="0"/>
        <v>3</v>
      </c>
      <c r="L8" s="20">
        <f t="shared" si="1"/>
        <v>3</v>
      </c>
      <c r="M8" s="20">
        <f t="shared" si="1"/>
        <v>3</v>
      </c>
      <c r="N8" s="20">
        <f t="shared" si="1"/>
        <v>2.9992000000000001</v>
      </c>
    </row>
    <row r="9" spans="2:14" x14ac:dyDescent="0.3">
      <c r="B9" s="3" t="s">
        <v>13</v>
      </c>
      <c r="C9" s="16">
        <v>21200</v>
      </c>
      <c r="D9" s="16">
        <v>21200</v>
      </c>
      <c r="E9" s="16">
        <v>21200</v>
      </c>
      <c r="F9" s="23">
        <v>10562</v>
      </c>
      <c r="J9" s="3" t="s">
        <v>13</v>
      </c>
      <c r="K9" s="20">
        <f>C9/$H$5</f>
        <v>4</v>
      </c>
      <c r="L9" s="20">
        <f t="shared" ref="L9:N9" si="5">D9/$H$5</f>
        <v>4</v>
      </c>
      <c r="M9" s="20">
        <f t="shared" si="5"/>
        <v>4</v>
      </c>
      <c r="N9" s="20">
        <f t="shared" si="5"/>
        <v>1.9928301886792452</v>
      </c>
    </row>
    <row r="10" spans="2:14" x14ac:dyDescent="0.3">
      <c r="B10" s="3" t="s">
        <v>14</v>
      </c>
      <c r="C10" s="16">
        <v>15900</v>
      </c>
      <c r="D10" s="16">
        <v>26500</v>
      </c>
      <c r="E10" s="16">
        <v>26500</v>
      </c>
      <c r="F10" s="23">
        <v>15550</v>
      </c>
      <c r="G10" s="1" t="s">
        <v>15</v>
      </c>
      <c r="J10" s="3" t="s">
        <v>14</v>
      </c>
      <c r="K10" s="20">
        <f>C10/$H$5</f>
        <v>3</v>
      </c>
      <c r="L10" s="20">
        <f t="shared" ref="L10:N10" si="6">D10/$H$5</f>
        <v>5</v>
      </c>
      <c r="M10" s="20">
        <f t="shared" si="6"/>
        <v>5</v>
      </c>
      <c r="N10" s="20">
        <f t="shared" si="6"/>
        <v>2.9339622641509435</v>
      </c>
    </row>
    <row r="11" spans="2:14" x14ac:dyDescent="0.3">
      <c r="B11" s="3" t="s">
        <v>16</v>
      </c>
      <c r="C11" s="16">
        <v>30000</v>
      </c>
      <c r="D11" s="16">
        <v>30000</v>
      </c>
      <c r="E11" s="16">
        <v>30000</v>
      </c>
      <c r="F11" s="23">
        <v>32304</v>
      </c>
      <c r="J11" s="3" t="s">
        <v>16</v>
      </c>
      <c r="K11" s="20">
        <f>C11/$H$3</f>
        <v>4</v>
      </c>
      <c r="L11" s="20">
        <f t="shared" ref="L11:N11" si="7">D11/$H$3</f>
        <v>4</v>
      </c>
      <c r="M11" s="20">
        <f t="shared" si="7"/>
        <v>4</v>
      </c>
      <c r="N11" s="20">
        <f t="shared" si="7"/>
        <v>4.3071999999999999</v>
      </c>
    </row>
    <row r="12" spans="2:14" x14ac:dyDescent="0.3">
      <c r="B12" s="3" t="s">
        <v>17</v>
      </c>
      <c r="C12" s="16">
        <v>10600</v>
      </c>
      <c r="D12" s="16">
        <v>0</v>
      </c>
      <c r="E12" s="16">
        <v>0</v>
      </c>
      <c r="F12" s="16">
        <v>0</v>
      </c>
      <c r="J12" s="3" t="s">
        <v>17</v>
      </c>
      <c r="K12" s="20">
        <f>C12/$H$5</f>
        <v>2</v>
      </c>
      <c r="L12" s="20">
        <f t="shared" ref="L12:N12" si="8">D12/$H$5</f>
        <v>0</v>
      </c>
      <c r="M12" s="20">
        <f t="shared" si="8"/>
        <v>0</v>
      </c>
      <c r="N12" s="20">
        <f t="shared" si="8"/>
        <v>0</v>
      </c>
    </row>
    <row r="13" spans="2:14" x14ac:dyDescent="0.3">
      <c r="B13" s="3" t="s">
        <v>18</v>
      </c>
      <c r="C13" s="16">
        <v>52500</v>
      </c>
      <c r="D13" s="16">
        <v>52500</v>
      </c>
      <c r="E13" s="16">
        <v>37500</v>
      </c>
      <c r="F13" s="23">
        <v>45069.9</v>
      </c>
      <c r="J13" s="3" t="s">
        <v>18</v>
      </c>
      <c r="K13" s="20">
        <f>C13/$H$3</f>
        <v>7</v>
      </c>
      <c r="L13" s="20">
        <f>D13/$H$3</f>
        <v>7</v>
      </c>
      <c r="M13" s="20">
        <f>E13/$H$3</f>
        <v>5</v>
      </c>
      <c r="N13" s="20">
        <f>F13/$H$3</f>
        <v>6.0093199999999998</v>
      </c>
    </row>
    <row r="14" spans="2:14" x14ac:dyDescent="0.3">
      <c r="B14" s="3" t="s">
        <v>19</v>
      </c>
      <c r="C14" s="16"/>
      <c r="D14" s="16"/>
      <c r="E14" s="16"/>
      <c r="F14" s="16"/>
      <c r="J14" s="3" t="s">
        <v>19</v>
      </c>
      <c r="K14" s="20">
        <f>C14/$H$3</f>
        <v>0</v>
      </c>
      <c r="L14" s="20">
        <f t="shared" ref="L14:N14" si="9">D14/$H$3</f>
        <v>0</v>
      </c>
      <c r="M14" s="20">
        <f t="shared" si="9"/>
        <v>0</v>
      </c>
      <c r="N14" s="20">
        <f t="shared" si="9"/>
        <v>0</v>
      </c>
    </row>
    <row r="15" spans="2:14" x14ac:dyDescent="0.3">
      <c r="B15" s="3" t="s">
        <v>20</v>
      </c>
      <c r="C15" s="16"/>
      <c r="D15" s="16"/>
      <c r="E15" s="16"/>
      <c r="F15" s="16"/>
      <c r="J15" s="3" t="s">
        <v>20</v>
      </c>
      <c r="K15" s="20">
        <f>C15/$H$3</f>
        <v>0</v>
      </c>
      <c r="L15" s="20">
        <f t="shared" ref="L15" si="10">D15/$H$3</f>
        <v>0</v>
      </c>
      <c r="M15" s="20">
        <f t="shared" ref="M15" si="11">E15/$H$3</f>
        <v>0</v>
      </c>
      <c r="N15" s="20">
        <f t="shared" ref="N15" si="12">F15/$H$3</f>
        <v>0</v>
      </c>
    </row>
    <row r="16" spans="2:14" x14ac:dyDescent="0.3">
      <c r="B16" s="3" t="s">
        <v>21</v>
      </c>
      <c r="C16" s="16"/>
      <c r="D16" s="16"/>
      <c r="E16" s="16"/>
      <c r="F16" s="16"/>
      <c r="J16" s="3" t="s">
        <v>21</v>
      </c>
      <c r="K16" s="20">
        <f>C16/$H$7</f>
        <v>0</v>
      </c>
      <c r="L16" s="20">
        <f t="shared" ref="L16:N16" si="13">D16/$H$7</f>
        <v>0</v>
      </c>
      <c r="M16" s="20">
        <f t="shared" si="13"/>
        <v>0</v>
      </c>
      <c r="N16" s="20">
        <f t="shared" si="13"/>
        <v>0</v>
      </c>
    </row>
    <row r="17" spans="2:14" x14ac:dyDescent="0.3">
      <c r="B17" s="3" t="s">
        <v>22</v>
      </c>
      <c r="C17" s="16">
        <v>15000</v>
      </c>
      <c r="D17" s="16">
        <v>15000</v>
      </c>
      <c r="E17" s="16">
        <v>15000</v>
      </c>
      <c r="F17" s="23">
        <v>15168.34</v>
      </c>
      <c r="G17" s="1" t="s">
        <v>23</v>
      </c>
      <c r="J17" s="3" t="s">
        <v>22</v>
      </c>
      <c r="K17" s="20">
        <f>C17/$H$6</f>
        <v>3</v>
      </c>
      <c r="L17" s="20">
        <f t="shared" ref="L17:N17" si="14">D17/$H$6</f>
        <v>3</v>
      </c>
      <c r="M17" s="20">
        <f t="shared" si="14"/>
        <v>3</v>
      </c>
      <c r="N17" s="20">
        <f t="shared" si="14"/>
        <v>3.033668</v>
      </c>
    </row>
    <row r="18" spans="2:14" x14ac:dyDescent="0.3">
      <c r="B18" s="3" t="s">
        <v>24</v>
      </c>
      <c r="C18" s="16"/>
      <c r="D18" s="16"/>
      <c r="E18" s="16"/>
      <c r="F18" s="16"/>
      <c r="J18" s="3" t="s">
        <v>24</v>
      </c>
      <c r="K18" s="20">
        <f>C18/$H$3</f>
        <v>0</v>
      </c>
      <c r="L18" s="20">
        <f t="shared" ref="L18:N18" si="15">D18/$H$3</f>
        <v>0</v>
      </c>
      <c r="M18" s="20">
        <f t="shared" si="15"/>
        <v>0</v>
      </c>
      <c r="N18" s="20">
        <f t="shared" si="15"/>
        <v>0</v>
      </c>
    </row>
    <row r="19" spans="2:14" x14ac:dyDescent="0.3">
      <c r="B19" s="3" t="s">
        <v>25</v>
      </c>
      <c r="C19" s="16"/>
      <c r="D19" s="16"/>
      <c r="E19" s="16"/>
      <c r="F19" s="16"/>
      <c r="J19" s="3" t="s">
        <v>25</v>
      </c>
      <c r="K19" s="20">
        <f>C19/$H$7</f>
        <v>0</v>
      </c>
      <c r="L19" s="20">
        <f t="shared" ref="L19:N19" si="16">D19/$H$7</f>
        <v>0</v>
      </c>
      <c r="M19" s="20">
        <f>E19/$H$7</f>
        <v>0</v>
      </c>
      <c r="N19" s="20">
        <f t="shared" si="16"/>
        <v>0</v>
      </c>
    </row>
    <row r="20" spans="2:14" x14ac:dyDescent="0.3">
      <c r="B20" s="3" t="s">
        <v>26</v>
      </c>
      <c r="C20" s="16"/>
      <c r="D20" s="16"/>
      <c r="E20" s="16"/>
      <c r="F20" s="16"/>
      <c r="J20" s="3" t="s">
        <v>26</v>
      </c>
      <c r="K20" s="20">
        <f>C20/$H$3</f>
        <v>0</v>
      </c>
      <c r="L20" s="20">
        <f t="shared" ref="L20:N23" si="17">D20/$H$3</f>
        <v>0</v>
      </c>
      <c r="M20" s="20">
        <f t="shared" si="17"/>
        <v>0</v>
      </c>
      <c r="N20" s="20">
        <f t="shared" si="17"/>
        <v>0</v>
      </c>
    </row>
    <row r="21" spans="2:14" x14ac:dyDescent="0.3">
      <c r="B21" s="3" t="s">
        <v>27</v>
      </c>
      <c r="C21" s="16"/>
      <c r="D21" s="16"/>
      <c r="E21" s="16"/>
      <c r="F21" s="16"/>
      <c r="J21" s="3" t="s">
        <v>27</v>
      </c>
      <c r="K21" s="20">
        <f t="shared" ref="K21:K23" si="18">C21/$H$3</f>
        <v>0</v>
      </c>
      <c r="L21" s="20">
        <f t="shared" si="17"/>
        <v>0</v>
      </c>
      <c r="M21" s="20">
        <f t="shared" si="17"/>
        <v>0</v>
      </c>
      <c r="N21" s="20">
        <f t="shared" si="17"/>
        <v>0</v>
      </c>
    </row>
    <row r="22" spans="2:14" x14ac:dyDescent="0.3">
      <c r="B22" s="3" t="s">
        <v>28</v>
      </c>
      <c r="C22" s="16"/>
      <c r="D22" s="16"/>
      <c r="E22" s="16"/>
      <c r="F22" s="16"/>
      <c r="J22" s="3" t="s">
        <v>28</v>
      </c>
      <c r="K22" s="20">
        <f t="shared" si="18"/>
        <v>0</v>
      </c>
      <c r="L22" s="20">
        <f t="shared" si="17"/>
        <v>0</v>
      </c>
      <c r="M22" s="20">
        <f t="shared" si="17"/>
        <v>0</v>
      </c>
      <c r="N22" s="20">
        <f t="shared" si="17"/>
        <v>0</v>
      </c>
    </row>
    <row r="23" spans="2:14" x14ac:dyDescent="0.3">
      <c r="B23" s="3" t="s">
        <v>29</v>
      </c>
      <c r="C23" s="16">
        <v>52500</v>
      </c>
      <c r="D23" s="16">
        <v>52500</v>
      </c>
      <c r="E23" s="16">
        <v>52500</v>
      </c>
      <c r="F23" s="23">
        <v>15172</v>
      </c>
      <c r="J23" s="3" t="s">
        <v>29</v>
      </c>
      <c r="K23" s="20">
        <f t="shared" si="18"/>
        <v>7</v>
      </c>
      <c r="L23" s="20">
        <f t="shared" si="17"/>
        <v>7</v>
      </c>
      <c r="M23" s="20">
        <f t="shared" si="17"/>
        <v>7</v>
      </c>
      <c r="N23" s="20">
        <f t="shared" si="17"/>
        <v>2.0229333333333335</v>
      </c>
    </row>
    <row r="25" spans="2:14" x14ac:dyDescent="0.3">
      <c r="C25" s="7">
        <f>SUM(C3:C23)</f>
        <v>332700</v>
      </c>
      <c r="D25" s="7">
        <f t="shared" ref="D25:F25" si="19">SUM(D3:D23)</f>
        <v>317700</v>
      </c>
      <c r="E25" s="7">
        <f t="shared" si="19"/>
        <v>310200</v>
      </c>
      <c r="F25" s="7">
        <f t="shared" si="19"/>
        <v>253925.34</v>
      </c>
    </row>
    <row r="26" spans="2:14" x14ac:dyDescent="0.3">
      <c r="F26" s="24">
        <f>F25/C25</f>
        <v>0.76322614968440039</v>
      </c>
    </row>
    <row r="29" spans="2:14" x14ac:dyDescent="0.3">
      <c r="B29" s="1" t="s">
        <v>30</v>
      </c>
      <c r="C29" s="7" t="s">
        <v>31</v>
      </c>
    </row>
    <row r="30" spans="2:14" x14ac:dyDescent="0.3">
      <c r="B30" s="1" t="s">
        <v>32</v>
      </c>
      <c r="C30" s="7" t="s">
        <v>33</v>
      </c>
    </row>
    <row r="31" spans="2:14" x14ac:dyDescent="0.3">
      <c r="B31" s="1" t="s">
        <v>34</v>
      </c>
      <c r="C31" s="7" t="s">
        <v>35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83C2-46D0-4FBD-AF57-E959E8EF1794}">
  <dimension ref="B2:N31"/>
  <sheetViews>
    <sheetView zoomScale="70" zoomScaleNormal="70" workbookViewId="0">
      <selection activeCell="F3" sqref="F3:F23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9.88671875" style="7" customWidth="1"/>
    <col min="7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>
        <v>7500</v>
      </c>
      <c r="D3" s="6">
        <v>7500</v>
      </c>
      <c r="E3" s="6">
        <v>7500</v>
      </c>
      <c r="F3" s="23">
        <v>7625</v>
      </c>
      <c r="H3" s="1">
        <v>7500</v>
      </c>
      <c r="J3" s="3" t="s">
        <v>5</v>
      </c>
      <c r="K3" s="20">
        <f t="shared" ref="K3:K8" si="0">C3/$H$3</f>
        <v>1</v>
      </c>
      <c r="L3" s="20">
        <f t="shared" ref="L3:N8" si="1">D3/$H$3</f>
        <v>1</v>
      </c>
      <c r="M3" s="20">
        <f t="shared" si="1"/>
        <v>1</v>
      </c>
      <c r="N3" s="20">
        <f t="shared" si="1"/>
        <v>1.0166666666666666</v>
      </c>
    </row>
    <row r="4" spans="2:14" x14ac:dyDescent="0.3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>
        <v>45000</v>
      </c>
      <c r="D5" s="6">
        <v>45000</v>
      </c>
      <c r="E5" s="6">
        <v>45000</v>
      </c>
      <c r="F5" s="23">
        <v>45000</v>
      </c>
      <c r="H5" s="1">
        <v>5300</v>
      </c>
      <c r="J5" s="3" t="s">
        <v>7</v>
      </c>
      <c r="K5" s="20">
        <f t="shared" si="0"/>
        <v>6</v>
      </c>
      <c r="L5" s="20">
        <f t="shared" si="1"/>
        <v>6</v>
      </c>
      <c r="M5" s="20">
        <f t="shared" si="1"/>
        <v>6</v>
      </c>
      <c r="N5" s="20">
        <f t="shared" si="1"/>
        <v>6</v>
      </c>
    </row>
    <row r="6" spans="2:14" x14ac:dyDescent="0.3">
      <c r="B6" s="3" t="s">
        <v>8</v>
      </c>
      <c r="C6" s="6">
        <v>30000</v>
      </c>
      <c r="D6" s="6">
        <v>30000</v>
      </c>
      <c r="E6" s="6">
        <v>30000</v>
      </c>
      <c r="F6" s="23">
        <v>30000</v>
      </c>
      <c r="H6" s="1">
        <v>5000</v>
      </c>
      <c r="J6" s="3" t="s">
        <v>8</v>
      </c>
      <c r="K6" s="20">
        <f t="shared" si="0"/>
        <v>4</v>
      </c>
      <c r="L6" s="20">
        <f t="shared" si="1"/>
        <v>4</v>
      </c>
      <c r="M6" s="20">
        <f t="shared" si="1"/>
        <v>4</v>
      </c>
      <c r="N6" s="20">
        <f t="shared" si="1"/>
        <v>4</v>
      </c>
    </row>
    <row r="7" spans="2:14" x14ac:dyDescent="0.3">
      <c r="B7" s="3" t="s">
        <v>9</v>
      </c>
      <c r="C7" s="6">
        <v>0</v>
      </c>
      <c r="D7" s="6">
        <v>0</v>
      </c>
      <c r="E7" s="6">
        <v>0</v>
      </c>
      <c r="F7" s="23">
        <v>0</v>
      </c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">
      <c r="B8" s="3" t="s">
        <v>11</v>
      </c>
      <c r="C8" s="6">
        <v>22500</v>
      </c>
      <c r="D8" s="6">
        <v>22500</v>
      </c>
      <c r="E8" s="6">
        <v>22500</v>
      </c>
      <c r="F8" s="23">
        <v>14879</v>
      </c>
      <c r="J8" s="3" t="s">
        <v>11</v>
      </c>
      <c r="K8" s="20">
        <f t="shared" si="0"/>
        <v>3</v>
      </c>
      <c r="L8" s="20">
        <f t="shared" si="1"/>
        <v>3</v>
      </c>
      <c r="M8" s="20">
        <f t="shared" si="1"/>
        <v>3</v>
      </c>
      <c r="N8" s="20">
        <f t="shared" si="1"/>
        <v>1.9838666666666667</v>
      </c>
    </row>
    <row r="9" spans="2:14" x14ac:dyDescent="0.3">
      <c r="B9" s="3" t="s">
        <v>13</v>
      </c>
      <c r="C9" s="6">
        <v>15900</v>
      </c>
      <c r="D9" s="6">
        <v>15900</v>
      </c>
      <c r="E9" s="6">
        <v>15900</v>
      </c>
      <c r="F9" s="23">
        <f>10312</f>
        <v>10312</v>
      </c>
      <c r="J9" s="3" t="s">
        <v>13</v>
      </c>
      <c r="K9" s="20">
        <f>C9/$H$5</f>
        <v>3</v>
      </c>
      <c r="L9" s="20">
        <f t="shared" ref="L9:N10" si="2">D9/$H$5</f>
        <v>3</v>
      </c>
      <c r="M9" s="20">
        <f t="shared" si="2"/>
        <v>3</v>
      </c>
      <c r="N9" s="20">
        <f t="shared" si="2"/>
        <v>1.9456603773584906</v>
      </c>
    </row>
    <row r="10" spans="2:14" x14ac:dyDescent="0.3">
      <c r="B10" s="3" t="s">
        <v>14</v>
      </c>
      <c r="C10" s="6">
        <f>15900+5300</f>
        <v>21200</v>
      </c>
      <c r="D10" s="6">
        <v>21200</v>
      </c>
      <c r="E10" s="6">
        <v>21200</v>
      </c>
      <c r="F10" s="23">
        <v>20679</v>
      </c>
      <c r="J10" s="3" t="s">
        <v>14</v>
      </c>
      <c r="K10" s="20">
        <f>C10/$H$5</f>
        <v>4</v>
      </c>
      <c r="L10" s="20">
        <f t="shared" si="2"/>
        <v>4</v>
      </c>
      <c r="M10" s="20">
        <f t="shared" si="2"/>
        <v>4</v>
      </c>
      <c r="N10" s="20">
        <f t="shared" si="2"/>
        <v>3.901698113207547</v>
      </c>
    </row>
    <row r="11" spans="2:14" x14ac:dyDescent="0.3">
      <c r="B11" s="3" t="s">
        <v>16</v>
      </c>
      <c r="C11" s="6">
        <v>30000</v>
      </c>
      <c r="D11" s="6">
        <v>30000</v>
      </c>
      <c r="E11" s="6">
        <v>30000</v>
      </c>
      <c r="F11" s="23">
        <v>30011</v>
      </c>
      <c r="J11" s="3" t="s">
        <v>16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4.0014666666666665</v>
      </c>
    </row>
    <row r="12" spans="2:14" x14ac:dyDescent="0.3">
      <c r="B12" s="3" t="s">
        <v>17</v>
      </c>
      <c r="C12" s="6">
        <v>0</v>
      </c>
      <c r="D12" s="6">
        <v>5300</v>
      </c>
      <c r="E12" s="6">
        <v>5300</v>
      </c>
      <c r="F12" s="23">
        <v>5121</v>
      </c>
      <c r="J12" s="3" t="s">
        <v>17</v>
      </c>
      <c r="K12" s="20">
        <f>C12/$H$5</f>
        <v>0</v>
      </c>
      <c r="L12" s="20">
        <f t="shared" ref="L12:N12" si="4">D12/$H$5</f>
        <v>1</v>
      </c>
      <c r="M12" s="20">
        <f t="shared" si="4"/>
        <v>1</v>
      </c>
      <c r="N12" s="20">
        <f t="shared" si="4"/>
        <v>0.9662264150943396</v>
      </c>
    </row>
    <row r="13" spans="2:14" x14ac:dyDescent="0.3">
      <c r="B13" s="3" t="s">
        <v>18</v>
      </c>
      <c r="C13" s="6">
        <v>52500</v>
      </c>
      <c r="D13" s="6">
        <v>52500</v>
      </c>
      <c r="E13" s="6">
        <v>52500</v>
      </c>
      <c r="F13" s="23">
        <v>37457</v>
      </c>
      <c r="J13" s="3" t="s">
        <v>18</v>
      </c>
      <c r="K13" s="20">
        <f>C13/$H$3</f>
        <v>7</v>
      </c>
      <c r="L13" s="20">
        <f>D13/$H$3</f>
        <v>7</v>
      </c>
      <c r="M13" s="20">
        <f>E13/$H$3</f>
        <v>7</v>
      </c>
      <c r="N13" s="20">
        <f>F13/$H$3</f>
        <v>4.9942666666666664</v>
      </c>
    </row>
    <row r="14" spans="2:14" x14ac:dyDescent="0.3">
      <c r="B14" s="3" t="s">
        <v>19</v>
      </c>
      <c r="C14" s="6"/>
      <c r="D14" s="6"/>
      <c r="E14" s="6"/>
      <c r="F14" s="23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21</v>
      </c>
      <c r="C16" s="6"/>
      <c r="D16" s="6"/>
      <c r="E16" s="6"/>
      <c r="F16" s="23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">
      <c r="B17" s="3" t="s">
        <v>22</v>
      </c>
      <c r="C17" s="6">
        <v>15000</v>
      </c>
      <c r="D17" s="6">
        <v>10000</v>
      </c>
      <c r="E17" s="6">
        <v>10000</v>
      </c>
      <c r="F17" s="23">
        <v>15269.5</v>
      </c>
      <c r="J17" s="3" t="s">
        <v>22</v>
      </c>
      <c r="K17" s="20">
        <f>C17/$H$6</f>
        <v>3</v>
      </c>
      <c r="L17" s="20">
        <f t="shared" ref="L17:N17" si="7">D17/$H$6</f>
        <v>2</v>
      </c>
      <c r="M17" s="20">
        <f t="shared" si="7"/>
        <v>2</v>
      </c>
      <c r="N17" s="20">
        <f t="shared" si="7"/>
        <v>3.0539000000000001</v>
      </c>
    </row>
    <row r="18" spans="2:14" x14ac:dyDescent="0.3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0" t="s">
        <v>36</v>
      </c>
      <c r="C19" s="6">
        <v>7500</v>
      </c>
      <c r="D19" s="6">
        <v>7500</v>
      </c>
      <c r="E19" s="6"/>
      <c r="F19" s="6"/>
      <c r="J19" s="30" t="s">
        <v>36</v>
      </c>
      <c r="K19" s="20">
        <f>C19/$H$3</f>
        <v>1</v>
      </c>
      <c r="L19" s="20">
        <f>D19/$H$3</f>
        <v>1</v>
      </c>
      <c r="M19" s="20">
        <f>E19/$H$3</f>
        <v>0</v>
      </c>
      <c r="N19" s="20">
        <f>F19/$H$3</f>
        <v>0</v>
      </c>
    </row>
    <row r="20" spans="2:14" x14ac:dyDescent="0.3">
      <c r="B20" s="3" t="s">
        <v>26</v>
      </c>
      <c r="C20" s="6"/>
      <c r="D20" s="6"/>
      <c r="E20" s="6"/>
      <c r="F20" s="23"/>
      <c r="J20" s="3" t="s">
        <v>26</v>
      </c>
      <c r="K20" s="20">
        <f>C20/$H$3</f>
        <v>0</v>
      </c>
      <c r="L20" s="20">
        <f t="shared" ref="L20:N23" si="9">D20/$H$3</f>
        <v>0</v>
      </c>
      <c r="M20" s="20">
        <f t="shared" si="9"/>
        <v>0</v>
      </c>
      <c r="N20" s="20">
        <f t="shared" si="9"/>
        <v>0</v>
      </c>
    </row>
    <row r="21" spans="2:14" x14ac:dyDescent="0.3">
      <c r="B21" s="30" t="s">
        <v>37</v>
      </c>
      <c r="C21" s="6">
        <v>5300</v>
      </c>
      <c r="D21" s="6">
        <v>0</v>
      </c>
      <c r="E21" s="6"/>
      <c r="F21" s="6"/>
      <c r="J21" s="30" t="s">
        <v>37</v>
      </c>
      <c r="K21" s="20">
        <f>C21/$H$5</f>
        <v>1</v>
      </c>
      <c r="L21" s="20">
        <f t="shared" si="9"/>
        <v>0</v>
      </c>
      <c r="M21" s="20">
        <f t="shared" si="9"/>
        <v>0</v>
      </c>
      <c r="N21" s="20">
        <f t="shared" si="9"/>
        <v>0</v>
      </c>
    </row>
    <row r="22" spans="2:14" x14ac:dyDescent="0.3">
      <c r="B22" s="3" t="s">
        <v>38</v>
      </c>
      <c r="C22" s="6"/>
      <c r="D22" s="6"/>
      <c r="E22" s="6"/>
      <c r="F22" s="23"/>
      <c r="J22" s="3" t="s">
        <v>38</v>
      </c>
      <c r="K22" s="20">
        <f t="shared" ref="K22:K23" si="10">C22/$H$3</f>
        <v>0</v>
      </c>
      <c r="L22" s="20">
        <f t="shared" si="9"/>
        <v>0</v>
      </c>
      <c r="M22" s="20">
        <f t="shared" si="9"/>
        <v>0</v>
      </c>
      <c r="N22" s="20">
        <f t="shared" si="9"/>
        <v>0</v>
      </c>
    </row>
    <row r="23" spans="2:14" x14ac:dyDescent="0.3">
      <c r="B23" s="3" t="s">
        <v>29</v>
      </c>
      <c r="C23" s="6">
        <v>52500</v>
      </c>
      <c r="D23" s="6">
        <v>52500</v>
      </c>
      <c r="E23" s="6">
        <v>52500</v>
      </c>
      <c r="F23" s="23">
        <v>60061</v>
      </c>
      <c r="J23" s="3" t="s">
        <v>29</v>
      </c>
      <c r="K23" s="20">
        <f t="shared" si="10"/>
        <v>7</v>
      </c>
      <c r="L23" s="20">
        <f t="shared" si="9"/>
        <v>7</v>
      </c>
      <c r="M23" s="20">
        <f t="shared" si="9"/>
        <v>7</v>
      </c>
      <c r="N23" s="20">
        <f t="shared" si="9"/>
        <v>8.0081333333333333</v>
      </c>
    </row>
    <row r="24" spans="2:14" x14ac:dyDescent="0.3">
      <c r="C24" s="7">
        <f>SUM(C3:C23)</f>
        <v>304900</v>
      </c>
      <c r="D24" s="7">
        <f t="shared" ref="D24:E24" si="11">SUM(D3:D23)</f>
        <v>299900</v>
      </c>
      <c r="E24" s="7">
        <f t="shared" si="11"/>
        <v>292400</v>
      </c>
      <c r="F24" s="7">
        <f>SUM(F3:F23)</f>
        <v>276414.5</v>
      </c>
      <c r="H24" s="27">
        <f>F24/C24</f>
        <v>0.90657428665136108</v>
      </c>
    </row>
    <row r="28" spans="2:14" x14ac:dyDescent="0.3">
      <c r="H28" s="31">
        <f>9/21</f>
        <v>0.42857142857142855</v>
      </c>
    </row>
    <row r="29" spans="2:14" x14ac:dyDescent="0.3">
      <c r="B29" s="1" t="s">
        <v>30</v>
      </c>
      <c r="C29" s="7" t="s">
        <v>39</v>
      </c>
    </row>
    <row r="30" spans="2:14" x14ac:dyDescent="0.3">
      <c r="B30" s="1" t="s">
        <v>32</v>
      </c>
      <c r="C30" s="7" t="s">
        <v>40</v>
      </c>
    </row>
    <row r="31" spans="2:14" x14ac:dyDescent="0.3">
      <c r="B31" s="1" t="s">
        <v>34</v>
      </c>
      <c r="C31" s="7" t="s">
        <v>41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38DA-E15B-4C9E-A5AD-7396C599B9B0}">
  <dimension ref="B2:N28"/>
  <sheetViews>
    <sheetView zoomScale="90" zoomScaleNormal="90" workbookViewId="0">
      <selection activeCell="B19" sqref="B19:B22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10" style="7" customWidth="1"/>
    <col min="7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>
        <v>15000</v>
      </c>
      <c r="D3" s="6">
        <v>15000</v>
      </c>
      <c r="E3" s="6">
        <v>7500</v>
      </c>
      <c r="F3" s="16">
        <v>7625</v>
      </c>
      <c r="G3" s="1" t="s">
        <v>42</v>
      </c>
      <c r="H3" s="1">
        <v>7500</v>
      </c>
      <c r="J3" s="3" t="s">
        <v>5</v>
      </c>
      <c r="K3" s="20">
        <f t="shared" ref="K3:K8" si="0">C3/$H$3</f>
        <v>2</v>
      </c>
      <c r="L3" s="20">
        <f t="shared" ref="L3:N8" si="1">D3/$H$3</f>
        <v>2</v>
      </c>
      <c r="M3" s="20">
        <f t="shared" si="1"/>
        <v>1</v>
      </c>
      <c r="N3" s="20">
        <f t="shared" si="1"/>
        <v>1.0166666666666666</v>
      </c>
    </row>
    <row r="4" spans="2:14" x14ac:dyDescent="0.3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>
        <v>22500</v>
      </c>
      <c r="D5" s="6">
        <v>22500</v>
      </c>
      <c r="E5" s="6">
        <v>22500</v>
      </c>
      <c r="F5" s="6">
        <v>22500</v>
      </c>
      <c r="G5" s="1" t="s">
        <v>43</v>
      </c>
      <c r="H5" s="1">
        <v>5300</v>
      </c>
      <c r="J5" s="3" t="s">
        <v>7</v>
      </c>
      <c r="K5" s="20">
        <f t="shared" si="0"/>
        <v>3</v>
      </c>
      <c r="L5" s="20">
        <f t="shared" si="1"/>
        <v>3</v>
      </c>
      <c r="M5" s="20">
        <f t="shared" si="1"/>
        <v>3</v>
      </c>
      <c r="N5" s="20">
        <f t="shared" si="1"/>
        <v>3</v>
      </c>
    </row>
    <row r="6" spans="2:14" x14ac:dyDescent="0.3">
      <c r="B6" s="3" t="s">
        <v>8</v>
      </c>
      <c r="C6" s="6">
        <v>15000</v>
      </c>
      <c r="D6" s="6">
        <v>15000</v>
      </c>
      <c r="E6" s="6">
        <v>15000</v>
      </c>
      <c r="F6" s="6">
        <v>15000</v>
      </c>
      <c r="G6" s="1" t="s">
        <v>43</v>
      </c>
      <c r="H6" s="1">
        <v>5000</v>
      </c>
      <c r="J6" s="3" t="s">
        <v>8</v>
      </c>
      <c r="K6" s="20">
        <f t="shared" si="0"/>
        <v>2</v>
      </c>
      <c r="L6" s="20">
        <f t="shared" si="1"/>
        <v>2</v>
      </c>
      <c r="M6" s="20">
        <f t="shared" si="1"/>
        <v>2</v>
      </c>
      <c r="N6" s="20">
        <f t="shared" si="1"/>
        <v>2</v>
      </c>
    </row>
    <row r="7" spans="2:14" x14ac:dyDescent="0.3">
      <c r="B7" s="3" t="s">
        <v>9</v>
      </c>
      <c r="C7" s="6"/>
      <c r="D7" s="6"/>
      <c r="E7" s="6"/>
      <c r="F7" s="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">
      <c r="B8" s="3" t="s">
        <v>11</v>
      </c>
      <c r="C8" s="6">
        <v>22500</v>
      </c>
      <c r="D8" s="6">
        <v>22500</v>
      </c>
      <c r="E8" s="6">
        <v>22500</v>
      </c>
      <c r="F8" s="16">
        <v>14926</v>
      </c>
      <c r="G8" s="1" t="s">
        <v>42</v>
      </c>
      <c r="J8" s="3" t="s">
        <v>11</v>
      </c>
      <c r="K8" s="20">
        <f t="shared" si="0"/>
        <v>3</v>
      </c>
      <c r="L8" s="20">
        <f t="shared" si="1"/>
        <v>3</v>
      </c>
      <c r="M8" s="20">
        <f t="shared" si="1"/>
        <v>3</v>
      </c>
      <c r="N8" s="20">
        <f t="shared" si="1"/>
        <v>1.9901333333333333</v>
      </c>
    </row>
    <row r="9" spans="2:14" x14ac:dyDescent="0.3">
      <c r="B9" s="3" t="s">
        <v>13</v>
      </c>
      <c r="C9" s="6">
        <v>15900</v>
      </c>
      <c r="D9" s="6">
        <v>15900</v>
      </c>
      <c r="E9" s="6">
        <v>15900</v>
      </c>
      <c r="F9" s="6">
        <v>10276</v>
      </c>
      <c r="G9" s="1" t="s">
        <v>43</v>
      </c>
      <c r="J9" s="3" t="s">
        <v>13</v>
      </c>
      <c r="K9" s="20">
        <f>C9/$H$5</f>
        <v>3</v>
      </c>
      <c r="L9" s="20">
        <f t="shared" ref="L9:N10" si="2">D9/$H$5</f>
        <v>3</v>
      </c>
      <c r="M9" s="20">
        <f t="shared" si="2"/>
        <v>3</v>
      </c>
      <c r="N9" s="20">
        <f t="shared" si="2"/>
        <v>1.9388679245283018</v>
      </c>
    </row>
    <row r="10" spans="2:14" x14ac:dyDescent="0.3">
      <c r="B10" s="3" t="s">
        <v>14</v>
      </c>
      <c r="C10" s="6">
        <v>15900</v>
      </c>
      <c r="D10" s="6">
        <v>15900</v>
      </c>
      <c r="E10" s="6">
        <v>15900</v>
      </c>
      <c r="F10" s="6">
        <v>5150</v>
      </c>
      <c r="G10" s="1" t="s">
        <v>43</v>
      </c>
      <c r="J10" s="3" t="s">
        <v>14</v>
      </c>
      <c r="K10" s="20">
        <f>C10/$H$5</f>
        <v>3</v>
      </c>
      <c r="L10" s="20">
        <f t="shared" si="2"/>
        <v>3</v>
      </c>
      <c r="M10" s="20">
        <f t="shared" si="2"/>
        <v>3</v>
      </c>
      <c r="N10" s="20">
        <f t="shared" si="2"/>
        <v>0.97169811320754718</v>
      </c>
    </row>
    <row r="11" spans="2:14" x14ac:dyDescent="0.3">
      <c r="B11" s="3" t="s">
        <v>16</v>
      </c>
      <c r="C11" s="6">
        <v>30000</v>
      </c>
      <c r="D11" s="6">
        <v>30000</v>
      </c>
      <c r="E11" s="6">
        <v>30000</v>
      </c>
      <c r="F11" s="6">
        <v>30116</v>
      </c>
      <c r="G11" s="1" t="s">
        <v>43</v>
      </c>
      <c r="J11" s="3" t="s">
        <v>16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4.0154666666666667</v>
      </c>
    </row>
    <row r="12" spans="2:14" x14ac:dyDescent="0.3">
      <c r="B12" s="3" t="s">
        <v>17</v>
      </c>
      <c r="C12" s="6">
        <v>5300</v>
      </c>
      <c r="D12" s="6">
        <v>5300</v>
      </c>
      <c r="E12" s="6">
        <v>5300</v>
      </c>
      <c r="F12" s="16">
        <v>10346</v>
      </c>
      <c r="G12" s="1" t="s">
        <v>42</v>
      </c>
      <c r="J12" s="3" t="s">
        <v>17</v>
      </c>
      <c r="K12" s="20">
        <f>C12/$H$5</f>
        <v>1</v>
      </c>
      <c r="L12" s="20">
        <f t="shared" ref="L12:N12" si="4">D12/$H$5</f>
        <v>1</v>
      </c>
      <c r="M12" s="20">
        <f t="shared" si="4"/>
        <v>1</v>
      </c>
      <c r="N12" s="20">
        <f t="shared" si="4"/>
        <v>1.9520754716981132</v>
      </c>
    </row>
    <row r="13" spans="2:14" x14ac:dyDescent="0.3">
      <c r="B13" s="3" t="s">
        <v>18</v>
      </c>
      <c r="C13" s="6">
        <v>52500</v>
      </c>
      <c r="D13" s="6">
        <v>30000</v>
      </c>
      <c r="E13" s="6">
        <v>30000</v>
      </c>
      <c r="F13" s="6">
        <v>0</v>
      </c>
      <c r="J13" s="3" t="s">
        <v>18</v>
      </c>
      <c r="K13" s="20">
        <f>C13/$H$3</f>
        <v>7</v>
      </c>
      <c r="L13" s="20">
        <f>D13/$H$3</f>
        <v>4</v>
      </c>
      <c r="M13" s="20">
        <f>E13/$H$3</f>
        <v>4</v>
      </c>
      <c r="N13" s="20">
        <f>F13/$H$3</f>
        <v>0</v>
      </c>
    </row>
    <row r="14" spans="2:14" x14ac:dyDescent="0.3">
      <c r="B14" s="3" t="s">
        <v>19</v>
      </c>
      <c r="C14" s="6"/>
      <c r="D14" s="6"/>
      <c r="E14" s="6"/>
      <c r="F14" s="6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21</v>
      </c>
      <c r="C16" s="6"/>
      <c r="D16" s="6"/>
      <c r="E16" s="6"/>
      <c r="F16" s="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">
      <c r="B17" s="3" t="s">
        <v>22</v>
      </c>
      <c r="C17" s="6">
        <v>10000</v>
      </c>
      <c r="D17" s="6">
        <v>10000</v>
      </c>
      <c r="E17" s="6">
        <v>15000</v>
      </c>
      <c r="F17" s="6">
        <v>20310</v>
      </c>
      <c r="G17" s="1" t="s">
        <v>43</v>
      </c>
      <c r="J17" s="3" t="s">
        <v>22</v>
      </c>
      <c r="K17" s="20">
        <f>C17/$H$6</f>
        <v>2</v>
      </c>
      <c r="L17" s="20">
        <f t="shared" ref="L17:N17" si="7">D17/$H$6</f>
        <v>2</v>
      </c>
      <c r="M17" s="20">
        <f t="shared" si="7"/>
        <v>3</v>
      </c>
      <c r="N17" s="20">
        <f t="shared" si="7"/>
        <v>4.0620000000000003</v>
      </c>
    </row>
    <row r="18" spans="2:14" x14ac:dyDescent="0.3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9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0" t="s">
        <v>36</v>
      </c>
      <c r="C19" s="6">
        <v>7500</v>
      </c>
      <c r="D19" s="6">
        <v>7500</v>
      </c>
      <c r="E19" s="6">
        <v>0</v>
      </c>
      <c r="F19" s="6">
        <v>0</v>
      </c>
      <c r="J19" s="3" t="s">
        <v>36</v>
      </c>
      <c r="K19" s="20">
        <f>C19/$H$3</f>
        <v>1</v>
      </c>
      <c r="L19" s="20">
        <f t="shared" si="8"/>
        <v>1</v>
      </c>
      <c r="M19" s="20">
        <f t="shared" si="8"/>
        <v>0</v>
      </c>
      <c r="N19" s="20">
        <f t="shared" si="8"/>
        <v>0</v>
      </c>
    </row>
    <row r="20" spans="2:14" x14ac:dyDescent="0.3">
      <c r="B20" s="3" t="s">
        <v>26</v>
      </c>
      <c r="C20" s="6"/>
      <c r="D20" s="6"/>
      <c r="E20" s="6"/>
      <c r="F20" s="6"/>
      <c r="J20" s="3" t="s">
        <v>26</v>
      </c>
      <c r="K20" s="20">
        <f>C20/$H$3</f>
        <v>0</v>
      </c>
      <c r="L20" s="20">
        <f t="shared" ref="L20:N23" si="9">D20/$H$3</f>
        <v>0</v>
      </c>
      <c r="M20" s="20">
        <f t="shared" si="9"/>
        <v>0</v>
      </c>
      <c r="N20" s="20">
        <f t="shared" si="9"/>
        <v>0</v>
      </c>
    </row>
    <row r="21" spans="2:14" x14ac:dyDescent="0.3">
      <c r="B21" s="30" t="s">
        <v>37</v>
      </c>
      <c r="C21" s="6"/>
      <c r="D21" s="6"/>
      <c r="E21" s="6"/>
      <c r="F21" s="6"/>
      <c r="J21" s="3" t="s">
        <v>37</v>
      </c>
      <c r="K21" s="20">
        <f t="shared" ref="K21:K23" si="10">C21/$H$3</f>
        <v>0</v>
      </c>
      <c r="L21" s="20">
        <f t="shared" si="9"/>
        <v>0</v>
      </c>
      <c r="M21" s="20">
        <f t="shared" si="9"/>
        <v>0</v>
      </c>
      <c r="N21" s="20">
        <f t="shared" si="9"/>
        <v>0</v>
      </c>
    </row>
    <row r="22" spans="2:14" x14ac:dyDescent="0.3">
      <c r="B22" s="30" t="s">
        <v>44</v>
      </c>
      <c r="C22" s="6">
        <v>7500</v>
      </c>
      <c r="D22" s="6">
        <v>7500</v>
      </c>
      <c r="E22" s="6">
        <v>0</v>
      </c>
      <c r="F22" s="6">
        <v>0</v>
      </c>
      <c r="J22" s="3" t="s">
        <v>44</v>
      </c>
      <c r="K22" s="20">
        <f>C22/$H$3</f>
        <v>1</v>
      </c>
      <c r="L22" s="20">
        <f t="shared" si="9"/>
        <v>1</v>
      </c>
      <c r="M22" s="20">
        <f t="shared" si="9"/>
        <v>0</v>
      </c>
      <c r="N22" s="20">
        <f t="shared" si="9"/>
        <v>0</v>
      </c>
    </row>
    <row r="23" spans="2:14" x14ac:dyDescent="0.3">
      <c r="B23" s="3" t="s">
        <v>29</v>
      </c>
      <c r="C23" s="6">
        <v>52500</v>
      </c>
      <c r="D23" s="6">
        <v>52500</v>
      </c>
      <c r="E23" s="6">
        <v>52500</v>
      </c>
      <c r="F23" s="6">
        <v>68215</v>
      </c>
      <c r="G23" s="1" t="s">
        <v>43</v>
      </c>
      <c r="J23" s="3" t="s">
        <v>29</v>
      </c>
      <c r="K23" s="20">
        <f t="shared" si="10"/>
        <v>7</v>
      </c>
      <c r="L23" s="20">
        <f t="shared" si="9"/>
        <v>7</v>
      </c>
      <c r="M23" s="20">
        <f t="shared" si="9"/>
        <v>7</v>
      </c>
      <c r="N23" s="20">
        <f t="shared" si="9"/>
        <v>9.0953333333333326</v>
      </c>
    </row>
    <row r="24" spans="2:14" x14ac:dyDescent="0.3">
      <c r="C24" s="7">
        <f>SUM(C3:C23)</f>
        <v>272100</v>
      </c>
      <c r="D24" s="7">
        <f t="shared" ref="D24:F24" si="11">SUM(D3:D23)</f>
        <v>249600</v>
      </c>
      <c r="E24" s="7">
        <f>SUM(E3:E23)</f>
        <v>232100</v>
      </c>
      <c r="F24" s="7">
        <f t="shared" si="11"/>
        <v>204464</v>
      </c>
      <c r="H24" s="25">
        <f>F24/C24</f>
        <v>0.75142962146269754</v>
      </c>
    </row>
    <row r="26" spans="2:14" x14ac:dyDescent="0.3">
      <c r="C26" s="1" t="s">
        <v>30</v>
      </c>
      <c r="D26" s="7" t="s">
        <v>45</v>
      </c>
    </row>
    <row r="27" spans="2:14" x14ac:dyDescent="0.3">
      <c r="C27" s="1" t="s">
        <v>32</v>
      </c>
      <c r="D27" s="7" t="s">
        <v>46</v>
      </c>
    </row>
    <row r="28" spans="2:14" x14ac:dyDescent="0.3">
      <c r="C28" s="1" t="s">
        <v>34</v>
      </c>
      <c r="D28" s="7" t="s">
        <v>47</v>
      </c>
      <c r="I28" s="25">
        <f>6/21</f>
        <v>0.2857142857142857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6618-213B-41EE-81EC-3C60B984618B}">
  <dimension ref="B2:N31"/>
  <sheetViews>
    <sheetView zoomScale="90" zoomScaleNormal="90" workbookViewId="0">
      <selection activeCell="F24" sqref="F24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9.44140625" style="7" bestFit="1" customWidth="1"/>
    <col min="7" max="7" width="68.6640625" style="1" bestFit="1" customWidth="1"/>
    <col min="8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>
        <v>15000</v>
      </c>
      <c r="D3" s="6">
        <v>15000</v>
      </c>
      <c r="E3" s="6">
        <v>7500</v>
      </c>
      <c r="F3" s="6">
        <v>7532.43</v>
      </c>
      <c r="G3" s="1" t="s">
        <v>48</v>
      </c>
      <c r="H3" s="1">
        <v>7500</v>
      </c>
      <c r="J3" s="3" t="s">
        <v>5</v>
      </c>
      <c r="K3" s="20">
        <f t="shared" ref="K3:K8" si="0">C3/$H$3</f>
        <v>2</v>
      </c>
      <c r="L3" s="20">
        <f t="shared" ref="L3:N8" si="1">D3/$H$3</f>
        <v>2</v>
      </c>
      <c r="M3" s="20">
        <f t="shared" si="1"/>
        <v>1</v>
      </c>
      <c r="N3" s="20">
        <f t="shared" si="1"/>
        <v>1.004324</v>
      </c>
    </row>
    <row r="4" spans="2:14" x14ac:dyDescent="0.3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>
        <v>15000</v>
      </c>
      <c r="D5" s="6">
        <v>15000</v>
      </c>
      <c r="E5" s="6">
        <v>45000</v>
      </c>
      <c r="F5" s="6">
        <v>45100</v>
      </c>
      <c r="G5" s="1" t="s">
        <v>49</v>
      </c>
      <c r="H5" s="1">
        <v>5300</v>
      </c>
      <c r="J5" s="3" t="s">
        <v>7</v>
      </c>
      <c r="K5" s="20">
        <f t="shared" si="0"/>
        <v>2</v>
      </c>
      <c r="L5" s="20">
        <f t="shared" si="1"/>
        <v>2</v>
      </c>
      <c r="M5" s="20">
        <f t="shared" si="1"/>
        <v>6</v>
      </c>
      <c r="N5" s="20">
        <f t="shared" si="1"/>
        <v>6.0133333333333336</v>
      </c>
    </row>
    <row r="6" spans="2:14" x14ac:dyDescent="0.3">
      <c r="B6" s="3" t="s">
        <v>8</v>
      </c>
      <c r="C6" s="6">
        <v>15000</v>
      </c>
      <c r="D6" s="6">
        <v>15000</v>
      </c>
      <c r="E6" s="6">
        <v>15000</v>
      </c>
      <c r="F6" s="6">
        <v>15000</v>
      </c>
      <c r="G6" s="1" t="s">
        <v>50</v>
      </c>
      <c r="H6" s="1">
        <v>5000</v>
      </c>
      <c r="J6" s="3" t="s">
        <v>8</v>
      </c>
      <c r="K6" s="20">
        <f t="shared" si="0"/>
        <v>2</v>
      </c>
      <c r="L6" s="20">
        <f t="shared" si="1"/>
        <v>2</v>
      </c>
      <c r="M6" s="20">
        <f t="shared" si="1"/>
        <v>2</v>
      </c>
      <c r="N6" s="20">
        <f t="shared" si="1"/>
        <v>2</v>
      </c>
    </row>
    <row r="7" spans="2:14" x14ac:dyDescent="0.3">
      <c r="B7" s="3" t="s">
        <v>9</v>
      </c>
      <c r="C7" s="6"/>
      <c r="D7" s="6"/>
      <c r="E7" s="6"/>
      <c r="F7" s="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">
      <c r="B8" s="3" t="s">
        <v>11</v>
      </c>
      <c r="C8" s="6">
        <v>15000</v>
      </c>
      <c r="D8" s="6">
        <v>15000</v>
      </c>
      <c r="E8" s="6">
        <v>15000</v>
      </c>
      <c r="F8" s="6">
        <v>0</v>
      </c>
      <c r="G8" s="1" t="s">
        <v>51</v>
      </c>
      <c r="J8" s="3" t="s">
        <v>11</v>
      </c>
      <c r="K8" s="20">
        <f t="shared" si="0"/>
        <v>2</v>
      </c>
      <c r="L8" s="20">
        <f t="shared" si="1"/>
        <v>2</v>
      </c>
      <c r="M8" s="20">
        <f t="shared" si="1"/>
        <v>2</v>
      </c>
      <c r="N8" s="20">
        <f t="shared" si="1"/>
        <v>0</v>
      </c>
    </row>
    <row r="9" spans="2:14" x14ac:dyDescent="0.3">
      <c r="B9" s="3" t="s">
        <v>13</v>
      </c>
      <c r="C9" s="6">
        <v>10600</v>
      </c>
      <c r="D9" s="6">
        <v>10600</v>
      </c>
      <c r="E9" s="6">
        <v>10600</v>
      </c>
      <c r="F9" s="6">
        <v>5152</v>
      </c>
      <c r="G9" s="1" t="s">
        <v>50</v>
      </c>
      <c r="J9" s="3" t="s">
        <v>13</v>
      </c>
      <c r="K9" s="20">
        <f>C9/$H$5</f>
        <v>2</v>
      </c>
      <c r="L9" s="20">
        <f t="shared" ref="L9:N10" si="2">D9/$H$5</f>
        <v>2</v>
      </c>
      <c r="M9" s="20">
        <f t="shared" si="2"/>
        <v>2</v>
      </c>
      <c r="N9" s="20">
        <f t="shared" si="2"/>
        <v>0.97207547169811326</v>
      </c>
    </row>
    <row r="10" spans="2:14" x14ac:dyDescent="0.3">
      <c r="B10" s="3" t="s">
        <v>14</v>
      </c>
      <c r="C10" s="6">
        <v>10600</v>
      </c>
      <c r="D10" s="6">
        <v>10600</v>
      </c>
      <c r="E10" s="6">
        <v>10600</v>
      </c>
      <c r="F10" s="6">
        <v>0</v>
      </c>
      <c r="G10" s="1" t="s">
        <v>51</v>
      </c>
      <c r="J10" s="3" t="s">
        <v>14</v>
      </c>
      <c r="K10" s="20">
        <f>C10/$H$5</f>
        <v>2</v>
      </c>
      <c r="L10" s="20">
        <f t="shared" si="2"/>
        <v>2</v>
      </c>
      <c r="M10" s="20">
        <f t="shared" si="2"/>
        <v>2</v>
      </c>
      <c r="N10" s="20">
        <f t="shared" si="2"/>
        <v>0</v>
      </c>
    </row>
    <row r="11" spans="2:14" x14ac:dyDescent="0.3">
      <c r="B11" s="3" t="s">
        <v>16</v>
      </c>
      <c r="C11" s="6">
        <v>30000</v>
      </c>
      <c r="D11" s="6">
        <v>30000</v>
      </c>
      <c r="E11" s="6">
        <v>30000</v>
      </c>
      <c r="F11" s="6">
        <v>30096</v>
      </c>
      <c r="G11" s="1" t="s">
        <v>50</v>
      </c>
      <c r="J11" s="3" t="s">
        <v>16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4.0128000000000004</v>
      </c>
    </row>
    <row r="12" spans="2:14" x14ac:dyDescent="0.3">
      <c r="B12" s="3" t="s">
        <v>17</v>
      </c>
      <c r="C12" s="6">
        <v>5300</v>
      </c>
      <c r="D12" s="6">
        <v>5300</v>
      </c>
      <c r="E12" s="6">
        <v>5300</v>
      </c>
      <c r="F12" s="6">
        <v>0</v>
      </c>
      <c r="G12" s="1" t="s">
        <v>51</v>
      </c>
      <c r="J12" s="3" t="s">
        <v>17</v>
      </c>
      <c r="K12" s="20">
        <f>C12/$H$5</f>
        <v>1</v>
      </c>
      <c r="L12" s="20">
        <f t="shared" ref="L12:N12" si="4">D12/$H$5</f>
        <v>1</v>
      </c>
      <c r="M12" s="20">
        <f t="shared" si="4"/>
        <v>1</v>
      </c>
      <c r="N12" s="20">
        <f t="shared" si="4"/>
        <v>0</v>
      </c>
    </row>
    <row r="13" spans="2:14" x14ac:dyDescent="0.3">
      <c r="B13" s="3" t="s">
        <v>18</v>
      </c>
      <c r="C13" s="6">
        <v>45000</v>
      </c>
      <c r="D13" s="6">
        <v>82500</v>
      </c>
      <c r="E13" s="6">
        <v>82500</v>
      </c>
      <c r="F13" s="6">
        <v>90656.22</v>
      </c>
      <c r="G13" s="1" t="s">
        <v>49</v>
      </c>
      <c r="J13" s="3" t="s">
        <v>18</v>
      </c>
      <c r="K13" s="20">
        <f>C13/$H$3</f>
        <v>6</v>
      </c>
      <c r="L13" s="20">
        <f>D13/$H$3</f>
        <v>11</v>
      </c>
      <c r="M13" s="20">
        <f>E13/$H$3</f>
        <v>11</v>
      </c>
      <c r="N13" s="20">
        <f>F13/$H$3</f>
        <v>12.087496</v>
      </c>
    </row>
    <row r="14" spans="2:14" x14ac:dyDescent="0.3">
      <c r="B14" s="3" t="s">
        <v>19</v>
      </c>
      <c r="C14" s="6"/>
      <c r="D14" s="6"/>
      <c r="E14" s="6"/>
      <c r="F14" s="6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21</v>
      </c>
      <c r="C16" s="6"/>
      <c r="D16" s="6"/>
      <c r="E16" s="6"/>
      <c r="F16" s="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">
      <c r="B17" s="3" t="s">
        <v>22</v>
      </c>
      <c r="C17" s="6">
        <v>10000</v>
      </c>
      <c r="D17" s="6">
        <v>10000</v>
      </c>
      <c r="E17" s="6">
        <v>10000</v>
      </c>
      <c r="F17" s="6">
        <v>5009.9799999999996</v>
      </c>
      <c r="G17" s="1" t="s">
        <v>52</v>
      </c>
      <c r="J17" s="3" t="s">
        <v>22</v>
      </c>
      <c r="K17" s="20">
        <f>C17/$H$6</f>
        <v>2</v>
      </c>
      <c r="L17" s="20">
        <f t="shared" ref="L17:N17" si="7">D17/$H$6</f>
        <v>2</v>
      </c>
      <c r="M17" s="20">
        <f t="shared" si="7"/>
        <v>2</v>
      </c>
      <c r="N17" s="20">
        <f t="shared" si="7"/>
        <v>1.0019959999999999</v>
      </c>
    </row>
    <row r="18" spans="2:14" x14ac:dyDescent="0.3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9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" t="s">
        <v>36</v>
      </c>
      <c r="C19" s="6">
        <v>15000</v>
      </c>
      <c r="D19" s="6">
        <v>15000</v>
      </c>
      <c r="E19" s="6">
        <v>15000</v>
      </c>
      <c r="F19" s="6">
        <v>7499.51</v>
      </c>
      <c r="G19" s="1" t="s">
        <v>52</v>
      </c>
      <c r="J19" s="3" t="s">
        <v>36</v>
      </c>
      <c r="K19" s="20">
        <f>C19/$H$3</f>
        <v>2</v>
      </c>
      <c r="L19" s="20">
        <f t="shared" si="8"/>
        <v>2</v>
      </c>
      <c r="M19" s="20">
        <f t="shared" si="8"/>
        <v>2</v>
      </c>
      <c r="N19" s="20">
        <f t="shared" si="8"/>
        <v>0.99993466666666675</v>
      </c>
    </row>
    <row r="20" spans="2:14" x14ac:dyDescent="0.3">
      <c r="B20" s="3" t="s">
        <v>26</v>
      </c>
      <c r="C20" s="6"/>
      <c r="D20" s="6"/>
      <c r="E20" s="6"/>
      <c r="F20" s="6"/>
      <c r="J20" s="3" t="s">
        <v>26</v>
      </c>
      <c r="K20" s="20">
        <f>C20/$H$3</f>
        <v>0</v>
      </c>
      <c r="L20" s="20">
        <f t="shared" ref="L20:N23" si="9">D20/$H$3</f>
        <v>0</v>
      </c>
      <c r="M20" s="20">
        <f t="shared" si="9"/>
        <v>0</v>
      </c>
      <c r="N20" s="20">
        <f t="shared" si="9"/>
        <v>0</v>
      </c>
    </row>
    <row r="21" spans="2:14" x14ac:dyDescent="0.3">
      <c r="B21" s="3" t="s">
        <v>37</v>
      </c>
      <c r="C21" s="6"/>
      <c r="D21" s="6"/>
      <c r="E21" s="6"/>
      <c r="F21" s="6"/>
      <c r="J21" s="3" t="s">
        <v>37</v>
      </c>
      <c r="K21" s="20">
        <f t="shared" ref="K21:K23" si="10">C21/$H$3</f>
        <v>0</v>
      </c>
      <c r="L21" s="20">
        <f t="shared" si="9"/>
        <v>0</v>
      </c>
      <c r="M21" s="20">
        <f t="shared" si="9"/>
        <v>0</v>
      </c>
      <c r="N21" s="20">
        <f t="shared" si="9"/>
        <v>0</v>
      </c>
    </row>
    <row r="22" spans="2:14" x14ac:dyDescent="0.3">
      <c r="B22" s="3" t="s">
        <v>44</v>
      </c>
      <c r="C22" s="6">
        <v>15000</v>
      </c>
      <c r="D22" s="6">
        <v>10000</v>
      </c>
      <c r="E22" s="6">
        <v>5000</v>
      </c>
      <c r="F22" s="6">
        <v>0</v>
      </c>
      <c r="J22" s="3" t="s">
        <v>44</v>
      </c>
      <c r="K22" s="20">
        <f>C22/$H$6</f>
        <v>3</v>
      </c>
      <c r="L22" s="20">
        <f t="shared" ref="L22:N22" si="11">D22/$H$6</f>
        <v>2</v>
      </c>
      <c r="M22" s="20">
        <f t="shared" si="11"/>
        <v>1</v>
      </c>
      <c r="N22" s="20">
        <f t="shared" si="11"/>
        <v>0</v>
      </c>
    </row>
    <row r="23" spans="2:14" x14ac:dyDescent="0.3">
      <c r="B23" s="3" t="s">
        <v>29</v>
      </c>
      <c r="C23" s="6">
        <v>112500</v>
      </c>
      <c r="D23" s="6">
        <v>142500</v>
      </c>
      <c r="E23" s="6">
        <v>142500</v>
      </c>
      <c r="F23" s="6">
        <v>142411</v>
      </c>
      <c r="G23" s="1" t="s">
        <v>49</v>
      </c>
      <c r="J23" s="3" t="s">
        <v>29</v>
      </c>
      <c r="K23" s="20">
        <f t="shared" si="10"/>
        <v>15</v>
      </c>
      <c r="L23" s="20">
        <f t="shared" si="9"/>
        <v>19</v>
      </c>
      <c r="M23" s="20">
        <f t="shared" si="9"/>
        <v>19</v>
      </c>
      <c r="N23" s="20">
        <f t="shared" si="9"/>
        <v>18.988133333333334</v>
      </c>
    </row>
    <row r="24" spans="2:14" x14ac:dyDescent="0.3">
      <c r="C24" s="7">
        <f>SUM(C3:C23)</f>
        <v>314000</v>
      </c>
      <c r="D24" s="7">
        <f t="shared" ref="D24:E24" si="12">SUM(D3:D23)</f>
        <v>376500</v>
      </c>
      <c r="E24" s="7">
        <f t="shared" si="12"/>
        <v>394000</v>
      </c>
      <c r="F24" s="7">
        <f>SUM(F3:F23)</f>
        <v>348457.14</v>
      </c>
    </row>
    <row r="25" spans="2:14" x14ac:dyDescent="0.3">
      <c r="D25" s="26">
        <f>F24/C24</f>
        <v>1.1097361146496816</v>
      </c>
    </row>
    <row r="26" spans="2:14" x14ac:dyDescent="0.3">
      <c r="G26" s="1">
        <f>5300*8</f>
        <v>42400</v>
      </c>
    </row>
    <row r="27" spans="2:14" x14ac:dyDescent="0.3">
      <c r="B27" s="1" t="s">
        <v>30</v>
      </c>
      <c r="C27" s="7" t="s">
        <v>53</v>
      </c>
      <c r="H27" s="1">
        <f>4/21</f>
        <v>0.19047619047619047</v>
      </c>
    </row>
    <row r="28" spans="2:14" x14ac:dyDescent="0.3">
      <c r="B28" s="1" t="s">
        <v>32</v>
      </c>
      <c r="C28" s="7" t="s">
        <v>31</v>
      </c>
    </row>
    <row r="29" spans="2:14" x14ac:dyDescent="0.3">
      <c r="B29" s="1" t="s">
        <v>34</v>
      </c>
      <c r="C29" s="7" t="s">
        <v>54</v>
      </c>
    </row>
    <row r="30" spans="2:14" x14ac:dyDescent="0.3">
      <c r="G30" s="1" t="s">
        <v>55</v>
      </c>
    </row>
    <row r="31" spans="2:14" x14ac:dyDescent="0.3">
      <c r="G31" s="1" t="s">
        <v>56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F895-8AF5-440C-A871-EF15BBE87562}">
  <dimension ref="B2:N29"/>
  <sheetViews>
    <sheetView zoomScale="90" zoomScaleNormal="90" workbookViewId="0">
      <selection activeCell="B19" sqref="B19:B23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10.6640625" style="7" customWidth="1"/>
    <col min="7" max="7" width="43.33203125" style="1" bestFit="1" customWidth="1"/>
    <col min="8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>
        <v>15000</v>
      </c>
      <c r="D3" s="6">
        <v>15000</v>
      </c>
      <c r="E3" s="6">
        <v>15000</v>
      </c>
      <c r="F3" s="6">
        <v>0</v>
      </c>
      <c r="H3" s="1">
        <v>7500</v>
      </c>
      <c r="J3" s="3" t="s">
        <v>5</v>
      </c>
      <c r="K3" s="20">
        <f t="shared" ref="K3:K8" si="0">C3/$H$3</f>
        <v>2</v>
      </c>
      <c r="L3" s="20">
        <f t="shared" ref="L3:N8" si="1">D3/$H$3</f>
        <v>2</v>
      </c>
      <c r="M3" s="20">
        <f t="shared" si="1"/>
        <v>2</v>
      </c>
      <c r="N3" s="20">
        <f t="shared" si="1"/>
        <v>0</v>
      </c>
    </row>
    <row r="4" spans="2:14" x14ac:dyDescent="0.3">
      <c r="B4" s="3" t="s">
        <v>6</v>
      </c>
      <c r="C4" s="6">
        <v>0</v>
      </c>
      <c r="D4" s="6">
        <v>0</v>
      </c>
      <c r="E4" s="6">
        <v>0</v>
      </c>
      <c r="F4" s="6">
        <v>0</v>
      </c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>
        <v>0</v>
      </c>
      <c r="D5" s="6">
        <v>0</v>
      </c>
      <c r="E5" s="6">
        <v>0</v>
      </c>
      <c r="F5" s="6">
        <v>0</v>
      </c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">
      <c r="B6" s="3" t="s">
        <v>8</v>
      </c>
      <c r="C6" s="6">
        <v>15000</v>
      </c>
      <c r="D6" s="6">
        <v>15000</v>
      </c>
      <c r="E6" s="6">
        <v>15000</v>
      </c>
      <c r="F6" s="6">
        <v>15000</v>
      </c>
      <c r="H6" s="1">
        <v>5000</v>
      </c>
      <c r="J6" s="3" t="s">
        <v>8</v>
      </c>
      <c r="K6" s="20">
        <f t="shared" si="0"/>
        <v>2</v>
      </c>
      <c r="L6" s="20">
        <f t="shared" si="1"/>
        <v>2</v>
      </c>
      <c r="M6" s="20">
        <f t="shared" si="1"/>
        <v>2</v>
      </c>
      <c r="N6" s="20">
        <f t="shared" si="1"/>
        <v>2</v>
      </c>
    </row>
    <row r="7" spans="2:14" x14ac:dyDescent="0.3">
      <c r="B7" s="3" t="s">
        <v>9</v>
      </c>
      <c r="C7" s="6">
        <v>60000</v>
      </c>
      <c r="D7" s="6">
        <v>60000</v>
      </c>
      <c r="E7" s="6">
        <v>60000</v>
      </c>
      <c r="F7" s="6">
        <v>60024</v>
      </c>
      <c r="H7" s="1">
        <v>4000</v>
      </c>
      <c r="J7" s="3" t="s">
        <v>9</v>
      </c>
      <c r="K7" s="20">
        <f t="shared" si="0"/>
        <v>8</v>
      </c>
      <c r="L7" s="20">
        <f t="shared" si="1"/>
        <v>8</v>
      </c>
      <c r="M7" s="20">
        <f t="shared" si="1"/>
        <v>8</v>
      </c>
      <c r="N7" s="20">
        <f t="shared" si="1"/>
        <v>8.0031999999999996</v>
      </c>
    </row>
    <row r="8" spans="2:14" x14ac:dyDescent="0.3">
      <c r="B8" s="3" t="s">
        <v>11</v>
      </c>
      <c r="C8" s="6">
        <v>15000</v>
      </c>
      <c r="D8" s="6">
        <v>15000</v>
      </c>
      <c r="E8" s="6">
        <v>15000</v>
      </c>
      <c r="F8" s="6">
        <v>14940</v>
      </c>
      <c r="J8" s="3" t="s">
        <v>11</v>
      </c>
      <c r="K8" s="20">
        <f t="shared" si="0"/>
        <v>2</v>
      </c>
      <c r="L8" s="20">
        <f t="shared" si="1"/>
        <v>2</v>
      </c>
      <c r="M8" s="20">
        <f t="shared" si="1"/>
        <v>2</v>
      </c>
      <c r="N8" s="20">
        <f t="shared" si="1"/>
        <v>1.992</v>
      </c>
    </row>
    <row r="9" spans="2:14" x14ac:dyDescent="0.3">
      <c r="B9" s="3" t="s">
        <v>13</v>
      </c>
      <c r="C9" s="6">
        <v>10600</v>
      </c>
      <c r="D9" s="6">
        <v>10600</v>
      </c>
      <c r="E9" s="6">
        <v>10600</v>
      </c>
      <c r="F9" s="6">
        <v>5211</v>
      </c>
      <c r="J9" s="3" t="s">
        <v>13</v>
      </c>
      <c r="K9" s="20">
        <f>C9/$H$5</f>
        <v>2</v>
      </c>
      <c r="L9" s="20">
        <f t="shared" ref="L9:N10" si="2">D9/$H$5</f>
        <v>2</v>
      </c>
      <c r="M9" s="20">
        <f t="shared" si="2"/>
        <v>2</v>
      </c>
      <c r="N9" s="20">
        <f t="shared" si="2"/>
        <v>0.98320754716981129</v>
      </c>
    </row>
    <row r="10" spans="2:14" x14ac:dyDescent="0.3">
      <c r="B10" s="3" t="s">
        <v>14</v>
      </c>
      <c r="C10" s="6">
        <v>10600</v>
      </c>
      <c r="D10" s="6">
        <v>10600</v>
      </c>
      <c r="E10" s="6">
        <v>10600</v>
      </c>
      <c r="F10" s="6">
        <v>5153</v>
      </c>
      <c r="J10" s="3" t="s">
        <v>14</v>
      </c>
      <c r="K10" s="20">
        <f>C10/$H$5</f>
        <v>2</v>
      </c>
      <c r="L10" s="20">
        <f t="shared" si="2"/>
        <v>2</v>
      </c>
      <c r="M10" s="20">
        <f t="shared" si="2"/>
        <v>2</v>
      </c>
      <c r="N10" s="20">
        <f t="shared" si="2"/>
        <v>0.97226415094339624</v>
      </c>
    </row>
    <row r="11" spans="2:14" x14ac:dyDescent="0.3">
      <c r="B11" s="3" t="s">
        <v>16</v>
      </c>
      <c r="C11" s="6">
        <v>30000</v>
      </c>
      <c r="D11" s="6">
        <v>30000</v>
      </c>
      <c r="E11" s="6">
        <v>30000</v>
      </c>
      <c r="F11" s="6">
        <v>30072</v>
      </c>
      <c r="J11" s="3" t="s">
        <v>16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4.0095999999999998</v>
      </c>
    </row>
    <row r="12" spans="2:14" x14ac:dyDescent="0.3">
      <c r="B12" s="3" t="s">
        <v>17</v>
      </c>
      <c r="C12" s="6">
        <v>5300</v>
      </c>
      <c r="D12" s="6">
        <v>5300</v>
      </c>
      <c r="E12" s="6">
        <v>5300</v>
      </c>
      <c r="F12" s="6">
        <v>0</v>
      </c>
      <c r="J12" s="3" t="s">
        <v>17</v>
      </c>
      <c r="K12" s="20">
        <f>C12/$H$5</f>
        <v>1</v>
      </c>
      <c r="L12" s="20">
        <f t="shared" ref="L12:N12" si="4">D12/$H$5</f>
        <v>1</v>
      </c>
      <c r="M12" s="20">
        <f t="shared" si="4"/>
        <v>1</v>
      </c>
      <c r="N12" s="20">
        <f t="shared" si="4"/>
        <v>0</v>
      </c>
    </row>
    <row r="13" spans="2:14" x14ac:dyDescent="0.3">
      <c r="B13" s="3" t="s">
        <v>18</v>
      </c>
      <c r="C13" s="6">
        <v>60000</v>
      </c>
      <c r="D13" s="6">
        <v>60000</v>
      </c>
      <c r="E13" s="6">
        <v>60000</v>
      </c>
      <c r="F13" s="6">
        <v>82720</v>
      </c>
      <c r="J13" s="3" t="s">
        <v>18</v>
      </c>
      <c r="K13" s="20">
        <f>C13/$H$3</f>
        <v>8</v>
      </c>
      <c r="L13" s="20">
        <f>D13/$H$3</f>
        <v>8</v>
      </c>
      <c r="M13" s="20">
        <f>E13/$H$3</f>
        <v>8</v>
      </c>
      <c r="N13" s="20">
        <f>F13/$H$3</f>
        <v>11.029333333333334</v>
      </c>
    </row>
    <row r="14" spans="2:14" x14ac:dyDescent="0.3">
      <c r="B14" s="3" t="s">
        <v>57</v>
      </c>
      <c r="C14" s="6">
        <v>0</v>
      </c>
      <c r="D14" s="6">
        <v>5300</v>
      </c>
      <c r="E14" s="6">
        <v>5300</v>
      </c>
      <c r="F14" s="6">
        <v>5009</v>
      </c>
      <c r="J14" s="3" t="s">
        <v>57</v>
      </c>
      <c r="K14" s="20">
        <f>C14/$H$5</f>
        <v>0</v>
      </c>
      <c r="L14" s="20">
        <f>D14/$H$5</f>
        <v>1</v>
      </c>
      <c r="M14" s="20">
        <f>E14/$H$5</f>
        <v>1</v>
      </c>
      <c r="N14" s="20">
        <f>F14/$H$5</f>
        <v>0.94509433962264155</v>
      </c>
    </row>
    <row r="15" spans="2:14" x14ac:dyDescent="0.3">
      <c r="B15" s="3" t="s">
        <v>20</v>
      </c>
      <c r="C15" s="6">
        <v>0</v>
      </c>
      <c r="D15" s="6">
        <v>0</v>
      </c>
      <c r="E15" s="6">
        <v>0</v>
      </c>
      <c r="F15" s="6">
        <v>0</v>
      </c>
      <c r="J15" s="3" t="s">
        <v>20</v>
      </c>
      <c r="K15" s="20">
        <f>C15/$H$3</f>
        <v>0</v>
      </c>
      <c r="L15" s="20">
        <f t="shared" ref="L15:N15" si="5">D15/$H$3</f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21</v>
      </c>
      <c r="C16" s="6">
        <v>0</v>
      </c>
      <c r="D16" s="6">
        <v>0</v>
      </c>
      <c r="E16" s="6">
        <v>0</v>
      </c>
      <c r="F16" s="6">
        <v>0</v>
      </c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">
      <c r="B17" s="3" t="s">
        <v>22</v>
      </c>
      <c r="C17" s="6">
        <v>10000</v>
      </c>
      <c r="D17" s="6">
        <v>10000</v>
      </c>
      <c r="E17" s="6">
        <v>10000</v>
      </c>
      <c r="F17" s="6">
        <f>5049.96+5009.98</f>
        <v>10059.939999999999</v>
      </c>
      <c r="J17" s="3" t="s">
        <v>22</v>
      </c>
      <c r="K17" s="20">
        <f>C17/$H$6</f>
        <v>2</v>
      </c>
      <c r="L17" s="20">
        <f t="shared" ref="L17:N17" si="7">D17/$H$6</f>
        <v>2</v>
      </c>
      <c r="M17" s="20">
        <f t="shared" si="7"/>
        <v>2</v>
      </c>
      <c r="N17" s="20">
        <f t="shared" si="7"/>
        <v>2.0119879999999997</v>
      </c>
    </row>
    <row r="18" spans="2:14" x14ac:dyDescent="0.3">
      <c r="B18" s="3" t="s">
        <v>24</v>
      </c>
      <c r="C18" s="6">
        <v>0</v>
      </c>
      <c r="D18" s="6">
        <v>0</v>
      </c>
      <c r="E18" s="6"/>
      <c r="F18" s="6"/>
      <c r="G18" s="1">
        <v>22510.77</v>
      </c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" t="s">
        <v>36</v>
      </c>
      <c r="C19" s="6">
        <v>15000</v>
      </c>
      <c r="D19" s="6">
        <v>15000</v>
      </c>
      <c r="E19" s="6">
        <v>15000</v>
      </c>
      <c r="F19" s="6">
        <v>0</v>
      </c>
      <c r="G19" s="1">
        <v>52530.43</v>
      </c>
      <c r="J19" s="3" t="s">
        <v>36</v>
      </c>
      <c r="K19" s="20">
        <f>C19/$H$3</f>
        <v>2</v>
      </c>
      <c r="L19" s="20">
        <f>D19/$H$3</f>
        <v>2</v>
      </c>
      <c r="M19" s="20">
        <f>E19/$H$3</f>
        <v>2</v>
      </c>
      <c r="N19" s="20">
        <f>F19/$H$3</f>
        <v>0</v>
      </c>
    </row>
    <row r="20" spans="2:14" x14ac:dyDescent="0.3">
      <c r="B20" s="3" t="s">
        <v>26</v>
      </c>
      <c r="C20" s="6">
        <v>0</v>
      </c>
      <c r="D20" s="6">
        <v>0</v>
      </c>
      <c r="E20" s="6"/>
      <c r="F20" s="6">
        <v>0</v>
      </c>
      <c r="G20" s="1">
        <f>G18+G19</f>
        <v>75041.2</v>
      </c>
      <c r="J20" s="3" t="s">
        <v>26</v>
      </c>
      <c r="K20" s="20">
        <f>C20/$H$3</f>
        <v>0</v>
      </c>
      <c r="L20" s="20">
        <f t="shared" ref="L20:N23" si="9">D20/$H$3</f>
        <v>0</v>
      </c>
      <c r="M20" s="20">
        <f t="shared" si="9"/>
        <v>0</v>
      </c>
      <c r="N20" s="20">
        <f t="shared" si="9"/>
        <v>0</v>
      </c>
    </row>
    <row r="21" spans="2:14" x14ac:dyDescent="0.3">
      <c r="B21" s="3" t="s">
        <v>37</v>
      </c>
      <c r="C21" s="6">
        <v>0</v>
      </c>
      <c r="D21" s="6">
        <v>0</v>
      </c>
      <c r="E21" s="6">
        <v>0</v>
      </c>
      <c r="F21" s="6">
        <v>0</v>
      </c>
      <c r="J21" s="3" t="s">
        <v>37</v>
      </c>
      <c r="K21" s="20">
        <f t="shared" ref="K21:K23" si="10">C21/$H$3</f>
        <v>0</v>
      </c>
      <c r="L21" s="20">
        <f t="shared" si="9"/>
        <v>0</v>
      </c>
      <c r="M21" s="20">
        <f t="shared" si="9"/>
        <v>0</v>
      </c>
      <c r="N21" s="20">
        <f t="shared" si="9"/>
        <v>0</v>
      </c>
    </row>
    <row r="22" spans="2:14" x14ac:dyDescent="0.3">
      <c r="B22" s="3" t="s">
        <v>44</v>
      </c>
      <c r="C22" s="6">
        <v>0</v>
      </c>
      <c r="D22" s="6">
        <v>0</v>
      </c>
      <c r="E22" s="6">
        <v>0</v>
      </c>
      <c r="F22" s="6">
        <v>0</v>
      </c>
      <c r="J22" s="3" t="s">
        <v>44</v>
      </c>
      <c r="K22" s="20">
        <f t="shared" si="10"/>
        <v>0</v>
      </c>
      <c r="L22" s="20">
        <f t="shared" si="9"/>
        <v>0</v>
      </c>
      <c r="M22" s="20">
        <f t="shared" si="9"/>
        <v>0</v>
      </c>
      <c r="N22" s="20">
        <f t="shared" si="9"/>
        <v>0</v>
      </c>
    </row>
    <row r="23" spans="2:14" x14ac:dyDescent="0.3">
      <c r="B23" s="3" t="s">
        <v>29</v>
      </c>
      <c r="C23" s="6">
        <v>150000</v>
      </c>
      <c r="D23" s="6">
        <v>150000</v>
      </c>
      <c r="E23" s="6">
        <v>150000</v>
      </c>
      <c r="F23" s="6">
        <v>113130</v>
      </c>
      <c r="J23" s="3" t="s">
        <v>29</v>
      </c>
      <c r="K23" s="20">
        <f t="shared" si="10"/>
        <v>20</v>
      </c>
      <c r="L23" s="20">
        <f t="shared" si="9"/>
        <v>20</v>
      </c>
      <c r="M23" s="20">
        <f t="shared" si="9"/>
        <v>20</v>
      </c>
      <c r="N23" s="20">
        <f>F23/$H$3</f>
        <v>15.084</v>
      </c>
    </row>
    <row r="24" spans="2:14" x14ac:dyDescent="0.3">
      <c r="C24" s="7">
        <f>SUM(C3:C23)</f>
        <v>396500</v>
      </c>
      <c r="D24" s="7">
        <f>SUM(D3:D23)</f>
        <v>401800</v>
      </c>
      <c r="E24" s="7">
        <f>SUM(E3:E23)</f>
        <v>401800</v>
      </c>
      <c r="F24" s="7">
        <f>SUM(F3:F23)</f>
        <v>341318.94</v>
      </c>
    </row>
    <row r="25" spans="2:14" x14ac:dyDescent="0.3">
      <c r="D25" s="26">
        <f>F24/C24</f>
        <v>0.86082960907944517</v>
      </c>
    </row>
    <row r="27" spans="2:14" x14ac:dyDescent="0.3">
      <c r="B27" s="1" t="s">
        <v>30</v>
      </c>
      <c r="C27" s="7" t="s">
        <v>58</v>
      </c>
      <c r="G27" s="1">
        <f>7/21</f>
        <v>0.33333333333333331</v>
      </c>
    </row>
    <row r="28" spans="2:14" x14ac:dyDescent="0.3">
      <c r="B28" s="1" t="s">
        <v>32</v>
      </c>
      <c r="C28" s="7" t="s">
        <v>59</v>
      </c>
    </row>
    <row r="29" spans="2:14" x14ac:dyDescent="0.3">
      <c r="B29" s="1" t="s">
        <v>34</v>
      </c>
      <c r="C29" s="7" t="s">
        <v>60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B32C-80B4-49F2-9AB8-5DAA17CE9588}">
  <dimension ref="B2:N27"/>
  <sheetViews>
    <sheetView zoomScale="110" zoomScaleNormal="110" workbookViewId="0">
      <selection activeCell="F3" sqref="F3:F23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9.88671875" style="7" customWidth="1"/>
    <col min="7" max="7" width="10.6640625" style="1" customWidth="1"/>
    <col min="8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>
        <v>15000</v>
      </c>
      <c r="D3" s="6">
        <v>15000</v>
      </c>
      <c r="E3" s="6">
        <v>15000</v>
      </c>
      <c r="F3" s="16">
        <v>7502.36</v>
      </c>
      <c r="H3" s="1">
        <v>7500</v>
      </c>
      <c r="J3" s="3" t="s">
        <v>5</v>
      </c>
      <c r="K3" s="20">
        <f t="shared" ref="K3:K8" si="0">C3/$H$3</f>
        <v>2</v>
      </c>
      <c r="L3" s="20">
        <f t="shared" ref="L3:N8" si="1">D3/$H$3</f>
        <v>2</v>
      </c>
      <c r="M3" s="20">
        <f t="shared" si="1"/>
        <v>2</v>
      </c>
      <c r="N3" s="20">
        <f t="shared" si="1"/>
        <v>1.0003146666666667</v>
      </c>
    </row>
    <row r="4" spans="2:14" x14ac:dyDescent="0.3">
      <c r="B4" s="3" t="s">
        <v>6</v>
      </c>
      <c r="C4" s="6">
        <v>0</v>
      </c>
      <c r="D4" s="6">
        <v>0</v>
      </c>
      <c r="E4" s="6">
        <v>0</v>
      </c>
      <c r="F4" s="16">
        <v>0</v>
      </c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>
        <v>0</v>
      </c>
      <c r="D5" s="6">
        <v>0</v>
      </c>
      <c r="E5" s="6">
        <v>0</v>
      </c>
      <c r="F5" s="16">
        <v>0</v>
      </c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">
      <c r="B6" s="3" t="s">
        <v>8</v>
      </c>
      <c r="C6" s="6">
        <v>22500</v>
      </c>
      <c r="D6" s="6">
        <v>22500</v>
      </c>
      <c r="E6" s="6">
        <v>22500</v>
      </c>
      <c r="F6" s="16">
        <v>22500</v>
      </c>
      <c r="H6" s="1">
        <v>5000</v>
      </c>
      <c r="J6" s="3" t="s">
        <v>8</v>
      </c>
      <c r="K6" s="20">
        <f t="shared" si="0"/>
        <v>3</v>
      </c>
      <c r="L6" s="20">
        <f t="shared" si="1"/>
        <v>3</v>
      </c>
      <c r="M6" s="20">
        <f t="shared" si="1"/>
        <v>3</v>
      </c>
      <c r="N6" s="20">
        <f t="shared" si="1"/>
        <v>3</v>
      </c>
    </row>
    <row r="7" spans="2:14" x14ac:dyDescent="0.3">
      <c r="B7" s="3" t="s">
        <v>9</v>
      </c>
      <c r="C7" s="6">
        <v>45000</v>
      </c>
      <c r="D7" s="6">
        <v>45000</v>
      </c>
      <c r="E7" s="6">
        <v>45000</v>
      </c>
      <c r="F7" s="16">
        <v>37525.47</v>
      </c>
      <c r="H7" s="1">
        <v>4000</v>
      </c>
      <c r="J7" s="3" t="s">
        <v>9</v>
      </c>
      <c r="K7" s="20">
        <f t="shared" si="0"/>
        <v>6</v>
      </c>
      <c r="L7" s="20">
        <f t="shared" si="1"/>
        <v>6</v>
      </c>
      <c r="M7" s="20">
        <f t="shared" si="1"/>
        <v>6</v>
      </c>
      <c r="N7" s="20">
        <f t="shared" si="1"/>
        <v>5.0033960000000004</v>
      </c>
    </row>
    <row r="8" spans="2:14" x14ac:dyDescent="0.3">
      <c r="B8" s="3" t="s">
        <v>11</v>
      </c>
      <c r="C8" s="6">
        <v>22500</v>
      </c>
      <c r="D8" s="6">
        <v>22500</v>
      </c>
      <c r="E8" s="6">
        <v>22500</v>
      </c>
      <c r="F8" s="16">
        <v>14874</v>
      </c>
      <c r="J8" s="3" t="s">
        <v>11</v>
      </c>
      <c r="K8" s="20">
        <f t="shared" si="0"/>
        <v>3</v>
      </c>
      <c r="L8" s="20">
        <f t="shared" si="1"/>
        <v>3</v>
      </c>
      <c r="M8" s="20">
        <f t="shared" si="1"/>
        <v>3</v>
      </c>
      <c r="N8" s="20">
        <f t="shared" si="1"/>
        <v>1.9832000000000001</v>
      </c>
    </row>
    <row r="9" spans="2:14" x14ac:dyDescent="0.3">
      <c r="B9" s="3" t="s">
        <v>13</v>
      </c>
      <c r="C9" s="6">
        <v>15900</v>
      </c>
      <c r="D9" s="6">
        <v>15900</v>
      </c>
      <c r="E9" s="6">
        <v>15900</v>
      </c>
      <c r="F9" s="16">
        <v>5121</v>
      </c>
      <c r="J9" s="3" t="s">
        <v>13</v>
      </c>
      <c r="K9" s="20">
        <f>C9/$H$5</f>
        <v>3</v>
      </c>
      <c r="L9" s="20">
        <f t="shared" ref="L9:N10" si="2">D9/$H$5</f>
        <v>3</v>
      </c>
      <c r="M9" s="20">
        <f t="shared" si="2"/>
        <v>3</v>
      </c>
      <c r="N9" s="20">
        <f t="shared" si="2"/>
        <v>0.9662264150943396</v>
      </c>
    </row>
    <row r="10" spans="2:14" x14ac:dyDescent="0.3">
      <c r="B10" s="3" t="s">
        <v>14</v>
      </c>
      <c r="C10" s="6">
        <v>15900</v>
      </c>
      <c r="D10" s="6">
        <v>15900</v>
      </c>
      <c r="E10" s="6">
        <v>15900</v>
      </c>
      <c r="F10" s="16">
        <v>5180</v>
      </c>
      <c r="J10" s="3" t="s">
        <v>14</v>
      </c>
      <c r="K10" s="20">
        <f>C10/$H$5</f>
        <v>3</v>
      </c>
      <c r="L10" s="20">
        <f t="shared" si="2"/>
        <v>3</v>
      </c>
      <c r="M10" s="20">
        <f t="shared" si="2"/>
        <v>3</v>
      </c>
      <c r="N10" s="20">
        <f t="shared" si="2"/>
        <v>0.97735849056603774</v>
      </c>
    </row>
    <row r="11" spans="2:14" x14ac:dyDescent="0.3">
      <c r="B11" s="3" t="s">
        <v>16</v>
      </c>
      <c r="C11" s="6">
        <v>30000</v>
      </c>
      <c r="D11" s="6">
        <v>30000</v>
      </c>
      <c r="E11" s="6">
        <v>30000</v>
      </c>
      <c r="F11" s="16">
        <v>30047</v>
      </c>
      <c r="J11" s="3" t="s">
        <v>16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4.0062666666666669</v>
      </c>
    </row>
    <row r="12" spans="2:14" x14ac:dyDescent="0.3">
      <c r="B12" s="3" t="s">
        <v>17</v>
      </c>
      <c r="C12" s="6">
        <v>10600</v>
      </c>
      <c r="D12" s="6">
        <v>10600</v>
      </c>
      <c r="E12" s="6">
        <v>10600</v>
      </c>
      <c r="F12" s="16">
        <v>5154</v>
      </c>
      <c r="J12" s="3" t="s">
        <v>17</v>
      </c>
      <c r="K12" s="20">
        <f>C12/$H$5</f>
        <v>2</v>
      </c>
      <c r="L12" s="20">
        <f t="shared" ref="L12:N15" si="4">D12/$H$5</f>
        <v>2</v>
      </c>
      <c r="M12" s="20">
        <f t="shared" si="4"/>
        <v>2</v>
      </c>
      <c r="N12" s="20">
        <f t="shared" si="4"/>
        <v>0.97245283018867923</v>
      </c>
    </row>
    <row r="13" spans="2:14" x14ac:dyDescent="0.3">
      <c r="B13" s="3" t="s">
        <v>18</v>
      </c>
      <c r="C13" s="6">
        <v>67500</v>
      </c>
      <c r="D13" s="6">
        <v>67500</v>
      </c>
      <c r="E13" s="6">
        <v>67500</v>
      </c>
      <c r="F13" s="16">
        <v>52882</v>
      </c>
      <c r="J13" s="3" t="s">
        <v>18</v>
      </c>
      <c r="K13" s="20">
        <f>C13/$H$5</f>
        <v>12.735849056603774</v>
      </c>
      <c r="L13" s="20">
        <f t="shared" si="4"/>
        <v>12.735849056603774</v>
      </c>
      <c r="M13" s="20">
        <f t="shared" si="4"/>
        <v>12.735849056603774</v>
      </c>
      <c r="N13" s="20">
        <f t="shared" si="4"/>
        <v>9.9777358490566037</v>
      </c>
    </row>
    <row r="14" spans="2:14" x14ac:dyDescent="0.3">
      <c r="B14" s="3" t="s">
        <v>57</v>
      </c>
      <c r="C14" s="6">
        <v>10600</v>
      </c>
      <c r="D14" s="6">
        <v>10600</v>
      </c>
      <c r="E14" s="6">
        <v>10600</v>
      </c>
      <c r="F14" s="16">
        <v>9860</v>
      </c>
      <c r="J14" s="3" t="s">
        <v>57</v>
      </c>
      <c r="K14" s="20">
        <f>C14/$H$5</f>
        <v>2</v>
      </c>
      <c r="L14" s="20">
        <f t="shared" si="4"/>
        <v>2</v>
      </c>
      <c r="M14" s="20">
        <f t="shared" si="4"/>
        <v>2</v>
      </c>
      <c r="N14" s="20">
        <f t="shared" si="4"/>
        <v>1.8603773584905661</v>
      </c>
    </row>
    <row r="15" spans="2:14" x14ac:dyDescent="0.3">
      <c r="B15" s="3" t="s">
        <v>61</v>
      </c>
      <c r="C15" s="6">
        <v>5300</v>
      </c>
      <c r="D15" s="6">
        <v>5300</v>
      </c>
      <c r="E15" s="6">
        <v>10600</v>
      </c>
      <c r="F15" s="16">
        <v>5130</v>
      </c>
      <c r="J15" s="3" t="s">
        <v>61</v>
      </c>
      <c r="K15" s="20">
        <f>C15/$H$5</f>
        <v>1</v>
      </c>
      <c r="L15" s="20">
        <f t="shared" si="4"/>
        <v>1</v>
      </c>
      <c r="M15" s="20">
        <f t="shared" si="4"/>
        <v>2</v>
      </c>
      <c r="N15" s="20">
        <f t="shared" si="4"/>
        <v>0.9679245283018868</v>
      </c>
    </row>
    <row r="16" spans="2:14" x14ac:dyDescent="0.3">
      <c r="B16" s="3" t="s">
        <v>21</v>
      </c>
      <c r="C16" s="6">
        <v>0</v>
      </c>
      <c r="D16" s="6">
        <v>0</v>
      </c>
      <c r="E16" s="6">
        <v>0</v>
      </c>
      <c r="F16" s="16">
        <v>0</v>
      </c>
      <c r="J16" s="3" t="s">
        <v>21</v>
      </c>
      <c r="K16" s="20">
        <f>C16/$H$7</f>
        <v>0</v>
      </c>
      <c r="L16" s="20">
        <f t="shared" ref="L16:N16" si="5">D16/$H$7</f>
        <v>0</v>
      </c>
      <c r="M16" s="20">
        <f t="shared" si="5"/>
        <v>0</v>
      </c>
      <c r="N16" s="20">
        <f t="shared" si="5"/>
        <v>0</v>
      </c>
    </row>
    <row r="17" spans="2:14" x14ac:dyDescent="0.3">
      <c r="B17" s="3" t="s">
        <v>22</v>
      </c>
      <c r="C17" s="6">
        <v>10000</v>
      </c>
      <c r="D17" s="6">
        <v>20000</v>
      </c>
      <c r="E17" s="6">
        <v>20000</v>
      </c>
      <c r="F17" s="16">
        <v>20274</v>
      </c>
      <c r="J17" s="3" t="s">
        <v>22</v>
      </c>
      <c r="K17" s="20">
        <f>C17/$H$6</f>
        <v>2</v>
      </c>
      <c r="L17" s="20">
        <f t="shared" ref="L17:N17" si="6">D17/$H$6</f>
        <v>4</v>
      </c>
      <c r="M17" s="20">
        <f t="shared" si="6"/>
        <v>4</v>
      </c>
      <c r="N17" s="20">
        <f t="shared" si="6"/>
        <v>4.0548000000000002</v>
      </c>
    </row>
    <row r="18" spans="2:14" x14ac:dyDescent="0.3">
      <c r="B18" s="3" t="s">
        <v>24</v>
      </c>
      <c r="C18" s="6">
        <v>0</v>
      </c>
      <c r="D18" s="6">
        <v>0</v>
      </c>
      <c r="E18" s="6">
        <v>0</v>
      </c>
      <c r="F18" s="16">
        <v>0</v>
      </c>
      <c r="J18" s="3" t="s">
        <v>24</v>
      </c>
      <c r="K18" s="20">
        <f>C18/$H$3</f>
        <v>0</v>
      </c>
      <c r="L18" s="20">
        <f t="shared" ref="L18:N19" si="7">D18/$H$3</f>
        <v>0</v>
      </c>
      <c r="M18" s="20">
        <f t="shared" si="7"/>
        <v>0</v>
      </c>
      <c r="N18" s="20">
        <f t="shared" si="7"/>
        <v>0</v>
      </c>
    </row>
    <row r="19" spans="2:14" x14ac:dyDescent="0.3">
      <c r="B19" s="3" t="s">
        <v>36</v>
      </c>
      <c r="C19" s="6">
        <v>7500</v>
      </c>
      <c r="D19" s="6">
        <v>0</v>
      </c>
      <c r="E19" s="6">
        <v>0</v>
      </c>
      <c r="F19" s="16">
        <v>0</v>
      </c>
      <c r="J19" s="3" t="s">
        <v>36</v>
      </c>
      <c r="K19" s="20">
        <f>C19/$H$3</f>
        <v>1</v>
      </c>
      <c r="L19" s="20">
        <f t="shared" si="7"/>
        <v>0</v>
      </c>
      <c r="M19" s="20">
        <f t="shared" si="7"/>
        <v>0</v>
      </c>
      <c r="N19" s="20">
        <f t="shared" si="7"/>
        <v>0</v>
      </c>
    </row>
    <row r="20" spans="2:14" x14ac:dyDescent="0.3">
      <c r="B20" s="3" t="s">
        <v>26</v>
      </c>
      <c r="C20" s="6">
        <v>0</v>
      </c>
      <c r="D20" s="6">
        <v>0</v>
      </c>
      <c r="E20" s="6">
        <v>0</v>
      </c>
      <c r="F20" s="16">
        <v>0</v>
      </c>
      <c r="J20" s="3" t="s">
        <v>26</v>
      </c>
      <c r="K20" s="20">
        <f>C20/$H$3</f>
        <v>0</v>
      </c>
      <c r="L20" s="20">
        <f t="shared" ref="L20:N23" si="8">D20/$H$3</f>
        <v>0</v>
      </c>
      <c r="M20" s="20">
        <f t="shared" si="8"/>
        <v>0</v>
      </c>
      <c r="N20" s="20">
        <f t="shared" si="8"/>
        <v>0</v>
      </c>
    </row>
    <row r="21" spans="2:14" x14ac:dyDescent="0.3">
      <c r="B21" s="3" t="s">
        <v>37</v>
      </c>
      <c r="C21" s="6">
        <v>0</v>
      </c>
      <c r="D21" s="6">
        <v>0</v>
      </c>
      <c r="E21" s="6">
        <v>0</v>
      </c>
      <c r="F21" s="16">
        <v>0</v>
      </c>
      <c r="J21" s="3" t="s">
        <v>37</v>
      </c>
      <c r="K21" s="20">
        <f t="shared" ref="K21:K22" si="9">C21/$H$3</f>
        <v>0</v>
      </c>
      <c r="L21" s="20">
        <f t="shared" si="8"/>
        <v>0</v>
      </c>
      <c r="M21" s="20">
        <f t="shared" si="8"/>
        <v>0</v>
      </c>
      <c r="N21" s="20">
        <f t="shared" si="8"/>
        <v>0</v>
      </c>
    </row>
    <row r="22" spans="2:14" x14ac:dyDescent="0.3">
      <c r="B22" s="3" t="s">
        <v>44</v>
      </c>
      <c r="C22" s="6">
        <v>0</v>
      </c>
      <c r="D22" s="6">
        <v>0</v>
      </c>
      <c r="E22" s="6">
        <v>0</v>
      </c>
      <c r="F22" s="16">
        <v>0</v>
      </c>
      <c r="J22" s="3" t="s">
        <v>44</v>
      </c>
      <c r="K22" s="20">
        <f t="shared" si="9"/>
        <v>0</v>
      </c>
      <c r="L22" s="20">
        <f t="shared" si="8"/>
        <v>0</v>
      </c>
      <c r="M22" s="20">
        <f t="shared" si="8"/>
        <v>0</v>
      </c>
      <c r="N22" s="20">
        <f t="shared" si="8"/>
        <v>0</v>
      </c>
    </row>
    <row r="23" spans="2:14" x14ac:dyDescent="0.3">
      <c r="B23" s="3" t="s">
        <v>29</v>
      </c>
      <c r="C23" s="6">
        <v>142500</v>
      </c>
      <c r="D23" s="6">
        <v>142500</v>
      </c>
      <c r="E23" s="6">
        <v>165000</v>
      </c>
      <c r="F23" s="16">
        <v>195372</v>
      </c>
      <c r="J23" s="3" t="s">
        <v>29</v>
      </c>
      <c r="K23" s="20">
        <f>C23/$H$3</f>
        <v>19</v>
      </c>
      <c r="L23" s="20">
        <f t="shared" si="8"/>
        <v>19</v>
      </c>
      <c r="M23" s="20">
        <f t="shared" si="8"/>
        <v>22</v>
      </c>
      <c r="N23" s="20">
        <f t="shared" si="8"/>
        <v>26.049600000000002</v>
      </c>
    </row>
    <row r="24" spans="2:14" x14ac:dyDescent="0.3">
      <c r="C24" s="7">
        <f>SUM(C3:C23)</f>
        <v>420800</v>
      </c>
      <c r="D24" s="7">
        <f t="shared" ref="D24:F24" si="10">SUM(D3:D23)</f>
        <v>423300</v>
      </c>
      <c r="E24" s="7">
        <f t="shared" si="10"/>
        <v>451100</v>
      </c>
      <c r="F24" s="7">
        <f t="shared" si="10"/>
        <v>411421.83</v>
      </c>
    </row>
    <row r="25" spans="2:14" x14ac:dyDescent="0.3">
      <c r="F25" s="27">
        <f>F24/C24</f>
        <v>0.97771347433460076</v>
      </c>
    </row>
    <row r="27" spans="2:14" x14ac:dyDescent="0.3">
      <c r="D27" s="27">
        <f>8/21</f>
        <v>0.38095238095238093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4502-6AE2-448D-8DBE-4A420C897E90}">
  <dimension ref="B2:N27"/>
  <sheetViews>
    <sheetView topLeftCell="B3" zoomScale="130" zoomScaleNormal="130" workbookViewId="0">
      <selection activeCell="G8" sqref="G8:G12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8.88671875" style="7"/>
    <col min="7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/>
      <c r="D3" s="6"/>
      <c r="E3" s="6"/>
      <c r="F3" s="6"/>
      <c r="H3" s="1">
        <v>7500</v>
      </c>
      <c r="J3" s="3" t="s">
        <v>5</v>
      </c>
      <c r="K3" s="20">
        <f t="shared" ref="K3:K8" si="0">C3/$H$3</f>
        <v>0</v>
      </c>
      <c r="L3" s="20">
        <f t="shared" ref="L3:N8" si="1">D3/$H$3</f>
        <v>0</v>
      </c>
      <c r="M3" s="20">
        <f t="shared" si="1"/>
        <v>0</v>
      </c>
      <c r="N3" s="20">
        <f t="shared" si="1"/>
        <v>0</v>
      </c>
    </row>
    <row r="4" spans="2:14" x14ac:dyDescent="0.3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/>
      <c r="D5" s="6"/>
      <c r="E5" s="6"/>
      <c r="F5" s="6"/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">
      <c r="B6" s="3" t="s">
        <v>8</v>
      </c>
      <c r="C6" s="6"/>
      <c r="D6" s="6"/>
      <c r="E6" s="6"/>
      <c r="F6" s="6"/>
      <c r="H6" s="1">
        <v>5000</v>
      </c>
      <c r="J6" s="3" t="s">
        <v>8</v>
      </c>
      <c r="K6" s="20">
        <f t="shared" si="0"/>
        <v>0</v>
      </c>
      <c r="L6" s="20">
        <f t="shared" si="1"/>
        <v>0</v>
      </c>
      <c r="M6" s="20">
        <f t="shared" si="1"/>
        <v>0</v>
      </c>
      <c r="N6" s="20">
        <f t="shared" si="1"/>
        <v>0</v>
      </c>
    </row>
    <row r="7" spans="2:14" x14ac:dyDescent="0.3">
      <c r="B7" s="3" t="s">
        <v>9</v>
      </c>
      <c r="C7" s="6"/>
      <c r="D7" s="6"/>
      <c r="E7" s="6"/>
      <c r="F7" s="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">
      <c r="B8" s="3" t="s">
        <v>11</v>
      </c>
      <c r="C8" s="6"/>
      <c r="D8" s="6"/>
      <c r="E8" s="6"/>
      <c r="F8" s="6"/>
      <c r="J8" s="3" t="s">
        <v>11</v>
      </c>
      <c r="K8" s="20">
        <f t="shared" si="0"/>
        <v>0</v>
      </c>
      <c r="L8" s="20">
        <f t="shared" si="1"/>
        <v>0</v>
      </c>
      <c r="M8" s="20">
        <f t="shared" si="1"/>
        <v>0</v>
      </c>
      <c r="N8" s="20">
        <f t="shared" si="1"/>
        <v>0</v>
      </c>
    </row>
    <row r="9" spans="2:14" x14ac:dyDescent="0.3">
      <c r="B9" s="3" t="s">
        <v>13</v>
      </c>
      <c r="C9" s="6"/>
      <c r="D9" s="6"/>
      <c r="E9" s="6"/>
      <c r="F9" s="6"/>
      <c r="J9" s="3" t="s">
        <v>13</v>
      </c>
      <c r="K9" s="20">
        <f>C9/$H$5</f>
        <v>0</v>
      </c>
      <c r="L9" s="20">
        <f t="shared" ref="L9:N10" si="2">D9/$H$5</f>
        <v>0</v>
      </c>
      <c r="M9" s="20">
        <f t="shared" si="2"/>
        <v>0</v>
      </c>
      <c r="N9" s="20">
        <f t="shared" si="2"/>
        <v>0</v>
      </c>
    </row>
    <row r="10" spans="2:14" x14ac:dyDescent="0.3">
      <c r="B10" s="3" t="s">
        <v>14</v>
      </c>
      <c r="C10" s="6"/>
      <c r="D10" s="6"/>
      <c r="E10" s="6"/>
      <c r="F10" s="6"/>
      <c r="J10" s="3" t="s">
        <v>14</v>
      </c>
      <c r="K10" s="20">
        <f>C10/$H$5</f>
        <v>0</v>
      </c>
      <c r="L10" s="20">
        <f t="shared" si="2"/>
        <v>0</v>
      </c>
      <c r="M10" s="20">
        <f t="shared" si="2"/>
        <v>0</v>
      </c>
      <c r="N10" s="20">
        <f t="shared" si="2"/>
        <v>0</v>
      </c>
    </row>
    <row r="11" spans="2:14" x14ac:dyDescent="0.3">
      <c r="B11" s="3" t="s">
        <v>16</v>
      </c>
      <c r="C11" s="6"/>
      <c r="D11" s="6"/>
      <c r="E11" s="6"/>
      <c r="F11" s="6"/>
      <c r="J11" s="3" t="s">
        <v>16</v>
      </c>
      <c r="K11" s="20">
        <f>C11/$H$3</f>
        <v>0</v>
      </c>
      <c r="L11" s="20">
        <f t="shared" ref="L11:N11" si="3">D11/$H$3</f>
        <v>0</v>
      </c>
      <c r="M11" s="20">
        <f t="shared" si="3"/>
        <v>0</v>
      </c>
      <c r="N11" s="20">
        <f t="shared" si="3"/>
        <v>0</v>
      </c>
    </row>
    <row r="12" spans="2:14" x14ac:dyDescent="0.3">
      <c r="B12" s="3" t="s">
        <v>17</v>
      </c>
      <c r="C12" s="6"/>
      <c r="D12" s="6"/>
      <c r="E12" s="6"/>
      <c r="F12" s="6"/>
      <c r="J12" s="3" t="s">
        <v>17</v>
      </c>
      <c r="K12" s="20">
        <f>C12/$H$5</f>
        <v>0</v>
      </c>
      <c r="L12" s="20">
        <f t="shared" ref="L12:N13" si="4">D12/$H$5</f>
        <v>0</v>
      </c>
      <c r="M12" s="20">
        <f t="shared" si="4"/>
        <v>0</v>
      </c>
      <c r="N12" s="20">
        <f t="shared" si="4"/>
        <v>0</v>
      </c>
    </row>
    <row r="13" spans="2:14" x14ac:dyDescent="0.3">
      <c r="B13" s="3" t="s">
        <v>18</v>
      </c>
      <c r="C13" s="6"/>
      <c r="D13" s="6"/>
      <c r="E13" s="6"/>
      <c r="F13" s="6"/>
      <c r="J13" s="3" t="s">
        <v>18</v>
      </c>
      <c r="K13" s="20">
        <f>C13/$H$5</f>
        <v>0</v>
      </c>
      <c r="L13" s="20">
        <f t="shared" si="4"/>
        <v>0</v>
      </c>
      <c r="M13" s="20">
        <f t="shared" si="4"/>
        <v>0</v>
      </c>
      <c r="N13" s="20">
        <f t="shared" si="4"/>
        <v>0</v>
      </c>
    </row>
    <row r="14" spans="2:14" x14ac:dyDescent="0.3">
      <c r="B14" s="3" t="s">
        <v>19</v>
      </c>
      <c r="C14" s="6"/>
      <c r="D14" s="6"/>
      <c r="E14" s="6"/>
      <c r="F14" s="6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21</v>
      </c>
      <c r="C16" s="6"/>
      <c r="D16" s="6"/>
      <c r="E16" s="6"/>
      <c r="F16" s="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">
      <c r="B17" s="3" t="s">
        <v>22</v>
      </c>
      <c r="C17" s="6"/>
      <c r="D17" s="6"/>
      <c r="E17" s="6"/>
      <c r="F17" s="6"/>
      <c r="J17" s="3" t="s">
        <v>22</v>
      </c>
      <c r="K17" s="20">
        <f>C17/$H$6</f>
        <v>0</v>
      </c>
      <c r="L17" s="20">
        <f t="shared" ref="L17:N17" si="7">D17/$H$6</f>
        <v>0</v>
      </c>
      <c r="M17" s="20">
        <f t="shared" si="7"/>
        <v>0</v>
      </c>
      <c r="N17" s="20">
        <f t="shared" si="7"/>
        <v>0</v>
      </c>
    </row>
    <row r="18" spans="2:14" x14ac:dyDescent="0.3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" t="s">
        <v>25</v>
      </c>
      <c r="C19" s="6"/>
      <c r="D19" s="6"/>
      <c r="E19" s="6"/>
      <c r="F19" s="6"/>
      <c r="J19" s="3" t="s">
        <v>25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">
      <c r="B20" s="3" t="s">
        <v>26</v>
      </c>
      <c r="C20" s="6"/>
      <c r="D20" s="6"/>
      <c r="E20" s="6"/>
      <c r="F20" s="6"/>
      <c r="J20" s="3" t="s">
        <v>26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">
      <c r="B21" s="3" t="s">
        <v>27</v>
      </c>
      <c r="C21" s="6"/>
      <c r="D21" s="6"/>
      <c r="E21" s="6"/>
      <c r="F21" s="6"/>
      <c r="J21" s="3" t="s">
        <v>27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">
      <c r="B22" s="3" t="s">
        <v>28</v>
      </c>
      <c r="C22" s="6"/>
      <c r="D22" s="6"/>
      <c r="E22" s="6"/>
      <c r="F22" s="6"/>
      <c r="J22" s="3" t="s">
        <v>28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">
      <c r="B23" s="3" t="s">
        <v>29</v>
      </c>
      <c r="C23" s="6"/>
      <c r="D23" s="6"/>
      <c r="E23" s="6"/>
      <c r="F23" s="6"/>
      <c r="J23" s="3" t="s">
        <v>29</v>
      </c>
      <c r="K23" s="20">
        <f t="shared" si="11"/>
        <v>0</v>
      </c>
      <c r="L23" s="20">
        <f t="shared" si="10"/>
        <v>0</v>
      </c>
      <c r="M23" s="20">
        <f t="shared" si="10"/>
        <v>0</v>
      </c>
      <c r="N23" s="20">
        <f t="shared" si="10"/>
        <v>0</v>
      </c>
    </row>
    <row r="24" spans="2:14" x14ac:dyDescent="0.3">
      <c r="C24" s="7">
        <f>SUM(C3:C23)</f>
        <v>0</v>
      </c>
      <c r="D24" s="7">
        <f t="shared" ref="D24:F24" si="12">SUM(D3:D23)</f>
        <v>0</v>
      </c>
      <c r="E24" s="7">
        <f t="shared" si="12"/>
        <v>0</v>
      </c>
      <c r="F24" s="7">
        <f t="shared" si="12"/>
        <v>0</v>
      </c>
    </row>
    <row r="25" spans="2:14" x14ac:dyDescent="0.3">
      <c r="F25" s="27" t="e">
        <f>F24/C24</f>
        <v>#DIV/0!</v>
      </c>
    </row>
    <row r="27" spans="2:14" x14ac:dyDescent="0.3">
      <c r="G27" s="1">
        <f>7/21</f>
        <v>0.33333333333333331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79EC-F30D-4700-B6B4-4884CC51F617}">
  <dimension ref="B2:N26"/>
  <sheetViews>
    <sheetView zoomScale="90" zoomScaleNormal="90" workbookViewId="0">
      <selection activeCell="B28" sqref="B28:C30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9.88671875" style="7" customWidth="1"/>
    <col min="7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/>
      <c r="D3" s="6"/>
      <c r="E3" s="6"/>
      <c r="F3" s="16"/>
      <c r="H3" s="1">
        <v>7500</v>
      </c>
      <c r="J3" s="3" t="s">
        <v>5</v>
      </c>
      <c r="K3" s="20">
        <f t="shared" ref="K3:K8" si="0">C3/$H$3</f>
        <v>0</v>
      </c>
      <c r="L3" s="20">
        <f t="shared" ref="L3:N8" si="1">D3/$H$3</f>
        <v>0</v>
      </c>
      <c r="M3" s="20">
        <f t="shared" si="1"/>
        <v>0</v>
      </c>
      <c r="N3" s="20">
        <f t="shared" si="1"/>
        <v>0</v>
      </c>
    </row>
    <row r="4" spans="2:14" x14ac:dyDescent="0.3">
      <c r="B4" s="3" t="s">
        <v>6</v>
      </c>
      <c r="C4" s="6"/>
      <c r="D4" s="6"/>
      <c r="E4" s="6"/>
      <c r="F4" s="1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/>
      <c r="D5" s="6"/>
      <c r="E5" s="6"/>
      <c r="F5" s="16"/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">
      <c r="B6" s="3" t="s">
        <v>8</v>
      </c>
      <c r="C6" s="6"/>
      <c r="D6" s="6"/>
      <c r="E6" s="6"/>
      <c r="F6" s="16"/>
      <c r="H6" s="1">
        <v>5000</v>
      </c>
      <c r="J6" s="3" t="s">
        <v>8</v>
      </c>
      <c r="K6" s="20">
        <f t="shared" si="0"/>
        <v>0</v>
      </c>
      <c r="L6" s="20">
        <f t="shared" si="1"/>
        <v>0</v>
      </c>
      <c r="M6" s="20">
        <f t="shared" si="1"/>
        <v>0</v>
      </c>
      <c r="N6" s="20">
        <f t="shared" si="1"/>
        <v>0</v>
      </c>
    </row>
    <row r="7" spans="2:14" x14ac:dyDescent="0.3">
      <c r="B7" s="3" t="s">
        <v>9</v>
      </c>
      <c r="C7" s="6"/>
      <c r="D7" s="6"/>
      <c r="E7" s="6"/>
      <c r="F7" s="1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">
      <c r="B8" s="3" t="s">
        <v>11</v>
      </c>
      <c r="C8" s="6"/>
      <c r="D8" s="6"/>
      <c r="E8" s="6"/>
      <c r="F8" s="16"/>
      <c r="J8" s="3" t="s">
        <v>11</v>
      </c>
      <c r="K8" s="20">
        <f t="shared" si="0"/>
        <v>0</v>
      </c>
      <c r="L8" s="20">
        <f t="shared" si="1"/>
        <v>0</v>
      </c>
      <c r="M8" s="20">
        <f t="shared" si="1"/>
        <v>0</v>
      </c>
      <c r="N8" s="20">
        <f t="shared" si="1"/>
        <v>0</v>
      </c>
    </row>
    <row r="9" spans="2:14" x14ac:dyDescent="0.3">
      <c r="B9" s="3" t="s">
        <v>13</v>
      </c>
      <c r="C9" s="6"/>
      <c r="D9" s="6"/>
      <c r="E9" s="6"/>
      <c r="F9" s="16"/>
      <c r="J9" s="3" t="s">
        <v>13</v>
      </c>
      <c r="K9" s="20">
        <f>C9/$H$5</f>
        <v>0</v>
      </c>
      <c r="L9" s="20">
        <f t="shared" ref="L9:N10" si="2">D9/$H$5</f>
        <v>0</v>
      </c>
      <c r="M9" s="20">
        <f t="shared" si="2"/>
        <v>0</v>
      </c>
      <c r="N9" s="20">
        <f t="shared" si="2"/>
        <v>0</v>
      </c>
    </row>
    <row r="10" spans="2:14" x14ac:dyDescent="0.3">
      <c r="B10" s="3" t="s">
        <v>14</v>
      </c>
      <c r="C10" s="6"/>
      <c r="D10" s="6"/>
      <c r="E10" s="6"/>
      <c r="F10" s="16"/>
      <c r="J10" s="3" t="s">
        <v>14</v>
      </c>
      <c r="K10" s="20">
        <f>C10/$H$5</f>
        <v>0</v>
      </c>
      <c r="L10" s="20">
        <f t="shared" si="2"/>
        <v>0</v>
      </c>
      <c r="M10" s="20">
        <f t="shared" si="2"/>
        <v>0</v>
      </c>
      <c r="N10" s="20">
        <f t="shared" si="2"/>
        <v>0</v>
      </c>
    </row>
    <row r="11" spans="2:14" x14ac:dyDescent="0.3">
      <c r="B11" s="3" t="s">
        <v>16</v>
      </c>
      <c r="C11" s="6"/>
      <c r="D11" s="6"/>
      <c r="E11" s="6"/>
      <c r="F11" s="16"/>
      <c r="J11" s="3" t="s">
        <v>16</v>
      </c>
      <c r="K11" s="20">
        <f>C11/$H$3</f>
        <v>0</v>
      </c>
      <c r="L11" s="20">
        <f t="shared" ref="L11:N11" si="3">D11/$H$3</f>
        <v>0</v>
      </c>
      <c r="M11" s="20">
        <f t="shared" si="3"/>
        <v>0</v>
      </c>
      <c r="N11" s="20">
        <f t="shared" si="3"/>
        <v>0</v>
      </c>
    </row>
    <row r="12" spans="2:14" x14ac:dyDescent="0.3">
      <c r="B12" s="3" t="s">
        <v>17</v>
      </c>
      <c r="C12" s="6"/>
      <c r="D12" s="6"/>
      <c r="E12" s="6"/>
      <c r="F12" s="16"/>
      <c r="J12" s="3" t="s">
        <v>17</v>
      </c>
      <c r="K12" s="20">
        <f>C12/$H$5</f>
        <v>0</v>
      </c>
      <c r="L12" s="20">
        <f t="shared" ref="L12:N13" si="4">D12/$H$5</f>
        <v>0</v>
      </c>
      <c r="M12" s="20">
        <f t="shared" si="4"/>
        <v>0</v>
      </c>
      <c r="N12" s="20">
        <f t="shared" si="4"/>
        <v>0</v>
      </c>
    </row>
    <row r="13" spans="2:14" x14ac:dyDescent="0.3">
      <c r="B13" s="3" t="s">
        <v>18</v>
      </c>
      <c r="C13" s="6"/>
      <c r="D13" s="6"/>
      <c r="E13" s="6"/>
      <c r="F13" s="16"/>
      <c r="J13" s="3" t="s">
        <v>18</v>
      </c>
      <c r="K13" s="20">
        <f>C13/$H$5</f>
        <v>0</v>
      </c>
      <c r="L13" s="20">
        <f t="shared" si="4"/>
        <v>0</v>
      </c>
      <c r="M13" s="20">
        <f t="shared" si="4"/>
        <v>0</v>
      </c>
      <c r="N13" s="20">
        <f t="shared" si="4"/>
        <v>0</v>
      </c>
    </row>
    <row r="14" spans="2:14" x14ac:dyDescent="0.3">
      <c r="B14" s="3" t="s">
        <v>19</v>
      </c>
      <c r="C14" s="6"/>
      <c r="D14" s="6"/>
      <c r="E14" s="6"/>
      <c r="F14" s="16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">
      <c r="B15" s="3" t="s">
        <v>20</v>
      </c>
      <c r="C15" s="6"/>
      <c r="D15" s="6"/>
      <c r="E15" s="6"/>
      <c r="F15" s="1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21</v>
      </c>
      <c r="C16" s="6"/>
      <c r="D16" s="6"/>
      <c r="E16" s="6"/>
      <c r="F16" s="1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">
      <c r="B17" s="3" t="s">
        <v>22</v>
      </c>
      <c r="C17" s="6"/>
      <c r="D17" s="6"/>
      <c r="E17" s="6"/>
      <c r="F17" s="16"/>
      <c r="J17" s="3" t="s">
        <v>22</v>
      </c>
      <c r="K17" s="20">
        <f>C17/$H$6</f>
        <v>0</v>
      </c>
      <c r="L17" s="20">
        <f t="shared" ref="L17:N17" si="7">D17/$H$6</f>
        <v>0</v>
      </c>
      <c r="M17" s="20">
        <f t="shared" si="7"/>
        <v>0</v>
      </c>
      <c r="N17" s="20">
        <f t="shared" si="7"/>
        <v>0</v>
      </c>
    </row>
    <row r="18" spans="2:14" x14ac:dyDescent="0.3">
      <c r="B18" s="3" t="s">
        <v>24</v>
      </c>
      <c r="C18" s="6"/>
      <c r="D18" s="6"/>
      <c r="E18" s="6"/>
      <c r="F18" s="16"/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" t="s">
        <v>25</v>
      </c>
      <c r="C19" s="6"/>
      <c r="D19" s="6"/>
      <c r="E19" s="6"/>
      <c r="F19" s="16"/>
      <c r="J19" s="3" t="s">
        <v>25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">
      <c r="B20" s="3" t="s">
        <v>26</v>
      </c>
      <c r="C20" s="6"/>
      <c r="D20" s="6"/>
      <c r="E20" s="6"/>
      <c r="F20" s="16"/>
      <c r="J20" s="3" t="s">
        <v>26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">
      <c r="B21" s="3" t="s">
        <v>27</v>
      </c>
      <c r="C21" s="6"/>
      <c r="D21" s="6"/>
      <c r="E21" s="6"/>
      <c r="F21" s="16"/>
      <c r="J21" s="3" t="s">
        <v>27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">
      <c r="B22" s="3" t="s">
        <v>28</v>
      </c>
      <c r="C22" s="6"/>
      <c r="D22" s="6"/>
      <c r="E22" s="6"/>
      <c r="F22" s="16"/>
      <c r="J22" s="3" t="s">
        <v>28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">
      <c r="B23" s="3" t="s">
        <v>29</v>
      </c>
      <c r="C23" s="6"/>
      <c r="D23" s="6"/>
      <c r="E23" s="6"/>
      <c r="F23" s="16"/>
      <c r="J23" s="3" t="s">
        <v>29</v>
      </c>
      <c r="K23" s="20">
        <f t="shared" si="11"/>
        <v>0</v>
      </c>
      <c r="L23" s="20">
        <f t="shared" si="10"/>
        <v>0</v>
      </c>
      <c r="M23" s="20">
        <f t="shared" si="10"/>
        <v>0</v>
      </c>
      <c r="N23" s="20">
        <f t="shared" si="10"/>
        <v>0</v>
      </c>
    </row>
    <row r="24" spans="2:14" x14ac:dyDescent="0.3">
      <c r="C24" s="7">
        <f>SUM(C3:C23)</f>
        <v>0</v>
      </c>
      <c r="D24" s="7">
        <f t="shared" ref="D24:F24" si="12">SUM(D3:D23)</f>
        <v>0</v>
      </c>
      <c r="E24" s="7">
        <f t="shared" si="12"/>
        <v>0</v>
      </c>
      <c r="F24" s="7">
        <f t="shared" si="12"/>
        <v>0</v>
      </c>
    </row>
    <row r="26" spans="2:14" x14ac:dyDescent="0.3">
      <c r="F26" s="27" t="e">
        <f>F24/C24</f>
        <v>#DIV/0!</v>
      </c>
      <c r="H26" s="1" t="e">
        <f>F24/C24</f>
        <v>#DIV/0!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14D0-FD70-4736-BE09-2C69E7CB5D7C}">
  <dimension ref="B2:N23"/>
  <sheetViews>
    <sheetView zoomScale="90" zoomScaleNormal="90" workbookViewId="0">
      <selection activeCell="C3" sqref="C3:F23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8.88671875" style="7"/>
    <col min="7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/>
      <c r="D3" s="6"/>
      <c r="E3" s="6"/>
      <c r="F3" s="6"/>
      <c r="H3" s="1">
        <v>7500</v>
      </c>
      <c r="J3" s="3" t="s">
        <v>5</v>
      </c>
      <c r="K3" s="20">
        <f t="shared" ref="K3:K8" si="0">C3/$H$3</f>
        <v>0</v>
      </c>
      <c r="L3" s="20">
        <f t="shared" ref="L3:N8" si="1">D3/$H$3</f>
        <v>0</v>
      </c>
      <c r="M3" s="20">
        <f t="shared" si="1"/>
        <v>0</v>
      </c>
      <c r="N3" s="20">
        <f t="shared" si="1"/>
        <v>0</v>
      </c>
    </row>
    <row r="4" spans="2:14" x14ac:dyDescent="0.3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/>
      <c r="D5" s="6"/>
      <c r="E5" s="6"/>
      <c r="F5" s="6"/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">
      <c r="B6" s="3" t="s">
        <v>8</v>
      </c>
      <c r="C6" s="6"/>
      <c r="D6" s="6"/>
      <c r="E6" s="6"/>
      <c r="F6" s="6"/>
      <c r="H6" s="1">
        <v>5000</v>
      </c>
      <c r="J6" s="3" t="s">
        <v>8</v>
      </c>
      <c r="K6" s="20">
        <f t="shared" si="0"/>
        <v>0</v>
      </c>
      <c r="L6" s="20">
        <f t="shared" si="1"/>
        <v>0</v>
      </c>
      <c r="M6" s="20">
        <f t="shared" si="1"/>
        <v>0</v>
      </c>
      <c r="N6" s="20">
        <f t="shared" si="1"/>
        <v>0</v>
      </c>
    </row>
    <row r="7" spans="2:14" x14ac:dyDescent="0.3">
      <c r="B7" s="3" t="s">
        <v>9</v>
      </c>
      <c r="C7" s="6"/>
      <c r="D7" s="6"/>
      <c r="E7" s="6"/>
      <c r="F7" s="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">
      <c r="B8" s="3" t="s">
        <v>11</v>
      </c>
      <c r="C8" s="6"/>
      <c r="D8" s="6"/>
      <c r="E8" s="6"/>
      <c r="F8" s="6"/>
      <c r="J8" s="3" t="s">
        <v>11</v>
      </c>
      <c r="K8" s="20">
        <f t="shared" si="0"/>
        <v>0</v>
      </c>
      <c r="L8" s="20">
        <f t="shared" si="1"/>
        <v>0</v>
      </c>
      <c r="M8" s="20">
        <f t="shared" si="1"/>
        <v>0</v>
      </c>
      <c r="N8" s="20">
        <f t="shared" si="1"/>
        <v>0</v>
      </c>
    </row>
    <row r="9" spans="2:14" x14ac:dyDescent="0.3">
      <c r="B9" s="3" t="s">
        <v>13</v>
      </c>
      <c r="C9" s="6"/>
      <c r="D9" s="6"/>
      <c r="E9" s="6"/>
      <c r="F9" s="6"/>
      <c r="J9" s="3" t="s">
        <v>13</v>
      </c>
      <c r="K9" s="20">
        <f>C9/$H$5</f>
        <v>0</v>
      </c>
      <c r="L9" s="20">
        <f t="shared" ref="L9:N10" si="2">D9/$H$5</f>
        <v>0</v>
      </c>
      <c r="M9" s="20">
        <f t="shared" si="2"/>
        <v>0</v>
      </c>
      <c r="N9" s="20">
        <f t="shared" si="2"/>
        <v>0</v>
      </c>
    </row>
    <row r="10" spans="2:14" x14ac:dyDescent="0.3">
      <c r="B10" s="3" t="s">
        <v>14</v>
      </c>
      <c r="C10" s="6"/>
      <c r="D10" s="6"/>
      <c r="E10" s="6"/>
      <c r="F10" s="6"/>
      <c r="J10" s="3" t="s">
        <v>14</v>
      </c>
      <c r="K10" s="20">
        <f>C10/$H$5</f>
        <v>0</v>
      </c>
      <c r="L10" s="20">
        <f t="shared" si="2"/>
        <v>0</v>
      </c>
      <c r="M10" s="20">
        <f t="shared" si="2"/>
        <v>0</v>
      </c>
      <c r="N10" s="20">
        <f t="shared" si="2"/>
        <v>0</v>
      </c>
    </row>
    <row r="11" spans="2:14" x14ac:dyDescent="0.3">
      <c r="B11" s="3" t="s">
        <v>16</v>
      </c>
      <c r="C11" s="6"/>
      <c r="D11" s="6"/>
      <c r="E11" s="6"/>
      <c r="F11" s="6"/>
      <c r="J11" s="3" t="s">
        <v>16</v>
      </c>
      <c r="K11" s="20">
        <f>C11/$H$3</f>
        <v>0</v>
      </c>
      <c r="L11" s="20">
        <f t="shared" ref="L11:N11" si="3">D11/$H$3</f>
        <v>0</v>
      </c>
      <c r="M11" s="20">
        <f t="shared" si="3"/>
        <v>0</v>
      </c>
      <c r="N11" s="20">
        <f t="shared" si="3"/>
        <v>0</v>
      </c>
    </row>
    <row r="12" spans="2:14" x14ac:dyDescent="0.3">
      <c r="B12" s="3" t="s">
        <v>17</v>
      </c>
      <c r="C12" s="6"/>
      <c r="D12" s="6"/>
      <c r="E12" s="6"/>
      <c r="F12" s="6"/>
      <c r="J12" s="3" t="s">
        <v>17</v>
      </c>
      <c r="K12" s="20">
        <f>C12/$H$5</f>
        <v>0</v>
      </c>
      <c r="L12" s="20">
        <f t="shared" ref="L12:N13" si="4">D12/$H$5</f>
        <v>0</v>
      </c>
      <c r="M12" s="20">
        <f t="shared" si="4"/>
        <v>0</v>
      </c>
      <c r="N12" s="20">
        <f t="shared" si="4"/>
        <v>0</v>
      </c>
    </row>
    <row r="13" spans="2:14" x14ac:dyDescent="0.3">
      <c r="B13" s="3" t="s">
        <v>18</v>
      </c>
      <c r="C13" s="6"/>
      <c r="D13" s="6"/>
      <c r="E13" s="6"/>
      <c r="F13" s="6"/>
      <c r="J13" s="3" t="s">
        <v>18</v>
      </c>
      <c r="K13" s="20">
        <f>C13/$H$5</f>
        <v>0</v>
      </c>
      <c r="L13" s="20">
        <f t="shared" si="4"/>
        <v>0</v>
      </c>
      <c r="M13" s="20">
        <f t="shared" si="4"/>
        <v>0</v>
      </c>
      <c r="N13" s="20">
        <f t="shared" si="4"/>
        <v>0</v>
      </c>
    </row>
    <row r="14" spans="2:14" x14ac:dyDescent="0.3">
      <c r="B14" s="3" t="s">
        <v>19</v>
      </c>
      <c r="C14" s="6"/>
      <c r="D14" s="6"/>
      <c r="E14" s="6"/>
      <c r="F14" s="6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21</v>
      </c>
      <c r="C16" s="6"/>
      <c r="D16" s="6"/>
      <c r="E16" s="6"/>
      <c r="F16" s="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">
      <c r="B17" s="3" t="s">
        <v>22</v>
      </c>
      <c r="C17" s="6"/>
      <c r="D17" s="6"/>
      <c r="E17" s="6"/>
      <c r="F17" s="6"/>
      <c r="J17" s="3" t="s">
        <v>22</v>
      </c>
      <c r="K17" s="20">
        <f>C17/$H$6</f>
        <v>0</v>
      </c>
      <c r="L17" s="20">
        <f t="shared" ref="L17:N17" si="7">D17/$H$6</f>
        <v>0</v>
      </c>
      <c r="M17" s="20">
        <f t="shared" si="7"/>
        <v>0</v>
      </c>
      <c r="N17" s="20">
        <f t="shared" si="7"/>
        <v>0</v>
      </c>
    </row>
    <row r="18" spans="2:14" x14ac:dyDescent="0.3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" t="s">
        <v>25</v>
      </c>
      <c r="C19" s="6"/>
      <c r="D19" s="6"/>
      <c r="E19" s="6"/>
      <c r="F19" s="6"/>
      <c r="J19" s="3" t="s">
        <v>25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">
      <c r="B20" s="3" t="s">
        <v>26</v>
      </c>
      <c r="C20" s="6"/>
      <c r="D20" s="6"/>
      <c r="E20" s="6"/>
      <c r="F20" s="6"/>
      <c r="J20" s="3" t="s">
        <v>26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">
      <c r="B21" s="3" t="s">
        <v>27</v>
      </c>
      <c r="C21" s="6"/>
      <c r="D21" s="6"/>
      <c r="E21" s="6"/>
      <c r="F21" s="6"/>
      <c r="J21" s="3" t="s">
        <v>27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">
      <c r="B22" s="3" t="s">
        <v>28</v>
      </c>
      <c r="C22" s="6"/>
      <c r="D22" s="6"/>
      <c r="E22" s="6"/>
      <c r="F22" s="6"/>
      <c r="J22" s="3" t="s">
        <v>28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">
      <c r="B23" s="3" t="s">
        <v>29</v>
      </c>
      <c r="C23" s="6"/>
      <c r="D23" s="6"/>
      <c r="E23" s="6"/>
      <c r="F23" s="6"/>
      <c r="J23" s="3" t="s">
        <v>29</v>
      </c>
      <c r="K23" s="20">
        <f t="shared" si="11"/>
        <v>0</v>
      </c>
      <c r="L23" s="20">
        <f t="shared" si="10"/>
        <v>0</v>
      </c>
      <c r="M23" s="20">
        <f t="shared" si="10"/>
        <v>0</v>
      </c>
      <c r="N23" s="20">
        <f t="shared" si="10"/>
        <v>0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8182-76ED-40F5-9862-DBB514837505}">
  <dimension ref="B2:N26"/>
  <sheetViews>
    <sheetView zoomScale="90" zoomScaleNormal="90" workbookViewId="0">
      <selection activeCell="B28" sqref="B28:C30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10.33203125" style="7" customWidth="1"/>
    <col min="7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/>
      <c r="D3" s="6"/>
      <c r="E3" s="6"/>
      <c r="F3" s="6"/>
      <c r="H3" s="1">
        <v>7500</v>
      </c>
      <c r="J3" s="3" t="s">
        <v>5</v>
      </c>
      <c r="K3" s="20">
        <f t="shared" ref="K3:K8" si="0">C3/$H$3</f>
        <v>0</v>
      </c>
      <c r="L3" s="20">
        <f t="shared" ref="L3:N8" si="1">D3/$H$3</f>
        <v>0</v>
      </c>
      <c r="M3" s="20">
        <f t="shared" si="1"/>
        <v>0</v>
      </c>
      <c r="N3" s="20">
        <f t="shared" si="1"/>
        <v>0</v>
      </c>
    </row>
    <row r="4" spans="2:14" x14ac:dyDescent="0.3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/>
      <c r="D5" s="6"/>
      <c r="E5" s="6"/>
      <c r="F5" s="6"/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">
      <c r="B6" s="3" t="s">
        <v>8</v>
      </c>
      <c r="C6" s="6"/>
      <c r="D6" s="6"/>
      <c r="E6" s="6"/>
      <c r="F6" s="6"/>
      <c r="H6" s="1">
        <v>5000</v>
      </c>
      <c r="J6" s="3" t="s">
        <v>8</v>
      </c>
      <c r="K6" s="20">
        <f t="shared" si="0"/>
        <v>0</v>
      </c>
      <c r="L6" s="20">
        <f t="shared" si="1"/>
        <v>0</v>
      </c>
      <c r="M6" s="20">
        <f t="shared" si="1"/>
        <v>0</v>
      </c>
      <c r="N6" s="20">
        <f t="shared" si="1"/>
        <v>0</v>
      </c>
    </row>
    <row r="7" spans="2:14" x14ac:dyDescent="0.3">
      <c r="B7" s="3" t="s">
        <v>9</v>
      </c>
      <c r="C7" s="6"/>
      <c r="D7" s="6"/>
      <c r="E7" s="6"/>
      <c r="F7" s="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">
      <c r="B8" s="3" t="s">
        <v>11</v>
      </c>
      <c r="C8" s="6"/>
      <c r="D8" s="6"/>
      <c r="E8" s="6"/>
      <c r="F8" s="6"/>
      <c r="J8" s="3" t="s">
        <v>11</v>
      </c>
      <c r="K8" s="20">
        <f t="shared" si="0"/>
        <v>0</v>
      </c>
      <c r="L8" s="20">
        <f t="shared" si="1"/>
        <v>0</v>
      </c>
      <c r="M8" s="20">
        <f t="shared" si="1"/>
        <v>0</v>
      </c>
      <c r="N8" s="20">
        <f t="shared" si="1"/>
        <v>0</v>
      </c>
    </row>
    <row r="9" spans="2:14" x14ac:dyDescent="0.3">
      <c r="B9" s="3" t="s">
        <v>13</v>
      </c>
      <c r="C9" s="6"/>
      <c r="D9" s="6"/>
      <c r="E9" s="6"/>
      <c r="F9" s="6"/>
      <c r="J9" s="3" t="s">
        <v>13</v>
      </c>
      <c r="K9" s="20">
        <f>C9/$H$5</f>
        <v>0</v>
      </c>
      <c r="L9" s="20">
        <f t="shared" ref="L9:N10" si="2">D9/$H$5</f>
        <v>0</v>
      </c>
      <c r="M9" s="20">
        <f t="shared" si="2"/>
        <v>0</v>
      </c>
      <c r="N9" s="20">
        <f t="shared" si="2"/>
        <v>0</v>
      </c>
    </row>
    <row r="10" spans="2:14" x14ac:dyDescent="0.3">
      <c r="B10" s="3" t="s">
        <v>14</v>
      </c>
      <c r="C10" s="6"/>
      <c r="D10" s="6"/>
      <c r="E10" s="6"/>
      <c r="F10" s="6"/>
      <c r="J10" s="3" t="s">
        <v>14</v>
      </c>
      <c r="K10" s="20">
        <f>C10/$H$5</f>
        <v>0</v>
      </c>
      <c r="L10" s="20">
        <f t="shared" si="2"/>
        <v>0</v>
      </c>
      <c r="M10" s="20">
        <f t="shared" si="2"/>
        <v>0</v>
      </c>
      <c r="N10" s="20">
        <f t="shared" si="2"/>
        <v>0</v>
      </c>
    </row>
    <row r="11" spans="2:14" x14ac:dyDescent="0.3">
      <c r="B11" s="3" t="s">
        <v>16</v>
      </c>
      <c r="C11" s="6"/>
      <c r="D11" s="6"/>
      <c r="E11" s="6"/>
      <c r="F11" s="6"/>
      <c r="J11" s="3" t="s">
        <v>16</v>
      </c>
      <c r="K11" s="20">
        <f>C11/$H$3</f>
        <v>0</v>
      </c>
      <c r="L11" s="20">
        <f t="shared" ref="L11:N11" si="3">D11/$H$3</f>
        <v>0</v>
      </c>
      <c r="M11" s="20">
        <f t="shared" si="3"/>
        <v>0</v>
      </c>
      <c r="N11" s="20">
        <f t="shared" si="3"/>
        <v>0</v>
      </c>
    </row>
    <row r="12" spans="2:14" x14ac:dyDescent="0.3">
      <c r="B12" s="3" t="s">
        <v>17</v>
      </c>
      <c r="C12" s="6"/>
      <c r="D12" s="6"/>
      <c r="E12" s="6"/>
      <c r="F12" s="6"/>
      <c r="J12" s="3" t="s">
        <v>17</v>
      </c>
      <c r="K12" s="20">
        <f>C12/$H$5</f>
        <v>0</v>
      </c>
      <c r="L12" s="20">
        <f t="shared" ref="L12:N12" si="4">D12/$H$5</f>
        <v>0</v>
      </c>
      <c r="M12" s="20">
        <f t="shared" si="4"/>
        <v>0</v>
      </c>
      <c r="N12" s="20">
        <f t="shared" si="4"/>
        <v>0</v>
      </c>
    </row>
    <row r="13" spans="2:14" x14ac:dyDescent="0.3">
      <c r="B13" s="3" t="s">
        <v>18</v>
      </c>
      <c r="C13" s="6"/>
      <c r="D13" s="6"/>
      <c r="E13" s="6"/>
      <c r="F13" s="6"/>
      <c r="J13" s="3" t="s">
        <v>18</v>
      </c>
      <c r="K13" s="20">
        <f>C13/$H$5</f>
        <v>0</v>
      </c>
      <c r="L13" s="20">
        <f>D13/$H$5</f>
        <v>0</v>
      </c>
      <c r="M13" s="20">
        <f>E13/$H$5</f>
        <v>0</v>
      </c>
      <c r="N13" s="29">
        <v>8</v>
      </c>
    </row>
    <row r="14" spans="2:14" x14ac:dyDescent="0.3">
      <c r="B14" s="3" t="s">
        <v>19</v>
      </c>
      <c r="C14" s="6"/>
      <c r="D14" s="6"/>
      <c r="E14" s="6"/>
      <c r="F14" s="6"/>
      <c r="J14" s="3" t="s">
        <v>19</v>
      </c>
      <c r="K14" s="20">
        <f>C14/$H$5</f>
        <v>0</v>
      </c>
      <c r="L14" s="20">
        <f>D14/$H$5</f>
        <v>0</v>
      </c>
      <c r="M14" s="20">
        <f>E14/$H$5</f>
        <v>0</v>
      </c>
      <c r="N14" s="20">
        <f>F14/$H$5</f>
        <v>0</v>
      </c>
    </row>
    <row r="15" spans="2:14" x14ac:dyDescent="0.3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ref="L15:N15" si="5">D15/$H$3</f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21</v>
      </c>
      <c r="C16" s="6"/>
      <c r="D16" s="6"/>
      <c r="E16" s="6"/>
      <c r="F16" s="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">
      <c r="B17" s="3" t="s">
        <v>22</v>
      </c>
      <c r="C17" s="6"/>
      <c r="D17" s="6"/>
      <c r="E17" s="6"/>
      <c r="F17" s="6"/>
      <c r="J17" s="3" t="s">
        <v>22</v>
      </c>
      <c r="K17" s="20">
        <f>C17/$H$6</f>
        <v>0</v>
      </c>
      <c r="L17" s="20">
        <f t="shared" ref="L17:N17" si="7">D17/$H$6</f>
        <v>0</v>
      </c>
      <c r="M17" s="20">
        <f t="shared" si="7"/>
        <v>0</v>
      </c>
      <c r="N17" s="20">
        <f t="shared" si="7"/>
        <v>0</v>
      </c>
    </row>
    <row r="18" spans="2:14" x14ac:dyDescent="0.3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" t="s">
        <v>25</v>
      </c>
      <c r="C19" s="6"/>
      <c r="D19" s="6"/>
      <c r="E19" s="6"/>
      <c r="F19" s="6"/>
      <c r="J19" s="3" t="s">
        <v>25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">
      <c r="B20" s="3" t="s">
        <v>26</v>
      </c>
      <c r="C20" s="6"/>
      <c r="D20" s="6"/>
      <c r="E20" s="6"/>
      <c r="F20" s="6"/>
      <c r="J20" s="3" t="s">
        <v>26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">
      <c r="B21" s="3" t="s">
        <v>27</v>
      </c>
      <c r="C21" s="6"/>
      <c r="D21" s="6"/>
      <c r="E21" s="6"/>
      <c r="F21" s="6"/>
      <c r="J21" s="3" t="s">
        <v>27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">
      <c r="B22" s="3" t="s">
        <v>28</v>
      </c>
      <c r="C22" s="6"/>
      <c r="D22" s="6"/>
      <c r="E22" s="6"/>
      <c r="F22" s="6"/>
      <c r="J22" s="3" t="s">
        <v>28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">
      <c r="B23" s="3" t="s">
        <v>29</v>
      </c>
      <c r="C23" s="6"/>
      <c r="D23" s="6"/>
      <c r="E23" s="6"/>
      <c r="F23" s="6"/>
      <c r="J23" s="3" t="s">
        <v>29</v>
      </c>
      <c r="K23" s="20">
        <f t="shared" si="11"/>
        <v>0</v>
      </c>
      <c r="L23" s="20">
        <f t="shared" si="10"/>
        <v>0</v>
      </c>
      <c r="M23" s="20">
        <f t="shared" si="10"/>
        <v>0</v>
      </c>
      <c r="N23" s="20">
        <f t="shared" si="10"/>
        <v>0</v>
      </c>
    </row>
    <row r="24" spans="2:14" x14ac:dyDescent="0.3">
      <c r="C24" s="7">
        <f>SUM(C3:C23)</f>
        <v>0</v>
      </c>
      <c r="D24" s="7">
        <f t="shared" ref="D24:E24" si="12">SUM(D3:D23)</f>
        <v>0</v>
      </c>
      <c r="E24" s="7">
        <f t="shared" si="12"/>
        <v>0</v>
      </c>
      <c r="F24" s="7">
        <f>SUM(F3:F23)</f>
        <v>0</v>
      </c>
    </row>
    <row r="26" spans="2:14" x14ac:dyDescent="0.3">
      <c r="C26" s="27" t="e">
        <f>F24/C24</f>
        <v>#DIV/0!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C415-631B-4719-862C-4276EA9B5EF5}">
  <dimension ref="B2:N28"/>
  <sheetViews>
    <sheetView topLeftCell="A6" zoomScale="110" zoomScaleNormal="110" workbookViewId="0">
      <selection activeCell="B27" sqref="B27:C29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9.6640625" style="7" customWidth="1"/>
    <col min="7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/>
      <c r="D3" s="6"/>
      <c r="E3" s="6"/>
      <c r="F3" s="6"/>
      <c r="H3" s="1">
        <v>7500</v>
      </c>
      <c r="J3" s="3" t="s">
        <v>5</v>
      </c>
      <c r="K3" s="20">
        <f t="shared" ref="K3:K8" si="0">C3/$H$3</f>
        <v>0</v>
      </c>
      <c r="L3" s="20">
        <f t="shared" ref="L3:N8" si="1">D3/$H$3</f>
        <v>0</v>
      </c>
      <c r="M3" s="20">
        <f t="shared" si="1"/>
        <v>0</v>
      </c>
      <c r="N3" s="20">
        <f t="shared" si="1"/>
        <v>0</v>
      </c>
    </row>
    <row r="4" spans="2:14" x14ac:dyDescent="0.3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/>
      <c r="D5" s="6"/>
      <c r="E5" s="6"/>
      <c r="F5" s="6"/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">
      <c r="B6" s="3" t="s">
        <v>8</v>
      </c>
      <c r="C6" s="6"/>
      <c r="D6" s="6"/>
      <c r="E6" s="6"/>
      <c r="F6" s="6"/>
      <c r="H6" s="1">
        <v>5000</v>
      </c>
      <c r="J6" s="3" t="s">
        <v>8</v>
      </c>
      <c r="K6" s="20">
        <f t="shared" si="0"/>
        <v>0</v>
      </c>
      <c r="L6" s="20">
        <f t="shared" si="1"/>
        <v>0</v>
      </c>
      <c r="M6" s="20">
        <f t="shared" si="1"/>
        <v>0</v>
      </c>
      <c r="N6" s="20">
        <f t="shared" si="1"/>
        <v>0</v>
      </c>
    </row>
    <row r="7" spans="2:14" x14ac:dyDescent="0.3">
      <c r="B7" s="3" t="s">
        <v>9</v>
      </c>
      <c r="C7" s="6"/>
      <c r="D7" s="6"/>
      <c r="E7" s="6"/>
      <c r="F7" s="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">
      <c r="B8" s="3" t="s">
        <v>11</v>
      </c>
      <c r="C8" s="6"/>
      <c r="D8" s="6"/>
      <c r="E8" s="6"/>
      <c r="F8" s="6"/>
      <c r="J8" s="3" t="s">
        <v>11</v>
      </c>
      <c r="K8" s="20">
        <f t="shared" si="0"/>
        <v>0</v>
      </c>
      <c r="L8" s="20">
        <f t="shared" si="1"/>
        <v>0</v>
      </c>
      <c r="M8" s="20">
        <f t="shared" si="1"/>
        <v>0</v>
      </c>
      <c r="N8" s="20">
        <f t="shared" si="1"/>
        <v>0</v>
      </c>
    </row>
    <row r="9" spans="2:14" x14ac:dyDescent="0.3">
      <c r="B9" s="3" t="s">
        <v>13</v>
      </c>
      <c r="C9" s="6"/>
      <c r="D9" s="6"/>
      <c r="E9" s="6"/>
      <c r="F9" s="6"/>
      <c r="J9" s="3" t="s">
        <v>13</v>
      </c>
      <c r="K9" s="20">
        <f>C9/$H$5</f>
        <v>0</v>
      </c>
      <c r="L9" s="20">
        <f t="shared" ref="L9:N10" si="2">D9/$H$5</f>
        <v>0</v>
      </c>
      <c r="M9" s="20">
        <f t="shared" si="2"/>
        <v>0</v>
      </c>
      <c r="N9" s="20">
        <f t="shared" si="2"/>
        <v>0</v>
      </c>
    </row>
    <row r="10" spans="2:14" x14ac:dyDescent="0.3">
      <c r="B10" s="3" t="s">
        <v>14</v>
      </c>
      <c r="C10" s="6"/>
      <c r="D10" s="6"/>
      <c r="E10" s="6"/>
      <c r="F10" s="6"/>
      <c r="J10" s="3" t="s">
        <v>14</v>
      </c>
      <c r="K10" s="20">
        <f>C10/$H$5</f>
        <v>0</v>
      </c>
      <c r="L10" s="20">
        <f t="shared" si="2"/>
        <v>0</v>
      </c>
      <c r="M10" s="20">
        <f t="shared" si="2"/>
        <v>0</v>
      </c>
      <c r="N10" s="20">
        <f t="shared" si="2"/>
        <v>0</v>
      </c>
    </row>
    <row r="11" spans="2:14" x14ac:dyDescent="0.3">
      <c r="B11" s="3" t="s">
        <v>16</v>
      </c>
      <c r="C11" s="6"/>
      <c r="D11" s="6"/>
      <c r="E11" s="6"/>
      <c r="F11" s="6"/>
      <c r="J11" s="3" t="s">
        <v>16</v>
      </c>
      <c r="K11" s="20">
        <f>C11/$H$3</f>
        <v>0</v>
      </c>
      <c r="L11" s="20">
        <f t="shared" ref="L11:N11" si="3">D11/$H$3</f>
        <v>0</v>
      </c>
      <c r="M11" s="20">
        <f t="shared" si="3"/>
        <v>0</v>
      </c>
      <c r="N11" s="20">
        <f t="shared" si="3"/>
        <v>0</v>
      </c>
    </row>
    <row r="12" spans="2:14" x14ac:dyDescent="0.3">
      <c r="B12" s="3" t="s">
        <v>17</v>
      </c>
      <c r="C12" s="6"/>
      <c r="D12" s="6"/>
      <c r="E12" s="6"/>
      <c r="F12" s="6"/>
      <c r="J12" s="3" t="s">
        <v>17</v>
      </c>
      <c r="K12" s="20">
        <f>C12/$H$5</f>
        <v>0</v>
      </c>
      <c r="L12" s="20">
        <f t="shared" ref="L12:N13" si="4">D12/$H$5</f>
        <v>0</v>
      </c>
      <c r="M12" s="20">
        <f t="shared" si="4"/>
        <v>0</v>
      </c>
      <c r="N12" s="20">
        <f t="shared" si="4"/>
        <v>0</v>
      </c>
    </row>
    <row r="13" spans="2:14" x14ac:dyDescent="0.3">
      <c r="B13" s="3" t="s">
        <v>18</v>
      </c>
      <c r="C13" s="6"/>
      <c r="D13" s="6"/>
      <c r="E13" s="6"/>
      <c r="F13" s="6"/>
      <c r="J13" s="3" t="s">
        <v>18</v>
      </c>
      <c r="K13" s="20">
        <f>C13/$H$5</f>
        <v>0</v>
      </c>
      <c r="L13" s="20">
        <f t="shared" si="4"/>
        <v>0</v>
      </c>
      <c r="M13" s="20">
        <f t="shared" si="4"/>
        <v>0</v>
      </c>
      <c r="N13" s="20">
        <f t="shared" si="4"/>
        <v>0</v>
      </c>
    </row>
    <row r="14" spans="2:14" x14ac:dyDescent="0.3">
      <c r="B14" s="3" t="s">
        <v>19</v>
      </c>
      <c r="C14" s="6"/>
      <c r="D14" s="6"/>
      <c r="E14" s="6"/>
      <c r="F14" s="6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21</v>
      </c>
      <c r="C16" s="6"/>
      <c r="D16" s="6"/>
      <c r="E16" s="6"/>
      <c r="F16" s="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">
      <c r="B17" s="3" t="s">
        <v>22</v>
      </c>
      <c r="C17" s="6"/>
      <c r="D17" s="6"/>
      <c r="E17" s="6"/>
      <c r="F17" s="6"/>
      <c r="J17" s="3" t="s">
        <v>22</v>
      </c>
      <c r="K17" s="20">
        <f>C17/$H$6</f>
        <v>0</v>
      </c>
      <c r="L17" s="20">
        <f t="shared" ref="L17:N17" si="7">D17/$H$6</f>
        <v>0</v>
      </c>
      <c r="M17" s="20">
        <f t="shared" si="7"/>
        <v>0</v>
      </c>
      <c r="N17" s="20">
        <f t="shared" si="7"/>
        <v>0</v>
      </c>
    </row>
    <row r="18" spans="2:14" x14ac:dyDescent="0.3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" t="s">
        <v>25</v>
      </c>
      <c r="C19" s="6"/>
      <c r="D19" s="6"/>
      <c r="E19" s="6"/>
      <c r="F19" s="6"/>
      <c r="J19" s="3" t="s">
        <v>25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">
      <c r="B20" s="3" t="s">
        <v>26</v>
      </c>
      <c r="C20" s="6"/>
      <c r="D20" s="6"/>
      <c r="E20" s="6"/>
      <c r="F20" s="6"/>
      <c r="J20" s="3" t="s">
        <v>26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">
      <c r="B21" s="3" t="s">
        <v>27</v>
      </c>
      <c r="C21" s="6"/>
      <c r="D21" s="6"/>
      <c r="E21" s="6"/>
      <c r="F21" s="6"/>
      <c r="J21" s="3" t="s">
        <v>27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">
      <c r="B22" s="3" t="s">
        <v>28</v>
      </c>
      <c r="C22" s="6"/>
      <c r="D22" s="6"/>
      <c r="E22" s="6"/>
      <c r="F22" s="6"/>
      <c r="J22" s="3" t="s">
        <v>28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">
      <c r="B23" s="3" t="s">
        <v>29</v>
      </c>
      <c r="C23" s="6"/>
      <c r="D23" s="6"/>
      <c r="E23" s="6"/>
      <c r="F23" s="6"/>
      <c r="J23" s="3" t="s">
        <v>29</v>
      </c>
      <c r="K23" s="20">
        <f t="shared" si="11"/>
        <v>0</v>
      </c>
      <c r="L23" s="20">
        <f t="shared" si="10"/>
        <v>0</v>
      </c>
      <c r="M23" s="20">
        <f t="shared" si="10"/>
        <v>0</v>
      </c>
      <c r="N23" s="20">
        <f t="shared" si="10"/>
        <v>0</v>
      </c>
    </row>
    <row r="24" spans="2:14" x14ac:dyDescent="0.3">
      <c r="C24" s="7">
        <f>SUM(C3:C23)</f>
        <v>0</v>
      </c>
      <c r="D24" s="7">
        <f t="shared" ref="D24:F24" si="12">SUM(D3:D23)</f>
        <v>0</v>
      </c>
      <c r="E24" s="7">
        <f t="shared" si="12"/>
        <v>0</v>
      </c>
      <c r="F24" s="7">
        <f t="shared" si="12"/>
        <v>0</v>
      </c>
    </row>
    <row r="26" spans="2:14" x14ac:dyDescent="0.3">
      <c r="F26" s="27" t="e">
        <f>F24/C24</f>
        <v>#DIV/0!</v>
      </c>
    </row>
    <row r="28" spans="2:14" x14ac:dyDescent="0.3">
      <c r="F28" s="27">
        <f>8/21</f>
        <v>0.38095238095238093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49C6-4B7E-4817-8BC7-6C7FCBEE751E}">
  <dimension ref="B2:N28"/>
  <sheetViews>
    <sheetView zoomScale="90" zoomScaleNormal="90" workbookViewId="0">
      <selection activeCell="G10" sqref="G10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10.109375" style="7" customWidth="1"/>
    <col min="7" max="7" width="36" style="1" customWidth="1"/>
    <col min="8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/>
      <c r="D3" s="6"/>
      <c r="E3" s="6"/>
      <c r="F3" s="6"/>
      <c r="H3" s="1">
        <v>7500</v>
      </c>
      <c r="J3" s="3" t="s">
        <v>5</v>
      </c>
      <c r="K3" s="20">
        <f t="shared" ref="K3:K8" si="0">C3/$H$3</f>
        <v>0</v>
      </c>
      <c r="L3" s="20">
        <f t="shared" ref="L3:N8" si="1">D3/$H$3</f>
        <v>0</v>
      </c>
      <c r="M3" s="20">
        <f t="shared" si="1"/>
        <v>0</v>
      </c>
      <c r="N3" s="20">
        <f t="shared" si="1"/>
        <v>0</v>
      </c>
    </row>
    <row r="4" spans="2:14" x14ac:dyDescent="0.3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/>
      <c r="D5" s="6"/>
      <c r="E5" s="6"/>
      <c r="F5" s="6"/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">
      <c r="B6" s="3" t="s">
        <v>8</v>
      </c>
      <c r="C6" s="6"/>
      <c r="D6" s="6"/>
      <c r="E6" s="6"/>
      <c r="F6" s="6"/>
      <c r="H6" s="1">
        <v>5000</v>
      </c>
      <c r="J6" s="3" t="s">
        <v>8</v>
      </c>
      <c r="K6" s="20">
        <f t="shared" si="0"/>
        <v>0</v>
      </c>
      <c r="L6" s="20">
        <f t="shared" si="1"/>
        <v>0</v>
      </c>
      <c r="M6" s="20">
        <f t="shared" si="1"/>
        <v>0</v>
      </c>
      <c r="N6" s="20">
        <f t="shared" si="1"/>
        <v>0</v>
      </c>
    </row>
    <row r="7" spans="2:14" x14ac:dyDescent="0.3">
      <c r="B7" s="3" t="s">
        <v>9</v>
      </c>
      <c r="C7" s="6"/>
      <c r="D7" s="6"/>
      <c r="E7" s="6"/>
      <c r="F7" s="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">
      <c r="B8" s="3" t="s">
        <v>11</v>
      </c>
      <c r="C8" s="6"/>
      <c r="D8" s="6"/>
      <c r="E8" s="6"/>
      <c r="F8" s="6"/>
      <c r="J8" s="3" t="s">
        <v>11</v>
      </c>
      <c r="K8" s="20">
        <f t="shared" si="0"/>
        <v>0</v>
      </c>
      <c r="L8" s="20">
        <f t="shared" si="1"/>
        <v>0</v>
      </c>
      <c r="M8" s="20">
        <f t="shared" si="1"/>
        <v>0</v>
      </c>
      <c r="N8" s="20">
        <f t="shared" si="1"/>
        <v>0</v>
      </c>
    </row>
    <row r="9" spans="2:14" x14ac:dyDescent="0.3">
      <c r="B9" s="3" t="s">
        <v>13</v>
      </c>
      <c r="C9" s="6"/>
      <c r="D9" s="6"/>
      <c r="E9" s="6"/>
      <c r="F9" s="6"/>
      <c r="J9" s="3" t="s">
        <v>13</v>
      </c>
      <c r="K9" s="20">
        <f>C9/$H$5</f>
        <v>0</v>
      </c>
      <c r="L9" s="20">
        <f t="shared" ref="L9:N10" si="2">D9/$H$5</f>
        <v>0</v>
      </c>
      <c r="M9" s="20">
        <f t="shared" si="2"/>
        <v>0</v>
      </c>
      <c r="N9" s="20">
        <f t="shared" si="2"/>
        <v>0</v>
      </c>
    </row>
    <row r="10" spans="2:14" x14ac:dyDescent="0.3">
      <c r="B10" s="3" t="s">
        <v>14</v>
      </c>
      <c r="C10" s="6"/>
      <c r="D10" s="6"/>
      <c r="E10" s="6"/>
      <c r="F10" s="6"/>
      <c r="J10" s="3" t="s">
        <v>14</v>
      </c>
      <c r="K10" s="20">
        <f>C10/$H$5</f>
        <v>0</v>
      </c>
      <c r="L10" s="20">
        <f t="shared" si="2"/>
        <v>0</v>
      </c>
      <c r="M10" s="20">
        <f t="shared" si="2"/>
        <v>0</v>
      </c>
      <c r="N10" s="20">
        <f t="shared" si="2"/>
        <v>0</v>
      </c>
    </row>
    <row r="11" spans="2:14" x14ac:dyDescent="0.3">
      <c r="B11" s="3" t="s">
        <v>16</v>
      </c>
      <c r="C11" s="6"/>
      <c r="D11" s="6"/>
      <c r="E11" s="6"/>
      <c r="F11" s="6"/>
      <c r="J11" s="3" t="s">
        <v>16</v>
      </c>
      <c r="K11" s="20">
        <f>C11/$H$3</f>
        <v>0</v>
      </c>
      <c r="L11" s="20">
        <f t="shared" ref="L11:N11" si="3">D11/$H$3</f>
        <v>0</v>
      </c>
      <c r="M11" s="20">
        <f t="shared" si="3"/>
        <v>0</v>
      </c>
      <c r="N11" s="20">
        <f t="shared" si="3"/>
        <v>0</v>
      </c>
    </row>
    <row r="12" spans="2:14" x14ac:dyDescent="0.3">
      <c r="B12" s="3" t="s">
        <v>17</v>
      </c>
      <c r="C12" s="6"/>
      <c r="D12" s="6"/>
      <c r="E12" s="6"/>
      <c r="F12" s="6"/>
      <c r="J12" s="3" t="s">
        <v>17</v>
      </c>
      <c r="K12" s="20">
        <f>C12/$H$5</f>
        <v>0</v>
      </c>
      <c r="L12" s="20">
        <f t="shared" ref="L12:N12" si="4">D12/$H$5</f>
        <v>0</v>
      </c>
      <c r="M12" s="20">
        <f t="shared" si="4"/>
        <v>0</v>
      </c>
      <c r="N12" s="20">
        <f t="shared" si="4"/>
        <v>0</v>
      </c>
    </row>
    <row r="13" spans="2:14" x14ac:dyDescent="0.3">
      <c r="B13" s="3" t="s">
        <v>18</v>
      </c>
      <c r="C13" s="6"/>
      <c r="D13" s="6"/>
      <c r="E13" s="6"/>
      <c r="F13" s="6"/>
      <c r="J13" s="3" t="s">
        <v>18</v>
      </c>
      <c r="K13" s="20">
        <f>C13/$H$3</f>
        <v>0</v>
      </c>
      <c r="L13" s="20">
        <f>D13/$H$3</f>
        <v>0</v>
      </c>
      <c r="M13" s="20">
        <f>E13/$H$3</f>
        <v>0</v>
      </c>
      <c r="N13" s="20">
        <f>F13/$H$3</f>
        <v>0</v>
      </c>
    </row>
    <row r="14" spans="2:14" x14ac:dyDescent="0.3">
      <c r="B14" s="3" t="s">
        <v>19</v>
      </c>
      <c r="C14" s="6"/>
      <c r="D14" s="6"/>
      <c r="E14" s="6"/>
      <c r="F14" s="6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21</v>
      </c>
      <c r="C16" s="6"/>
      <c r="D16" s="6"/>
      <c r="E16" s="6"/>
      <c r="F16" s="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">
      <c r="B17" s="3" t="s">
        <v>22</v>
      </c>
      <c r="C17" s="6"/>
      <c r="D17" s="6"/>
      <c r="E17" s="6"/>
      <c r="F17" s="6"/>
      <c r="J17" s="3" t="s">
        <v>22</v>
      </c>
      <c r="K17" s="20">
        <f>C17/$H$6</f>
        <v>0</v>
      </c>
      <c r="L17" s="20">
        <f t="shared" ref="L17:N17" si="7">D17/$H$6</f>
        <v>0</v>
      </c>
      <c r="M17" s="20">
        <f t="shared" si="7"/>
        <v>0</v>
      </c>
      <c r="N17" s="20">
        <f t="shared" si="7"/>
        <v>0</v>
      </c>
    </row>
    <row r="18" spans="2:14" x14ac:dyDescent="0.3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" t="s">
        <v>25</v>
      </c>
      <c r="C19" s="6"/>
      <c r="D19" s="6"/>
      <c r="E19" s="6"/>
      <c r="F19" s="6"/>
      <c r="J19" s="3" t="s">
        <v>25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">
      <c r="B20" s="3" t="s">
        <v>26</v>
      </c>
      <c r="C20" s="6"/>
      <c r="D20" s="6"/>
      <c r="E20" s="6"/>
      <c r="F20" s="6"/>
      <c r="J20" s="3" t="s">
        <v>26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">
      <c r="B21" s="3" t="s">
        <v>27</v>
      </c>
      <c r="C21" s="6"/>
      <c r="D21" s="6"/>
      <c r="E21" s="6"/>
      <c r="F21" s="6"/>
      <c r="J21" s="3" t="s">
        <v>27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">
      <c r="B22" s="3" t="s">
        <v>28</v>
      </c>
      <c r="C22" s="6"/>
      <c r="D22" s="6"/>
      <c r="E22" s="6"/>
      <c r="F22" s="6"/>
      <c r="J22" s="3" t="s">
        <v>28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">
      <c r="B23" s="3" t="s">
        <v>29</v>
      </c>
      <c r="C23" s="6"/>
      <c r="D23" s="6"/>
      <c r="E23" s="6"/>
      <c r="F23" s="6"/>
      <c r="J23" s="3" t="s">
        <v>29</v>
      </c>
      <c r="K23" s="20">
        <f t="shared" si="11"/>
        <v>0</v>
      </c>
      <c r="L23" s="20">
        <f t="shared" si="10"/>
        <v>0</v>
      </c>
      <c r="M23" s="20">
        <f t="shared" si="10"/>
        <v>0</v>
      </c>
      <c r="N23" s="20">
        <f t="shared" si="10"/>
        <v>0</v>
      </c>
    </row>
    <row r="24" spans="2:14" x14ac:dyDescent="0.3">
      <c r="C24" s="7">
        <f>SUM(C3:C23)</f>
        <v>0</v>
      </c>
      <c r="D24" s="7">
        <f>SUM(D3:D23)</f>
        <v>0</v>
      </c>
      <c r="E24" s="7">
        <f>SUM(E3:E23)</f>
        <v>0</v>
      </c>
      <c r="F24" s="7">
        <f>SUM(F3:F23)</f>
        <v>0</v>
      </c>
    </row>
    <row r="26" spans="2:14" x14ac:dyDescent="0.3">
      <c r="F26" s="27" t="e">
        <f>F24/C24</f>
        <v>#DIV/0!</v>
      </c>
    </row>
    <row r="28" spans="2:14" x14ac:dyDescent="0.3">
      <c r="F28" s="27">
        <f>7/21</f>
        <v>0.33333333333333331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3E18-4D2E-4EEC-923C-A896C92D0199}">
  <dimension ref="A1"/>
  <sheetViews>
    <sheetView topLeftCell="B46" zoomScale="70" zoomScaleNormal="70" workbookViewId="0">
      <selection activeCell="C60" sqref="C6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2E87-E507-42E1-937A-C54A365380C9}">
  <dimension ref="C2:AA57"/>
  <sheetViews>
    <sheetView tabSelected="1" zoomScale="81" zoomScaleNormal="12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33" sqref="N33"/>
    </sheetView>
  </sheetViews>
  <sheetFormatPr defaultColWidth="8.88671875" defaultRowHeight="14.4" x14ac:dyDescent="0.3"/>
  <cols>
    <col min="1" max="5" width="8.88671875" style="1"/>
    <col min="6" max="7" width="10.33203125" style="1" bestFit="1" customWidth="1"/>
    <col min="8" max="13" width="8.88671875" style="1"/>
    <col min="14" max="14" width="9" style="1" bestFit="1" customWidth="1"/>
    <col min="15" max="15" width="8.88671875" style="1"/>
    <col min="16" max="16" width="9" style="1" bestFit="1" customWidth="1"/>
    <col min="17" max="16384" width="8.88671875" style="1"/>
  </cols>
  <sheetData>
    <row r="2" spans="3:27" x14ac:dyDescent="0.3">
      <c r="D2" s="32" t="s">
        <v>4</v>
      </c>
      <c r="F2" s="32" t="s">
        <v>4</v>
      </c>
      <c r="H2" s="32" t="s">
        <v>4</v>
      </c>
      <c r="J2" s="32" t="s">
        <v>4</v>
      </c>
      <c r="L2" s="32" t="s">
        <v>4</v>
      </c>
      <c r="N2" s="32" t="s">
        <v>4</v>
      </c>
      <c r="P2" s="32" t="s">
        <v>4</v>
      </c>
    </row>
    <row r="3" spans="3:27" ht="21" customHeight="1" x14ac:dyDescent="0.3">
      <c r="C3" s="34" t="s">
        <v>0</v>
      </c>
      <c r="D3" s="33" t="s">
        <v>62</v>
      </c>
      <c r="E3" s="33"/>
      <c r="F3" s="33" t="s">
        <v>63</v>
      </c>
      <c r="G3" s="33"/>
      <c r="H3" s="33" t="s">
        <v>64</v>
      </c>
      <c r="I3" s="33"/>
      <c r="J3" s="33" t="s">
        <v>65</v>
      </c>
      <c r="K3" s="33"/>
      <c r="L3" s="33" t="s">
        <v>66</v>
      </c>
      <c r="M3" s="33"/>
      <c r="N3" s="33" t="s">
        <v>67</v>
      </c>
      <c r="O3" s="33"/>
      <c r="P3" s="33" t="s">
        <v>68</v>
      </c>
      <c r="Q3" s="33"/>
      <c r="R3" s="33" t="s">
        <v>69</v>
      </c>
      <c r="S3" s="33"/>
      <c r="T3" s="33" t="s">
        <v>70</v>
      </c>
      <c r="U3" s="33"/>
      <c r="V3" s="33" t="s">
        <v>71</v>
      </c>
      <c r="W3" s="33"/>
      <c r="X3" s="33" t="s">
        <v>72</v>
      </c>
      <c r="Y3" s="33"/>
      <c r="Z3" s="33" t="s">
        <v>73</v>
      </c>
      <c r="AA3" s="33"/>
    </row>
    <row r="4" spans="3:27" x14ac:dyDescent="0.3">
      <c r="C4" s="34"/>
      <c r="D4" s="9" t="s">
        <v>74</v>
      </c>
      <c r="E4" s="9" t="s">
        <v>75</v>
      </c>
      <c r="F4" s="9" t="s">
        <v>74</v>
      </c>
      <c r="G4" s="9" t="s">
        <v>75</v>
      </c>
      <c r="H4" s="9" t="s">
        <v>74</v>
      </c>
      <c r="I4" s="9" t="s">
        <v>75</v>
      </c>
      <c r="J4" s="9" t="s">
        <v>74</v>
      </c>
      <c r="K4" s="9" t="s">
        <v>75</v>
      </c>
      <c r="L4" s="9" t="s">
        <v>74</v>
      </c>
      <c r="M4" s="9" t="s">
        <v>75</v>
      </c>
      <c r="N4" s="9" t="s">
        <v>74</v>
      </c>
      <c r="O4" s="9" t="s">
        <v>75</v>
      </c>
      <c r="P4" s="9" t="s">
        <v>74</v>
      </c>
      <c r="Q4" s="9" t="s">
        <v>75</v>
      </c>
      <c r="R4" s="9" t="s">
        <v>74</v>
      </c>
      <c r="S4" s="9" t="s">
        <v>75</v>
      </c>
      <c r="T4" s="9" t="s">
        <v>74</v>
      </c>
      <c r="U4" s="9" t="s">
        <v>75</v>
      </c>
      <c r="V4" s="9" t="s">
        <v>74</v>
      </c>
      <c r="W4" s="9" t="s">
        <v>75</v>
      </c>
      <c r="X4" s="9" t="s">
        <v>74</v>
      </c>
      <c r="Y4" s="9" t="s">
        <v>75</v>
      </c>
      <c r="Z4" s="9" t="s">
        <v>74</v>
      </c>
      <c r="AA4" s="9" t="s">
        <v>75</v>
      </c>
    </row>
    <row r="5" spans="3:27" x14ac:dyDescent="0.3">
      <c r="C5" s="3" t="s">
        <v>5</v>
      </c>
      <c r="D5" s="15">
        <v>37500</v>
      </c>
      <c r="E5" s="6">
        <v>7504</v>
      </c>
      <c r="F5" s="15">
        <v>22500</v>
      </c>
      <c r="G5" s="16">
        <v>7625</v>
      </c>
      <c r="H5" s="15">
        <f>MAR!C3</f>
        <v>15000</v>
      </c>
      <c r="I5" s="16">
        <v>7625</v>
      </c>
      <c r="J5" s="15">
        <v>22500</v>
      </c>
      <c r="K5" s="16">
        <v>7532.43</v>
      </c>
      <c r="L5" s="15">
        <v>22500</v>
      </c>
      <c r="M5" s="16">
        <v>0</v>
      </c>
      <c r="N5" s="15">
        <v>15000</v>
      </c>
      <c r="O5" s="16">
        <v>7502.36</v>
      </c>
      <c r="P5" s="15">
        <v>15000</v>
      </c>
      <c r="Q5" s="16">
        <v>15289</v>
      </c>
      <c r="R5" s="15"/>
      <c r="S5" s="16"/>
      <c r="T5" s="15"/>
      <c r="U5" s="16"/>
      <c r="V5" s="15"/>
      <c r="W5" s="16"/>
      <c r="X5" s="15"/>
      <c r="Y5" s="16"/>
      <c r="Z5" s="15"/>
      <c r="AA5" s="16"/>
    </row>
    <row r="6" spans="3:27" x14ac:dyDescent="0.3">
      <c r="C6" s="3" t="s">
        <v>6</v>
      </c>
      <c r="D6" s="15"/>
      <c r="E6" s="6"/>
      <c r="F6" s="15"/>
      <c r="G6" s="16"/>
      <c r="H6" s="15"/>
      <c r="I6" s="16"/>
      <c r="J6" s="15"/>
      <c r="K6" s="16"/>
      <c r="L6" s="15"/>
      <c r="M6" s="16">
        <v>0</v>
      </c>
      <c r="N6" s="15">
        <v>0</v>
      </c>
      <c r="O6" s="16">
        <v>0</v>
      </c>
      <c r="P6" s="15">
        <v>0</v>
      </c>
      <c r="Q6" s="16">
        <v>0</v>
      </c>
      <c r="R6" s="15"/>
      <c r="S6" s="16"/>
      <c r="T6" s="15"/>
      <c r="U6" s="16"/>
      <c r="V6" s="15"/>
      <c r="W6" s="16"/>
      <c r="X6" s="15"/>
      <c r="Y6" s="16"/>
      <c r="Z6" s="15"/>
      <c r="AA6" s="16"/>
    </row>
    <row r="7" spans="3:27" x14ac:dyDescent="0.3">
      <c r="C7" s="3" t="s">
        <v>7</v>
      </c>
      <c r="D7" s="15">
        <v>30000</v>
      </c>
      <c r="E7" s="6">
        <v>45000</v>
      </c>
      <c r="F7" s="15">
        <v>30000</v>
      </c>
      <c r="G7" s="16">
        <v>45000</v>
      </c>
      <c r="H7" s="15">
        <f>MAR!C5</f>
        <v>22500</v>
      </c>
      <c r="I7" s="16">
        <v>22500</v>
      </c>
      <c r="J7" s="15">
        <f>APR!C5</f>
        <v>15000</v>
      </c>
      <c r="K7" s="16">
        <v>45100</v>
      </c>
      <c r="L7" s="15"/>
      <c r="M7" s="16">
        <v>0</v>
      </c>
      <c r="N7" s="15">
        <v>0</v>
      </c>
      <c r="O7" s="16">
        <v>0</v>
      </c>
      <c r="P7" s="15">
        <v>0</v>
      </c>
      <c r="Q7" s="16">
        <v>0</v>
      </c>
      <c r="R7" s="15"/>
      <c r="S7" s="16"/>
      <c r="T7" s="15"/>
      <c r="U7" s="16"/>
      <c r="V7" s="15"/>
      <c r="W7" s="16"/>
      <c r="X7" s="15"/>
      <c r="Y7" s="16"/>
      <c r="Z7" s="15"/>
      <c r="AA7" s="16"/>
    </row>
    <row r="8" spans="3:27" x14ac:dyDescent="0.3">
      <c r="C8" s="3" t="s">
        <v>8</v>
      </c>
      <c r="D8" s="15">
        <v>15000</v>
      </c>
      <c r="E8" s="6">
        <v>30000</v>
      </c>
      <c r="F8" s="15">
        <v>30000</v>
      </c>
      <c r="G8" s="16">
        <v>30000</v>
      </c>
      <c r="H8" s="15">
        <f>MAR!C6</f>
        <v>15000</v>
      </c>
      <c r="I8" s="16">
        <v>15000</v>
      </c>
      <c r="J8" s="15">
        <f>APR!C6</f>
        <v>15000</v>
      </c>
      <c r="K8" s="16">
        <v>15000</v>
      </c>
      <c r="L8" s="15">
        <f>MAY!C6</f>
        <v>15000</v>
      </c>
      <c r="M8" s="16">
        <v>15000</v>
      </c>
      <c r="N8" s="15">
        <v>22500</v>
      </c>
      <c r="O8" s="16">
        <v>22500</v>
      </c>
      <c r="P8" s="15">
        <v>30000</v>
      </c>
      <c r="Q8" s="16">
        <v>37500</v>
      </c>
      <c r="R8" s="15"/>
      <c r="S8" s="16"/>
      <c r="T8" s="15"/>
      <c r="U8" s="16"/>
      <c r="V8" s="15"/>
      <c r="W8" s="16"/>
      <c r="X8" s="15"/>
      <c r="Y8" s="16"/>
      <c r="Z8" s="15"/>
      <c r="AA8" s="16"/>
    </row>
    <row r="9" spans="3:27" x14ac:dyDescent="0.3">
      <c r="C9" s="3" t="s">
        <v>9</v>
      </c>
      <c r="D9" s="15">
        <v>15000</v>
      </c>
      <c r="E9" s="6">
        <v>15101.1</v>
      </c>
      <c r="F9" s="15">
        <v>22500</v>
      </c>
      <c r="G9" s="16">
        <v>0</v>
      </c>
      <c r="H9" s="15">
        <f>MAR!C7</f>
        <v>0</v>
      </c>
      <c r="I9" s="16"/>
      <c r="J9" s="15"/>
      <c r="K9" s="16"/>
      <c r="L9" s="15">
        <v>0</v>
      </c>
      <c r="M9" s="16">
        <v>60024</v>
      </c>
      <c r="N9" s="15">
        <v>60000</v>
      </c>
      <c r="O9" s="16">
        <v>37525.47</v>
      </c>
      <c r="P9" s="15">
        <v>60000</v>
      </c>
      <c r="Q9" s="16">
        <v>67519</v>
      </c>
      <c r="R9" s="15"/>
      <c r="S9" s="16"/>
      <c r="T9" s="15"/>
      <c r="U9" s="16"/>
      <c r="V9" s="15"/>
      <c r="W9" s="16"/>
      <c r="X9" s="15"/>
      <c r="Y9" s="16"/>
      <c r="Z9" s="15"/>
      <c r="AA9" s="16"/>
    </row>
    <row r="10" spans="3:27" x14ac:dyDescent="0.3">
      <c r="C10" s="3" t="s">
        <v>11</v>
      </c>
      <c r="D10" s="15">
        <v>22500</v>
      </c>
      <c r="E10" s="6">
        <v>22494</v>
      </c>
      <c r="F10" s="15">
        <v>22500</v>
      </c>
      <c r="G10" s="16">
        <v>14879</v>
      </c>
      <c r="H10" s="15">
        <f>MAR!C8</f>
        <v>22500</v>
      </c>
      <c r="I10" s="16">
        <v>14926</v>
      </c>
      <c r="J10" s="15">
        <v>22500</v>
      </c>
      <c r="K10" s="16">
        <v>0</v>
      </c>
      <c r="L10" s="15">
        <f>MAY!C8</f>
        <v>15000</v>
      </c>
      <c r="M10" s="16">
        <v>14940</v>
      </c>
      <c r="N10" s="15">
        <v>22500</v>
      </c>
      <c r="O10" s="16">
        <v>14874</v>
      </c>
      <c r="P10" s="15">
        <v>22500</v>
      </c>
      <c r="Q10" s="16">
        <v>15047</v>
      </c>
      <c r="R10" s="15"/>
      <c r="S10" s="16"/>
      <c r="T10" s="15"/>
      <c r="U10" s="16"/>
      <c r="V10" s="15"/>
      <c r="W10" s="16"/>
      <c r="X10" s="15"/>
      <c r="Y10" s="16"/>
      <c r="Z10" s="15"/>
      <c r="AA10" s="16"/>
    </row>
    <row r="11" spans="3:27" x14ac:dyDescent="0.3">
      <c r="C11" s="3" t="s">
        <v>13</v>
      </c>
      <c r="D11" s="15">
        <v>21200</v>
      </c>
      <c r="E11" s="6">
        <v>10562</v>
      </c>
      <c r="F11" s="15">
        <v>15900</v>
      </c>
      <c r="G11" s="16">
        <v>10312</v>
      </c>
      <c r="H11" s="15">
        <f>MAR!C9</f>
        <v>15900</v>
      </c>
      <c r="I11" s="16">
        <v>10276</v>
      </c>
      <c r="J11" s="15">
        <v>15900</v>
      </c>
      <c r="K11" s="16">
        <v>5152</v>
      </c>
      <c r="L11" s="15">
        <f>MAY!C9</f>
        <v>10600</v>
      </c>
      <c r="M11" s="16">
        <v>5211</v>
      </c>
      <c r="N11" s="15">
        <v>15900</v>
      </c>
      <c r="O11" s="16">
        <v>5121</v>
      </c>
      <c r="P11" s="15">
        <v>15900</v>
      </c>
      <c r="Q11" s="16">
        <v>10235</v>
      </c>
      <c r="R11" s="15"/>
      <c r="S11" s="16"/>
      <c r="T11" s="15"/>
      <c r="U11" s="16"/>
      <c r="V11" s="15"/>
      <c r="W11" s="16"/>
      <c r="X11" s="15"/>
      <c r="Y11" s="16"/>
      <c r="Z11" s="15"/>
      <c r="AA11" s="16"/>
    </row>
    <row r="12" spans="3:27" x14ac:dyDescent="0.3">
      <c r="C12" s="3" t="s">
        <v>14</v>
      </c>
      <c r="D12" s="15">
        <v>21200</v>
      </c>
      <c r="E12" s="6">
        <v>15550</v>
      </c>
      <c r="F12" s="15">
        <v>15900</v>
      </c>
      <c r="G12" s="16">
        <v>20679</v>
      </c>
      <c r="H12" s="15">
        <f>MAR!C10</f>
        <v>15900</v>
      </c>
      <c r="I12" s="16">
        <v>5150</v>
      </c>
      <c r="J12" s="15">
        <v>15900</v>
      </c>
      <c r="K12" s="16">
        <v>0</v>
      </c>
      <c r="L12" s="15">
        <f>MAY!C10</f>
        <v>10600</v>
      </c>
      <c r="M12" s="16">
        <v>5153</v>
      </c>
      <c r="N12" s="15">
        <v>15900</v>
      </c>
      <c r="O12" s="16">
        <v>5180</v>
      </c>
      <c r="P12" s="15">
        <v>15900</v>
      </c>
      <c r="Q12" s="16">
        <v>0</v>
      </c>
      <c r="R12" s="15"/>
      <c r="S12" s="16"/>
      <c r="T12" s="15"/>
      <c r="U12" s="16"/>
      <c r="V12" s="15"/>
      <c r="W12" s="16"/>
      <c r="X12" s="15"/>
      <c r="Y12" s="16"/>
      <c r="Z12" s="15"/>
      <c r="AA12" s="16"/>
    </row>
    <row r="13" spans="3:27" x14ac:dyDescent="0.3">
      <c r="C13" s="3" t="s">
        <v>16</v>
      </c>
      <c r="D13" s="15">
        <v>30000</v>
      </c>
      <c r="E13" s="6">
        <v>32304</v>
      </c>
      <c r="F13" s="15">
        <v>30000</v>
      </c>
      <c r="G13" s="16">
        <v>30011</v>
      </c>
      <c r="H13" s="15">
        <f>MAR!C11</f>
        <v>30000</v>
      </c>
      <c r="I13" s="16">
        <v>30116</v>
      </c>
      <c r="J13" s="15">
        <f>APR!C11</f>
        <v>30000</v>
      </c>
      <c r="K13" s="16">
        <v>30096</v>
      </c>
      <c r="L13" s="15">
        <f>MAY!C11</f>
        <v>30000</v>
      </c>
      <c r="M13" s="16">
        <v>30072</v>
      </c>
      <c r="N13" s="15">
        <v>30000</v>
      </c>
      <c r="O13" s="16">
        <v>30047</v>
      </c>
      <c r="P13" s="15">
        <v>30000</v>
      </c>
      <c r="Q13" s="16">
        <v>30036</v>
      </c>
      <c r="R13" s="15"/>
      <c r="S13" s="16"/>
      <c r="T13" s="15"/>
      <c r="U13" s="16"/>
      <c r="V13" s="15"/>
      <c r="W13" s="16"/>
      <c r="X13" s="15"/>
      <c r="Y13" s="16"/>
      <c r="Z13" s="15"/>
      <c r="AA13" s="16"/>
    </row>
    <row r="14" spans="3:27" x14ac:dyDescent="0.3">
      <c r="C14" s="3" t="s">
        <v>17</v>
      </c>
      <c r="D14" s="15">
        <v>10600</v>
      </c>
      <c r="E14" s="6">
        <v>0</v>
      </c>
      <c r="F14" s="15">
        <v>5300</v>
      </c>
      <c r="G14" s="16">
        <v>5121</v>
      </c>
      <c r="H14" s="15">
        <f>MAR!C12</f>
        <v>5300</v>
      </c>
      <c r="I14" s="16">
        <v>10346</v>
      </c>
      <c r="J14" s="15">
        <f>APR!C12</f>
        <v>5300</v>
      </c>
      <c r="K14" s="16">
        <v>0</v>
      </c>
      <c r="L14" s="15">
        <f>MAY!C12</f>
        <v>5300</v>
      </c>
      <c r="M14" s="16">
        <v>0</v>
      </c>
      <c r="N14" s="15">
        <v>5300</v>
      </c>
      <c r="O14" s="16">
        <v>5154</v>
      </c>
      <c r="P14" s="15">
        <v>5300</v>
      </c>
      <c r="Q14" s="16">
        <v>0</v>
      </c>
      <c r="R14" s="15"/>
      <c r="S14" s="16"/>
      <c r="T14" s="15"/>
      <c r="U14" s="16"/>
      <c r="V14" s="15"/>
      <c r="W14" s="16"/>
      <c r="X14" s="15"/>
      <c r="Y14" s="16"/>
      <c r="Z14" s="15"/>
      <c r="AA14" s="16"/>
    </row>
    <row r="15" spans="3:27" x14ac:dyDescent="0.3">
      <c r="C15" s="3" t="s">
        <v>18</v>
      </c>
      <c r="D15" s="15">
        <v>52500</v>
      </c>
      <c r="E15" s="6">
        <v>45069.9</v>
      </c>
      <c r="F15" s="15">
        <v>52500</v>
      </c>
      <c r="G15" s="16">
        <v>37457</v>
      </c>
      <c r="H15" s="15">
        <f>MAR!C13</f>
        <v>52500</v>
      </c>
      <c r="I15" s="16">
        <v>0</v>
      </c>
      <c r="J15" s="15">
        <f>APR!C13</f>
        <v>45000</v>
      </c>
      <c r="K15" s="16">
        <v>90656.22</v>
      </c>
      <c r="L15" s="15">
        <v>45000</v>
      </c>
      <c r="M15" s="16">
        <v>82720</v>
      </c>
      <c r="N15" s="15">
        <v>60000</v>
      </c>
      <c r="O15" s="16">
        <v>52882</v>
      </c>
      <c r="P15" s="15">
        <v>45000</v>
      </c>
      <c r="Q15" s="16">
        <v>22645</v>
      </c>
      <c r="R15" s="15"/>
      <c r="S15" s="16"/>
      <c r="T15" s="15"/>
      <c r="U15" s="16"/>
      <c r="V15" s="15"/>
      <c r="W15" s="16"/>
      <c r="X15" s="15"/>
      <c r="Y15" s="16"/>
      <c r="Z15" s="15"/>
      <c r="AA15" s="16"/>
    </row>
    <row r="16" spans="3:27" x14ac:dyDescent="0.3">
      <c r="C16" s="3" t="s">
        <v>57</v>
      </c>
      <c r="D16" s="15"/>
      <c r="E16" s="6"/>
      <c r="F16" s="15"/>
      <c r="G16" s="16"/>
      <c r="H16" s="15"/>
      <c r="I16" s="16"/>
      <c r="J16" s="15"/>
      <c r="K16" s="16"/>
      <c r="L16" s="15"/>
      <c r="M16" s="16">
        <v>5009</v>
      </c>
      <c r="N16" s="15">
        <v>10600</v>
      </c>
      <c r="O16" s="16">
        <v>9860</v>
      </c>
      <c r="P16" s="15">
        <v>0</v>
      </c>
      <c r="Q16" s="16">
        <v>0</v>
      </c>
      <c r="R16" s="15"/>
      <c r="S16" s="16"/>
      <c r="T16" s="15"/>
      <c r="U16" s="16"/>
      <c r="V16" s="15"/>
      <c r="W16" s="16"/>
      <c r="X16" s="15"/>
      <c r="Y16" s="16"/>
      <c r="Z16" s="15"/>
      <c r="AA16" s="16"/>
    </row>
    <row r="17" spans="3:27" x14ac:dyDescent="0.3">
      <c r="C17" s="3" t="s">
        <v>61</v>
      </c>
      <c r="D17" s="15"/>
      <c r="E17" s="6"/>
      <c r="F17" s="15"/>
      <c r="G17" s="16"/>
      <c r="H17" s="15"/>
      <c r="I17" s="16"/>
      <c r="J17" s="15"/>
      <c r="K17" s="16"/>
      <c r="L17" s="15"/>
      <c r="M17" s="16">
        <v>0</v>
      </c>
      <c r="N17" s="15">
        <v>5300</v>
      </c>
      <c r="O17" s="16">
        <v>5130</v>
      </c>
      <c r="P17" s="15">
        <v>15900</v>
      </c>
      <c r="Q17" s="16">
        <v>20362</v>
      </c>
      <c r="R17" s="15"/>
      <c r="S17" s="16"/>
      <c r="T17" s="15"/>
      <c r="U17" s="16"/>
      <c r="V17" s="15"/>
      <c r="W17" s="16"/>
      <c r="X17" s="15"/>
      <c r="Y17" s="16"/>
      <c r="Z17" s="15"/>
      <c r="AA17" s="16"/>
    </row>
    <row r="18" spans="3:27" x14ac:dyDescent="0.3">
      <c r="C18" s="3" t="s">
        <v>76</v>
      </c>
      <c r="D18" s="15"/>
      <c r="E18" s="6"/>
      <c r="F18" s="15"/>
      <c r="G18" s="16"/>
      <c r="H18" s="15"/>
      <c r="I18" s="16"/>
      <c r="J18" s="15"/>
      <c r="K18" s="16"/>
      <c r="L18" s="15"/>
      <c r="M18" s="16">
        <v>0</v>
      </c>
      <c r="N18" s="15">
        <v>0</v>
      </c>
      <c r="O18" s="16">
        <v>0</v>
      </c>
      <c r="P18" s="15">
        <v>15000</v>
      </c>
      <c r="Q18" s="16">
        <v>0</v>
      </c>
      <c r="R18" s="15"/>
      <c r="S18" s="16"/>
      <c r="T18" s="15"/>
      <c r="U18" s="16"/>
      <c r="V18" s="15"/>
      <c r="W18" s="16"/>
      <c r="X18" s="15"/>
      <c r="Y18" s="16"/>
      <c r="Z18" s="15"/>
      <c r="AA18" s="16"/>
    </row>
    <row r="19" spans="3:27" x14ac:dyDescent="0.3">
      <c r="C19" s="3" t="s">
        <v>22</v>
      </c>
      <c r="D19" s="15">
        <v>10000</v>
      </c>
      <c r="E19" s="6">
        <v>15168.34</v>
      </c>
      <c r="F19" s="15">
        <v>10000</v>
      </c>
      <c r="G19" s="16">
        <v>15269.5</v>
      </c>
      <c r="H19" s="15">
        <f>MAR!C17</f>
        <v>10000</v>
      </c>
      <c r="I19" s="16">
        <v>20310</v>
      </c>
      <c r="J19" s="15">
        <f>APR!C17</f>
        <v>10000</v>
      </c>
      <c r="K19" s="16">
        <v>5009.9799999999996</v>
      </c>
      <c r="L19" s="15">
        <f>MAY!C17</f>
        <v>10000</v>
      </c>
      <c r="M19" s="16">
        <v>10059.939999999999</v>
      </c>
      <c r="N19" s="15">
        <v>10000</v>
      </c>
      <c r="O19" s="16">
        <v>20274</v>
      </c>
      <c r="P19" s="15">
        <v>15000</v>
      </c>
      <c r="Q19" s="16">
        <v>10200</v>
      </c>
      <c r="R19" s="15"/>
      <c r="S19" s="16"/>
      <c r="T19" s="15"/>
      <c r="U19" s="16"/>
      <c r="V19" s="15"/>
      <c r="W19" s="16"/>
      <c r="X19" s="15"/>
      <c r="Y19" s="16"/>
      <c r="Z19" s="15"/>
      <c r="AA19" s="16"/>
    </row>
    <row r="20" spans="3:27" x14ac:dyDescent="0.3">
      <c r="C20" s="3" t="s">
        <v>24</v>
      </c>
      <c r="D20" s="15"/>
      <c r="E20" s="6"/>
      <c r="F20" s="15"/>
      <c r="G20" s="16"/>
      <c r="H20" s="15"/>
      <c r="I20" s="16"/>
      <c r="J20" s="15"/>
      <c r="K20" s="16"/>
      <c r="L20" s="15"/>
      <c r="M20" s="16"/>
      <c r="N20" s="15">
        <v>0</v>
      </c>
      <c r="O20" s="16">
        <v>0</v>
      </c>
      <c r="P20" s="15">
        <v>0</v>
      </c>
      <c r="Q20" s="16">
        <v>0</v>
      </c>
      <c r="R20" s="15"/>
      <c r="S20" s="16"/>
      <c r="T20" s="15"/>
      <c r="U20" s="16"/>
      <c r="V20" s="15"/>
      <c r="W20" s="16"/>
      <c r="X20" s="15"/>
      <c r="Y20" s="16"/>
      <c r="Z20" s="15"/>
      <c r="AA20" s="16"/>
    </row>
    <row r="21" spans="3:27" x14ac:dyDescent="0.3">
      <c r="C21" s="30" t="s">
        <v>36</v>
      </c>
      <c r="D21" s="15"/>
      <c r="E21" s="6"/>
      <c r="F21" s="15">
        <v>7500</v>
      </c>
      <c r="G21" s="16"/>
      <c r="H21" s="15">
        <f>MAR!C19</f>
        <v>7500</v>
      </c>
      <c r="I21" s="16">
        <v>0</v>
      </c>
      <c r="J21" s="15">
        <f>APR!C19</f>
        <v>15000</v>
      </c>
      <c r="K21" s="16">
        <v>7499.51</v>
      </c>
      <c r="L21" s="15">
        <f>MAY!C19</f>
        <v>15000</v>
      </c>
      <c r="M21" s="16">
        <v>0</v>
      </c>
      <c r="N21" s="15">
        <v>15000</v>
      </c>
      <c r="O21" s="16">
        <v>0</v>
      </c>
      <c r="P21" s="15">
        <v>0</v>
      </c>
      <c r="Q21" s="16">
        <v>0</v>
      </c>
      <c r="R21" s="15"/>
      <c r="S21" s="16"/>
      <c r="T21" s="15"/>
      <c r="U21" s="16"/>
      <c r="V21" s="15"/>
      <c r="W21" s="16"/>
      <c r="X21" s="15"/>
      <c r="Y21" s="16"/>
      <c r="Z21" s="15"/>
      <c r="AA21" s="16"/>
    </row>
    <row r="22" spans="3:27" x14ac:dyDescent="0.3">
      <c r="C22" s="3" t="s">
        <v>77</v>
      </c>
      <c r="D22" s="15"/>
      <c r="E22" s="6"/>
      <c r="F22" s="15"/>
      <c r="G22" s="16"/>
      <c r="H22" s="15"/>
      <c r="I22" s="16"/>
      <c r="J22" s="15"/>
      <c r="K22" s="16"/>
      <c r="L22" s="15"/>
      <c r="M22" s="16">
        <v>0</v>
      </c>
      <c r="N22" s="15">
        <v>0</v>
      </c>
      <c r="O22" s="16">
        <v>0</v>
      </c>
      <c r="P22" s="15">
        <v>0</v>
      </c>
      <c r="Q22" s="16">
        <v>65078</v>
      </c>
      <c r="R22" s="15"/>
      <c r="S22" s="16"/>
      <c r="T22" s="15"/>
      <c r="U22" s="16"/>
      <c r="V22" s="15"/>
      <c r="W22" s="16"/>
      <c r="X22" s="15"/>
      <c r="Y22" s="16"/>
      <c r="Z22" s="15"/>
      <c r="AA22" s="16"/>
    </row>
    <row r="23" spans="3:27" x14ac:dyDescent="0.3">
      <c r="C23" s="30" t="s">
        <v>37</v>
      </c>
      <c r="D23" s="15"/>
      <c r="E23" s="6"/>
      <c r="F23" s="15"/>
      <c r="G23" s="16"/>
      <c r="H23" s="15"/>
      <c r="I23" s="16"/>
      <c r="J23" s="15"/>
      <c r="K23" s="16"/>
      <c r="L23" s="15"/>
      <c r="M23" s="16">
        <v>0</v>
      </c>
      <c r="N23" s="15">
        <v>0</v>
      </c>
      <c r="O23" s="16">
        <v>0</v>
      </c>
      <c r="P23" s="15">
        <v>0</v>
      </c>
      <c r="Q23" s="16">
        <v>0</v>
      </c>
      <c r="R23" s="15"/>
      <c r="S23" s="16"/>
      <c r="T23" s="15"/>
      <c r="U23" s="16"/>
      <c r="V23" s="15"/>
      <c r="W23" s="16"/>
      <c r="X23" s="15"/>
      <c r="Y23" s="16"/>
      <c r="Z23" s="15"/>
      <c r="AA23" s="16"/>
    </row>
    <row r="24" spans="3:27" x14ac:dyDescent="0.3">
      <c r="C24" s="30" t="s">
        <v>44</v>
      </c>
      <c r="D24" s="15"/>
      <c r="E24" s="6"/>
      <c r="F24" s="15"/>
      <c r="G24" s="16"/>
      <c r="H24" s="15">
        <f>MAR!C22</f>
        <v>7500</v>
      </c>
      <c r="I24" s="16">
        <v>0</v>
      </c>
      <c r="J24" s="15">
        <v>22500</v>
      </c>
      <c r="K24" s="16">
        <v>0</v>
      </c>
      <c r="L24" s="15">
        <v>5000</v>
      </c>
      <c r="M24" s="16">
        <v>0</v>
      </c>
      <c r="N24" s="15">
        <v>0</v>
      </c>
      <c r="O24" s="16">
        <v>0</v>
      </c>
      <c r="P24" s="15">
        <v>0</v>
      </c>
      <c r="Q24" s="16">
        <v>0</v>
      </c>
      <c r="R24" s="15"/>
      <c r="S24" s="16"/>
      <c r="T24" s="15"/>
      <c r="U24" s="16"/>
      <c r="V24" s="15"/>
      <c r="W24" s="16"/>
      <c r="X24" s="15"/>
      <c r="Y24" s="16"/>
      <c r="Z24" s="15"/>
      <c r="AA24" s="16"/>
    </row>
    <row r="25" spans="3:27" x14ac:dyDescent="0.3">
      <c r="C25" s="3" t="s">
        <v>29</v>
      </c>
      <c r="D25" s="15">
        <v>52500</v>
      </c>
      <c r="E25" s="6">
        <v>15172</v>
      </c>
      <c r="F25" s="15">
        <v>52500</v>
      </c>
      <c r="G25" s="16">
        <v>60061</v>
      </c>
      <c r="H25" s="15">
        <f>MAR!C23</f>
        <v>52500</v>
      </c>
      <c r="I25" s="16">
        <v>68215</v>
      </c>
      <c r="J25" s="15">
        <v>105000</v>
      </c>
      <c r="K25" s="16">
        <v>142411</v>
      </c>
      <c r="L25" s="15">
        <f>MAY!C23</f>
        <v>150000</v>
      </c>
      <c r="M25" s="16">
        <v>113130</v>
      </c>
      <c r="N25" s="15">
        <v>150000</v>
      </c>
      <c r="O25" s="16">
        <v>195372</v>
      </c>
      <c r="P25" s="15">
        <v>142500</v>
      </c>
      <c r="Q25" s="16">
        <v>97520</v>
      </c>
      <c r="R25" s="15"/>
      <c r="S25" s="16"/>
      <c r="T25" s="15"/>
      <c r="U25" s="16"/>
      <c r="V25" s="15"/>
      <c r="W25" s="16"/>
      <c r="X25" s="15"/>
      <c r="Y25" s="16"/>
      <c r="Z25" s="15"/>
      <c r="AA25" s="16"/>
    </row>
    <row r="26" spans="3:27" x14ac:dyDescent="0.3">
      <c r="C26" s="13" t="s">
        <v>78</v>
      </c>
      <c r="D26" s="28">
        <f t="shared" ref="D26:AA26" si="0">SUM(D5:D25)</f>
        <v>318000</v>
      </c>
      <c r="E26" s="14">
        <f t="shared" si="0"/>
        <v>253925.34</v>
      </c>
      <c r="F26" s="28">
        <f t="shared" si="0"/>
        <v>317100</v>
      </c>
      <c r="G26" s="14">
        <f t="shared" si="0"/>
        <v>276414.5</v>
      </c>
      <c r="H26" s="28">
        <f t="shared" si="0"/>
        <v>272100</v>
      </c>
      <c r="I26" s="14">
        <f t="shared" si="0"/>
        <v>204464</v>
      </c>
      <c r="J26" s="28">
        <f t="shared" si="0"/>
        <v>339600</v>
      </c>
      <c r="K26" s="14">
        <f t="shared" si="0"/>
        <v>348457.14</v>
      </c>
      <c r="L26" s="28">
        <f t="shared" si="0"/>
        <v>334000</v>
      </c>
      <c r="M26" s="14">
        <f t="shared" si="0"/>
        <v>341318.94</v>
      </c>
      <c r="N26" s="28">
        <f t="shared" si="0"/>
        <v>438000</v>
      </c>
      <c r="O26" s="14">
        <f t="shared" si="0"/>
        <v>411421.83</v>
      </c>
      <c r="P26" s="28">
        <f t="shared" si="0"/>
        <v>428000</v>
      </c>
      <c r="Q26" s="14">
        <f t="shared" si="0"/>
        <v>391431</v>
      </c>
      <c r="R26" s="28">
        <f t="shared" si="0"/>
        <v>0</v>
      </c>
      <c r="S26" s="14">
        <f t="shared" si="0"/>
        <v>0</v>
      </c>
      <c r="T26" s="14">
        <f t="shared" si="0"/>
        <v>0</v>
      </c>
      <c r="U26" s="14">
        <f t="shared" si="0"/>
        <v>0</v>
      </c>
      <c r="V26" s="14">
        <f t="shared" si="0"/>
        <v>0</v>
      </c>
      <c r="W26" s="14">
        <f t="shared" si="0"/>
        <v>0</v>
      </c>
      <c r="X26" s="14">
        <f t="shared" si="0"/>
        <v>0</v>
      </c>
      <c r="Y26" s="14">
        <f t="shared" si="0"/>
        <v>0</v>
      </c>
      <c r="Z26" s="14">
        <f t="shared" si="0"/>
        <v>0</v>
      </c>
      <c r="AA26" s="14">
        <f t="shared" si="0"/>
        <v>0</v>
      </c>
    </row>
    <row r="27" spans="3:27" x14ac:dyDescent="0.3">
      <c r="F27" s="17"/>
      <c r="G27" s="17"/>
    </row>
    <row r="28" spans="3:27" x14ac:dyDescent="0.3">
      <c r="R28" s="17"/>
    </row>
    <row r="29" spans="3:27" x14ac:dyDescent="0.3">
      <c r="E29" s="1">
        <f>E26/D26</f>
        <v>0.79850735849056598</v>
      </c>
      <c r="G29" s="1">
        <f>G26/F26</f>
        <v>0.87169504888047933</v>
      </c>
      <c r="I29" s="1">
        <f>I26/H26</f>
        <v>0.75142962146269754</v>
      </c>
    </row>
    <row r="30" spans="3:27" x14ac:dyDescent="0.3">
      <c r="C30" s="10"/>
      <c r="D30" s="11"/>
    </row>
    <row r="31" spans="3:27" x14ac:dyDescent="0.3">
      <c r="D31" s="12"/>
    </row>
    <row r="32" spans="3:27" x14ac:dyDescent="0.3">
      <c r="D32" s="12"/>
    </row>
    <row r="33" spans="4:4" x14ac:dyDescent="0.3">
      <c r="D33" s="12"/>
    </row>
    <row r="34" spans="4:4" x14ac:dyDescent="0.3">
      <c r="D34" s="12"/>
    </row>
    <row r="35" spans="4:4" x14ac:dyDescent="0.3">
      <c r="D35" s="12"/>
    </row>
    <row r="36" spans="4:4" x14ac:dyDescent="0.3">
      <c r="D36" s="12"/>
    </row>
    <row r="37" spans="4:4" x14ac:dyDescent="0.3">
      <c r="D37" s="12"/>
    </row>
    <row r="38" spans="4:4" x14ac:dyDescent="0.3">
      <c r="D38" s="12"/>
    </row>
    <row r="39" spans="4:4" x14ac:dyDescent="0.3">
      <c r="D39" s="12"/>
    </row>
    <row r="40" spans="4:4" x14ac:dyDescent="0.3">
      <c r="D40" s="12"/>
    </row>
    <row r="41" spans="4:4" x14ac:dyDescent="0.3">
      <c r="D41" s="12"/>
    </row>
    <row r="42" spans="4:4" x14ac:dyDescent="0.3">
      <c r="D42" s="12"/>
    </row>
    <row r="43" spans="4:4" x14ac:dyDescent="0.3">
      <c r="D43" s="12"/>
    </row>
    <row r="44" spans="4:4" x14ac:dyDescent="0.3">
      <c r="D44" s="12"/>
    </row>
    <row r="45" spans="4:4" x14ac:dyDescent="0.3">
      <c r="D45" s="12"/>
    </row>
    <row r="46" spans="4:4" x14ac:dyDescent="0.3">
      <c r="D46" s="12"/>
    </row>
    <row r="47" spans="4:4" x14ac:dyDescent="0.3">
      <c r="D47" s="12"/>
    </row>
    <row r="48" spans="4:4" x14ac:dyDescent="0.3">
      <c r="D48" s="12"/>
    </row>
    <row r="49" spans="4:4" x14ac:dyDescent="0.3">
      <c r="D49" s="12"/>
    </row>
    <row r="50" spans="4:4" x14ac:dyDescent="0.3">
      <c r="D50" s="12"/>
    </row>
    <row r="51" spans="4:4" x14ac:dyDescent="0.3">
      <c r="D51" s="12"/>
    </row>
    <row r="52" spans="4:4" x14ac:dyDescent="0.3">
      <c r="D52" s="12"/>
    </row>
    <row r="53" spans="4:4" x14ac:dyDescent="0.3">
      <c r="D53" s="12"/>
    </row>
    <row r="54" spans="4:4" x14ac:dyDescent="0.3">
      <c r="D54" s="12"/>
    </row>
    <row r="55" spans="4:4" x14ac:dyDescent="0.3">
      <c r="D55" s="12"/>
    </row>
    <row r="56" spans="4:4" x14ac:dyDescent="0.3">
      <c r="D56" s="12"/>
    </row>
    <row r="57" spans="4:4" x14ac:dyDescent="0.3">
      <c r="D57" s="12"/>
    </row>
  </sheetData>
  <mergeCells count="13">
    <mergeCell ref="N3:O3"/>
    <mergeCell ref="L3:M3"/>
    <mergeCell ref="P3:Q3"/>
    <mergeCell ref="C3:C4"/>
    <mergeCell ref="D3:E3"/>
    <mergeCell ref="F3:G3"/>
    <mergeCell ref="H3:I3"/>
    <mergeCell ref="J3:K3"/>
    <mergeCell ref="Z3:AA3"/>
    <mergeCell ref="X3:Y3"/>
    <mergeCell ref="V3:W3"/>
    <mergeCell ref="T3:U3"/>
    <mergeCell ref="R3:S3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5F9E-1936-4102-95A9-623A3C15953A}">
  <dimension ref="C5:E19"/>
  <sheetViews>
    <sheetView workbookViewId="0">
      <selection activeCell="E7" sqref="E7"/>
    </sheetView>
  </sheetViews>
  <sheetFormatPr defaultColWidth="8.88671875" defaultRowHeight="14.4" x14ac:dyDescent="0.3"/>
  <cols>
    <col min="1" max="3" width="8.88671875" style="1"/>
    <col min="4" max="5" width="11.33203125" style="1" bestFit="1" customWidth="1"/>
    <col min="6" max="16384" width="8.88671875" style="1"/>
  </cols>
  <sheetData>
    <row r="5" spans="3:5" x14ac:dyDescent="0.3">
      <c r="C5" s="2"/>
      <c r="D5" s="2" t="s">
        <v>79</v>
      </c>
      <c r="E5" s="2" t="s">
        <v>75</v>
      </c>
    </row>
    <row r="6" spans="3:5" x14ac:dyDescent="0.3">
      <c r="C6" s="2" t="s">
        <v>80</v>
      </c>
      <c r="D6" s="8">
        <f>YTD!D26</f>
        <v>318000</v>
      </c>
      <c r="E6" s="8">
        <f>YTD!E26</f>
        <v>253925.34</v>
      </c>
    </row>
    <row r="7" spans="3:5" x14ac:dyDescent="0.3">
      <c r="C7" s="2" t="s">
        <v>81</v>
      </c>
      <c r="D7" s="8">
        <f>YTD!F26</f>
        <v>317100</v>
      </c>
      <c r="E7" s="8">
        <v>283241.99599999998</v>
      </c>
    </row>
    <row r="8" spans="3:5" x14ac:dyDescent="0.3">
      <c r="C8" s="2" t="s">
        <v>82</v>
      </c>
      <c r="D8" s="8"/>
      <c r="E8" s="8"/>
    </row>
    <row r="9" spans="3:5" x14ac:dyDescent="0.3">
      <c r="C9" s="2" t="s">
        <v>83</v>
      </c>
      <c r="D9" s="8"/>
      <c r="E9" s="8"/>
    </row>
    <row r="10" spans="3:5" x14ac:dyDescent="0.3">
      <c r="C10" s="2" t="s">
        <v>66</v>
      </c>
      <c r="D10" s="8"/>
      <c r="E10" s="8"/>
    </row>
    <row r="11" spans="3:5" x14ac:dyDescent="0.3">
      <c r="C11" s="2" t="s">
        <v>84</v>
      </c>
      <c r="D11" s="8"/>
      <c r="E11" s="8"/>
    </row>
    <row r="12" spans="3:5" x14ac:dyDescent="0.3">
      <c r="C12" s="2" t="s">
        <v>85</v>
      </c>
      <c r="D12" s="8"/>
      <c r="E12" s="8"/>
    </row>
    <row r="13" spans="3:5" x14ac:dyDescent="0.3">
      <c r="C13" s="2" t="s">
        <v>69</v>
      </c>
      <c r="D13" s="8"/>
      <c r="E13" s="18"/>
    </row>
    <row r="14" spans="3:5" x14ac:dyDescent="0.3">
      <c r="C14" s="2" t="s">
        <v>70</v>
      </c>
      <c r="D14" s="8"/>
      <c r="E14" s="18"/>
    </row>
    <row r="15" spans="3:5" x14ac:dyDescent="0.3">
      <c r="C15" s="2" t="s">
        <v>71</v>
      </c>
      <c r="D15" s="8"/>
      <c r="E15" s="18"/>
    </row>
    <row r="16" spans="3:5" x14ac:dyDescent="0.3">
      <c r="C16" s="2" t="s">
        <v>72</v>
      </c>
      <c r="D16" s="8"/>
      <c r="E16" s="18"/>
    </row>
    <row r="17" spans="3:5" x14ac:dyDescent="0.3">
      <c r="C17" s="2" t="s">
        <v>73</v>
      </c>
      <c r="D17" s="8"/>
      <c r="E17" s="18"/>
    </row>
    <row r="18" spans="3:5" x14ac:dyDescent="0.3">
      <c r="D18" s="19">
        <f>SUM(D6:D17)</f>
        <v>635100</v>
      </c>
      <c r="E18" s="19">
        <f>SUM(E6:E17)</f>
        <v>537167.33600000001</v>
      </c>
    </row>
    <row r="19" spans="3:5" x14ac:dyDescent="0.3">
      <c r="D19" s="35">
        <f>E18/D18</f>
        <v>0.84579961580853413</v>
      </c>
      <c r="E19" s="35"/>
    </row>
  </sheetData>
  <mergeCells count="1">
    <mergeCell ref="D19:E19"/>
  </mergeCells>
  <phoneticPr fontId="5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26cc4ce3-5863-44e3-815a-1a73a089bf3b}" enabled="1" method="Standard" siteId="{bbb8da8f-f374-490f-9190-2242176e117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Chart</vt:lpstr>
      <vt:lpstr>YTD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Hermansyah Syah</dc:creator>
  <cp:keywords/>
  <dc:description/>
  <cp:lastModifiedBy>Hermansyah Syah</cp:lastModifiedBy>
  <cp:revision/>
  <dcterms:created xsi:type="dcterms:W3CDTF">2024-04-22T02:42:32Z</dcterms:created>
  <dcterms:modified xsi:type="dcterms:W3CDTF">2026-09-01T02:24:04Z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2024-04-22T04:12:24Z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251ec454-3d32-473d-92fb-666778793c28</vt:lpwstr>
  </property>
  <property fmtid="{D5CDD505-2E9C-101B-9397-08002B2CF9AE}" pid="8" name="MSIP_Label_38b525e5-f3da-4501-8f1e-526b6769fc56_ContentBits">
    <vt:lpwstr>0</vt:lpwstr>
  </property>
</Properties>
</file>