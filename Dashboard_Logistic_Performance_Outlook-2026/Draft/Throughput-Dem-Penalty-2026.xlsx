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banpugroup-my.sharepoint.com/personal/landung_yudanto_banpuindo_co_id/Documents/03. Material Weekly Meeting New/"/>
    </mc:Choice>
  </mc:AlternateContent>
  <xr:revisionPtr revIDLastSave="9857" documentId="8_{85AD99B9-F8A9-4B98-B7D7-7AAAAB968C76}" xr6:coauthVersionLast="47" xr6:coauthVersionMax="47" xr10:uidLastSave="{10032C44-A57D-4D26-ABEA-FBCFF7CD74C2}"/>
  <bookViews>
    <workbookView xWindow="-108" yWindow="-108" windowWidth="23256" windowHeight="13896" firstSheet="1" activeTab="7" xr2:uid="{00000000-000D-0000-FFFF-FFFF00000000}"/>
  </bookViews>
  <sheets>
    <sheet name="Demurage 2024 (2)" sheetId="14" state="hidden" r:id="rId1"/>
    <sheet name="Demurage 2026" sheetId="17" r:id="rId2"/>
    <sheet name="present dem" sheetId="19" r:id="rId3"/>
    <sheet name="summary Demurage&amp;penalty" sheetId="6" state="hidden" r:id="rId4"/>
    <sheet name="summ present" sheetId="7" state="hidden" r:id="rId5"/>
    <sheet name="present" sheetId="3" state="hidden" r:id="rId6"/>
    <sheet name="present 2" sheetId="4" state="hidden" r:id="rId7"/>
    <sheet name="Penalty 2026" sheetId="18" r:id="rId8"/>
    <sheet name="present pen" sheetId="20" r:id="rId9"/>
    <sheet name="graph 3" sheetId="5" r:id="rId10"/>
    <sheet name="Demurage 2021" sheetId="10" state="hidden" r:id="rId11"/>
    <sheet name="Penalty 2021" sheetId="11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</externalReferences>
  <definedNames>
    <definedName name="_1A1_Z1...A10_Z10" localSheetId="2">'present dem'!#REF!</definedName>
    <definedName name="_1A1_Z1...A10_Z10" localSheetId="8">'present pen'!#REF!</definedName>
    <definedName name="_1A1_Z1...A10_Z10">#REF!</definedName>
    <definedName name="_Apr">[1]Validation!$A$33</definedName>
    <definedName name="_Aug">[1]Validation!$A$37</definedName>
    <definedName name="_Chubu1">[1]Validation!$A$5</definedName>
    <definedName name="_CHUBU10">'[2]Platinum Cstmr Performance 2010'!$C$58</definedName>
    <definedName name="_Chubu2">[1]Validation!$A$6</definedName>
    <definedName name="_Chubu3">[1]Validation!$A$7</definedName>
    <definedName name="_CHUBU4">'[2]Platinum Cstmr Performance 2010'!$C$21</definedName>
    <definedName name="_CHUBU5">'[2]Platinum Cstmr Performance 2010'!$C$25</definedName>
    <definedName name="_CHUBU6">'[2]Platinum Cstmr Performance 2010'!$C$34</definedName>
    <definedName name="_CHUBU7">'[2]Platinum Cstmr Performance 2010'!$C$44</definedName>
    <definedName name="_CHUBU8">'[2]Platinum Cstmr Performance 2010'!$C$49</definedName>
    <definedName name="_CHUBU9">'[2]Platinum Cstmr Performance 2010'!$C$57</definedName>
    <definedName name="_ChubuP1">[1]Chubu!$V$203</definedName>
    <definedName name="_ChubuP2">[1]Chubu!$V$204</definedName>
    <definedName name="_CLP">[1]Validation!$A$17</definedName>
    <definedName name="_CLPP1">[1]CLP!$V$203</definedName>
    <definedName name="_CLPP2">[1]CLP!$V$204</definedName>
    <definedName name="_DATE">#REF!</definedName>
    <definedName name="_Dec">[1]Validation!$A$41</definedName>
    <definedName name="_ENEL1">[1]Validation!$A$11</definedName>
    <definedName name="_ENEL10">'[2]Platinum Cstmr Performance 2010'!$C$48</definedName>
    <definedName name="_ENEL11">'[2]Platinum Cstmr Performance 2010'!$C$52</definedName>
    <definedName name="_ENEL12">'[2]Platinum Cstmr Performance 2010'!$C$59</definedName>
    <definedName name="_ENEL13">'[2]Platinum Cstmr Performance 2010'!$C$67</definedName>
    <definedName name="_ENEL2">'[2]Platinum Cstmr Performance 2010'!$C$12</definedName>
    <definedName name="_ENEL3">'[2]Platinum Cstmr Performance 2010'!$C$15</definedName>
    <definedName name="_ENEL4">'[2]Platinum Cstmr Performance 2010'!$C$20</definedName>
    <definedName name="_ENEL5">'[2]Platinum Cstmr Performance 2010'!$C$22</definedName>
    <definedName name="_ENEL6">'[2]Platinum Cstmr Performance 2010'!$C$29</definedName>
    <definedName name="_ENEL7">'[2]Platinum Cstmr Performance 2010'!$C$33</definedName>
    <definedName name="_ENEL8">'[2]Platinum Cstmr Performance 2010'!$C$39</definedName>
    <definedName name="_ENEL9">'[2]Platinum Cstmr Performance 2010'!$C$43</definedName>
    <definedName name="_ENELP1">'[1]Enel '!$V$264</definedName>
    <definedName name="_ENELP2">'[1]Enel '!$V$265</definedName>
    <definedName name="_EPDC">[1]Validation!$A$8</definedName>
    <definedName name="_EPDC1">'[2]Platinum Cstmr Performance 2010'!$C$17</definedName>
    <definedName name="_EPDC2">'[2]Platinum Cstmr Performance 2010'!$C$24</definedName>
    <definedName name="_EPDC3">'[2]Platinum Cstmr Performance 2010'!$C$38</definedName>
    <definedName name="_EPDC4">'[2]Platinum Cstmr Performance 2010'!$C$50</definedName>
    <definedName name="_EPDC5">'[2]Platinum Cstmr Performance 2010'!$C$69</definedName>
    <definedName name="_EPDC6">'[2]Platinum Cstmr Performance 2010'!#REF!</definedName>
    <definedName name="_EPDCP1">[1]EPDC!$V$203</definedName>
    <definedName name="_EPDCP2">[1]EPDC!$V$204</definedName>
    <definedName name="_Feb">[1]Validation!$A$31</definedName>
    <definedName name="_ffggggg">#REF!</definedName>
    <definedName name="_Formosa1">[1]Validation!$A$15</definedName>
    <definedName name="_FORMOSA10">'[2]Platinum Cstmr Performance 2010'!$C$42</definedName>
    <definedName name="_FORMOSA11">'[2]Platinum Cstmr Performance 2010'!$C$51</definedName>
    <definedName name="_FORMOSA12">'[2]Platinum Cstmr Performance 2010'!$C$53</definedName>
    <definedName name="_FORMOSA13">'[2]Platinum Cstmr Performance 2010'!$C$54</definedName>
    <definedName name="_FORMOSA14">'[2]Platinum Cstmr Performance 2010'!$C$60</definedName>
    <definedName name="_FORMOSA15">'[2]Platinum Cstmr Performance 2010'!$C$61</definedName>
    <definedName name="_FORMOSA16">'[2]Platinum Cstmr Performance 2010'!$C$64</definedName>
    <definedName name="_FORMOSA17">'[2]Platinum Cstmr Performance 2010'!$C$66</definedName>
    <definedName name="_FORMOSA18">'[2]Platinum Cstmr Performance 2010'!$C$68</definedName>
    <definedName name="_Formosa2">[1]Validation!$A$16</definedName>
    <definedName name="_FORMOSA3">'[2]Platinum Cstmr Performance 2010'!$C$23</definedName>
    <definedName name="_FORMOSA4">'[2]Platinum Cstmr Performance 2010'!$C$28</definedName>
    <definedName name="_FORMOSA5">'[2]Platinum Cstmr Performance 2010'!$C$30</definedName>
    <definedName name="_FORMOSA6">'[2]Platinum Cstmr Performance 2010'!$C$32</definedName>
    <definedName name="_FORMOSA7">'[2]Platinum Cstmr Performance 2010'!$C$37</definedName>
    <definedName name="_FORMOSA8">'[2]Platinum Cstmr Performance 2010'!$C$40</definedName>
    <definedName name="_FORMOSA9">'[2]Platinum Cstmr Performance 2010'!$C$41</definedName>
    <definedName name="_FORMOSAP1">[1]Formosa!$V$264</definedName>
    <definedName name="_FORMOSAP2">[1]Formosa!$V$265</definedName>
    <definedName name="_fs1">#REF!</definedName>
    <definedName name="_HEK1">[1]Validation!$A$20</definedName>
    <definedName name="_HEK2">[1]Validation!$A$21</definedName>
    <definedName name="_HEKP1">[1]HEK!$V$203</definedName>
    <definedName name="_HEKP2">[1]HEK!$V$204</definedName>
    <definedName name="_HOPING1">'[2]Platinum Cstmr Performance 2010'!$C$11</definedName>
    <definedName name="_HOPING2">'[2]Platinum Cstmr Performance 2010'!$C$31</definedName>
    <definedName name="_HOPING3">'[2]Platinum Cstmr Performance 2010'!$C$45</definedName>
    <definedName name="_HOPING4">'[2]Platinum Cstmr Performance 2010'!$C$65</definedName>
    <definedName name="_Huaneng1">[1]Validation!$A$18</definedName>
    <definedName name="_Huaneng2">[1]Validation!$A$19</definedName>
    <definedName name="_HUANP1">[1]Huaneng!$V$394</definedName>
    <definedName name="_HUANP2">[1]Huaneng!$V$395</definedName>
    <definedName name="_Jan">[1]Validation!$A$30</definedName>
    <definedName name="_Jul">[1]Validation!$A$36</definedName>
    <definedName name="_Jun">[1]Validation!$A$35</definedName>
    <definedName name="_Key1" hidden="1">#REF!</definedName>
    <definedName name="_Kobe">[1]Validation!$A$9</definedName>
    <definedName name="_KOBEP1">'[1]Kobe Steel'!$V$264</definedName>
    <definedName name="_KOBEP2">'[1]Kobe Steel'!$V$265</definedName>
    <definedName name="_Kospo">[1]Validation!$A$13</definedName>
    <definedName name="_KOSPOP1">[1]Kospo!$V$203</definedName>
    <definedName name="_KOSPOP2">[1]Kospo!$V$204</definedName>
    <definedName name="_Kowepo">[1]Validation!$A$14</definedName>
    <definedName name="_KOWEPOP1">[1]Kowepo!$V$264</definedName>
    <definedName name="_KOWEPOP2">[1]Kowepo!$V$265</definedName>
    <definedName name="_Mar">[1]Validation!$A$32</definedName>
    <definedName name="_May">[1]Validation!$A$34</definedName>
    <definedName name="_Nov">[1]Validation!$A$40</definedName>
    <definedName name="_Oct">[1]Validation!$A$39</definedName>
    <definedName name="_Order1" hidden="1">255</definedName>
    <definedName name="_Order2" hidden="1">255</definedName>
    <definedName name="_Sep">[1]Validation!$A$38</definedName>
    <definedName name="_SHIKOKUP1">[1]Shikoku!$V$203</definedName>
    <definedName name="_SHIKOKUP2">[1]Shikoku!$V$204</definedName>
    <definedName name="_Sort" hidden="1">#REF!</definedName>
    <definedName name="_Tirreno">[1]Validation!$A$12</definedName>
    <definedName name="_TIRRENOP1">[1]Tirreno!$V$264</definedName>
    <definedName name="_TIRRENOP2">[1]Tirreno!$V$265</definedName>
    <definedName name="_TJB1">[1]Validation!$A$22</definedName>
    <definedName name="_TJB2">[1]Validation!$A$23</definedName>
    <definedName name="_TJB3">[1]Validation!$A$24</definedName>
    <definedName name="_TJBP1">[1]TJB!$V$394</definedName>
    <definedName name="_TJBP2">[1]TJB!$V$395</definedName>
    <definedName name="a">'[3]MTD OB Forecasting'!#REF!</definedName>
    <definedName name="A01.PA_Plan">[4]Data!$B$73:$AH$82</definedName>
    <definedName name="A02.PA_Actual">[4]Data!$B$86:$AH$95</definedName>
    <definedName name="A03.UA_Actual">[4]Data!$B$112:$AH$121</definedName>
    <definedName name="A04.Prodty_Plan">[4]Data!$B$3:$AH$16</definedName>
    <definedName name="A05.Prodty_Actual">[4]Data!$B$20:$AH$33</definedName>
    <definedName name="A06.Prod_Actual">[4]Data!$B$150:$AH$153</definedName>
    <definedName name="A07.Dist_Plan">[4]Data!$B$37:$AG$46</definedName>
    <definedName name="A08.Dist_Actual">[4]Data!$B$157:$AH$161</definedName>
    <definedName name="A09.Fuel">[4]Data!$B$166:$AH$173</definedName>
    <definedName name="A1_Z1...A10_Z10">#REF!</definedName>
    <definedName name="A10.Fuel_EGI">[4]Data!$B$177:$AH$208</definedName>
    <definedName name="A11.HM">[4]Data!$B$212:$AH$243</definedName>
    <definedName name="A12.Idle">[4]Data!$B$139:$AG$144</definedName>
    <definedName name="aa" localSheetId="7" hidden="1">{#N/A,#N/A,FALSE,"M01";#N/A,#N/A,FALSE,"M02";#N/A,#N/A,FALSE,"M03";#N/A,#N/A,FALSE,"M04";#N/A,#N/A,FALSE,"M05";#N/A,#N/A,FALSE,"M08"}</definedName>
    <definedName name="aa" localSheetId="2" hidden="1">{#N/A,#N/A,FALSE,"M01";#N/A,#N/A,FALSE,"M02";#N/A,#N/A,FALSE,"M03";#N/A,#N/A,FALSE,"M04";#N/A,#N/A,FALSE,"M05";#N/A,#N/A,FALSE,"M08"}</definedName>
    <definedName name="aa" localSheetId="8" hidden="1">{#N/A,#N/A,FALSE,"M01";#N/A,#N/A,FALSE,"M02";#N/A,#N/A,FALSE,"M03";#N/A,#N/A,FALSE,"M04";#N/A,#N/A,FALSE,"M05";#N/A,#N/A,FALSE,"M08"}</definedName>
    <definedName name="aa" hidden="1">{#N/A,#N/A,FALSE,"M01";#N/A,#N/A,FALSE,"M02";#N/A,#N/A,FALSE,"M03";#N/A,#N/A,FALSE,"M04";#N/A,#N/A,FALSE,"M05";#N/A,#N/A,FALSE,"M08"}</definedName>
    <definedName name="aaa" localSheetId="7" hidden="1">{#N/A,#N/A,FALSE,"M01";#N/A,#N/A,FALSE,"M02";#N/A,#N/A,FALSE,"M03";#N/A,#N/A,FALSE,"M04";#N/A,#N/A,FALSE,"M05";#N/A,#N/A,FALSE,"M08"}</definedName>
    <definedName name="aaa" localSheetId="2" hidden="1">{#N/A,#N/A,FALSE,"M01";#N/A,#N/A,FALSE,"M02";#N/A,#N/A,FALSE,"M03";#N/A,#N/A,FALSE,"M04";#N/A,#N/A,FALSE,"M05";#N/A,#N/A,FALSE,"M08"}</definedName>
    <definedName name="aaa" localSheetId="8" hidden="1">{#N/A,#N/A,FALSE,"M01";#N/A,#N/A,FALSE,"M02";#N/A,#N/A,FALSE,"M03";#N/A,#N/A,FALSE,"M04";#N/A,#N/A,FALSE,"M05";#N/A,#N/A,FALSE,"M08"}</definedName>
    <definedName name="aaa" hidden="1">{#N/A,#N/A,FALSE,"M01";#N/A,#N/A,FALSE,"M02";#N/A,#N/A,FALSE,"M03";#N/A,#N/A,FALSE,"M04";#N/A,#N/A,FALSE,"M05";#N/A,#N/A,FALSE,"M08"}</definedName>
    <definedName name="aaaa" localSheetId="7" hidden="1">{#N/A,#N/A,FALSE,"QR";#N/A,#N/A,FALSE,"R02";#N/A,#N/A,FALSE,"R04";#N/A,#N/A,FALSE,"R05";#N/A,#N/A,FALSE,"R08"}</definedName>
    <definedName name="aaaa" localSheetId="2" hidden="1">{#N/A,#N/A,FALSE,"QR";#N/A,#N/A,FALSE,"R02";#N/A,#N/A,FALSE,"R04";#N/A,#N/A,FALSE,"R05";#N/A,#N/A,FALSE,"R08"}</definedName>
    <definedName name="aaaa" localSheetId="8" hidden="1">{#N/A,#N/A,FALSE,"QR";#N/A,#N/A,FALSE,"R02";#N/A,#N/A,FALSE,"R04";#N/A,#N/A,FALSE,"R05";#N/A,#N/A,FALSE,"R08"}</definedName>
    <definedName name="aaaa" hidden="1">{#N/A,#N/A,FALSE,"QR";#N/A,#N/A,FALSE,"R02";#N/A,#N/A,FALSE,"R04";#N/A,#N/A,FALSE,"R05";#N/A,#N/A,FALSE,"R08"}</definedName>
    <definedName name="aaaaa" localSheetId="7" hidden="1">{#N/A,#N/A,FALSE,"M06";#N/A,#N/A,FALSE,"M07"}</definedName>
    <definedName name="aaaaa" localSheetId="2" hidden="1">{#N/A,#N/A,FALSE,"M06";#N/A,#N/A,FALSE,"M07"}</definedName>
    <definedName name="aaaaa" localSheetId="8" hidden="1">{#N/A,#N/A,FALSE,"M06";#N/A,#N/A,FALSE,"M07"}</definedName>
    <definedName name="aaaaa" hidden="1">{#N/A,#N/A,FALSE,"M06";#N/A,#N/A,FALSE,"M07"}</definedName>
    <definedName name="ab">'[3]MTD OB Forecasting'!#REF!</definedName>
    <definedName name="Act_Cost">[4]Data!$B$316:$AH$324</definedName>
    <definedName name="ACTHAUL">'[5]HAUL C1,C2,C3'!$B$9:$BJ$41</definedName>
    <definedName name="ACTHAUL2">'[5]HAUL C1,C2,C3'!$B$45:$BK$82</definedName>
    <definedName name="ACTHAUL3">'[5]HAUL C1,C2,C3'!$B$85:$BK$122</definedName>
    <definedName name="actual">#REF!</definedName>
    <definedName name="ADFFF">#REF!</definedName>
    <definedName name="afafa">#REF!</definedName>
    <definedName name="Anas_f">'[6]MTD OB Forecasting'!#REF!</definedName>
    <definedName name="ance">'[6]MTD OB Forecasting'!#REF!</definedName>
    <definedName name="anscount" hidden="1">6</definedName>
    <definedName name="anto">'[6]MTD OB Forecasting'!#REF!</definedName>
    <definedName name="anto1">'[6]MTD OB Forecasting'!#REF!</definedName>
    <definedName name="ARQ">#REF!</definedName>
    <definedName name="ASS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VG_Distance">[4]Data!$B$51:$AG$69</definedName>
    <definedName name="b">#REF!</definedName>
    <definedName name="bb" localSheetId="7" hidden="1">{#N/A,#N/A,FALSE,"M01";#N/A,#N/A,FALSE,"M02";#N/A,#N/A,FALSE,"M03";#N/A,#N/A,FALSE,"M04";#N/A,#N/A,FALSE,"M05";#N/A,#N/A,FALSE,"M08"}</definedName>
    <definedName name="bb" localSheetId="2" hidden="1">{#N/A,#N/A,FALSE,"M01";#N/A,#N/A,FALSE,"M02";#N/A,#N/A,FALSE,"M03";#N/A,#N/A,FALSE,"M04";#N/A,#N/A,FALSE,"M05";#N/A,#N/A,FALSE,"M08"}</definedName>
    <definedName name="bb" localSheetId="8" hidden="1">{#N/A,#N/A,FALSE,"M01";#N/A,#N/A,FALSE,"M02";#N/A,#N/A,FALSE,"M03";#N/A,#N/A,FALSE,"M04";#N/A,#N/A,FALSE,"M05";#N/A,#N/A,FALSE,"M08"}</definedName>
    <definedName name="bb" hidden="1">{#N/A,#N/A,FALSE,"M01";#N/A,#N/A,FALSE,"M02";#N/A,#N/A,FALSE,"M03";#N/A,#N/A,FALSE,"M04";#N/A,#N/A,FALSE,"M05";#N/A,#N/A,FALSE,"M08"}</definedName>
    <definedName name="bd">#REF!</definedName>
    <definedName name="BEK">[7]BEK!$A$1:$T$56</definedName>
    <definedName name="Bharinto" localSheetId="0">Business_Unit</definedName>
    <definedName name="Bharinto" localSheetId="1">Business_Unit</definedName>
    <definedName name="Bharinto" localSheetId="7">Business_Unit</definedName>
    <definedName name="Bharinto" localSheetId="2">Business_Unit</definedName>
    <definedName name="Bharinto" localSheetId="8">Business_Unit</definedName>
    <definedName name="Bharinto">Business_Unit</definedName>
    <definedName name="BKKKLK" localSheetId="2">'present dem'!#REF!</definedName>
    <definedName name="BKKKLK" localSheetId="8">'present pen'!#REF!</definedName>
    <definedName name="BKKKLK">#REF!</definedName>
    <definedName name="BONUS" localSheetId="2">'present dem'!#REF!</definedName>
    <definedName name="BONUS" localSheetId="8">'present pen'!#REF!</definedName>
    <definedName name="BONUS">#REF!</definedName>
    <definedName name="BTS1BW" localSheetId="2">'present dem'!#REF!</definedName>
    <definedName name="BTS1BW" localSheetId="8">'present pen'!#REF!</definedName>
    <definedName name="BTS1BW">#REF!</definedName>
    <definedName name="BTS1FW">#REF!</definedName>
    <definedName name="BTS1HW">#REF!</definedName>
    <definedName name="BTS2BW">#REF!</definedName>
    <definedName name="BTS2FW">#REF!</definedName>
    <definedName name="BTS2HW">#REF!</definedName>
    <definedName name="Budget">'[7]Budget &amp; Outlook'!$E$5:$R$42</definedName>
    <definedName name="bulanan">[8]Database!$AN$1:$BY$473</definedName>
    <definedName name="BusinessUnit">[9]!Business_Unit</definedName>
    <definedName name="cc" localSheetId="7" hidden="1">{#N/A,#N/A,FALSE,"QR";#N/A,#N/A,FALSE,"R02";#N/A,#N/A,FALSE,"R04";#N/A,#N/A,FALSE,"R05";#N/A,#N/A,FALSE,"R08"}</definedName>
    <definedName name="cc" localSheetId="2" hidden="1">{#N/A,#N/A,FALSE,"QR";#N/A,#N/A,FALSE,"R02";#N/A,#N/A,FALSE,"R04";#N/A,#N/A,FALSE,"R05";#N/A,#N/A,FALSE,"R08"}</definedName>
    <definedName name="cc" localSheetId="8" hidden="1">{#N/A,#N/A,FALSE,"QR";#N/A,#N/A,FALSE,"R02";#N/A,#N/A,FALSE,"R04";#N/A,#N/A,FALSE,"R05";#N/A,#N/A,FALSE,"R08"}</definedName>
    <definedName name="cc" hidden="1">{#N/A,#N/A,FALSE,"QR";#N/A,#N/A,FALSE,"R02";#N/A,#N/A,FALSE,"R04";#N/A,#N/A,FALSE,"R05";#N/A,#N/A,FALSE,"R08"}</definedName>
    <definedName name="CCR">#REF!</definedName>
    <definedName name="CD">#REF!</definedName>
    <definedName name="Checkboxlink">#REF!</definedName>
    <definedName name="CLASSIFICATION">'[10]CRM DATABASE 2015'!$E$9:$E$247</definedName>
    <definedName name="Company">[9]!Company</definedName>
    <definedName name="Corective">[11]Crushing!#REF!</definedName>
    <definedName name="COS">#REF!</definedName>
    <definedName name="CostCenter">[9]!Cost_Center</definedName>
    <definedName name="COSUBCO1">#REF!</definedName>
    <definedName name="COSUBCO2">#REF!</definedName>
    <definedName name="COSUBCO3">#REF!</definedName>
    <definedName name="COSUBCO4">#REF!</definedName>
    <definedName name="COSUBCO5">#REF!</definedName>
    <definedName name="COSUBCO6">#REF!</definedName>
    <definedName name="COSUBOB1">#REF!</definedName>
    <definedName name="COSUBOB10">#REF!</definedName>
    <definedName name="COSUBOB11">#REF!</definedName>
    <definedName name="COSUBOB12">#REF!</definedName>
    <definedName name="COSUBOB2">#REF!</definedName>
    <definedName name="COSUBOB3">#REF!</definedName>
    <definedName name="COSUBOB4">#REF!</definedName>
    <definedName name="COSUBOB5">#REF!</definedName>
    <definedName name="COSUBOB6">#REF!</definedName>
    <definedName name="COSUBOB7">#REF!</definedName>
    <definedName name="COSUBOB8">#REF!</definedName>
    <definedName name="COSUBOB9">#REF!</definedName>
    <definedName name="Currency">[12]!CurrencyTable[UNIT]</definedName>
    <definedName name="CUSTOMER">[13]dBase!$C$2:$C$4381</definedName>
    <definedName name="CustomerCode">[14]Database!$B$11:$B$59933</definedName>
    <definedName name="d" localSheetId="7" hidden="1">{#N/A,#N/A,FALSE,"M01";#N/A,#N/A,FALSE,"M02";#N/A,#N/A,FALSE,"M03";#N/A,#N/A,FALSE,"M04";#N/A,#N/A,FALSE,"M05";#N/A,#N/A,FALSE,"M08"}</definedName>
    <definedName name="d" localSheetId="2" hidden="1">{#N/A,#N/A,FALSE,"M01";#N/A,#N/A,FALSE,"M02";#N/A,#N/A,FALSE,"M03";#N/A,#N/A,FALSE,"M04";#N/A,#N/A,FALSE,"M05";#N/A,#N/A,FALSE,"M08"}</definedName>
    <definedName name="d" localSheetId="8" hidden="1">{#N/A,#N/A,FALSE,"M01";#N/A,#N/A,FALSE,"M02";#N/A,#N/A,FALSE,"M03";#N/A,#N/A,FALSE,"M04";#N/A,#N/A,FALSE,"M05";#N/A,#N/A,FALSE,"M08"}</definedName>
    <definedName name="d" hidden="1">{#N/A,#N/A,FALSE,"M01";#N/A,#N/A,FALSE,"M02";#N/A,#N/A,FALSE,"M03";#N/A,#N/A,FALSE,"M04";#N/A,#N/A,FALSE,"M05";#N/A,#N/A,FALSE,"M08"}</definedName>
    <definedName name="DAFAF">#REF!</definedName>
    <definedName name="DAFDAF">#REF!</definedName>
    <definedName name="Daily">#REF!</definedName>
    <definedName name="DATA_ASAL">#REF!</definedName>
    <definedName name="DATA_ASAL_10">[15]HOURLY!$B$1:$AA$833</definedName>
    <definedName name="DATA_ASAL_17">[15]HOURLY!$B$1:$AA$833</definedName>
    <definedName name="DATA_ASAL_19">[15]HOURLY!$B$1:$AA$833</definedName>
    <definedName name="DATA_ASAL_20">[15]HOURLY!$B$1:$AA$833</definedName>
    <definedName name="DATA_ASAL_3">[15]HOURLY!$B$1:$AA$833</definedName>
    <definedName name="DATA_ASAL_3_1">[15]HOURLY!$B$1:$AA$833</definedName>
    <definedName name="DATA_ASAL_4">[15]HOURLY!$B$1:$AA$833</definedName>
    <definedName name="DATA_ASAL_6">[15]HOURLY!$B$1:$AA$833</definedName>
    <definedName name="DATA_ASAL_6_1">[15]HOURLY!$B$1:$AA$833</definedName>
    <definedName name="DATA_ASAL_7">[15]HOURLY!$B$1:$AA$833</definedName>
    <definedName name="DATA_ASAL_7_1">[15]HOURLY!$B$1:$AA$833</definedName>
    <definedName name="DATA_ASAL_8">[15]HOURLY!$B$1:$AA$833</definedName>
    <definedName name="DATA_ASAL_9">[15]HOURLY!$B$1:$AA$833</definedName>
    <definedName name="Data_Plan">[16]summary!$B$12:$AN$42</definedName>
    <definedName name="Data_Plan_1">[16]summary!$B$12:$AN$42</definedName>
    <definedName name="Data_Plan_1_1">[16]summary!$B$12:$AN$42</definedName>
    <definedName name="Data_Plan_10">[17]summary!$B$12:$AN$42</definedName>
    <definedName name="Data_Plan_11">[16]summary!$B$12:$AN$42</definedName>
    <definedName name="Data_Plan_13">[16]summary!$B$12:$AN$42</definedName>
    <definedName name="Data_Plan_16">[16]summary!$B$12:$AN$42</definedName>
    <definedName name="Data_Plan_17">[18]summary!$B$12:$AN$42</definedName>
    <definedName name="Data_Plan_19">[19]summary!$B$12:$AN$42</definedName>
    <definedName name="Data_Plan_2">[16]summary!$B$12:$AN$42</definedName>
    <definedName name="Data_Plan_2_1">[16]summary!$B$12:$AN$42</definedName>
    <definedName name="Data_Plan_20">[20]summary!$B$12:$AN$42</definedName>
    <definedName name="Data_Plan_3">[21]summary!$B$12:$AN$42</definedName>
    <definedName name="Data_Plan_3_1">[21]summary!$B$12:$AN$42</definedName>
    <definedName name="Data_Plan_4">[21]summary!$B$12:$AN$42</definedName>
    <definedName name="Data_Plan_6">[21]summary!$B$12:$AN$42</definedName>
    <definedName name="Data_Plan_6_1">[18]summary!$B$12:$AN$42</definedName>
    <definedName name="Data_Plan_7">[21]summary!$B$12:$AN$42</definedName>
    <definedName name="Data_Plan_7_1">[17]summary!$B$12:$AN$42</definedName>
    <definedName name="Data_Plan_8">[18]summary!$B$12:$AN$42</definedName>
    <definedName name="Data_Plan_9">[18]summary!$B$12:$AN$42</definedName>
    <definedName name="Dataprm">'[22]Summ PRM'!$C$6:$BM$108</definedName>
    <definedName name="Date">[23]Detail_Code!$O$4:$O$71</definedName>
    <definedName name="dd" localSheetId="7" hidden="1">{#N/A,#N/A,FALSE,"M06";#N/A,#N/A,FALSE,"M07"}</definedName>
    <definedName name="dd" localSheetId="2" hidden="1">{#N/A,#N/A,FALSE,"M06";#N/A,#N/A,FALSE,"M07"}</definedName>
    <definedName name="dd" localSheetId="8" hidden="1">{#N/A,#N/A,FALSE,"M06";#N/A,#N/A,FALSE,"M07"}</definedName>
    <definedName name="dd" hidden="1">{#N/A,#N/A,FALSE,"M06";#N/A,#N/A,FALSE,"M07"}</definedName>
    <definedName name="ddd" localSheetId="7" hidden="1">{#N/A,#N/A,FALSE,"M01";#N/A,#N/A,FALSE,"M02";#N/A,#N/A,FALSE,"M03";#N/A,#N/A,FALSE,"M04";#N/A,#N/A,FALSE,"M05";#N/A,#N/A,FALSE,"M08"}</definedName>
    <definedName name="ddd" localSheetId="2" hidden="1">{#N/A,#N/A,FALSE,"M01";#N/A,#N/A,FALSE,"M02";#N/A,#N/A,FALSE,"M03";#N/A,#N/A,FALSE,"M04";#N/A,#N/A,FALSE,"M05";#N/A,#N/A,FALSE,"M08"}</definedName>
    <definedName name="ddd" localSheetId="8" hidden="1">{#N/A,#N/A,FALSE,"M01";#N/A,#N/A,FALSE,"M02";#N/A,#N/A,FALSE,"M03";#N/A,#N/A,FALSE,"M04";#N/A,#N/A,FALSE,"M05";#N/A,#N/A,FALSE,"M08"}</definedName>
    <definedName name="ddd" hidden="1">{#N/A,#N/A,FALSE,"M01";#N/A,#N/A,FALSE,"M02";#N/A,#N/A,FALSE,"M03";#N/A,#N/A,FALSE,"M04";#N/A,#N/A,FALSE,"M05";#N/A,#N/A,FALSE,"M08"}</definedName>
    <definedName name="ddddd">#REF!</definedName>
    <definedName name="DELAY">[23]Detail_Code!$O$4:$O$71</definedName>
    <definedName name="DF">#REF!</definedName>
    <definedName name="dfm">'[3]MTD OB Forecasting'!#REF!</definedName>
    <definedName name="DIST">[24]Run!$E$5:$I$30</definedName>
    <definedName name="DIST_1">[24]Run!$E$5:$I$30</definedName>
    <definedName name="DIST_1_1">[24]Run!$E$5:$I$30</definedName>
    <definedName name="DIST_10">[25]Run!$E$5:$I$30</definedName>
    <definedName name="DIST_11">[24]Run!$E$5:$I$30</definedName>
    <definedName name="DIST_13">[24]Run!$E$5:$I$30</definedName>
    <definedName name="DIST_16">[24]Run!$E$5:$I$30</definedName>
    <definedName name="DIST_17">[26]Run!$E$5:$I$30</definedName>
    <definedName name="DIST_19">[27]Run!$E$5:$I$30</definedName>
    <definedName name="DIST_2">[24]Run!$E$5:$I$30</definedName>
    <definedName name="DIST_2_1">[24]Run!$E$5:$I$30</definedName>
    <definedName name="DIST_20">[28]Run!$E$5:$I$30</definedName>
    <definedName name="DIST_3">[29]Run!$E$5:$I$30</definedName>
    <definedName name="DIST_3_1">[29]Run!$E$5:$I$30</definedName>
    <definedName name="DIST_4">[29]Run!$E$5:$I$30</definedName>
    <definedName name="DIST_6">[29]Run!$E$5:$I$30</definedName>
    <definedName name="DIST_6_1">[26]Run!$E$5:$I$30</definedName>
    <definedName name="DIST_7">[29]Run!$E$5:$I$30</definedName>
    <definedName name="DIST_7_1">[25]Run!$E$5:$I$30</definedName>
    <definedName name="DIST_8">[26]Run!$E$5:$I$30</definedName>
    <definedName name="DIST_9">[26]Run!$E$5:$I$30</definedName>
    <definedName name="DISTANCE">[30]Run!$E$5:$I$31</definedName>
    <definedName name="Distance_10">[4]Data!$B$157:$AG$161</definedName>
    <definedName name="Distance_11">[4]Data!$B$157:$AG$161</definedName>
    <definedName name="Distance_11_1">[4]Data!$B$157:$AG$161</definedName>
    <definedName name="Distance_12">[4]Data!$B$157:$AG$161</definedName>
    <definedName name="Distance_12_1">[4]Data!$B$157:$AG$161</definedName>
    <definedName name="Distance_13">[4]Data!$B$157:$AG$161</definedName>
    <definedName name="Distance_13_1">[4]Data!$B$157:$AG$161</definedName>
    <definedName name="Distance_14">[4]Data!$B$157:$AG$161</definedName>
    <definedName name="Distance_15">[4]Data!$B$157:$AG$161</definedName>
    <definedName name="Distance_16">[4]Data!$B$157:$AG$161</definedName>
    <definedName name="Distance_8">[4]Data!$B$157:$AG$161</definedName>
    <definedName name="Distance_9">[4]Data!$B$157:$AG$161</definedName>
    <definedName name="DOWN">[31]ACUM!$ED$34:$FJ$57</definedName>
    <definedName name="DS">#REF!</definedName>
    <definedName name="DUMPBIN">'[5]HAUL C1,C2,C3'!$BL$7:$BM$41</definedName>
    <definedName name="DUMPBIN1">'[5]HAUL C1,C2,C3'!$V$48:$W$82</definedName>
    <definedName name="DupeLink">[32]CheckBoxes!$G$1</definedName>
    <definedName name="e" localSheetId="7" hidden="1">{#N/A,#N/A,FALSE,"QR";#N/A,#N/A,FALSE,"R02";#N/A,#N/A,FALSE,"R04";#N/A,#N/A,FALSE,"R05";#N/A,#N/A,FALSE,"R08"}</definedName>
    <definedName name="e" localSheetId="2" hidden="1">{#N/A,#N/A,FALSE,"QR";#N/A,#N/A,FALSE,"R02";#N/A,#N/A,FALSE,"R04";#N/A,#N/A,FALSE,"R05";#N/A,#N/A,FALSE,"R08"}</definedName>
    <definedName name="e" localSheetId="8" hidden="1">{#N/A,#N/A,FALSE,"QR";#N/A,#N/A,FALSE,"R02";#N/A,#N/A,FALSE,"R04";#N/A,#N/A,FALSE,"R05";#N/A,#N/A,FALSE,"R08"}</definedName>
    <definedName name="e" hidden="1">{#N/A,#N/A,FALSE,"QR";#N/A,#N/A,FALSE,"R02";#N/A,#N/A,FALSE,"R04";#N/A,#N/A,FALSE,"R05";#N/A,#N/A,FALSE,"R08"}</definedName>
    <definedName name="ebe" localSheetId="7" hidden="1">{#N/A,#N/A,FALSE,"M06";#N/A,#N/A,FALSE,"M07"}</definedName>
    <definedName name="ebe" localSheetId="2" hidden="1">{#N/A,#N/A,FALSE,"M06";#N/A,#N/A,FALSE,"M07"}</definedName>
    <definedName name="ebe" localSheetId="8" hidden="1">{#N/A,#N/A,FALSE,"M06";#N/A,#N/A,FALSE,"M07"}</definedName>
    <definedName name="ebe" hidden="1">{#N/A,#N/A,FALSE,"M06";#N/A,#N/A,FALSE,"M07"}</definedName>
    <definedName name="ee" localSheetId="7" hidden="1">{#N/A,#N/A,FALSE,"M01";#N/A,#N/A,FALSE,"M02";#N/A,#N/A,FALSE,"M03";#N/A,#N/A,FALSE,"M04";#N/A,#N/A,FALSE,"M05";#N/A,#N/A,FALSE,"M08"}</definedName>
    <definedName name="ee" localSheetId="2" hidden="1">{#N/A,#N/A,FALSE,"M01";#N/A,#N/A,FALSE,"M02";#N/A,#N/A,FALSE,"M03";#N/A,#N/A,FALSE,"M04";#N/A,#N/A,FALSE,"M05";#N/A,#N/A,FALSE,"M08"}</definedName>
    <definedName name="ee" localSheetId="8" hidden="1">{#N/A,#N/A,FALSE,"M01";#N/A,#N/A,FALSE,"M02";#N/A,#N/A,FALSE,"M03";#N/A,#N/A,FALSE,"M04";#N/A,#N/A,FALSE,"M05";#N/A,#N/A,FALSE,"M08"}</definedName>
    <definedName name="ee" hidden="1">{#N/A,#N/A,FALSE,"M01";#N/A,#N/A,FALSE,"M02";#N/A,#N/A,FALSE,"M03";#N/A,#N/A,FALSE,"M04";#N/A,#N/A,FALSE,"M05";#N/A,#N/A,FALSE,"M08"}</definedName>
    <definedName name="eewq">#REF!</definedName>
    <definedName name="EPDC">'[2]Platinum Cstmr Performance 2010'!#REF!</definedName>
    <definedName name="eqe">#REF!</definedName>
    <definedName name="esa">[33]Project!$A$3:$A$1003</definedName>
    <definedName name="EXCA_COAL">#REF!</definedName>
    <definedName name="EXCA_OB">#REF!</definedName>
    <definedName name="excel">'[6]MTD OB Forecasting'!#REF!</definedName>
    <definedName name="Excel_01">'[3]MTD OB Forecasting'!#REF!</definedName>
    <definedName name="excel_02">'[3]MTD OB Forecasting'!#REF!</definedName>
    <definedName name="Excel_BuiltIn__FilterDatabase_1">#REF!</definedName>
    <definedName name="Excel_BuiltIn__FilterDatabase_1_1">[34]Project!$Q$7:$Q$10</definedName>
    <definedName name="Excel_BuiltIn_Print_Area">#REF!</definedName>
    <definedName name="Excel_BuiltIn_Print_Area_1">#REF!</definedName>
    <definedName name="Excel_BuiltIn_Print_Area_10">'[6]MTD OB Forecasting'!#REF!</definedName>
    <definedName name="Excel_BuiltIn_Print_Area_10_1">'[6]MTD OB Forecasting'!#REF!</definedName>
    <definedName name="Excel_BuiltIn_Print_Area_10_20">'[3]MTD OB Forecasting'!#REF!</definedName>
    <definedName name="Excel_BuiltIn_Print_Area_13">#REF!</definedName>
    <definedName name="Excel_BuiltIn_Print_Titles">#REF!</definedName>
    <definedName name="Excel_BuiltIn_Print_Titles_1">#REF!</definedName>
    <definedName name="ExchageCode">[9]!Exchange_Code</definedName>
    <definedName name="ExchangeRate">'[35]Detail Exp.'!$Z$3</definedName>
    <definedName name="f" localSheetId="7" hidden="1">{#N/A,#N/A,FALSE,"M06";#N/A,#N/A,FALSE,"M07"}</definedName>
    <definedName name="f" localSheetId="2" hidden="1">{#N/A,#N/A,FALSE,"M06";#N/A,#N/A,FALSE,"M07"}</definedName>
    <definedName name="f" localSheetId="8" hidden="1">{#N/A,#N/A,FALSE,"M06";#N/A,#N/A,FALSE,"M07"}</definedName>
    <definedName name="f" hidden="1">{#N/A,#N/A,FALSE,"M06";#N/A,#N/A,FALSE,"M07"}</definedName>
    <definedName name="FD">#REF!</definedName>
    <definedName name="Feb">#REF!</definedName>
    <definedName name="FF">#REF!</definedName>
    <definedName name="ffff">#REF!</definedName>
    <definedName name="First">#REF!</definedName>
    <definedName name="fs">#REF!</definedName>
    <definedName name="Fuel">[4]Data!$B$177:$AG$208</definedName>
    <definedName name="Fuel_MTD">[4]Data!$B$247:$AG$277</definedName>
    <definedName name="Fuel_STO">[4]Data!$B$166:$AG$173</definedName>
    <definedName name="g" localSheetId="7" hidden="1">{#N/A,#N/A,FALSE,"M01";#N/A,#N/A,FALSE,"M02";#N/A,#N/A,FALSE,"M03";#N/A,#N/A,FALSE,"M04";#N/A,#N/A,FALSE,"M05";#N/A,#N/A,FALSE,"M08"}</definedName>
    <definedName name="g" localSheetId="2" hidden="1">{#N/A,#N/A,FALSE,"M01";#N/A,#N/A,FALSE,"M02";#N/A,#N/A,FALSE,"M03";#N/A,#N/A,FALSE,"M04";#N/A,#N/A,FALSE,"M05";#N/A,#N/A,FALSE,"M08"}</definedName>
    <definedName name="g" localSheetId="8" hidden="1">{#N/A,#N/A,FALSE,"M01";#N/A,#N/A,FALSE,"M02";#N/A,#N/A,FALSE,"M03";#N/A,#N/A,FALSE,"M04";#N/A,#N/A,FALSE,"M05";#N/A,#N/A,FALSE,"M08"}</definedName>
    <definedName name="g" hidden="1">{#N/A,#N/A,FALSE,"M01";#N/A,#N/A,FALSE,"M02";#N/A,#N/A,FALSE,"M03";#N/A,#N/A,FALSE,"M04";#N/A,#N/A,FALSE,"M05";#N/A,#N/A,FALSE,"M08"}</definedName>
    <definedName name="ggg" localSheetId="7" hidden="1">{#N/A,#N/A,FALSE,"QR";#N/A,#N/A,FALSE,"R02";#N/A,#N/A,FALSE,"R04";#N/A,#N/A,FALSE,"R05";#N/A,#N/A,FALSE,"R08"}</definedName>
    <definedName name="ggg" localSheetId="2" hidden="1">{#N/A,#N/A,FALSE,"QR";#N/A,#N/A,FALSE,"R02";#N/A,#N/A,FALSE,"R04";#N/A,#N/A,FALSE,"R05";#N/A,#N/A,FALSE,"R08"}</definedName>
    <definedName name="ggg" localSheetId="8" hidden="1">{#N/A,#N/A,FALSE,"QR";#N/A,#N/A,FALSE,"R02";#N/A,#N/A,FALSE,"R04";#N/A,#N/A,FALSE,"R05";#N/A,#N/A,FALSE,"R08"}</definedName>
    <definedName name="ggg" hidden="1">{#N/A,#N/A,FALSE,"QR";#N/A,#N/A,FALSE,"R02";#N/A,#N/A,FALSE,"R04";#N/A,#N/A,FALSE,"R05";#N/A,#N/A,FALSE,"R08"}</definedName>
    <definedName name="GNRL_OB">#REF!</definedName>
    <definedName name="GOLD" localSheetId="0">'Demurage 2024 (2)'!$B$23</definedName>
    <definedName name="GOLD" localSheetId="1">'Demurage 2026'!$B$23</definedName>
    <definedName name="GOLD">#REF!</definedName>
    <definedName name="GT" localSheetId="2">'present dem'!#REF!</definedName>
    <definedName name="GT" localSheetId="8">'present pen'!#REF!</definedName>
    <definedName name="GT">#REF!</definedName>
    <definedName name="h" localSheetId="7" hidden="1">{#N/A,#N/A,FALSE,"M01";#N/A,#N/A,FALSE,"M02";#N/A,#N/A,FALSE,"M03";#N/A,#N/A,FALSE,"M04";#N/A,#N/A,FALSE,"M05";#N/A,#N/A,FALSE,"M08"}</definedName>
    <definedName name="h" localSheetId="2" hidden="1">{#N/A,#N/A,FALSE,"M01";#N/A,#N/A,FALSE,"M02";#N/A,#N/A,FALSE,"M03";#N/A,#N/A,FALSE,"M04";#N/A,#N/A,FALSE,"M05";#N/A,#N/A,FALSE,"M08"}</definedName>
    <definedName name="h" localSheetId="8" hidden="1">{#N/A,#N/A,FALSE,"M01";#N/A,#N/A,FALSE,"M02";#N/A,#N/A,FALSE,"M03";#N/A,#N/A,FALSE,"M04";#N/A,#N/A,FALSE,"M05";#N/A,#N/A,FALSE,"M08"}</definedName>
    <definedName name="h" hidden="1">{#N/A,#N/A,FALSE,"M01";#N/A,#N/A,FALSE,"M02";#N/A,#N/A,FALSE,"M03";#N/A,#N/A,FALSE,"M04";#N/A,#N/A,FALSE,"M05";#N/A,#N/A,FALSE,"M08"}</definedName>
    <definedName name="harian">#REF!</definedName>
    <definedName name="HAUL_COAL">#REF!</definedName>
    <definedName name="HAUL_OB">#REF!</definedName>
    <definedName name="HAULPLAN">'[5]OB PLAN'!$B$46:$Q$79</definedName>
    <definedName name="HC" localSheetId="2">'present dem'!#REF!</definedName>
    <definedName name="HC" localSheetId="8">'present pen'!#REF!</definedName>
    <definedName name="HC">#REF!</definedName>
    <definedName name="he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fhahfha">#REF!</definedName>
    <definedName name="hhka334">#REF!</definedName>
    <definedName name="HJKKKLLL">#REF!</definedName>
    <definedName name="HL2brm">#REF!</definedName>
    <definedName name="HL3brm">#REF!</definedName>
    <definedName name="HLS2BW">#REF!</definedName>
    <definedName name="HLS2FW">#REF!</definedName>
    <definedName name="HLS2HW">#REF!</definedName>
    <definedName name="HLS3BW">#REF!</definedName>
    <definedName name="HLS3FW">#REF!</definedName>
    <definedName name="HLS3HW">#REF!</definedName>
    <definedName name="HM">[4]Data!$B$212:$AG$243</definedName>
    <definedName name="HO">#REF!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Idle">[4]Data!$B$139:$AG$144</definedName>
    <definedName name="IMM">[7]IMM!$A$2:$Y$60</definedName>
    <definedName name="IMM.LCV.BCT" localSheetId="2">'present dem'!#REF!</definedName>
    <definedName name="IMM.LCV.BCT" localSheetId="8">'present pen'!#REF!</definedName>
    <definedName name="IMM.LCV.BCT">#REF!</definedName>
    <definedName name="IMM.LCV.BoCT" localSheetId="2">'present dem'!#REF!</definedName>
    <definedName name="IMM.LCV.BoCT" localSheetId="8">'present pen'!#REF!</definedName>
    <definedName name="IMM.LCV.BoCT">#REF!</definedName>
    <definedName name="IMM.LCV.Samarinda" localSheetId="2">'present dem'!#REF!</definedName>
    <definedName name="IMM.LCV.Samarinda" localSheetId="8">'present pen'!#REF!</definedName>
    <definedName name="IMM.LCV.Samarinda">#REF!</definedName>
    <definedName name="IMM.West.BCT">#REF!</definedName>
    <definedName name="IMM.West.BoCT">#REF!</definedName>
    <definedName name="IMM.West.Samarinda">#REF!</definedName>
    <definedName name="IS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TMBONUS">[13]dBase!$BA$2:$BA$4381</definedName>
    <definedName name="ITMBONUS1">[13]dBase!$AZ$2:$AZ$4381</definedName>
    <definedName name="itoy" localSheetId="7" hidden="1">{"Valuation",#N/A,TRUE,"Valuation Summary";"Financial Statements",#N/A,TRUE,"Results";"Results",#N/A,TRUE,"Results";"Ratios",#N/A,TRUE,"Results";"P2 Summary",#N/A,TRUE,"Results"}</definedName>
    <definedName name="itoy" localSheetId="2" hidden="1">{"Valuation",#N/A,TRUE,"Valuation Summary";"Financial Statements",#N/A,TRUE,"Results";"Results",#N/A,TRUE,"Results";"Ratios",#N/A,TRUE,"Results";"P2 Summary",#N/A,TRUE,"Results"}</definedName>
    <definedName name="itoy" localSheetId="8" hidden="1">{"Valuation",#N/A,TRUE,"Valuation Summary";"Financial Statements",#N/A,TRUE,"Results";"Results",#N/A,TRUE,"Results";"Ratios",#N/A,TRUE,"Results";"P2 Summary",#N/A,TRUE,"Results"}</definedName>
    <definedName name="itoy" hidden="1">{"Valuation",#N/A,TRUE,"Valuation Summary";"Financial Statements",#N/A,TRUE,"Results";"Results",#N/A,TRUE,"Results";"Ratios",#N/A,TRUE,"Results";"P2 Summary",#N/A,TRUE,"Results"}</definedName>
    <definedName name="iu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jahsdkhjk">'[6]MTD OB Forecasting'!#REF!</definedName>
    <definedName name="JBG">[7]JBG!$B$3:$AK$87</definedName>
    <definedName name="jigsaw" localSheetId="2">'present dem'!#REF!</definedName>
    <definedName name="jigsaw" localSheetId="8">'present pen'!#REF!</definedName>
    <definedName name="jigsaw">#REF!</definedName>
    <definedName name="jk">'[6]MTD OB Forecasting'!#REF!</definedName>
    <definedName name="Jum_Unit">[4]Data!$B$125:$AG$135</definedName>
    <definedName name="K">#REF!</definedName>
    <definedName name="Kilowatt">#REF!</definedName>
    <definedName name="kj">'[6]MTD OB Forecasting'!#REF!</definedName>
    <definedName name="kl">'[3]MTD OB Forecasting'!#REF!</definedName>
    <definedName name="klj">'[6]MTD OB Forecasting'!#REF!</definedName>
    <definedName name="Konversi">'[4]Konversi Jarak'!$A$4:$B$34</definedName>
    <definedName name="KR1BW" localSheetId="2">'present dem'!#REF!</definedName>
    <definedName name="KR1BW" localSheetId="8">'present pen'!#REF!</definedName>
    <definedName name="KR1BW">#REF!</definedName>
    <definedName name="KR1FW" localSheetId="2">'present dem'!#REF!</definedName>
    <definedName name="KR1FW" localSheetId="8">'present pen'!#REF!</definedName>
    <definedName name="KR1FW">#REF!</definedName>
    <definedName name="KR1HW" localSheetId="2">'present dem'!#REF!</definedName>
    <definedName name="KR1HW" localSheetId="8">'present pen'!#REF!</definedName>
    <definedName name="KR1HW">#REF!</definedName>
    <definedName name="KR2BW">#REF!</definedName>
    <definedName name="KR2FW">#REF!</definedName>
    <definedName name="KR2HW">#REF!</definedName>
    <definedName name="kris">'[6]MTD OB Forecasting'!#REF!</definedName>
    <definedName name="kristisnto">'[3]MTD OB Forecasting'!#REF!</definedName>
    <definedName name="KTD">[7]EMB!$A$4:$AX$55</definedName>
    <definedName name="L" localSheetId="2">'present dem'!#REF!</definedName>
    <definedName name="L" localSheetId="8">'present pen'!#REF!</definedName>
    <definedName name="L">#REF!</definedName>
    <definedName name="limcount" hidden="1">2</definedName>
    <definedName name="LIST_11" localSheetId="2">'present dem'!#REF!</definedName>
    <definedName name="LIST_11" localSheetId="8">'present pen'!#REF!</definedName>
    <definedName name="LIST_11">#REF!</definedName>
    <definedName name="LIST_12" localSheetId="2">'present dem'!#REF!</definedName>
    <definedName name="LIST_12" localSheetId="8">'present pen'!#REF!</definedName>
    <definedName name="LIST_12">#REF!</definedName>
    <definedName name="LIST_19">[36]LIST!$C$3:$AC$438</definedName>
    <definedName name="LIST_20">[37]LIST!$C$3:$AC$438</definedName>
    <definedName name="LIST_8" localSheetId="2">'present dem'!#REF!</definedName>
    <definedName name="LIST_8" localSheetId="8">'present pen'!#REF!</definedName>
    <definedName name="LIST_8">#REF!</definedName>
    <definedName name="LIST_9" localSheetId="2">'present dem'!#REF!</definedName>
    <definedName name="LIST_9" localSheetId="8">'present pen'!#REF!</definedName>
    <definedName name="LIST_9">#REF!</definedName>
    <definedName name="LO" localSheetId="2">'present dem'!#REF!</definedName>
    <definedName name="LO" localSheetId="8">'present pen'!#REF!</definedName>
    <definedName name="LO">#REF!</definedName>
    <definedName name="LOAD_COAL">#REF!</definedName>
    <definedName name="LOAD_OB">#REF!</definedName>
    <definedName name="lose">#REF!</definedName>
    <definedName name="Mainmechine">#REF!</definedName>
    <definedName name="MEASTHITS">#REF!</definedName>
    <definedName name="MEASTMHITS">#REF!</definedName>
    <definedName name="minesche">#REF!</definedName>
    <definedName name="MMHITS">#REF!</definedName>
    <definedName name="MOHH">[31]ACUM!$ED$94:$FJ$117</definedName>
    <definedName name="MONTH" localSheetId="0">'[10]CRM DATABASE 2015'!$D$9:$D$247</definedName>
    <definedName name="MONTH" localSheetId="1">'[10]CRM DATABASE 2015'!$D$9:$D$247</definedName>
    <definedName name="MONTH" localSheetId="7">'[10]CRM DATABASE 2015'!$D$9:$D$247</definedName>
    <definedName name="MONTH">[13]dBase!$BE$2:$BE$4381</definedName>
    <definedName name="msy">[38]Adjust!#REF!</definedName>
    <definedName name="MSYINV" localSheetId="2">'present dem'!#REF!</definedName>
    <definedName name="MSYINV" localSheetId="8">'present pen'!#REF!</definedName>
    <definedName name="MSYINV">#REF!</definedName>
    <definedName name="MTDMHCV" localSheetId="2">'present dem'!#REF!</definedName>
    <definedName name="MTDMHCV" localSheetId="8">'present pen'!#REF!</definedName>
    <definedName name="MTDMHCV">#REF!</definedName>
    <definedName name="MTOTAL" localSheetId="2">'present dem'!#REF!</definedName>
    <definedName name="MTOTAL" localSheetId="8">'present pen'!#REF!</definedName>
    <definedName name="MTOTAL">#REF!</definedName>
    <definedName name="MWASH">#REF!</definedName>
    <definedName name="MWESTHITS">#REF!</definedName>
    <definedName name="MWESTLOTS">#REF!</definedName>
    <definedName name="N">#REF!</definedName>
    <definedName name="NAR">[39]sum_MSY!$DL$7:$DM$21</definedName>
    <definedName name="nav" localSheetId="7" hidden="1">{"Valuation - Letter",#N/A,TRUE,"Valuation Summary";"Financial Statements - Letter",#N/A,TRUE,"Results";"Results - Letter",#N/A,TRUE,"Results";"Ratios - Letter",#N/A,TRUE,"Results";"P2 Summary - Letter",#N/A,TRUE,"Results"}</definedName>
    <definedName name="nav" localSheetId="2" hidden="1">{"Valuation - Letter",#N/A,TRUE,"Valuation Summary";"Financial Statements - Letter",#N/A,TRUE,"Results";"Results - Letter",#N/A,TRUE,"Results";"Ratios - Letter",#N/A,TRUE,"Results";"P2 Summary - Letter",#N/A,TRUE,"Results"}</definedName>
    <definedName name="nav" localSheetId="8" hidden="1">{"Valuation - Letter",#N/A,TRUE,"Valuation Summary";"Financial Statements - Letter",#N/A,TRUE,"Results";"Results - Letter",#N/A,TRUE,"Results";"Ratios - Letter",#N/A,TRUE,"Results";"P2 Summary - Letter",#N/A,TRUE,"Results"}</definedName>
    <definedName name="nav" hidden="1">{"Valuation - Letter",#N/A,TRUE,"Valuation Summary";"Financial Statements - Letter",#N/A,TRUE,"Results";"Results - Letter",#N/A,TRUE,"Results";"Ratios - Letter",#N/A,TRUE,"Results";"P2 Summary - Letter",#N/A,TRUE,"Results"}</definedName>
    <definedName name="Nce">'[6]MTD OB Forecasting'!#REF!</definedName>
    <definedName name="nhg">'[3]MTD OB Forecasting'!#REF!</definedName>
    <definedName name="nn">#REF!</definedName>
    <definedName name="nnn">#REF!</definedName>
    <definedName name="nnnnn">[9]!Exchange_Code</definedName>
    <definedName name="NOM_11">#REF!</definedName>
    <definedName name="NOM_12">#REF!</definedName>
    <definedName name="NOM_19">[36]LIST!$B$4:$AE$437</definedName>
    <definedName name="NOM_20">[37]LIST!$B$4:$AE$437</definedName>
    <definedName name="NOM_8" localSheetId="2">'present dem'!#REF!</definedName>
    <definedName name="NOM_8" localSheetId="8">'present pen'!#REF!</definedName>
    <definedName name="NOM_8">#REF!</definedName>
    <definedName name="NOM_9" localSheetId="2">'present dem'!#REF!</definedName>
    <definedName name="NOM_9" localSheetId="8">'present pen'!#REF!</definedName>
    <definedName name="NOM_9">#REF!</definedName>
    <definedName name="Nov" localSheetId="2">'present dem'!#REF!</definedName>
    <definedName name="Nov" localSheetId="8">'present pen'!#REF!</definedName>
    <definedName name="Nov">#REF!</definedName>
    <definedName name="O">#REF!</definedName>
    <definedName name="OB">#REF!</definedName>
    <definedName name="oi" localSheetId="7" hidden="1">{"Valuation",#N/A,TRUE,"Valuation Summary";"Financial Statements",#N/A,TRUE,"Results";"Results",#N/A,TRUE,"Results";"Ratios",#N/A,TRUE,"Results";"P2 Summary",#N/A,TRUE,"Results"}</definedName>
    <definedName name="oi" localSheetId="2" hidden="1">{"Valuation",#N/A,TRUE,"Valuation Summary";"Financial Statements",#N/A,TRUE,"Results";"Results",#N/A,TRUE,"Results";"Ratios",#N/A,TRUE,"Results";"P2 Summary",#N/A,TRUE,"Results"}</definedName>
    <definedName name="oi" localSheetId="8" hidden="1">{"Valuation",#N/A,TRUE,"Valuation Summary";"Financial Statements",#N/A,TRUE,"Results";"Results",#N/A,TRUE,"Results";"Ratios",#N/A,TRUE,"Results";"P2 Summary",#N/A,TRUE,"Results"}</definedName>
    <definedName name="oi" hidden="1">{"Valuation",#N/A,TRUE,"Valuation Summary";"Financial Statements",#N/A,TRUE,"Results";"Results",#N/A,TRUE,"Results";"Ratios",#N/A,TRUE,"Results";"P2 Summary",#N/A,TRUE,"Results"}</definedName>
    <definedName name="operator">[40]bantuan!$B$2:$C$30</definedName>
    <definedName name="OPT_GL">[41]OPT_GL!$B$4:$S$33</definedName>
    <definedName name="OPT_GL_1">[41]OPT_GL!$B$4:$S$33</definedName>
    <definedName name="OPT_GL_1_1">[41]OPT_GL!$B$4:$S$33</definedName>
    <definedName name="OPT_GL_11">[41]OPT_GL!$B$4:$S$33</definedName>
    <definedName name="OPT_GL_11_1">[41]OPT_GL!$B$4:$S$33</definedName>
    <definedName name="OPT_GL_12">[41]OPT_GL!$B$4:$S$33</definedName>
    <definedName name="OPT_GL_13">[41]OPT_GL!$B$4:$S$33</definedName>
    <definedName name="OPT_GL_16">[41]OPT_GL!$B$4:$S$33</definedName>
    <definedName name="OPT_GL_17">[41]OPT_GL!$B$4:$S$33</definedName>
    <definedName name="OPT_GL_19">[41]OPT_GL!$B$4:$S$33</definedName>
    <definedName name="OPT_GL_2">[41]OPT_GL!$B$4:$S$33</definedName>
    <definedName name="OPT_GL_2_1">[41]OPT_GL!$B$4:$S$33</definedName>
    <definedName name="OPT_GL_20">[41]OPT_GL!$B$4:$S$33</definedName>
    <definedName name="OPT_GL_6">[41]OPT_GL!$B$4:$S$33</definedName>
    <definedName name="OPT_GL_8">[41]OPT_GL!$B$4:$S$33</definedName>
    <definedName name="OPT_GL_8_1">[41]OPT_GL!$B$4:$S$33</definedName>
    <definedName name="OPT_GL_9">[41]OPT_GL!$B$4:$S$33</definedName>
    <definedName name="OPT_GL_9_1">[41]OPT_GL!$B$4:$S$33</definedName>
    <definedName name="ORE" localSheetId="2">'present dem'!#REF!</definedName>
    <definedName name="ORE" localSheetId="8">'present pen'!#REF!</definedName>
    <definedName name="ORE">#REF!</definedName>
    <definedName name="OTHERS" localSheetId="0">'Demurage 2024 (2)'!$B$24</definedName>
    <definedName name="OTHERS" localSheetId="1">'Demurage 2026'!$B$24</definedName>
    <definedName name="OTHERS">#REF!</definedName>
    <definedName name="Outlook">'[7]Budget &amp; Outlook'!$T$5:$AG$41</definedName>
    <definedName name="P">#REF!</definedName>
    <definedName name="PA_Actual">[4]Data!$B$86:$AG$95</definedName>
    <definedName name="PA_Plan">[4]Data!$B$73:$AG$82</definedName>
    <definedName name="paijo">'[3]MTD OB Forecasting'!#REF!</definedName>
    <definedName name="PASS">#REF!</definedName>
    <definedName name="PASS1">#REF!</definedName>
    <definedName name="PEASTHITS">#REF!</definedName>
    <definedName name="PEMB">#REF!</definedName>
    <definedName name="PENALTY">[13]dBonus!$C$7:$J$73</definedName>
    <definedName name="pit_10">'[6]MTD OB Forecasting'!#REF!</definedName>
    <definedName name="PJBG">#REF!</definedName>
    <definedName name="Plan">[42]Plan!$A$3:$A$187</definedName>
    <definedName name="PLAN_1">[43]SUM!$B$34:$AB$58</definedName>
    <definedName name="PLAN_1_1">[43]SUM!$B$34:$AB$58</definedName>
    <definedName name="PLAN_11">[43]SUM!$B$34:$AB$58</definedName>
    <definedName name="PLAN_11_1">[43]SUM!$B$34:$AB$58</definedName>
    <definedName name="PLAN_12">[43]SUM!$B$34:$AB$58</definedName>
    <definedName name="PLAN_13">[43]SUM!$B$34:$AB$58</definedName>
    <definedName name="PLAN_16">[43]SUM!$B$34:$AB$58</definedName>
    <definedName name="PLAN_17">[43]SUM!$B$34:$AB$58</definedName>
    <definedName name="PLAN_19">[43]SUM!$B$34:$AB$58</definedName>
    <definedName name="PLAN_2">[43]SUM!$B$34:$AB$58</definedName>
    <definedName name="PLAN_2_1">[43]SUM!$B$34:$AB$58</definedName>
    <definedName name="PLAN_20">[43]SUM!$B$34:$AB$58</definedName>
    <definedName name="PLAN_6">[43]SUM!$B$34:$AB$58</definedName>
    <definedName name="PLAN_8">[43]SUM!$B$34:$AB$58</definedName>
    <definedName name="PLAN_8_1">[43]SUM!$B$34:$AB$58</definedName>
    <definedName name="PLAN_9">[43]SUM!$B$34:$AB$58</definedName>
    <definedName name="PLAN_9_1">[43]SUM!$B$34:$AB$58</definedName>
    <definedName name="PLAN_DAILY">'[44]Daily Plan'!$BH$8:$CA$33</definedName>
    <definedName name="PLAN_MONTHLY">[45]summary!$B$12:$AO$45</definedName>
    <definedName name="PLAN_MONTHLY_1">[45]summary!$B$12:$AO$45</definedName>
    <definedName name="PLAN_MONTHLY_1_1">[45]summary!$B$12:$AO$45</definedName>
    <definedName name="PLAN_MONTHLY_10">[46]summary!$B$12:$AO$45</definedName>
    <definedName name="PLAN_MONTHLY_11">[45]summary!$B$12:$AO$45</definedName>
    <definedName name="PLAN_MONTHLY_13">[45]summary!$B$12:$AO$45</definedName>
    <definedName name="PLAN_MONTHLY_16">[45]summary!$B$12:$AO$45</definedName>
    <definedName name="PLAN_MONTHLY_17">[47]summary!$B$12:$AO$45</definedName>
    <definedName name="PLAN_MONTHLY_19">[19]summary!$B$12:$AO$45</definedName>
    <definedName name="PLAN_MONTHLY_2">[45]summary!$B$12:$AO$45</definedName>
    <definedName name="PLAN_MONTHLY_2_1">[45]summary!$B$12:$AO$45</definedName>
    <definedName name="PLAN_MONTHLY_20">[48]summary!$B$12:$AO$45</definedName>
    <definedName name="PLAN_MONTHLY_3">[49]summary!$B$12:$AO$45</definedName>
    <definedName name="PLAN_MONTHLY_3_1">[49]summary!$B$12:$AO$45</definedName>
    <definedName name="PLAN_MONTHLY_4">[49]summary!$B$12:$AO$45</definedName>
    <definedName name="PLAN_MONTHLY_6">[49]summary!$B$12:$AO$45</definedName>
    <definedName name="PLAN_MONTHLY_6_1">[47]summary!$B$12:$AO$45</definedName>
    <definedName name="PLAN_MONTHLY_7">[49]summary!$B$12:$AO$45</definedName>
    <definedName name="PLAN_MONTHLY_7_1">[46]summary!$B$12:$AO$45</definedName>
    <definedName name="PLAN_MONTHLY_8">[47]summary!$B$12:$AO$45</definedName>
    <definedName name="PLAN_MONTHLY_9">[47]summary!$B$12:$AO$45</definedName>
    <definedName name="PLATINUM" localSheetId="0">'Demurage 2024 (2)'!$B$22</definedName>
    <definedName name="PLATINUM" localSheetId="1">'Demurage 2026'!$B$22</definedName>
    <definedName name="PLATINUM">#REF!</definedName>
    <definedName name="pm3brm" localSheetId="2">'present dem'!#REF!</definedName>
    <definedName name="pm3brm" localSheetId="8">'present pen'!#REF!</definedName>
    <definedName name="pm3brm">#REF!</definedName>
    <definedName name="PMEASTHITS" localSheetId="2">'present dem'!#REF!</definedName>
    <definedName name="PMEASTHITS" localSheetId="8">'present pen'!#REF!</definedName>
    <definedName name="PMEASTHITS">#REF!</definedName>
    <definedName name="PMS3BW" localSheetId="2">'present dem'!#REF!</definedName>
    <definedName name="PMS3BW" localSheetId="8">'present pen'!#REF!</definedName>
    <definedName name="PMS3BW">#REF!</definedName>
    <definedName name="PMS3FW">#REF!</definedName>
    <definedName name="PMS3HW">#REF!</definedName>
    <definedName name="populasi">#REF!</definedName>
    <definedName name="Port">[12]!PortTable[L. PORT]</definedName>
    <definedName name="_xlnm.Print_Area">#REF!</definedName>
    <definedName name="_xlnm.Print_Titles">#N/A</definedName>
    <definedName name="Print2">#REF!</definedName>
    <definedName name="prod">#REF!</definedName>
    <definedName name="PROD_COAL">'[50]DP Report'!$F$42:$F$42</definedName>
    <definedName name="PROD_OB">'[50]DP Report'!$F$33:$F$33</definedName>
    <definedName name="ProdBdgt">'[51]Sum Prod &amp; Sales Bdgt'!$C$2:$T$21</definedName>
    <definedName name="Prodty_Actual">[4]Data!$B$20:$AG$33</definedName>
    <definedName name="Prodty_Plan">[4]Data!$B$3:$AG$16</definedName>
    <definedName name="Production">[4]Data!$B$149:$AG$153</definedName>
    <definedName name="produksi">#REF!</definedName>
    <definedName name="Project">[42]Project!$A$3:$A$1003</definedName>
    <definedName name="Project1">[34]Project!$A$3:$A$1003</definedName>
    <definedName name="PSYINV2">#REF!</definedName>
    <definedName name="PT">#REF!</definedName>
    <definedName name="PTCMHCVHITS">#REF!</definedName>
    <definedName name="PTCMHCVLOTS">#REF!</definedName>
    <definedName name="PTCMLCVLOTS">#REF!</definedName>
    <definedName name="PTDMHCV">#REF!</definedName>
    <definedName name="PTOTAL">#REF!</definedName>
    <definedName name="PWESTLOTS">#REF!</definedName>
    <definedName name="q">#REF!</definedName>
    <definedName name="QWS">#REF!</definedName>
    <definedName name="rcc">#REF!</definedName>
    <definedName name="RD">#REF!</definedName>
    <definedName name="re" localSheetId="7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localSheetId="2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localSheetId="8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N_KPTJ">[31]TJ!$C$4:$Y$432</definedName>
    <definedName name="REN_LMA">[31]LM!$C$4:$Y$168</definedName>
    <definedName name="RENTAL">[31]ACUM!$B$4:$CT$27</definedName>
    <definedName name="rp">[52]OFFICE!$AW$6</definedName>
    <definedName name="SC" localSheetId="2">'present dem'!#REF!</definedName>
    <definedName name="SC" localSheetId="8">'present pen'!#REF!</definedName>
    <definedName name="SC">#REF!</definedName>
    <definedName name="sdhjfwsa\">'[3]MTD OB Forecasting'!#REF!</definedName>
    <definedName name="Second">#REF!</definedName>
    <definedName name="sencount" hidden="1">2</definedName>
    <definedName name="Send">#REF!</definedName>
    <definedName name="SFfuel">[53]Assumptions!$D$473</definedName>
    <definedName name="Shikoku">[1]Validation!$A$10</definedName>
    <definedName name="SlsBudget">'[51]Sum Prod &amp; Sales Bdgt'!$C$35:$P$49</definedName>
    <definedName name="SO" localSheetId="2">'present dem'!#REF!</definedName>
    <definedName name="SO" localSheetId="8">'present pen'!#REF!</definedName>
    <definedName name="SO">#REF!</definedName>
    <definedName name="SPRD_COAL" localSheetId="2">'present dem'!#REF!</definedName>
    <definedName name="SPRD_COAL" localSheetId="8">'present pen'!#REF!</definedName>
    <definedName name="SPRD_COAL">#REF!</definedName>
    <definedName name="SPRD_OB" localSheetId="2">'present dem'!#REF!</definedName>
    <definedName name="SPRD_OB" localSheetId="8">'present pen'!#REF!</definedName>
    <definedName name="SPRD_OB">#REF!</definedName>
    <definedName name="ssss">#REF!</definedName>
    <definedName name="STB">[31]ACUM!$ED$64:$FJ$87</definedName>
    <definedName name="Stop">#REF!</definedName>
    <definedName name="Stop_kilo">#REF!</definedName>
    <definedName name="SubAccount">[54]!Sub_Account</definedName>
    <definedName name="subhan">'[6]MTD OB Forecasting'!#REF!</definedName>
    <definedName name="SummPRM">'[55]Summ PRM'!$B$6:$BO$108</definedName>
    <definedName name="suryanto">'[3]MTD OB Forecasting'!#REF!</definedName>
    <definedName name="TCM">[7]TCM!$A$2:$KE$234</definedName>
    <definedName name="TDM">[7]TDM!$A$4:$EW$40</definedName>
    <definedName name="Term">[12]!TermTable[TERM OF]</definedName>
    <definedName name="test">#REF!</definedName>
    <definedName name="TONNAGE" localSheetId="0">'[10]CRM DATABASE 2015'!$R$9:$R$247</definedName>
    <definedName name="TONNAGE" localSheetId="1">'[10]CRM DATABASE 2015'!$R$9:$R$247</definedName>
    <definedName name="TONNAGE" localSheetId="7">'[10]CRM DATABASE 2015'!$R$9:$R$247</definedName>
    <definedName name="TONNAGE">[13]dBase!$R$2:$R$4381</definedName>
    <definedName name="TOP_COSTUM">#REF!</definedName>
    <definedName name="total">#REF!</definedName>
    <definedName name="TOTALDEMURRAGE">'[10]CRM DATABASE 2015'!$BV$9:$BV$247</definedName>
    <definedName name="TOTALPENALTY">'[10]CRM DATABASE 2015'!$BN$9:$BN$247</definedName>
    <definedName name="TUNAS">[31]ACUM!$B$4:$CT$27</definedName>
    <definedName name="TYPE">[13]dBase!$BC$2:$BC$4381</definedName>
    <definedName name="UA_Actual">[4]Data!$B$112:$AG$121</definedName>
    <definedName name="UA_Plan">[4]Data!$B$99:$AG$108</definedName>
    <definedName name="uu" localSheetId="7" hidden="1">{"Valuation",#N/A,TRUE,"Valuation Summary";"Financial Statements",#N/A,TRUE,"Results";"Results",#N/A,TRUE,"Results";"Ratios",#N/A,TRUE,"Results";"P2 Summary",#N/A,TRUE,"Results"}</definedName>
    <definedName name="uu" localSheetId="2" hidden="1">{"Valuation",#N/A,TRUE,"Valuation Summary";"Financial Statements",#N/A,TRUE,"Results";"Results",#N/A,TRUE,"Results";"Ratios",#N/A,TRUE,"Results";"P2 Summary",#N/A,TRUE,"Results"}</definedName>
    <definedName name="uu" localSheetId="8" hidden="1">{"Valuation",#N/A,TRUE,"Valuation Summary";"Financial Statements",#N/A,TRUE,"Results";"Results",#N/A,TRUE,"Results";"Ratios",#N/A,TRUE,"Results";"P2 Summary",#N/A,TRUE,"Results"}</definedName>
    <definedName name="uu" hidden="1">{"Valuation",#N/A,TRUE,"Valuation Summary";"Financial Statements",#N/A,TRUE,"Results";"Results",#N/A,TRUE,"Results";"Ratios",#N/A,TRUE,"Results";"P2 Summary",#N/A,TRUE,"Results"}</definedName>
    <definedName name="WAITINGTIME">'[10]CRM DATABASE 2015'!$BP$9:$BP$247</definedName>
    <definedName name="WASTE">#REF!</definedName>
    <definedName name="Wh">#REF!</definedName>
    <definedName name="WORK">[31]ACUM!$ED$4:$FJ$27</definedName>
    <definedName name="wrn.M." localSheetId="7" hidden="1">{#N/A,#N/A,FALSE,"M01";#N/A,#N/A,FALSE,"M02";#N/A,#N/A,FALSE,"M03";#N/A,#N/A,FALSE,"M04";#N/A,#N/A,FALSE,"M05";#N/A,#N/A,FALSE,"M08"}</definedName>
    <definedName name="wrn.M." localSheetId="2" hidden="1">{#N/A,#N/A,FALSE,"M01";#N/A,#N/A,FALSE,"M02";#N/A,#N/A,FALSE,"M03";#N/A,#N/A,FALSE,"M04";#N/A,#N/A,FALSE,"M05";#N/A,#N/A,FALSE,"M08"}</definedName>
    <definedName name="wrn.M." localSheetId="8" hidden="1">{#N/A,#N/A,FALSE,"M01";#N/A,#N/A,FALSE,"M02";#N/A,#N/A,FALSE,"M03";#N/A,#N/A,FALSE,"M04";#N/A,#N/A,FALSE,"M05";#N/A,#N/A,FALSE,"M08"}</definedName>
    <definedName name="wrn.M." hidden="1">{#N/A,#N/A,FALSE,"M01";#N/A,#N/A,FALSE,"M02";#N/A,#N/A,FALSE,"M03";#N/A,#N/A,FALSE,"M04";#N/A,#N/A,FALSE,"M05";#N/A,#N/A,FALSE,"M08"}</definedName>
    <definedName name="wrn.Print._.All._.A4.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7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2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8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Results._.A4." localSheetId="7" hidden="1">{"Valuation",#N/A,TRUE,"Valuation Summary";"Financial Statements",#N/A,TRUE,"Results";"Results",#N/A,TRUE,"Results";"Ratios",#N/A,TRUE,"Results";"P2 Summary",#N/A,TRUE,"Results"}</definedName>
    <definedName name="wrn.Print._.Results._.A4." localSheetId="2" hidden="1">{"Valuation",#N/A,TRUE,"Valuation Summary";"Financial Statements",#N/A,TRUE,"Results";"Results",#N/A,TRUE,"Results";"Ratios",#N/A,TRUE,"Results";"P2 Summary",#N/A,TRUE,"Results"}</definedName>
    <definedName name="wrn.Print._.Results._.A4." localSheetId="8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7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2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8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Quater." localSheetId="7" hidden="1">{#N/A,#N/A,FALSE,"QR";#N/A,#N/A,FALSE,"R02";#N/A,#N/A,FALSE,"R04";#N/A,#N/A,FALSE,"R05";#N/A,#N/A,FALSE,"R08"}</definedName>
    <definedName name="wrn.Quater." localSheetId="2" hidden="1">{#N/A,#N/A,FALSE,"QR";#N/A,#N/A,FALSE,"R02";#N/A,#N/A,FALSE,"R04";#N/A,#N/A,FALSE,"R05";#N/A,#N/A,FALSE,"R08"}</definedName>
    <definedName name="wrn.Quater." localSheetId="8" hidden="1">{#N/A,#N/A,FALSE,"QR";#N/A,#N/A,FALSE,"R02";#N/A,#N/A,FALSE,"R04";#N/A,#N/A,FALSE,"R05";#N/A,#N/A,FALSE,"R08"}</definedName>
    <definedName name="wrn.Quater." hidden="1">{#N/A,#N/A,FALSE,"QR";#N/A,#N/A,FALSE,"R02";#N/A,#N/A,FALSE,"R04";#N/A,#N/A,FALSE,"R05";#N/A,#N/A,FALSE,"R08"}</definedName>
    <definedName name="wrn.Valuation._.LB." localSheetId="7" hidden="1">{"Assumptions",#N/A,FALSE,"ASSUMPTION";"Cash Minimum",#N/A,FALSE,"ASSUMPTION"}</definedName>
    <definedName name="wrn.Valuation._.LB." localSheetId="2" hidden="1">{"Assumptions",#N/A,FALSE,"ASSUMPTION";"Cash Minimum",#N/A,FALSE,"ASSUMPTION"}</definedName>
    <definedName name="wrn.Valuation._.LB." localSheetId="8" hidden="1">{"Assumptions",#N/A,FALSE,"ASSUMPTION";"Cash Minimum",#N/A,FALSE,"ASSUMPTION"}</definedName>
    <definedName name="wrn.Valuation._.LB." hidden="1">{"Assumptions",#N/A,FALSE,"ASSUMPTION";"Cash Minimum",#N/A,FALSE,"ASSUMPTION"}</definedName>
    <definedName name="wrn.Variance." localSheetId="7" hidden="1">{#N/A,#N/A,FALSE,"M06";#N/A,#N/A,FALSE,"M07"}</definedName>
    <definedName name="wrn.Variance." localSheetId="2" hidden="1">{#N/A,#N/A,FALSE,"M06";#N/A,#N/A,FALSE,"M07"}</definedName>
    <definedName name="wrn.Variance." localSheetId="8" hidden="1">{#N/A,#N/A,FALSE,"M06";#N/A,#N/A,FALSE,"M07"}</definedName>
    <definedName name="wrn.Variance." hidden="1">{#N/A,#N/A,FALSE,"M06";#N/A,#N/A,FALSE,"M07"}</definedName>
    <definedName name="WS">'[7]WS-Daily'!$B$5:$GJ$1957</definedName>
    <definedName name="WSA" localSheetId="2">'present dem'!#REF!</definedName>
    <definedName name="WSA" localSheetId="8">'present pen'!#REF!</definedName>
    <definedName name="WSA">#REF!</definedName>
    <definedName name="Y" localSheetId="7" hidden="1">{#N/A,#N/A,FALSE,"M01";#N/A,#N/A,FALSE,"M02";#N/A,#N/A,FALSE,"M03";#N/A,#N/A,FALSE,"M04";#N/A,#N/A,FALSE,"M05";#N/A,#N/A,FALSE,"M08"}</definedName>
    <definedName name="Y" localSheetId="2" hidden="1">{#N/A,#N/A,FALSE,"M01";#N/A,#N/A,FALSE,"M02";#N/A,#N/A,FALSE,"M03";#N/A,#N/A,FALSE,"M04";#N/A,#N/A,FALSE,"M05";#N/A,#N/A,FALSE,"M08"}</definedName>
    <definedName name="Y" localSheetId="8" hidden="1">{#N/A,#N/A,FALSE,"M01";#N/A,#N/A,FALSE,"M02";#N/A,#N/A,FALSE,"M03";#N/A,#N/A,FALSE,"M04";#N/A,#N/A,FALSE,"M05";#N/A,#N/A,FALSE,"M08"}</definedName>
    <definedName name="Y" hidden="1">{#N/A,#N/A,FALSE,"M01";#N/A,#N/A,FALSE,"M02";#N/A,#N/A,FALSE,"M03";#N/A,#N/A,FALSE,"M04";#N/A,#N/A,FALSE,"M05";#N/A,#N/A,FALSE,"M08"}</definedName>
    <definedName name="yes">'[6]MTD OB Forecasting'!#REF!</definedName>
    <definedName name="yun">'[6]MTD OB Forecasting'!#REF!</definedName>
    <definedName name="yusuf">'[3]MTD OB Forecasting'!#REF!</definedName>
    <definedName name="z">'[6]MTD OB Forecasting'!#REF!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8" l="1"/>
  <c r="M30" i="18"/>
  <c r="N30" i="18"/>
  <c r="G30" i="18"/>
  <c r="H30" i="17"/>
  <c r="I30" i="17"/>
  <c r="J30" i="17"/>
  <c r="L30" i="17"/>
  <c r="M30" i="17"/>
  <c r="N30" i="17"/>
  <c r="G30" i="17"/>
  <c r="F30" i="17"/>
  <c r="G17" i="18"/>
  <c r="J17" i="18"/>
  <c r="J18" i="18"/>
  <c r="J28" i="17" l="1"/>
  <c r="Q15" i="18"/>
  <c r="F25" i="18"/>
  <c r="F24" i="18"/>
  <c r="F26" i="17"/>
  <c r="O16" i="17"/>
  <c r="G16" i="18"/>
  <c r="J16" i="18"/>
  <c r="M16" i="18"/>
  <c r="G15" i="18"/>
  <c r="J15" i="18"/>
  <c r="G14" i="18"/>
  <c r="J14" i="18"/>
  <c r="G13" i="18"/>
  <c r="J13" i="18"/>
  <c r="F30" i="18"/>
  <c r="F28" i="18"/>
  <c r="F27" i="18"/>
  <c r="F28" i="17"/>
  <c r="O5" i="5"/>
  <c r="N5" i="5"/>
  <c r="M5" i="5"/>
  <c r="L5" i="5"/>
  <c r="K5" i="5"/>
  <c r="J5" i="5"/>
  <c r="I5" i="5"/>
  <c r="H5" i="5"/>
  <c r="G12" i="18"/>
  <c r="G5" i="5"/>
  <c r="M11" i="18"/>
  <c r="J11" i="18"/>
  <c r="G11" i="18"/>
  <c r="G25" i="17"/>
  <c r="G24" i="17"/>
  <c r="F5" i="5"/>
  <c r="E5" i="5"/>
  <c r="D5" i="5"/>
  <c r="H11" i="20" l="1"/>
  <c r="L11" i="20"/>
  <c r="P11" i="20"/>
  <c r="H12" i="20"/>
  <c r="L12" i="20"/>
  <c r="P12" i="20"/>
  <c r="H13" i="20"/>
  <c r="L13" i="20"/>
  <c r="P13" i="20"/>
  <c r="H14" i="20"/>
  <c r="L14" i="20"/>
  <c r="P14" i="20"/>
  <c r="H15" i="20"/>
  <c r="L15" i="20"/>
  <c r="P15" i="20"/>
  <c r="H16" i="20"/>
  <c r="L16" i="20"/>
  <c r="P16" i="20"/>
  <c r="H17" i="20"/>
  <c r="L17" i="20"/>
  <c r="P17" i="20"/>
  <c r="H18" i="20"/>
  <c r="L18" i="20"/>
  <c r="P18" i="20"/>
  <c r="H19" i="20"/>
  <c r="L19" i="20"/>
  <c r="P19" i="20"/>
  <c r="H20" i="20"/>
  <c r="L20" i="20"/>
  <c r="P20" i="20"/>
  <c r="H21" i="20"/>
  <c r="L21" i="20"/>
  <c r="P21" i="20"/>
  <c r="P10" i="20"/>
  <c r="L10" i="20"/>
  <c r="H10" i="20"/>
  <c r="R31" i="20"/>
  <c r="E27" i="20"/>
  <c r="E28" i="20"/>
  <c r="D27" i="19"/>
  <c r="D28" i="19"/>
  <c r="D24" i="19"/>
  <c r="D25" i="19"/>
  <c r="D26" i="19"/>
  <c r="D23" i="19"/>
  <c r="E12" i="19"/>
  <c r="F12" i="19"/>
  <c r="H12" i="19"/>
  <c r="I12" i="19"/>
  <c r="K12" i="19"/>
  <c r="L12" i="19"/>
  <c r="O12" i="19"/>
  <c r="E13" i="19"/>
  <c r="F13" i="19"/>
  <c r="H13" i="19"/>
  <c r="I13" i="19"/>
  <c r="K13" i="19"/>
  <c r="L13" i="19"/>
  <c r="O13" i="19"/>
  <c r="E14" i="19"/>
  <c r="F14" i="19"/>
  <c r="H14" i="19"/>
  <c r="I14" i="19"/>
  <c r="K14" i="19"/>
  <c r="L14" i="19"/>
  <c r="O14" i="19"/>
  <c r="E15" i="19"/>
  <c r="F15" i="19"/>
  <c r="H15" i="19"/>
  <c r="I15" i="19"/>
  <c r="K15" i="19"/>
  <c r="L15" i="19"/>
  <c r="O15" i="19"/>
  <c r="E16" i="19"/>
  <c r="F16" i="19"/>
  <c r="H16" i="19"/>
  <c r="I16" i="19"/>
  <c r="K16" i="19"/>
  <c r="L16" i="19"/>
  <c r="O16" i="19"/>
  <c r="E17" i="19"/>
  <c r="F17" i="19"/>
  <c r="H17" i="19"/>
  <c r="I17" i="19"/>
  <c r="K17" i="19"/>
  <c r="L17" i="19"/>
  <c r="O17" i="19"/>
  <c r="E18" i="19"/>
  <c r="F18" i="19"/>
  <c r="H18" i="19"/>
  <c r="I18" i="19"/>
  <c r="K18" i="19"/>
  <c r="L18" i="19"/>
  <c r="O18" i="19"/>
  <c r="E19" i="19"/>
  <c r="F19" i="19"/>
  <c r="H19" i="19"/>
  <c r="I19" i="19"/>
  <c r="K19" i="19"/>
  <c r="L19" i="19"/>
  <c r="O19" i="19"/>
  <c r="E20" i="19"/>
  <c r="F20" i="19"/>
  <c r="H20" i="19"/>
  <c r="I20" i="19"/>
  <c r="K20" i="19"/>
  <c r="L20" i="19"/>
  <c r="O20" i="19"/>
  <c r="E21" i="19"/>
  <c r="F21" i="19"/>
  <c r="H21" i="19"/>
  <c r="I21" i="19"/>
  <c r="K21" i="19"/>
  <c r="L21" i="19"/>
  <c r="O21" i="19"/>
  <c r="O11" i="19"/>
  <c r="L11" i="19"/>
  <c r="K11" i="19"/>
  <c r="M11" i="19" s="1"/>
  <c r="I11" i="19"/>
  <c r="H11" i="19"/>
  <c r="F11" i="19"/>
  <c r="E11" i="19"/>
  <c r="O10" i="19"/>
  <c r="L10" i="19"/>
  <c r="K10" i="19"/>
  <c r="I10" i="19"/>
  <c r="H10" i="19"/>
  <c r="F10" i="19"/>
  <c r="E10" i="19"/>
  <c r="Z189" i="19"/>
  <c r="P78" i="19"/>
  <c r="U8" i="19"/>
  <c r="U12" i="19"/>
  <c r="V12" i="19"/>
  <c r="W12" i="19"/>
  <c r="U15" i="19"/>
  <c r="V15" i="19"/>
  <c r="R29" i="19"/>
  <c r="R34" i="19"/>
  <c r="T34" i="19"/>
  <c r="M17" i="19" l="1"/>
  <c r="J21" i="19"/>
  <c r="J16" i="19"/>
  <c r="G18" i="19"/>
  <c r="M19" i="19"/>
  <c r="J18" i="19"/>
  <c r="G12" i="19"/>
  <c r="Q14" i="19"/>
  <c r="J14" i="19"/>
  <c r="J13" i="19"/>
  <c r="G14" i="19"/>
  <c r="G16" i="19"/>
  <c r="G20" i="19"/>
  <c r="J19" i="19"/>
  <c r="N15" i="19"/>
  <c r="S15" i="19" s="1"/>
  <c r="J17" i="19"/>
  <c r="M21" i="19"/>
  <c r="M15" i="19"/>
  <c r="G10" i="19"/>
  <c r="J12" i="19"/>
  <c r="J10" i="19"/>
  <c r="P26" i="20"/>
  <c r="M12" i="19"/>
  <c r="N12" i="19"/>
  <c r="R12" i="19" s="1"/>
  <c r="G17" i="19"/>
  <c r="G19" i="19"/>
  <c r="M16" i="19"/>
  <c r="M20" i="19"/>
  <c r="E26" i="19"/>
  <c r="G21" i="19"/>
  <c r="N14" i="19"/>
  <c r="S14" i="19" s="1"/>
  <c r="Q17" i="19"/>
  <c r="N16" i="19"/>
  <c r="N17" i="19"/>
  <c r="R17" i="19" s="1"/>
  <c r="N19" i="19"/>
  <c r="R19" i="19" s="1"/>
  <c r="G13" i="19"/>
  <c r="N21" i="19"/>
  <c r="R21" i="19" s="1"/>
  <c r="N20" i="19"/>
  <c r="S20" i="19" s="1"/>
  <c r="K27" i="19"/>
  <c r="I24" i="19"/>
  <c r="Q21" i="19"/>
  <c r="Q19" i="19"/>
  <c r="J15" i="19"/>
  <c r="G15" i="19"/>
  <c r="F24" i="19"/>
  <c r="J20" i="19"/>
  <c r="N18" i="19"/>
  <c r="R18" i="19" s="1"/>
  <c r="M13" i="19"/>
  <c r="N13" i="19"/>
  <c r="R13" i="19" s="1"/>
  <c r="M14" i="19"/>
  <c r="G11" i="19"/>
  <c r="M18" i="19"/>
  <c r="P28" i="20"/>
  <c r="Q18" i="19"/>
  <c r="K26" i="19"/>
  <c r="Q15" i="19"/>
  <c r="H24" i="19"/>
  <c r="L24" i="19"/>
  <c r="K24" i="19"/>
  <c r="H30" i="19"/>
  <c r="E24" i="19"/>
  <c r="K31" i="19"/>
  <c r="J11" i="19"/>
  <c r="M10" i="19"/>
  <c r="N10" i="19"/>
  <c r="S10" i="19" s="1"/>
  <c r="I31" i="19"/>
  <c r="E30" i="19"/>
  <c r="H31" i="19"/>
  <c r="H26" i="19"/>
  <c r="I26" i="19"/>
  <c r="Q16" i="19"/>
  <c r="H28" i="19"/>
  <c r="I28" i="19"/>
  <c r="I27" i="19"/>
  <c r="F30" i="19"/>
  <c r="E25" i="19"/>
  <c r="F25" i="19"/>
  <c r="E23" i="19"/>
  <c r="F23" i="19"/>
  <c r="N11" i="19"/>
  <c r="E31" i="19"/>
  <c r="F31" i="19"/>
  <c r="H27" i="19"/>
  <c r="E27" i="19"/>
  <c r="F27" i="19"/>
  <c r="L23" i="19"/>
  <c r="L25" i="19"/>
  <c r="K23" i="19"/>
  <c r="K25" i="19"/>
  <c r="L27" i="19"/>
  <c r="L30" i="19"/>
  <c r="L31" i="19"/>
  <c r="Q20" i="19"/>
  <c r="L28" i="19"/>
  <c r="I25" i="19"/>
  <c r="K28" i="19"/>
  <c r="H25" i="19"/>
  <c r="I23" i="19"/>
  <c r="L26" i="19"/>
  <c r="H23" i="19"/>
  <c r="F28" i="19"/>
  <c r="K30" i="19"/>
  <c r="E28" i="19"/>
  <c r="I30" i="19"/>
  <c r="F26" i="19"/>
  <c r="M12" i="18"/>
  <c r="N12" i="20" s="1"/>
  <c r="Q12" i="20" s="1"/>
  <c r="F26" i="18"/>
  <c r="E26" i="20" s="1"/>
  <c r="E25" i="20"/>
  <c r="E24" i="20"/>
  <c r="F23" i="18"/>
  <c r="E23" i="20" s="1"/>
  <c r="M21" i="18"/>
  <c r="M20" i="18"/>
  <c r="M19" i="18"/>
  <c r="M18" i="18"/>
  <c r="N18" i="20" s="1"/>
  <c r="Q18" i="20" s="1"/>
  <c r="M17" i="18"/>
  <c r="N17" i="20" s="1"/>
  <c r="N16" i="20"/>
  <c r="Q16" i="20" s="1"/>
  <c r="M15" i="18"/>
  <c r="M14" i="18"/>
  <c r="N14" i="20" s="1"/>
  <c r="Q14" i="20" s="1"/>
  <c r="M13" i="18"/>
  <c r="N11" i="20"/>
  <c r="Q11" i="20" s="1"/>
  <c r="M10" i="18"/>
  <c r="N10" i="20" s="1"/>
  <c r="Q10" i="20" s="1"/>
  <c r="J21" i="18"/>
  <c r="J20" i="18"/>
  <c r="J20" i="20" s="1"/>
  <c r="M20" i="20" s="1"/>
  <c r="J19" i="18"/>
  <c r="J13" i="20"/>
  <c r="J12" i="18"/>
  <c r="J11" i="20"/>
  <c r="M11" i="20" s="1"/>
  <c r="J10" i="18"/>
  <c r="J10" i="20" s="1"/>
  <c r="M10" i="20" s="1"/>
  <c r="G21" i="18"/>
  <c r="F21" i="20" s="1"/>
  <c r="I21" i="20" s="1"/>
  <c r="G20" i="18"/>
  <c r="F20" i="20" s="1"/>
  <c r="G19" i="18"/>
  <c r="F19" i="20" s="1"/>
  <c r="G18" i="18"/>
  <c r="F16" i="20"/>
  <c r="I16" i="20" s="1"/>
  <c r="F14" i="20"/>
  <c r="F12" i="20"/>
  <c r="G10" i="18"/>
  <c r="F10" i="20" s="1"/>
  <c r="W8" i="20" s="1"/>
  <c r="V32" i="18"/>
  <c r="AA187" i="17"/>
  <c r="Q76" i="17"/>
  <c r="C38" i="17"/>
  <c r="C35" i="17"/>
  <c r="C33" i="17"/>
  <c r="M28" i="17"/>
  <c r="L28" i="17"/>
  <c r="I28" i="17"/>
  <c r="G28" i="17"/>
  <c r="L27" i="17"/>
  <c r="I27" i="17"/>
  <c r="G27" i="17"/>
  <c r="F27" i="17"/>
  <c r="M26" i="17"/>
  <c r="L26" i="17"/>
  <c r="J26" i="17"/>
  <c r="I26" i="17"/>
  <c r="G26" i="17"/>
  <c r="M25" i="17"/>
  <c r="L25" i="17"/>
  <c r="J25" i="17"/>
  <c r="I25" i="17"/>
  <c r="F25" i="17"/>
  <c r="M24" i="17"/>
  <c r="L24" i="17"/>
  <c r="J24" i="17"/>
  <c r="I24" i="17"/>
  <c r="F24" i="17"/>
  <c r="M23" i="17"/>
  <c r="L23" i="17"/>
  <c r="J23" i="17"/>
  <c r="I23" i="17"/>
  <c r="G23" i="17"/>
  <c r="F23" i="17"/>
  <c r="R21" i="17"/>
  <c r="O21" i="17"/>
  <c r="O6" i="5" s="1"/>
  <c r="N21" i="17"/>
  <c r="K21" i="17"/>
  <c r="H21" i="17"/>
  <c r="R20" i="17"/>
  <c r="O20" i="17"/>
  <c r="N6" i="5" s="1"/>
  <c r="N20" i="17"/>
  <c r="K20" i="17"/>
  <c r="H20" i="17"/>
  <c r="R19" i="17"/>
  <c r="O19" i="17"/>
  <c r="N19" i="17"/>
  <c r="K19" i="17"/>
  <c r="H19" i="17"/>
  <c r="R18" i="17"/>
  <c r="O18" i="17"/>
  <c r="N18" i="17"/>
  <c r="K18" i="17"/>
  <c r="H18" i="17"/>
  <c r="R17" i="17"/>
  <c r="O17" i="17"/>
  <c r="N17" i="17"/>
  <c r="K17" i="17"/>
  <c r="H17" i="17"/>
  <c r="R16" i="17"/>
  <c r="J6" i="5"/>
  <c r="N16" i="17"/>
  <c r="K16" i="17"/>
  <c r="H16" i="17"/>
  <c r="R15" i="17"/>
  <c r="O15" i="17"/>
  <c r="N15" i="17"/>
  <c r="K15" i="17"/>
  <c r="H15" i="17"/>
  <c r="R14" i="17"/>
  <c r="O14" i="17"/>
  <c r="H6" i="5" s="1"/>
  <c r="N14" i="17"/>
  <c r="K14" i="17"/>
  <c r="H14" i="17"/>
  <c r="O13" i="17"/>
  <c r="N13" i="17"/>
  <c r="K13" i="17"/>
  <c r="H13" i="17"/>
  <c r="O12" i="17"/>
  <c r="F6" i="5" s="1"/>
  <c r="N12" i="17"/>
  <c r="K12" i="17"/>
  <c r="H12" i="17"/>
  <c r="O11" i="17"/>
  <c r="N11" i="17"/>
  <c r="K11" i="17"/>
  <c r="H11" i="17"/>
  <c r="O10" i="17"/>
  <c r="N10" i="17"/>
  <c r="K10" i="17"/>
  <c r="H10" i="17"/>
  <c r="K30" i="17" l="1"/>
  <c r="J30" i="18"/>
  <c r="K30" i="18"/>
  <c r="L6" i="5"/>
  <c r="O30" i="17"/>
  <c r="P30" i="17"/>
  <c r="J19" i="20"/>
  <c r="M19" i="20" s="1"/>
  <c r="F18" i="20"/>
  <c r="K6" i="5"/>
  <c r="N26" i="17"/>
  <c r="N19" i="20"/>
  <c r="R16" i="19"/>
  <c r="N26" i="19"/>
  <c r="K28" i="18"/>
  <c r="M6" i="5"/>
  <c r="I6" i="5"/>
  <c r="N15" i="20"/>
  <c r="Q15" i="20" s="1"/>
  <c r="F17" i="20"/>
  <c r="F26" i="20" s="1"/>
  <c r="J26" i="19"/>
  <c r="P18" i="19"/>
  <c r="O24" i="17"/>
  <c r="P24" i="17"/>
  <c r="E6" i="5"/>
  <c r="P25" i="17"/>
  <c r="G6" i="5"/>
  <c r="M27" i="19"/>
  <c r="P16" i="19"/>
  <c r="P14" i="19"/>
  <c r="J27" i="19"/>
  <c r="D6" i="5"/>
  <c r="P23" i="17"/>
  <c r="H24" i="18"/>
  <c r="O17" i="18"/>
  <c r="N13" i="20"/>
  <c r="N24" i="18"/>
  <c r="J24" i="19"/>
  <c r="P21" i="19"/>
  <c r="P19" i="19"/>
  <c r="G27" i="20"/>
  <c r="G24" i="19"/>
  <c r="P17" i="19"/>
  <c r="S18" i="19"/>
  <c r="M24" i="19"/>
  <c r="S16" i="19"/>
  <c r="S17" i="19"/>
  <c r="P20" i="19"/>
  <c r="N24" i="19"/>
  <c r="P15" i="19"/>
  <c r="S21" i="19"/>
  <c r="R14" i="19"/>
  <c r="M30" i="19"/>
  <c r="P12" i="19"/>
  <c r="S12" i="19"/>
  <c r="I10" i="20"/>
  <c r="U10" i="20" s="1"/>
  <c r="P11" i="19"/>
  <c r="R6" i="19" s="1"/>
  <c r="G23" i="19"/>
  <c r="M25" i="19"/>
  <c r="P10" i="19"/>
  <c r="Q12" i="17"/>
  <c r="S23" i="20"/>
  <c r="G25" i="19"/>
  <c r="G26" i="19"/>
  <c r="R20" i="19"/>
  <c r="G30" i="19"/>
  <c r="Q16" i="17"/>
  <c r="Q20" i="17"/>
  <c r="P13" i="19"/>
  <c r="I16" i="18"/>
  <c r="J31" i="19"/>
  <c r="O21" i="18"/>
  <c r="O30" i="18" s="1"/>
  <c r="N21" i="20"/>
  <c r="Q21" i="20" s="1"/>
  <c r="F27" i="20"/>
  <c r="Q19" i="20"/>
  <c r="M13" i="20"/>
  <c r="L14" i="18"/>
  <c r="J14" i="20"/>
  <c r="N26" i="20"/>
  <c r="L12" i="18"/>
  <c r="J12" i="20"/>
  <c r="J16" i="20"/>
  <c r="R16" i="20" s="1"/>
  <c r="I11" i="18"/>
  <c r="F11" i="20"/>
  <c r="N23" i="20"/>
  <c r="F13" i="20"/>
  <c r="I14" i="20"/>
  <c r="S13" i="19"/>
  <c r="J23" i="19"/>
  <c r="P12" i="18"/>
  <c r="O23" i="20"/>
  <c r="I12" i="20"/>
  <c r="L21" i="18"/>
  <c r="J21" i="20"/>
  <c r="L27" i="20" s="1"/>
  <c r="J25" i="19"/>
  <c r="H24" i="17"/>
  <c r="H28" i="17"/>
  <c r="M26" i="19"/>
  <c r="O14" i="18"/>
  <c r="I15" i="18"/>
  <c r="F15" i="20"/>
  <c r="J28" i="19"/>
  <c r="L18" i="18"/>
  <c r="J18" i="20"/>
  <c r="M18" i="20" s="1"/>
  <c r="H27" i="20"/>
  <c r="O12" i="18"/>
  <c r="P23" i="20"/>
  <c r="O20" i="18"/>
  <c r="N20" i="20"/>
  <c r="R20" i="20" s="1"/>
  <c r="L15" i="18"/>
  <c r="J15" i="20"/>
  <c r="M15" i="20" s="1"/>
  <c r="P17" i="18"/>
  <c r="J17" i="20"/>
  <c r="J30" i="19"/>
  <c r="O18" i="18"/>
  <c r="I18" i="20"/>
  <c r="N31" i="19"/>
  <c r="Q15" i="17"/>
  <c r="R19" i="20"/>
  <c r="I19" i="20"/>
  <c r="K27" i="17"/>
  <c r="I20" i="20"/>
  <c r="O26" i="20"/>
  <c r="Q17" i="20"/>
  <c r="Q26" i="20" s="1"/>
  <c r="R10" i="20"/>
  <c r="Q23" i="20"/>
  <c r="R11" i="19"/>
  <c r="M23" i="19"/>
  <c r="N30" i="19"/>
  <c r="O31" i="19"/>
  <c r="O30" i="19"/>
  <c r="R10" i="19"/>
  <c r="M28" i="19"/>
  <c r="G27" i="19"/>
  <c r="M31" i="19"/>
  <c r="S11" i="19"/>
  <c r="N23" i="19"/>
  <c r="O23" i="19"/>
  <c r="N25" i="19"/>
  <c r="O25" i="19"/>
  <c r="N28" i="19"/>
  <c r="O26" i="19"/>
  <c r="O28" i="19"/>
  <c r="R15" i="19"/>
  <c r="G31" i="19"/>
  <c r="O24" i="19"/>
  <c r="N27" i="19"/>
  <c r="O27" i="19"/>
  <c r="S19" i="19"/>
  <c r="G28" i="19"/>
  <c r="G23" i="18"/>
  <c r="Q11" i="17"/>
  <c r="L17" i="18"/>
  <c r="P15" i="18"/>
  <c r="N27" i="17"/>
  <c r="N24" i="17"/>
  <c r="N25" i="17"/>
  <c r="Q13" i="17"/>
  <c r="Q21" i="17"/>
  <c r="N28" i="17"/>
  <c r="N28" i="18"/>
  <c r="P18" i="18"/>
  <c r="P30" i="18" s="1"/>
  <c r="P14" i="18"/>
  <c r="K26" i="17"/>
  <c r="P27" i="17"/>
  <c r="K25" i="17"/>
  <c r="P28" i="17"/>
  <c r="K24" i="17"/>
  <c r="O25" i="17"/>
  <c r="H27" i="17"/>
  <c r="O28" i="17"/>
  <c r="O27" i="17"/>
  <c r="Q17" i="17"/>
  <c r="N26" i="18"/>
  <c r="M27" i="18"/>
  <c r="P21" i="18"/>
  <c r="P19" i="18"/>
  <c r="L19" i="18"/>
  <c r="G27" i="18"/>
  <c r="I17" i="18"/>
  <c r="H23" i="18"/>
  <c r="P10" i="18"/>
  <c r="M25" i="18"/>
  <c r="O13" i="18"/>
  <c r="K24" i="18"/>
  <c r="O11" i="18"/>
  <c r="P13" i="18"/>
  <c r="I18" i="18"/>
  <c r="L20" i="18"/>
  <c r="J23" i="18"/>
  <c r="N25" i="18"/>
  <c r="G28" i="18"/>
  <c r="P11" i="18"/>
  <c r="M24" i="18"/>
  <c r="L11" i="18"/>
  <c r="I14" i="18"/>
  <c r="I12" i="18"/>
  <c r="H27" i="18"/>
  <c r="O15" i="18"/>
  <c r="H28" i="18"/>
  <c r="H26" i="18"/>
  <c r="M28" i="18"/>
  <c r="I19" i="18"/>
  <c r="J26" i="18"/>
  <c r="K23" i="18"/>
  <c r="P20" i="18"/>
  <c r="L16" i="18"/>
  <c r="M23" i="18"/>
  <c r="J28" i="18"/>
  <c r="N23" i="18"/>
  <c r="G26" i="18"/>
  <c r="I10" i="18"/>
  <c r="P16" i="18"/>
  <c r="I21" i="18"/>
  <c r="L10" i="18"/>
  <c r="G25" i="18"/>
  <c r="H25" i="18"/>
  <c r="K26" i="18"/>
  <c r="O19" i="18"/>
  <c r="G24" i="18"/>
  <c r="I20" i="18"/>
  <c r="O10" i="18"/>
  <c r="J25" i="18"/>
  <c r="M26" i="18"/>
  <c r="K25" i="18"/>
  <c r="L13" i="18"/>
  <c r="J24" i="18"/>
  <c r="O16" i="18"/>
  <c r="I13" i="18"/>
  <c r="Q14" i="17"/>
  <c r="H26" i="17"/>
  <c r="H23" i="17"/>
  <c r="K28" i="17"/>
  <c r="K23" i="17"/>
  <c r="O26" i="17"/>
  <c r="Q19" i="17"/>
  <c r="H25" i="17"/>
  <c r="P26" i="17"/>
  <c r="N23" i="17"/>
  <c r="Q10" i="17"/>
  <c r="Q18" i="17"/>
  <c r="Q30" i="17" s="1"/>
  <c r="O23" i="17"/>
  <c r="I30" i="18" l="1"/>
  <c r="L30" i="18"/>
  <c r="L27" i="18"/>
  <c r="H28" i="20"/>
  <c r="G26" i="20"/>
  <c r="H26" i="20"/>
  <c r="I17" i="20"/>
  <c r="I28" i="20" s="1"/>
  <c r="F28" i="20"/>
  <c r="G28" i="20"/>
  <c r="R17" i="20"/>
  <c r="N30" i="20"/>
  <c r="P24" i="20"/>
  <c r="P26" i="19"/>
  <c r="P24" i="19"/>
  <c r="P30" i="20"/>
  <c r="N31" i="20"/>
  <c r="N25" i="20"/>
  <c r="P32" i="20"/>
  <c r="P31" i="20"/>
  <c r="O32" i="20"/>
  <c r="N24" i="20"/>
  <c r="N32" i="20"/>
  <c r="Q13" i="20"/>
  <c r="Q25" i="20" s="1"/>
  <c r="P25" i="20"/>
  <c r="U18" i="20"/>
  <c r="P30" i="19"/>
  <c r="P23" i="19"/>
  <c r="P25" i="19"/>
  <c r="F24" i="20"/>
  <c r="P33" i="20"/>
  <c r="P27" i="20"/>
  <c r="R21" i="18"/>
  <c r="O27" i="20"/>
  <c r="R21" i="20"/>
  <c r="R27" i="20" s="1"/>
  <c r="P31" i="19"/>
  <c r="R18" i="18"/>
  <c r="Q18" i="18" s="1"/>
  <c r="R18" i="20"/>
  <c r="M12" i="20"/>
  <c r="U12" i="20" s="1"/>
  <c r="J30" i="20"/>
  <c r="J32" i="20"/>
  <c r="K32" i="20"/>
  <c r="R14" i="18"/>
  <c r="K33" i="20"/>
  <c r="N28" i="20"/>
  <c r="M21" i="20"/>
  <c r="K27" i="20"/>
  <c r="J27" i="20"/>
  <c r="I11" i="20"/>
  <c r="F23" i="20"/>
  <c r="G33" i="20"/>
  <c r="F31" i="20"/>
  <c r="F25" i="20"/>
  <c r="H25" i="20"/>
  <c r="H30" i="20"/>
  <c r="G25" i="20"/>
  <c r="G32" i="20"/>
  <c r="F33" i="20"/>
  <c r="H31" i="20"/>
  <c r="R11" i="20"/>
  <c r="F32" i="20"/>
  <c r="H23" i="20"/>
  <c r="G23" i="20"/>
  <c r="H33" i="20"/>
  <c r="F30" i="20"/>
  <c r="H32" i="20"/>
  <c r="K25" i="20"/>
  <c r="J33" i="20"/>
  <c r="L30" i="20"/>
  <c r="J25" i="20"/>
  <c r="K23" i="20"/>
  <c r="R15" i="18"/>
  <c r="Q20" i="20"/>
  <c r="S27" i="20" s="1"/>
  <c r="N27" i="20"/>
  <c r="U19" i="20"/>
  <c r="I27" i="20"/>
  <c r="N33" i="20"/>
  <c r="Q24" i="17"/>
  <c r="J28" i="20"/>
  <c r="M17" i="20"/>
  <c r="R12" i="20"/>
  <c r="M16" i="20"/>
  <c r="L26" i="20"/>
  <c r="J26" i="20"/>
  <c r="K26" i="20"/>
  <c r="L28" i="20"/>
  <c r="K28" i="20"/>
  <c r="I15" i="20"/>
  <c r="U15" i="20" s="1"/>
  <c r="R15" i="20"/>
  <c r="L31" i="20"/>
  <c r="M14" i="20"/>
  <c r="O24" i="20" s="1"/>
  <c r="R14" i="20"/>
  <c r="K24" i="20"/>
  <c r="J24" i="20"/>
  <c r="L25" i="20"/>
  <c r="R12" i="18"/>
  <c r="Q12" i="18" s="1"/>
  <c r="J31" i="20"/>
  <c r="L32" i="20"/>
  <c r="L33" i="20"/>
  <c r="O28" i="20"/>
  <c r="L24" i="20"/>
  <c r="L23" i="20"/>
  <c r="I13" i="20"/>
  <c r="R13" i="20"/>
  <c r="H24" i="20"/>
  <c r="G24" i="20"/>
  <c r="O33" i="20"/>
  <c r="J23" i="20"/>
  <c r="P27" i="19"/>
  <c r="P28" i="19"/>
  <c r="R17" i="18"/>
  <c r="R11" i="18"/>
  <c r="Q11" i="18" s="1"/>
  <c r="Q27" i="17"/>
  <c r="P27" i="18"/>
  <c r="Q28" i="17"/>
  <c r="I26" i="18"/>
  <c r="R10" i="18"/>
  <c r="I25" i="18"/>
  <c r="I23" i="18"/>
  <c r="R20" i="18"/>
  <c r="Q20" i="18" s="1"/>
  <c r="O27" i="18"/>
  <c r="R13" i="18"/>
  <c r="Q13" i="18" s="1"/>
  <c r="I24" i="18"/>
  <c r="I27" i="18"/>
  <c r="R19" i="18"/>
  <c r="J27" i="18"/>
  <c r="L25" i="18"/>
  <c r="L23" i="18"/>
  <c r="P26" i="18"/>
  <c r="P28" i="18"/>
  <c r="P25" i="18"/>
  <c r="P23" i="18"/>
  <c r="O24" i="18"/>
  <c r="O28" i="18"/>
  <c r="O26" i="18"/>
  <c r="R16" i="18"/>
  <c r="L24" i="18"/>
  <c r="I28" i="18"/>
  <c r="O23" i="18"/>
  <c r="O25" i="18"/>
  <c r="P24" i="18"/>
  <c r="L26" i="18"/>
  <c r="L28" i="18"/>
  <c r="Q23" i="17"/>
  <c r="Q25" i="17"/>
  <c r="Q26" i="17"/>
  <c r="R30" i="18" l="1"/>
  <c r="Q19" i="18"/>
  <c r="Q17" i="18"/>
  <c r="I26" i="20"/>
  <c r="U17" i="20"/>
  <c r="S26" i="20"/>
  <c r="Q14" i="18"/>
  <c r="T14" i="20" s="1"/>
  <c r="Q31" i="20"/>
  <c r="Q10" i="18"/>
  <c r="T20" i="20"/>
  <c r="N13" i="5"/>
  <c r="T18" i="20"/>
  <c r="L13" i="5"/>
  <c r="T21" i="20"/>
  <c r="O13" i="5"/>
  <c r="Q23" i="18"/>
  <c r="U14" i="20"/>
  <c r="W18" i="20" s="1"/>
  <c r="S24" i="20"/>
  <c r="Q24" i="20"/>
  <c r="Q30" i="20"/>
  <c r="Q32" i="20"/>
  <c r="R28" i="20"/>
  <c r="U20" i="20"/>
  <c r="T12" i="20"/>
  <c r="F13" i="5"/>
  <c r="T11" i="20"/>
  <c r="E13" i="5"/>
  <c r="R26" i="20"/>
  <c r="M24" i="20"/>
  <c r="S33" i="20"/>
  <c r="S32" i="20"/>
  <c r="R25" i="20"/>
  <c r="R32" i="20"/>
  <c r="R30" i="20"/>
  <c r="R33" i="20"/>
  <c r="N34" i="20"/>
  <c r="R23" i="20"/>
  <c r="R24" i="20"/>
  <c r="M27" i="20"/>
  <c r="U21" i="20"/>
  <c r="U13" i="20"/>
  <c r="I24" i="20"/>
  <c r="M28" i="20"/>
  <c r="M26" i="20"/>
  <c r="U16" i="20"/>
  <c r="U11" i="20"/>
  <c r="I23" i="20"/>
  <c r="I31" i="20"/>
  <c r="I32" i="20"/>
  <c r="I33" i="20"/>
  <c r="I30" i="20"/>
  <c r="I25" i="20"/>
  <c r="M25" i="20"/>
  <c r="M31" i="20"/>
  <c r="M30" i="20"/>
  <c r="O25" i="20"/>
  <c r="M33" i="20"/>
  <c r="M23" i="20"/>
  <c r="M32" i="20"/>
  <c r="S28" i="20"/>
  <c r="Q33" i="20"/>
  <c r="Q27" i="20"/>
  <c r="Q28" i="20"/>
  <c r="R24" i="18"/>
  <c r="M13" i="5"/>
  <c r="R27" i="18"/>
  <c r="R28" i="18"/>
  <c r="Q16" i="18"/>
  <c r="R26" i="18"/>
  <c r="R23" i="18"/>
  <c r="R25" i="18"/>
  <c r="Q27" i="18" l="1"/>
  <c r="Q30" i="18"/>
  <c r="K13" i="5"/>
  <c r="T17" i="20"/>
  <c r="Q28" i="18"/>
  <c r="Q26" i="18"/>
  <c r="H13" i="5"/>
  <c r="T16" i="20"/>
  <c r="J13" i="5"/>
  <c r="T15" i="20"/>
  <c r="I13" i="5"/>
  <c r="Q24" i="18"/>
  <c r="U24" i="20"/>
  <c r="G13" i="5"/>
  <c r="Q25" i="18"/>
  <c r="U27" i="20"/>
  <c r="D13" i="5"/>
  <c r="T19" i="20"/>
  <c r="T27" i="20" s="1"/>
  <c r="U26" i="20"/>
  <c r="U28" i="20"/>
  <c r="T13" i="20"/>
  <c r="U25" i="20"/>
  <c r="U33" i="20"/>
  <c r="U23" i="20"/>
  <c r="U32" i="20"/>
  <c r="U31" i="20"/>
  <c r="U30" i="20"/>
  <c r="T10" i="20"/>
  <c r="T28" i="20" l="1"/>
  <c r="T26" i="20"/>
  <c r="T24" i="20"/>
  <c r="T33" i="20"/>
  <c r="T32" i="20"/>
  <c r="T25" i="20"/>
  <c r="T31" i="20"/>
  <c r="U34" i="20"/>
  <c r="P34" i="20"/>
  <c r="T30" i="20"/>
  <c r="T23" i="20"/>
  <c r="W10" i="20"/>
  <c r="AA189" i="14" l="1"/>
  <c r="Q78" i="14"/>
  <c r="C37" i="14"/>
  <c r="F37" i="14"/>
  <c r="G37" i="14"/>
  <c r="H37" i="14"/>
  <c r="H50" i="14" s="1"/>
  <c r="J37" i="14"/>
  <c r="K37" i="14"/>
  <c r="L37" i="14"/>
  <c r="M37" i="14"/>
  <c r="F38" i="14"/>
  <c r="M38" i="14" s="1"/>
  <c r="G38" i="14"/>
  <c r="H38" i="14"/>
  <c r="I38" i="14"/>
  <c r="J38" i="14"/>
  <c r="K38" i="14"/>
  <c r="L38" i="14"/>
  <c r="F39" i="14"/>
  <c r="G39" i="14"/>
  <c r="H39" i="14"/>
  <c r="I39" i="14"/>
  <c r="J39" i="14"/>
  <c r="K39" i="14"/>
  <c r="L39" i="14"/>
  <c r="M39" i="14"/>
  <c r="Q39" i="14"/>
  <c r="C40" i="14"/>
  <c r="F40" i="14"/>
  <c r="M40" i="14" s="1"/>
  <c r="G40" i="14"/>
  <c r="H40" i="14"/>
  <c r="I40" i="14"/>
  <c r="J40" i="14"/>
  <c r="K40" i="14"/>
  <c r="L40" i="14"/>
  <c r="F41" i="14"/>
  <c r="G41" i="14"/>
  <c r="H41" i="14"/>
  <c r="I41" i="14"/>
  <c r="J41" i="14"/>
  <c r="K41" i="14"/>
  <c r="L41" i="14"/>
  <c r="M41" i="14"/>
  <c r="Q41" i="14"/>
  <c r="F42" i="14"/>
  <c r="M42" i="14" s="1"/>
  <c r="G42" i="14"/>
  <c r="H42" i="14"/>
  <c r="I42" i="14"/>
  <c r="J42" i="14"/>
  <c r="K42" i="14"/>
  <c r="L42" i="14"/>
  <c r="F43" i="14"/>
  <c r="I43" i="14" s="1"/>
  <c r="Q43" i="14" s="1"/>
  <c r="G43" i="14"/>
  <c r="H43" i="14"/>
  <c r="J43" i="14"/>
  <c r="K43" i="14"/>
  <c r="L43" i="14"/>
  <c r="O43" i="14"/>
  <c r="F44" i="14"/>
  <c r="Q44" i="14" s="1"/>
  <c r="G44" i="14"/>
  <c r="H44" i="14"/>
  <c r="I44" i="14"/>
  <c r="J44" i="14"/>
  <c r="K44" i="14"/>
  <c r="L44" i="14"/>
  <c r="M44" i="14"/>
  <c r="F45" i="14"/>
  <c r="I45" i="14" s="1"/>
  <c r="Q45" i="14" s="1"/>
  <c r="G45" i="14"/>
  <c r="H45" i="14"/>
  <c r="J45" i="14"/>
  <c r="K45" i="14"/>
  <c r="L45" i="14"/>
  <c r="M45" i="14"/>
  <c r="F46" i="14"/>
  <c r="G46" i="14"/>
  <c r="H46" i="14"/>
  <c r="I46" i="14"/>
  <c r="J46" i="14"/>
  <c r="K46" i="14"/>
  <c r="L46" i="14"/>
  <c r="M46" i="14"/>
  <c r="Q46" i="14"/>
  <c r="F47" i="14"/>
  <c r="I47" i="14" s="1"/>
  <c r="G47" i="14"/>
  <c r="H47" i="14"/>
  <c r="J47" i="14"/>
  <c r="K47" i="14"/>
  <c r="L47" i="14"/>
  <c r="F48" i="14"/>
  <c r="G48" i="14"/>
  <c r="H48" i="14"/>
  <c r="I48" i="14"/>
  <c r="J48" i="14"/>
  <c r="K48" i="14"/>
  <c r="L48" i="14"/>
  <c r="M48" i="14"/>
  <c r="Q48" i="14"/>
  <c r="V8" i="14"/>
  <c r="W12" i="14" s="1"/>
  <c r="H10" i="14"/>
  <c r="H23" i="14" s="1"/>
  <c r="K10" i="14"/>
  <c r="K23" i="14" s="1"/>
  <c r="N10" i="14"/>
  <c r="O10" i="14"/>
  <c r="S10" i="14" s="1"/>
  <c r="H11" i="14"/>
  <c r="K11" i="14"/>
  <c r="Q11" i="14" s="1"/>
  <c r="S6" i="14" s="1"/>
  <c r="N11" i="14"/>
  <c r="O11" i="14"/>
  <c r="O30" i="14" s="1"/>
  <c r="S11" i="14"/>
  <c r="T11" i="14"/>
  <c r="H12" i="14"/>
  <c r="K12" i="14"/>
  <c r="N12" i="14"/>
  <c r="N30" i="14" s="1"/>
  <c r="O12" i="14"/>
  <c r="P30" i="14" s="1"/>
  <c r="Q12" i="14"/>
  <c r="S12" i="14"/>
  <c r="T12" i="14"/>
  <c r="V12" i="14"/>
  <c r="H13" i="14"/>
  <c r="Q13" i="14" s="1"/>
  <c r="Q24" i="14" s="1"/>
  <c r="K13" i="14"/>
  <c r="N13" i="14"/>
  <c r="O13" i="14"/>
  <c r="S13" i="14"/>
  <c r="T13" i="14"/>
  <c r="H14" i="14"/>
  <c r="K14" i="14"/>
  <c r="N14" i="14"/>
  <c r="O14" i="14"/>
  <c r="P24" i="14" s="1"/>
  <c r="Q14" i="14"/>
  <c r="R14" i="14"/>
  <c r="S14" i="14"/>
  <c r="T14" i="14"/>
  <c r="H15" i="14"/>
  <c r="Q15" i="14" s="1"/>
  <c r="K15" i="14"/>
  <c r="K24" i="14" s="1"/>
  <c r="N15" i="14"/>
  <c r="N35" i="14" s="1"/>
  <c r="O15" i="14"/>
  <c r="S15" i="14" s="1"/>
  <c r="R15" i="14"/>
  <c r="H16" i="14"/>
  <c r="K16" i="14"/>
  <c r="K26" i="14" s="1"/>
  <c r="N16" i="14"/>
  <c r="N26" i="14" s="1"/>
  <c r="O16" i="14"/>
  <c r="O28" i="14" s="1"/>
  <c r="Q16" i="14"/>
  <c r="Q26" i="14" s="1"/>
  <c r="R16" i="14"/>
  <c r="S16" i="14"/>
  <c r="T16" i="14"/>
  <c r="H17" i="14"/>
  <c r="H28" i="14" s="1"/>
  <c r="K17" i="14"/>
  <c r="N17" i="14"/>
  <c r="O17" i="14"/>
  <c r="S17" i="14" s="1"/>
  <c r="Q17" i="14"/>
  <c r="R17" i="14"/>
  <c r="H18" i="14"/>
  <c r="K18" i="14"/>
  <c r="N18" i="14"/>
  <c r="O18" i="14"/>
  <c r="Q18" i="14"/>
  <c r="R18" i="14"/>
  <c r="S18" i="14"/>
  <c r="T18" i="14"/>
  <c r="AA18" i="14"/>
  <c r="H19" i="14"/>
  <c r="H27" i="14" s="1"/>
  <c r="K19" i="14"/>
  <c r="K27" i="14" s="1"/>
  <c r="N19" i="14"/>
  <c r="O19" i="14"/>
  <c r="T19" i="14" s="1"/>
  <c r="Q19" i="14"/>
  <c r="R19" i="14"/>
  <c r="S19" i="14"/>
  <c r="H20" i="14"/>
  <c r="Q20" i="14" s="1"/>
  <c r="Q27" i="14" s="1"/>
  <c r="K20" i="14"/>
  <c r="N20" i="14"/>
  <c r="O20" i="14"/>
  <c r="R20" i="14"/>
  <c r="S20" i="14"/>
  <c r="T20" i="14"/>
  <c r="AA20" i="14"/>
  <c r="H21" i="14"/>
  <c r="K21" i="14"/>
  <c r="N21" i="14"/>
  <c r="O21" i="14"/>
  <c r="Q21" i="14"/>
  <c r="R21" i="14"/>
  <c r="S21" i="14"/>
  <c r="T21" i="14"/>
  <c r="F23" i="14"/>
  <c r="G23" i="14"/>
  <c r="I23" i="14"/>
  <c r="J23" i="14"/>
  <c r="L23" i="14"/>
  <c r="M23" i="14"/>
  <c r="F24" i="14"/>
  <c r="G24" i="14"/>
  <c r="I24" i="14"/>
  <c r="J24" i="14"/>
  <c r="L24" i="14"/>
  <c r="M24" i="14"/>
  <c r="O24" i="14"/>
  <c r="AA24" i="14"/>
  <c r="F25" i="14"/>
  <c r="G25" i="14"/>
  <c r="I25" i="14"/>
  <c r="J25" i="14"/>
  <c r="L25" i="14"/>
  <c r="M25" i="14"/>
  <c r="F26" i="14"/>
  <c r="G26" i="14"/>
  <c r="H26" i="14"/>
  <c r="I26" i="14"/>
  <c r="J26" i="14"/>
  <c r="L26" i="14"/>
  <c r="M26" i="14"/>
  <c r="F27" i="14"/>
  <c r="G27" i="14"/>
  <c r="I27" i="14"/>
  <c r="J27" i="14"/>
  <c r="L27" i="14"/>
  <c r="M27" i="14"/>
  <c r="N27" i="14"/>
  <c r="O27" i="14"/>
  <c r="P27" i="14"/>
  <c r="F28" i="14"/>
  <c r="G28" i="14"/>
  <c r="I28" i="14"/>
  <c r="J28" i="14"/>
  <c r="L28" i="14"/>
  <c r="M28" i="14"/>
  <c r="S29" i="14"/>
  <c r="F30" i="14"/>
  <c r="G30" i="14"/>
  <c r="I30" i="14"/>
  <c r="J30" i="14"/>
  <c r="L30" i="14"/>
  <c r="M30" i="14"/>
  <c r="F31" i="14"/>
  <c r="G31" i="14"/>
  <c r="I31" i="14"/>
  <c r="J31" i="14"/>
  <c r="L31" i="14"/>
  <c r="M31" i="14"/>
  <c r="J33" i="14"/>
  <c r="P33" i="14"/>
  <c r="G34" i="14"/>
  <c r="J34" i="14"/>
  <c r="Q34" i="14"/>
  <c r="U34" i="14"/>
  <c r="F35" i="14"/>
  <c r="G35" i="14"/>
  <c r="I35" i="14"/>
  <c r="J35" i="14"/>
  <c r="L35" i="14"/>
  <c r="M35" i="14"/>
  <c r="P35" i="14"/>
  <c r="P31" i="14" l="1"/>
  <c r="Q28" i="14"/>
  <c r="K31" i="14"/>
  <c r="P28" i="14"/>
  <c r="M43" i="14"/>
  <c r="P25" i="14"/>
  <c r="H35" i="14"/>
  <c r="P23" i="14"/>
  <c r="N28" i="14"/>
  <c r="O23" i="14"/>
  <c r="M33" i="14" s="1"/>
  <c r="Q47" i="14"/>
  <c r="I37" i="14"/>
  <c r="M47" i="14"/>
  <c r="O25" i="14"/>
  <c r="H25" i="14"/>
  <c r="V15" i="14"/>
  <c r="K30" i="14"/>
  <c r="K25" i="14"/>
  <c r="H31" i="14"/>
  <c r="N23" i="14"/>
  <c r="W15" i="14"/>
  <c r="P26" i="14"/>
  <c r="K28" i="14"/>
  <c r="O26" i="14"/>
  <c r="T15" i="14"/>
  <c r="T10" i="14"/>
  <c r="H30" i="14"/>
  <c r="K35" i="14"/>
  <c r="AA17" i="14"/>
  <c r="N25" i="14"/>
  <c r="Q38" i="14"/>
  <c r="O35" i="14"/>
  <c r="H24" i="14"/>
  <c r="T17" i="14"/>
  <c r="Q10" i="14"/>
  <c r="Q40" i="14"/>
  <c r="X12" i="14"/>
  <c r="Q42" i="14"/>
  <c r="N24" i="14"/>
  <c r="O31" i="14"/>
  <c r="N31" i="14"/>
  <c r="O38" i="14" l="1"/>
  <c r="O40" i="14"/>
  <c r="O34" i="14"/>
  <c r="O33" i="14"/>
  <c r="C35" i="14" s="1"/>
  <c r="P41" i="14"/>
  <c r="Q35" i="14"/>
  <c r="Q30" i="14"/>
  <c r="Q31" i="14"/>
  <c r="S34" i="14" s="1"/>
  <c r="Q25" i="14"/>
  <c r="Q23" i="14"/>
  <c r="Q37" i="14"/>
  <c r="O50" i="14" s="1"/>
  <c r="O51" i="14" l="1"/>
  <c r="B27" i="11" l="1"/>
  <c r="B26" i="11"/>
  <c r="B18" i="11"/>
  <c r="B19" i="11"/>
  <c r="B20" i="11"/>
  <c r="B21" i="11"/>
  <c r="B22" i="11"/>
  <c r="B17" i="11"/>
  <c r="K5" i="11"/>
  <c r="K6" i="11"/>
  <c r="K7" i="11"/>
  <c r="K8" i="11"/>
  <c r="K9" i="11"/>
  <c r="K10" i="11"/>
  <c r="K11" i="11"/>
  <c r="K12" i="11"/>
  <c r="K13" i="11"/>
  <c r="K14" i="11"/>
  <c r="K15" i="11"/>
  <c r="K4" i="11"/>
  <c r="G5" i="11"/>
  <c r="G6" i="11"/>
  <c r="G7" i="11"/>
  <c r="G8" i="11"/>
  <c r="G9" i="11"/>
  <c r="G10" i="11"/>
  <c r="G11" i="11"/>
  <c r="G12" i="11"/>
  <c r="J12" i="11" s="1"/>
  <c r="G13" i="11"/>
  <c r="G14" i="11"/>
  <c r="G15" i="11"/>
  <c r="G4" i="11"/>
  <c r="C5" i="11"/>
  <c r="C6" i="11"/>
  <c r="C7" i="11"/>
  <c r="C8" i="11"/>
  <c r="C9" i="11"/>
  <c r="C10" i="11"/>
  <c r="C11" i="11"/>
  <c r="C12" i="11"/>
  <c r="C13" i="11"/>
  <c r="C14" i="11"/>
  <c r="C15" i="11"/>
  <c r="C4" i="11"/>
  <c r="O41" i="11"/>
  <c r="N41" i="11"/>
  <c r="M41" i="11"/>
  <c r="J41" i="11"/>
  <c r="I41" i="11"/>
  <c r="H41" i="11"/>
  <c r="O40" i="11"/>
  <c r="N40" i="11"/>
  <c r="M40" i="11"/>
  <c r="J40" i="11"/>
  <c r="I40" i="11"/>
  <c r="H40" i="11"/>
  <c r="O39" i="11"/>
  <c r="N39" i="11"/>
  <c r="M39" i="11"/>
  <c r="J39" i="11"/>
  <c r="I39" i="11"/>
  <c r="H39" i="11"/>
  <c r="O38" i="11"/>
  <c r="N38" i="11"/>
  <c r="M38" i="11"/>
  <c r="J38" i="11"/>
  <c r="I38" i="11"/>
  <c r="H38" i="11"/>
  <c r="O37" i="11"/>
  <c r="N37" i="11"/>
  <c r="M37" i="11"/>
  <c r="J37" i="11"/>
  <c r="I37" i="11"/>
  <c r="H37" i="11"/>
  <c r="O36" i="11"/>
  <c r="N36" i="11"/>
  <c r="M36" i="11"/>
  <c r="J36" i="11"/>
  <c r="I36" i="11"/>
  <c r="H36" i="11"/>
  <c r="O35" i="11"/>
  <c r="N35" i="11"/>
  <c r="M35" i="11"/>
  <c r="J35" i="11"/>
  <c r="I35" i="11"/>
  <c r="H35" i="11"/>
  <c r="O34" i="11"/>
  <c r="N34" i="11"/>
  <c r="M34" i="11"/>
  <c r="J34" i="11"/>
  <c r="I34" i="11"/>
  <c r="H34" i="11"/>
  <c r="O33" i="11"/>
  <c r="N33" i="11"/>
  <c r="M33" i="11"/>
  <c r="J33" i="11"/>
  <c r="I33" i="11"/>
  <c r="H33" i="11"/>
  <c r="O32" i="11"/>
  <c r="N32" i="11"/>
  <c r="M32" i="11"/>
  <c r="J32" i="11"/>
  <c r="I32" i="11"/>
  <c r="H32" i="11"/>
  <c r="O31" i="11"/>
  <c r="N31" i="11"/>
  <c r="M31" i="11"/>
  <c r="J31" i="11"/>
  <c r="I31" i="11"/>
  <c r="H31" i="11"/>
  <c r="O30" i="11"/>
  <c r="N30" i="11"/>
  <c r="M30" i="11"/>
  <c r="J30" i="11"/>
  <c r="I30" i="11"/>
  <c r="H30" i="11"/>
  <c r="O25" i="11"/>
  <c r="M22" i="11"/>
  <c r="M20" i="11"/>
  <c r="I48" i="10"/>
  <c r="H48" i="10"/>
  <c r="G48" i="10"/>
  <c r="E48" i="10"/>
  <c r="D48" i="10"/>
  <c r="C48" i="10"/>
  <c r="I47" i="10"/>
  <c r="H47" i="10"/>
  <c r="G47" i="10"/>
  <c r="E47" i="10"/>
  <c r="D47" i="10"/>
  <c r="C47" i="10"/>
  <c r="I46" i="10"/>
  <c r="H46" i="10"/>
  <c r="G46" i="10"/>
  <c r="E46" i="10"/>
  <c r="D46" i="10"/>
  <c r="C46" i="10"/>
  <c r="I45" i="10"/>
  <c r="H45" i="10"/>
  <c r="G45" i="10"/>
  <c r="E45" i="10"/>
  <c r="D45" i="10"/>
  <c r="C45" i="10"/>
  <c r="I44" i="10"/>
  <c r="H44" i="10"/>
  <c r="G44" i="10"/>
  <c r="E44" i="10"/>
  <c r="D44" i="10"/>
  <c r="C44" i="10"/>
  <c r="L43" i="10"/>
  <c r="I43" i="10"/>
  <c r="H43" i="10"/>
  <c r="G43" i="10"/>
  <c r="E43" i="10"/>
  <c r="D43" i="10"/>
  <c r="C43" i="10"/>
  <c r="I42" i="10"/>
  <c r="H42" i="10"/>
  <c r="G42" i="10"/>
  <c r="E42" i="10"/>
  <c r="D42" i="10"/>
  <c r="C42" i="10"/>
  <c r="I41" i="10"/>
  <c r="H41" i="10"/>
  <c r="G41" i="10"/>
  <c r="E41" i="10"/>
  <c r="D41" i="10"/>
  <c r="C41" i="10"/>
  <c r="I40" i="10"/>
  <c r="H40" i="10"/>
  <c r="G40" i="10"/>
  <c r="E40" i="10"/>
  <c r="D40" i="10"/>
  <c r="C40" i="10"/>
  <c r="A40" i="10"/>
  <c r="I39" i="10"/>
  <c r="H39" i="10"/>
  <c r="G39" i="10"/>
  <c r="E39" i="10"/>
  <c r="D39" i="10"/>
  <c r="C39" i="10"/>
  <c r="I38" i="10"/>
  <c r="H38" i="10"/>
  <c r="G38" i="10"/>
  <c r="E38" i="10"/>
  <c r="D38" i="10"/>
  <c r="C38" i="10"/>
  <c r="I37" i="10"/>
  <c r="H37" i="10"/>
  <c r="G37" i="10"/>
  <c r="E37" i="10"/>
  <c r="D37" i="10"/>
  <c r="C37" i="10"/>
  <c r="A37" i="10"/>
  <c r="J35" i="10"/>
  <c r="I35" i="10"/>
  <c r="G35" i="10"/>
  <c r="F35" i="10"/>
  <c r="D35" i="10"/>
  <c r="C35" i="10"/>
  <c r="R34" i="10"/>
  <c r="N34" i="10"/>
  <c r="G34" i="10"/>
  <c r="D34" i="10"/>
  <c r="G33" i="10"/>
  <c r="J31" i="10"/>
  <c r="I31" i="10"/>
  <c r="G31" i="10"/>
  <c r="F31" i="10"/>
  <c r="D31" i="10"/>
  <c r="C31" i="10"/>
  <c r="J30" i="10"/>
  <c r="I30" i="10"/>
  <c r="G30" i="10"/>
  <c r="F30" i="10"/>
  <c r="D30" i="10"/>
  <c r="C30" i="10"/>
  <c r="P29" i="10"/>
  <c r="J28" i="10"/>
  <c r="I28" i="10"/>
  <c r="G28" i="10"/>
  <c r="F28" i="10"/>
  <c r="D28" i="10"/>
  <c r="C28" i="10"/>
  <c r="J27" i="10"/>
  <c r="I27" i="10"/>
  <c r="G27" i="10"/>
  <c r="F27" i="10"/>
  <c r="D27" i="10"/>
  <c r="C27" i="10"/>
  <c r="J26" i="10"/>
  <c r="I26" i="10"/>
  <c r="G26" i="10"/>
  <c r="F26" i="10"/>
  <c r="D26" i="10"/>
  <c r="C26" i="10"/>
  <c r="J25" i="10"/>
  <c r="I25" i="10"/>
  <c r="G25" i="10"/>
  <c r="F25" i="10"/>
  <c r="D25" i="10"/>
  <c r="C25" i="10"/>
  <c r="J24" i="10"/>
  <c r="I24" i="10"/>
  <c r="G24" i="10"/>
  <c r="F24" i="10"/>
  <c r="D24" i="10"/>
  <c r="C24" i="10"/>
  <c r="J23" i="10"/>
  <c r="I23" i="10"/>
  <c r="G23" i="10"/>
  <c r="F23" i="10"/>
  <c r="D23" i="10"/>
  <c r="C23" i="10"/>
  <c r="O21" i="10"/>
  <c r="L21" i="10"/>
  <c r="K21" i="10"/>
  <c r="H21" i="10"/>
  <c r="E21" i="10"/>
  <c r="O20" i="10"/>
  <c r="L20" i="10"/>
  <c r="K20" i="10"/>
  <c r="H20" i="10"/>
  <c r="E20" i="10"/>
  <c r="O19" i="10"/>
  <c r="L19" i="10"/>
  <c r="K19" i="10"/>
  <c r="H19" i="10"/>
  <c r="E19" i="10"/>
  <c r="O18" i="10"/>
  <c r="L18" i="10"/>
  <c r="K18" i="10"/>
  <c r="H18" i="10"/>
  <c r="E18" i="10"/>
  <c r="O17" i="10"/>
  <c r="L17" i="10"/>
  <c r="K17" i="10"/>
  <c r="H17" i="10"/>
  <c r="E17" i="10"/>
  <c r="O16" i="10"/>
  <c r="L16" i="10"/>
  <c r="H16" i="10"/>
  <c r="E16" i="10"/>
  <c r="O15" i="10"/>
  <c r="L15" i="10"/>
  <c r="K15" i="10"/>
  <c r="H15" i="10"/>
  <c r="E15" i="10"/>
  <c r="O14" i="10"/>
  <c r="L14" i="10"/>
  <c r="K14" i="10"/>
  <c r="H14" i="10"/>
  <c r="E14" i="10"/>
  <c r="L13" i="10"/>
  <c r="K13" i="10"/>
  <c r="H13" i="10"/>
  <c r="E13" i="10"/>
  <c r="U12" i="10"/>
  <c r="T12" i="10"/>
  <c r="S12" i="10"/>
  <c r="L12" i="10"/>
  <c r="K12" i="10"/>
  <c r="H12" i="10"/>
  <c r="E12" i="10"/>
  <c r="L11" i="10"/>
  <c r="K11" i="10"/>
  <c r="H11" i="10"/>
  <c r="E11" i="10"/>
  <c r="L10" i="10"/>
  <c r="K10" i="10"/>
  <c r="H10" i="10"/>
  <c r="E10" i="10"/>
  <c r="S8" i="10"/>
  <c r="N14" i="10" l="1"/>
  <c r="N18" i="10"/>
  <c r="F40" i="10"/>
  <c r="F42" i="10"/>
  <c r="F44" i="10"/>
  <c r="F46" i="10"/>
  <c r="F48" i="10"/>
  <c r="E50" i="10"/>
  <c r="F45" i="10"/>
  <c r="F47" i="10"/>
  <c r="N17" i="10"/>
  <c r="K27" i="10"/>
  <c r="F37" i="10"/>
  <c r="F39" i="10"/>
  <c r="N15" i="10"/>
  <c r="N20" i="10"/>
  <c r="F41" i="10"/>
  <c r="F43" i="10"/>
  <c r="N11" i="10"/>
  <c r="P6" i="10" s="1"/>
  <c r="H24" i="10"/>
  <c r="K24" i="10"/>
  <c r="N21" i="10"/>
  <c r="F38" i="10"/>
  <c r="N12" i="10"/>
  <c r="H27" i="10"/>
  <c r="C30" i="11"/>
  <c r="C27" i="11"/>
  <c r="C26" i="11"/>
  <c r="C25" i="11"/>
  <c r="C24" i="11"/>
  <c r="C19" i="11"/>
  <c r="C17" i="11"/>
  <c r="O4" i="11"/>
  <c r="F4" i="11"/>
  <c r="D30" i="11"/>
  <c r="G27" i="11"/>
  <c r="G26" i="11"/>
  <c r="G25" i="11"/>
  <c r="G24" i="11"/>
  <c r="G19" i="11"/>
  <c r="G17" i="11"/>
  <c r="J4" i="11"/>
  <c r="E30" i="11"/>
  <c r="K27" i="11"/>
  <c r="K26" i="11"/>
  <c r="K25" i="11"/>
  <c r="K24" i="11"/>
  <c r="K19" i="11"/>
  <c r="K17" i="11"/>
  <c r="N4" i="11"/>
  <c r="C31" i="11"/>
  <c r="O5" i="11"/>
  <c r="F5" i="11"/>
  <c r="D31" i="11"/>
  <c r="J5" i="11"/>
  <c r="E31" i="11"/>
  <c r="N5" i="11"/>
  <c r="C32" i="11"/>
  <c r="O6" i="11"/>
  <c r="F6" i="11"/>
  <c r="D32" i="11"/>
  <c r="J6" i="11"/>
  <c r="E32" i="11"/>
  <c r="N6" i="11"/>
  <c r="C33" i="11"/>
  <c r="C18" i="11"/>
  <c r="O7" i="11"/>
  <c r="F7" i="11"/>
  <c r="D33" i="11"/>
  <c r="G18" i="11"/>
  <c r="J7" i="11"/>
  <c r="E33" i="11"/>
  <c r="K18" i="11"/>
  <c r="N7" i="11"/>
  <c r="C34" i="11"/>
  <c r="O8" i="11"/>
  <c r="F8" i="11"/>
  <c r="D34" i="11"/>
  <c r="J8" i="11"/>
  <c r="E34" i="11"/>
  <c r="N8" i="11"/>
  <c r="C35" i="11"/>
  <c r="O9" i="11"/>
  <c r="F9" i="11"/>
  <c r="D35" i="11"/>
  <c r="J9" i="11"/>
  <c r="E35" i="11"/>
  <c r="N9" i="11"/>
  <c r="C36" i="11"/>
  <c r="C22" i="11"/>
  <c r="C20" i="11"/>
  <c r="O10" i="11"/>
  <c r="F10" i="11"/>
  <c r="D36" i="11"/>
  <c r="G22" i="11"/>
  <c r="G20" i="11"/>
  <c r="J10" i="11"/>
  <c r="E36" i="11"/>
  <c r="K22" i="11"/>
  <c r="K20" i="11"/>
  <c r="N10" i="11"/>
  <c r="C37" i="11"/>
  <c r="O11" i="11"/>
  <c r="F11" i="11"/>
  <c r="D37" i="11"/>
  <c r="J11" i="11"/>
  <c r="E37" i="11"/>
  <c r="N11" i="11"/>
  <c r="C38" i="11"/>
  <c r="O12" i="11"/>
  <c r="B30" i="11" s="1"/>
  <c r="F12" i="11"/>
  <c r="D38" i="11"/>
  <c r="E38" i="11"/>
  <c r="N12" i="11"/>
  <c r="C39" i="11"/>
  <c r="C21" i="11"/>
  <c r="O13" i="11"/>
  <c r="F13" i="11"/>
  <c r="D39" i="11"/>
  <c r="G21" i="11"/>
  <c r="J13" i="11"/>
  <c r="E39" i="11"/>
  <c r="K21" i="11"/>
  <c r="N13" i="11"/>
  <c r="C40" i="11"/>
  <c r="O14" i="11"/>
  <c r="F14" i="11"/>
  <c r="D40" i="11"/>
  <c r="J14" i="11"/>
  <c r="E40" i="11"/>
  <c r="N14" i="11"/>
  <c r="C41" i="11"/>
  <c r="O15" i="11"/>
  <c r="F15" i="11"/>
  <c r="D41" i="11"/>
  <c r="J15" i="11"/>
  <c r="E41" i="11"/>
  <c r="N15" i="11"/>
  <c r="T15" i="10"/>
  <c r="S15" i="10"/>
  <c r="E35" i="10"/>
  <c r="E31" i="10"/>
  <c r="E30" i="10"/>
  <c r="E25" i="10"/>
  <c r="E23" i="10"/>
  <c r="N10" i="10"/>
  <c r="H35" i="10"/>
  <c r="H31" i="10"/>
  <c r="H30" i="10"/>
  <c r="H25" i="10"/>
  <c r="H23" i="10"/>
  <c r="K35" i="10"/>
  <c r="K31" i="10"/>
  <c r="K30" i="10"/>
  <c r="K25" i="10"/>
  <c r="K23" i="10"/>
  <c r="L35" i="10"/>
  <c r="L31" i="10"/>
  <c r="L30" i="10"/>
  <c r="L25" i="10"/>
  <c r="L23" i="10"/>
  <c r="J33" i="10" s="1"/>
  <c r="Q10" i="10"/>
  <c r="P10" i="10"/>
  <c r="Q11" i="10"/>
  <c r="P11" i="10"/>
  <c r="Q12" i="10"/>
  <c r="P12" i="10"/>
  <c r="E24" i="10"/>
  <c r="N13" i="10"/>
  <c r="L24" i="10"/>
  <c r="Q13" i="10"/>
  <c r="P13" i="10"/>
  <c r="Q14" i="10"/>
  <c r="P14" i="10"/>
  <c r="Q15" i="10"/>
  <c r="P15" i="10"/>
  <c r="E28" i="10"/>
  <c r="E26" i="10"/>
  <c r="N16" i="10"/>
  <c r="H28" i="10"/>
  <c r="H26" i="10"/>
  <c r="L28" i="10"/>
  <c r="L26" i="10"/>
  <c r="Q16" i="10"/>
  <c r="P16" i="10"/>
  <c r="K28" i="10"/>
  <c r="K26" i="10"/>
  <c r="Q17" i="10"/>
  <c r="P17" i="10"/>
  <c r="Q18" i="10"/>
  <c r="P18" i="10"/>
  <c r="E27" i="10"/>
  <c r="N19" i="10"/>
  <c r="L27" i="10"/>
  <c r="Q19" i="10"/>
  <c r="P19" i="10"/>
  <c r="Q20" i="10"/>
  <c r="P20" i="10"/>
  <c r="Q21" i="10"/>
  <c r="P21" i="10"/>
  <c r="N24" i="10" l="1"/>
  <c r="N27" i="10"/>
  <c r="J21" i="11"/>
  <c r="O21" i="11"/>
  <c r="R15" i="11"/>
  <c r="F41" i="11"/>
  <c r="R14" i="11"/>
  <c r="F40" i="11"/>
  <c r="N21" i="11"/>
  <c r="F21" i="11"/>
  <c r="R13" i="11"/>
  <c r="F39" i="11"/>
  <c r="R12" i="11"/>
  <c r="F38" i="11"/>
  <c r="R11" i="11"/>
  <c r="F37" i="11"/>
  <c r="N22" i="11"/>
  <c r="N20" i="11"/>
  <c r="J22" i="11"/>
  <c r="J20" i="11"/>
  <c r="F22" i="11"/>
  <c r="F20" i="11"/>
  <c r="R10" i="11"/>
  <c r="O22" i="11"/>
  <c r="O20" i="11"/>
  <c r="F36" i="11"/>
  <c r="R9" i="11"/>
  <c r="F35" i="11"/>
  <c r="R8" i="11"/>
  <c r="F34" i="11"/>
  <c r="N18" i="11"/>
  <c r="J18" i="11"/>
  <c r="F18" i="11"/>
  <c r="R7" i="11"/>
  <c r="O18" i="11"/>
  <c r="F33" i="11"/>
  <c r="R6" i="11"/>
  <c r="F32" i="11"/>
  <c r="R5" i="11"/>
  <c r="F31" i="11"/>
  <c r="N27" i="11"/>
  <c r="N26" i="11"/>
  <c r="N25" i="11"/>
  <c r="N24" i="11"/>
  <c r="N19" i="11"/>
  <c r="N17" i="11"/>
  <c r="J27" i="11"/>
  <c r="J26" i="11"/>
  <c r="J25" i="11"/>
  <c r="J24" i="11"/>
  <c r="J19" i="11"/>
  <c r="J17" i="11"/>
  <c r="F27" i="11"/>
  <c r="F26" i="11"/>
  <c r="F25" i="11"/>
  <c r="F24" i="11"/>
  <c r="F19" i="11"/>
  <c r="F17" i="11"/>
  <c r="R4" i="11"/>
  <c r="K28" i="11"/>
  <c r="O27" i="11"/>
  <c r="O26" i="11"/>
  <c r="O24" i="11"/>
  <c r="O19" i="11"/>
  <c r="O17" i="11"/>
  <c r="F30" i="11"/>
  <c r="N28" i="10"/>
  <c r="N26" i="10"/>
  <c r="L40" i="10"/>
  <c r="L38" i="10"/>
  <c r="L34" i="10"/>
  <c r="L33" i="10"/>
  <c r="A35" i="10" s="1"/>
  <c r="N35" i="10"/>
  <c r="N31" i="10"/>
  <c r="P34" i="10" s="1"/>
  <c r="N30" i="10"/>
  <c r="N25" i="10"/>
  <c r="N23" i="10"/>
  <c r="R21" i="11" l="1"/>
  <c r="F43" i="11"/>
  <c r="R18" i="11"/>
  <c r="R27" i="11"/>
  <c r="R26" i="11"/>
  <c r="R25" i="11"/>
  <c r="R24" i="11"/>
  <c r="R19" i="11"/>
  <c r="R17" i="11"/>
  <c r="R22" i="11"/>
  <c r="R20" i="11"/>
  <c r="N42" i="7" l="1"/>
  <c r="M42" i="7"/>
  <c r="L42" i="7"/>
  <c r="I42" i="7"/>
  <c r="H42" i="7"/>
  <c r="G42" i="7"/>
  <c r="E42" i="7"/>
  <c r="D42" i="7"/>
  <c r="C42" i="7"/>
  <c r="N41" i="7"/>
  <c r="M41" i="7"/>
  <c r="L41" i="7"/>
  <c r="I41" i="7"/>
  <c r="H41" i="7"/>
  <c r="G41" i="7"/>
  <c r="E41" i="7"/>
  <c r="D41" i="7"/>
  <c r="C41" i="7"/>
  <c r="N40" i="7"/>
  <c r="M40" i="7"/>
  <c r="L40" i="7"/>
  <c r="I40" i="7"/>
  <c r="H40" i="7"/>
  <c r="G40" i="7"/>
  <c r="E40" i="7"/>
  <c r="D40" i="7"/>
  <c r="C40" i="7"/>
  <c r="N39" i="7"/>
  <c r="M39" i="7"/>
  <c r="L39" i="7"/>
  <c r="I39" i="7"/>
  <c r="H39" i="7"/>
  <c r="G39" i="7"/>
  <c r="E39" i="7"/>
  <c r="D39" i="7"/>
  <c r="C39" i="7"/>
  <c r="N38" i="7"/>
  <c r="M38" i="7"/>
  <c r="L38" i="7"/>
  <c r="I38" i="7"/>
  <c r="H38" i="7"/>
  <c r="G38" i="7"/>
  <c r="E38" i="7"/>
  <c r="D38" i="7"/>
  <c r="C38" i="7"/>
  <c r="N37" i="7"/>
  <c r="M37" i="7"/>
  <c r="L37" i="7"/>
  <c r="I37" i="7"/>
  <c r="H37" i="7"/>
  <c r="G37" i="7"/>
  <c r="E37" i="7"/>
  <c r="D37" i="7"/>
  <c r="C37" i="7"/>
  <c r="N36" i="7"/>
  <c r="M36" i="7"/>
  <c r="L36" i="7"/>
  <c r="I36" i="7"/>
  <c r="H36" i="7"/>
  <c r="G36" i="7"/>
  <c r="E36" i="7"/>
  <c r="D36" i="7"/>
  <c r="C36" i="7"/>
  <c r="N35" i="7"/>
  <c r="M35" i="7"/>
  <c r="L35" i="7"/>
  <c r="I35" i="7"/>
  <c r="H35" i="7"/>
  <c r="G35" i="7"/>
  <c r="E35" i="7"/>
  <c r="D35" i="7"/>
  <c r="C35" i="7"/>
  <c r="N34" i="7"/>
  <c r="M34" i="7"/>
  <c r="L34" i="7"/>
  <c r="I34" i="7"/>
  <c r="H34" i="7"/>
  <c r="G34" i="7"/>
  <c r="E34" i="7"/>
  <c r="D34" i="7"/>
  <c r="C34" i="7"/>
  <c r="N33" i="7"/>
  <c r="M33" i="7"/>
  <c r="L33" i="7"/>
  <c r="I33" i="7"/>
  <c r="H33" i="7"/>
  <c r="G33" i="7"/>
  <c r="E33" i="7"/>
  <c r="D33" i="7"/>
  <c r="C33" i="7"/>
  <c r="N32" i="7"/>
  <c r="M32" i="7"/>
  <c r="L32" i="7"/>
  <c r="I32" i="7"/>
  <c r="H32" i="7"/>
  <c r="G32" i="7"/>
  <c r="E32" i="7"/>
  <c r="D32" i="7"/>
  <c r="C32" i="7"/>
  <c r="N31" i="7"/>
  <c r="M31" i="7"/>
  <c r="L31" i="7"/>
  <c r="I31" i="7"/>
  <c r="H31" i="7"/>
  <c r="G31" i="7"/>
  <c r="E31" i="7"/>
  <c r="D31" i="7"/>
  <c r="C31" i="7"/>
  <c r="G15" i="7"/>
  <c r="M56" i="7" s="1"/>
  <c r="E15" i="7"/>
  <c r="D15" i="7"/>
  <c r="L56" i="7" s="1"/>
  <c r="G14" i="7"/>
  <c r="M55" i="7" s="1"/>
  <c r="E14" i="7"/>
  <c r="D14" i="7"/>
  <c r="L55" i="7" s="1"/>
  <c r="G13" i="7"/>
  <c r="M54" i="7" s="1"/>
  <c r="E13" i="7"/>
  <c r="D13" i="7"/>
  <c r="L54" i="7" s="1"/>
  <c r="G12" i="7"/>
  <c r="M53" i="7" s="1"/>
  <c r="E12" i="7"/>
  <c r="D12" i="7"/>
  <c r="L53" i="7" s="1"/>
  <c r="G11" i="7"/>
  <c r="M52" i="7" s="1"/>
  <c r="E11" i="7"/>
  <c r="D11" i="7"/>
  <c r="L52" i="7" s="1"/>
  <c r="G10" i="7"/>
  <c r="M51" i="7" s="1"/>
  <c r="E10" i="7"/>
  <c r="D10" i="7"/>
  <c r="L51" i="7" s="1"/>
  <c r="G9" i="7"/>
  <c r="M50" i="7" s="1"/>
  <c r="E9" i="7"/>
  <c r="D9" i="7"/>
  <c r="L50" i="7" s="1"/>
  <c r="G8" i="7"/>
  <c r="M49" i="7" s="1"/>
  <c r="E8" i="7"/>
  <c r="D8" i="7"/>
  <c r="L49" i="7" s="1"/>
  <c r="G7" i="7"/>
  <c r="M48" i="7" s="1"/>
  <c r="E7" i="7"/>
  <c r="D7" i="7"/>
  <c r="L48" i="7" s="1"/>
  <c r="G6" i="7"/>
  <c r="M47" i="7" s="1"/>
  <c r="E6" i="7"/>
  <c r="D6" i="7"/>
  <c r="L47" i="7" s="1"/>
  <c r="E5" i="7"/>
  <c r="D5" i="7"/>
  <c r="L46" i="7" s="1"/>
  <c r="E4" i="7"/>
  <c r="D4" i="7"/>
  <c r="L45" i="7" s="1"/>
  <c r="L32" i="6"/>
  <c r="M32" i="6"/>
  <c r="N32" i="6"/>
  <c r="L33" i="6"/>
  <c r="M33" i="6"/>
  <c r="N33" i="6"/>
  <c r="L34" i="6"/>
  <c r="M34" i="6"/>
  <c r="N34" i="6"/>
  <c r="L35" i="6"/>
  <c r="M35" i="6"/>
  <c r="N35" i="6"/>
  <c r="L36" i="6"/>
  <c r="M36" i="6"/>
  <c r="N36" i="6"/>
  <c r="L37" i="6"/>
  <c r="M37" i="6"/>
  <c r="N37" i="6"/>
  <c r="L38" i="6"/>
  <c r="M38" i="6"/>
  <c r="N38" i="6"/>
  <c r="L39" i="6"/>
  <c r="M39" i="6"/>
  <c r="N39" i="6"/>
  <c r="L40" i="6"/>
  <c r="M40" i="6"/>
  <c r="N40" i="6"/>
  <c r="L41" i="6"/>
  <c r="M41" i="6"/>
  <c r="N41" i="6"/>
  <c r="L42" i="6"/>
  <c r="M42" i="6"/>
  <c r="N42" i="6"/>
  <c r="N31" i="6"/>
  <c r="M31" i="6"/>
  <c r="L31" i="6"/>
  <c r="P32" i="7" l="1"/>
  <c r="H5" i="7" s="1"/>
  <c r="E19" i="7"/>
  <c r="P33" i="7"/>
  <c r="H6" i="7" s="1"/>
  <c r="O33" i="7"/>
  <c r="K6" i="7" s="1"/>
  <c r="O32" i="7"/>
  <c r="K5" i="7" s="1"/>
  <c r="O40" i="7"/>
  <c r="K13" i="7" s="1"/>
  <c r="P37" i="7"/>
  <c r="H10" i="7" s="1"/>
  <c r="P41" i="7"/>
  <c r="H14" i="7" s="1"/>
  <c r="P34" i="7"/>
  <c r="H7" i="7" s="1"/>
  <c r="P38" i="7"/>
  <c r="H11" i="7" s="1"/>
  <c r="E18" i="7"/>
  <c r="E21" i="7"/>
  <c r="E20" i="7"/>
  <c r="P42" i="7"/>
  <c r="H15" i="7" s="1"/>
  <c r="E43" i="7"/>
  <c r="P35" i="7"/>
  <c r="H8" i="7" s="1"/>
  <c r="P39" i="7"/>
  <c r="H12" i="7" s="1"/>
  <c r="P36" i="7"/>
  <c r="H9" i="7" s="1"/>
  <c r="P40" i="7"/>
  <c r="H13" i="7" s="1"/>
  <c r="D43" i="7"/>
  <c r="O37" i="7"/>
  <c r="K10" i="7" s="1"/>
  <c r="O41" i="7"/>
  <c r="K14" i="7" s="1"/>
  <c r="O34" i="7"/>
  <c r="K7" i="7" s="1"/>
  <c r="O50" i="7"/>
  <c r="J9" i="7" s="1"/>
  <c r="O35" i="7"/>
  <c r="K8" i="7" s="1"/>
  <c r="O36" i="7"/>
  <c r="K9" i="7" s="1"/>
  <c r="O38" i="7"/>
  <c r="K11" i="7" s="1"/>
  <c r="O39" i="7"/>
  <c r="K12" i="7" s="1"/>
  <c r="O42" i="7"/>
  <c r="K15" i="7" s="1"/>
  <c r="O47" i="7"/>
  <c r="J6" i="7" s="1"/>
  <c r="O54" i="7"/>
  <c r="J13" i="7" s="1"/>
  <c r="O53" i="7"/>
  <c r="J12" i="7" s="1"/>
  <c r="O48" i="7"/>
  <c r="J7" i="7" s="1"/>
  <c r="O51" i="7"/>
  <c r="J10" i="7" s="1"/>
  <c r="O55" i="7"/>
  <c r="J14" i="7" s="1"/>
  <c r="O49" i="7"/>
  <c r="J8" i="7" s="1"/>
  <c r="O52" i="7"/>
  <c r="J11" i="7" s="1"/>
  <c r="O56" i="7"/>
  <c r="J15" i="7" s="1"/>
  <c r="E17" i="7"/>
  <c r="J31" i="7"/>
  <c r="J33" i="7"/>
  <c r="E22" i="7"/>
  <c r="P31" i="7"/>
  <c r="H4" i="7" s="1"/>
  <c r="J32" i="7"/>
  <c r="C43" i="7"/>
  <c r="J35" i="7"/>
  <c r="O31" i="7"/>
  <c r="K4" i="7" s="1"/>
  <c r="J34" i="7"/>
  <c r="J36" i="7"/>
  <c r="J37" i="7"/>
  <c r="J38" i="7"/>
  <c r="J39" i="7"/>
  <c r="J40" i="7"/>
  <c r="J41" i="7"/>
  <c r="J42" i="7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I31" i="6"/>
  <c r="H31" i="6"/>
  <c r="G32" i="6"/>
  <c r="G33" i="6"/>
  <c r="G34" i="6"/>
  <c r="G35" i="6"/>
  <c r="G36" i="6"/>
  <c r="G37" i="6"/>
  <c r="G38" i="6"/>
  <c r="G39" i="6"/>
  <c r="G40" i="6"/>
  <c r="G41" i="6"/>
  <c r="G42" i="6"/>
  <c r="G31" i="6"/>
  <c r="C32" i="6"/>
  <c r="D32" i="6"/>
  <c r="E32" i="6"/>
  <c r="C33" i="6"/>
  <c r="D33" i="6"/>
  <c r="E33" i="6"/>
  <c r="C34" i="6"/>
  <c r="D34" i="6"/>
  <c r="E34" i="6"/>
  <c r="C35" i="6"/>
  <c r="D35" i="6"/>
  <c r="E35" i="6"/>
  <c r="C36" i="6"/>
  <c r="D36" i="6"/>
  <c r="E36" i="6"/>
  <c r="C37" i="6"/>
  <c r="D37" i="6"/>
  <c r="E37" i="6"/>
  <c r="C38" i="6"/>
  <c r="D38" i="6"/>
  <c r="E38" i="6"/>
  <c r="C39" i="6"/>
  <c r="D39" i="6"/>
  <c r="E39" i="6"/>
  <c r="C40" i="6"/>
  <c r="D40" i="6"/>
  <c r="E40" i="6"/>
  <c r="C41" i="6"/>
  <c r="D41" i="6"/>
  <c r="E41" i="6"/>
  <c r="C42" i="6"/>
  <c r="D42" i="6"/>
  <c r="E42" i="6"/>
  <c r="E31" i="6"/>
  <c r="D31" i="6"/>
  <c r="C31" i="6"/>
  <c r="H21" i="7" l="1"/>
  <c r="P38" i="6"/>
  <c r="H11" i="6" s="1"/>
  <c r="H22" i="7"/>
  <c r="H20" i="7"/>
  <c r="H18" i="7"/>
  <c r="P34" i="6"/>
  <c r="H7" i="6" s="1"/>
  <c r="J42" i="6"/>
  <c r="P33" i="6"/>
  <c r="H6" i="6" s="1"/>
  <c r="P32" i="6"/>
  <c r="H5" i="6" s="1"/>
  <c r="O33" i="6"/>
  <c r="K6" i="6" s="1"/>
  <c r="O32" i="6"/>
  <c r="K5" i="6" s="1"/>
  <c r="J32" i="6"/>
  <c r="P31" i="6"/>
  <c r="H4" i="6" s="1"/>
  <c r="J41" i="6"/>
  <c r="J38" i="6"/>
  <c r="J37" i="6"/>
  <c r="J40" i="6"/>
  <c r="J36" i="6"/>
  <c r="O31" i="6"/>
  <c r="K4" i="6" s="1"/>
  <c r="J31" i="6"/>
  <c r="J39" i="6"/>
  <c r="J35" i="6"/>
  <c r="J34" i="6"/>
  <c r="J33" i="6"/>
  <c r="K20" i="7"/>
  <c r="P39" i="6"/>
  <c r="H12" i="6" s="1"/>
  <c r="P35" i="6"/>
  <c r="H8" i="6" s="1"/>
  <c r="P40" i="6"/>
  <c r="H13" i="6" s="1"/>
  <c r="P36" i="6"/>
  <c r="H9" i="6" s="1"/>
  <c r="E43" i="6"/>
  <c r="P41" i="6"/>
  <c r="H14" i="6" s="1"/>
  <c r="P37" i="6"/>
  <c r="H10" i="6" s="1"/>
  <c r="D43" i="6"/>
  <c r="K18" i="7"/>
  <c r="O34" i="6"/>
  <c r="K7" i="6" s="1"/>
  <c r="O40" i="6"/>
  <c r="K13" i="6" s="1"/>
  <c r="O36" i="6"/>
  <c r="K9" i="6" s="1"/>
  <c r="O38" i="6"/>
  <c r="K11" i="6" s="1"/>
  <c r="O39" i="6"/>
  <c r="K12" i="6" s="1"/>
  <c r="O35" i="6"/>
  <c r="K8" i="6" s="1"/>
  <c r="K22" i="7"/>
  <c r="O41" i="6"/>
  <c r="K14" i="6" s="1"/>
  <c r="O37" i="6"/>
  <c r="K10" i="6" s="1"/>
  <c r="C43" i="6"/>
  <c r="K21" i="7"/>
  <c r="P42" i="6"/>
  <c r="H15" i="6" s="1"/>
  <c r="O42" i="6"/>
  <c r="K15" i="6" s="1"/>
  <c r="K17" i="7"/>
  <c r="K19" i="7"/>
  <c r="H17" i="7"/>
  <c r="H19" i="7"/>
  <c r="G6" i="6"/>
  <c r="M47" i="6" s="1"/>
  <c r="G7" i="6"/>
  <c r="M48" i="6" s="1"/>
  <c r="G8" i="6"/>
  <c r="M49" i="6" s="1"/>
  <c r="G9" i="6"/>
  <c r="M50" i="6" s="1"/>
  <c r="G10" i="6"/>
  <c r="M51" i="6" s="1"/>
  <c r="G11" i="6"/>
  <c r="M52" i="6" s="1"/>
  <c r="G12" i="6"/>
  <c r="M53" i="6" s="1"/>
  <c r="G13" i="6"/>
  <c r="M54" i="6" s="1"/>
  <c r="G14" i="6"/>
  <c r="M55" i="6" s="1"/>
  <c r="G15" i="6"/>
  <c r="M56" i="6" s="1"/>
  <c r="F5" i="6"/>
  <c r="F5" i="7" s="1"/>
  <c r="F6" i="6"/>
  <c r="F6" i="7" s="1"/>
  <c r="F7" i="6"/>
  <c r="F8" i="6"/>
  <c r="F9" i="6"/>
  <c r="F9" i="7" s="1"/>
  <c r="F10" i="6"/>
  <c r="F10" i="7" s="1"/>
  <c r="F11" i="6"/>
  <c r="F11" i="7" s="1"/>
  <c r="F12" i="6"/>
  <c r="F12" i="7" s="1"/>
  <c r="F13" i="6"/>
  <c r="F13" i="7" s="1"/>
  <c r="F14" i="6"/>
  <c r="F14" i="7" s="1"/>
  <c r="F15" i="6"/>
  <c r="F4" i="6"/>
  <c r="F4" i="7" s="1"/>
  <c r="E5" i="6"/>
  <c r="E6" i="6"/>
  <c r="E7" i="6"/>
  <c r="E8" i="6"/>
  <c r="E9" i="6"/>
  <c r="E10" i="6"/>
  <c r="E11" i="6"/>
  <c r="E12" i="6"/>
  <c r="E13" i="6"/>
  <c r="E14" i="6"/>
  <c r="E15" i="6"/>
  <c r="E4" i="6"/>
  <c r="D5" i="6"/>
  <c r="L46" i="6" s="1"/>
  <c r="D6" i="6"/>
  <c r="L47" i="6" s="1"/>
  <c r="D7" i="6"/>
  <c r="L48" i="6" s="1"/>
  <c r="D8" i="6"/>
  <c r="L49" i="6" s="1"/>
  <c r="D9" i="6"/>
  <c r="L50" i="6" s="1"/>
  <c r="D10" i="6"/>
  <c r="L51" i="6" s="1"/>
  <c r="D11" i="6"/>
  <c r="L52" i="6" s="1"/>
  <c r="D12" i="6"/>
  <c r="L53" i="6" s="1"/>
  <c r="D13" i="6"/>
  <c r="L54" i="6" s="1"/>
  <c r="D14" i="6"/>
  <c r="L55" i="6" s="1"/>
  <c r="D15" i="6"/>
  <c r="L56" i="6" s="1"/>
  <c r="D4" i="6"/>
  <c r="L45" i="6" s="1"/>
  <c r="C5" i="6"/>
  <c r="C6" i="6"/>
  <c r="C7" i="6"/>
  <c r="C8" i="6"/>
  <c r="C9" i="6"/>
  <c r="C10" i="6"/>
  <c r="C11" i="6"/>
  <c r="C12" i="6"/>
  <c r="C13" i="6"/>
  <c r="C14" i="6"/>
  <c r="C15" i="6"/>
  <c r="C4" i="6"/>
  <c r="O53" i="6" l="1"/>
  <c r="J12" i="6" s="1"/>
  <c r="C21" i="6"/>
  <c r="O52" i="6"/>
  <c r="J11" i="6" s="1"/>
  <c r="O49" i="6"/>
  <c r="J8" i="6" s="1"/>
  <c r="O56" i="6"/>
  <c r="J15" i="6" s="1"/>
  <c r="O51" i="6"/>
  <c r="J10" i="6" s="1"/>
  <c r="O55" i="6"/>
  <c r="J14" i="6" s="1"/>
  <c r="O47" i="6"/>
  <c r="J6" i="6" s="1"/>
  <c r="O54" i="6"/>
  <c r="J13" i="6" s="1"/>
  <c r="O50" i="6"/>
  <c r="J9" i="6" s="1"/>
  <c r="O48" i="6"/>
  <c r="J7" i="6" s="1"/>
  <c r="C20" i="6"/>
  <c r="I6" i="6"/>
  <c r="C6" i="7"/>
  <c r="I6" i="7" s="1"/>
  <c r="D17" i="6"/>
  <c r="C5" i="7"/>
  <c r="I5" i="7" s="1"/>
  <c r="I5" i="6"/>
  <c r="C4" i="7"/>
  <c r="I4" i="6"/>
  <c r="C17" i="6"/>
  <c r="F20" i="7"/>
  <c r="G20" i="7"/>
  <c r="F18" i="6"/>
  <c r="F8" i="7"/>
  <c r="H24" i="6"/>
  <c r="F7" i="7"/>
  <c r="G20" i="6"/>
  <c r="C12" i="7"/>
  <c r="I12" i="7" s="1"/>
  <c r="I12" i="6"/>
  <c r="I7" i="6"/>
  <c r="C7" i="7"/>
  <c r="E24" i="6"/>
  <c r="I14" i="6"/>
  <c r="C14" i="7"/>
  <c r="I14" i="7" s="1"/>
  <c r="C10" i="7"/>
  <c r="I10" i="6"/>
  <c r="D19" i="6"/>
  <c r="I8" i="6"/>
  <c r="C8" i="7"/>
  <c r="C18" i="6"/>
  <c r="I11" i="6"/>
  <c r="C11" i="7"/>
  <c r="I11" i="7" s="1"/>
  <c r="D24" i="6"/>
  <c r="C13" i="7"/>
  <c r="I13" i="7" s="1"/>
  <c r="I13" i="6"/>
  <c r="C9" i="7"/>
  <c r="I9" i="7" s="1"/>
  <c r="I9" i="6"/>
  <c r="F21" i="6"/>
  <c r="F15" i="7"/>
  <c r="H25" i="6"/>
  <c r="G21" i="6"/>
  <c r="C15" i="7"/>
  <c r="E25" i="6"/>
  <c r="I15" i="6"/>
  <c r="D21" i="6"/>
  <c r="C22" i="6"/>
  <c r="G22" i="6"/>
  <c r="H21" i="6"/>
  <c r="F22" i="6"/>
  <c r="H22" i="6"/>
  <c r="F25" i="6"/>
  <c r="F20" i="6"/>
  <c r="C24" i="6"/>
  <c r="D18" i="6"/>
  <c r="D20" i="6"/>
  <c r="D22" i="6"/>
  <c r="C25" i="6"/>
  <c r="C19" i="6"/>
  <c r="D25" i="6"/>
  <c r="E18" i="6"/>
  <c r="K22" i="6"/>
  <c r="K21" i="6"/>
  <c r="E17" i="6"/>
  <c r="G18" i="6"/>
  <c r="H17" i="6"/>
  <c r="H20" i="6"/>
  <c r="E19" i="6"/>
  <c r="E20" i="6"/>
  <c r="E22" i="6"/>
  <c r="E21" i="6"/>
  <c r="F17" i="6"/>
  <c r="F19" i="6"/>
  <c r="F24" i="6"/>
  <c r="I20" i="6" l="1"/>
  <c r="J20" i="6"/>
  <c r="I4" i="7"/>
  <c r="C17" i="7"/>
  <c r="D17" i="7"/>
  <c r="F24" i="7"/>
  <c r="I8" i="7"/>
  <c r="I22" i="6"/>
  <c r="F18" i="7"/>
  <c r="F19" i="7"/>
  <c r="G18" i="7"/>
  <c r="H24" i="7"/>
  <c r="C20" i="7"/>
  <c r="I10" i="7"/>
  <c r="D20" i="7"/>
  <c r="C18" i="7"/>
  <c r="D18" i="7"/>
  <c r="D24" i="7"/>
  <c r="I7" i="7"/>
  <c r="C24" i="7"/>
  <c r="C19" i="7"/>
  <c r="D19" i="7"/>
  <c r="E24" i="7"/>
  <c r="K24" i="6"/>
  <c r="I18" i="6"/>
  <c r="G22" i="7"/>
  <c r="G21" i="7"/>
  <c r="F22" i="7"/>
  <c r="F17" i="7"/>
  <c r="F21" i="7"/>
  <c r="H25" i="7"/>
  <c r="F25" i="7"/>
  <c r="K25" i="6"/>
  <c r="J22" i="6"/>
  <c r="I21" i="6"/>
  <c r="D21" i="7"/>
  <c r="I15" i="7"/>
  <c r="D22" i="7"/>
  <c r="C25" i="7"/>
  <c r="D25" i="7"/>
  <c r="E25" i="7"/>
  <c r="C21" i="7"/>
  <c r="C22" i="7"/>
  <c r="J21" i="6"/>
  <c r="H19" i="6"/>
  <c r="K20" i="6"/>
  <c r="K18" i="6"/>
  <c r="J18" i="6"/>
  <c r="I25" i="6"/>
  <c r="I24" i="6"/>
  <c r="I19" i="6"/>
  <c r="I17" i="6"/>
  <c r="H18" i="6"/>
  <c r="K19" i="6"/>
  <c r="K17" i="6"/>
  <c r="I17" i="7" l="1"/>
  <c r="I20" i="7"/>
  <c r="J20" i="7"/>
  <c r="I18" i="7"/>
  <c r="K24" i="7"/>
  <c r="I24" i="7"/>
  <c r="I19" i="7"/>
  <c r="J18" i="7"/>
  <c r="J22" i="7"/>
  <c r="J21" i="7"/>
  <c r="I25" i="7"/>
  <c r="I22" i="7"/>
  <c r="K25" i="7"/>
  <c r="I21" i="7"/>
  <c r="P11" i="4"/>
  <c r="P12" i="4"/>
  <c r="P13" i="4"/>
  <c r="P14" i="4"/>
  <c r="P15" i="4"/>
  <c r="P16" i="4"/>
  <c r="P17" i="4"/>
  <c r="P18" i="4"/>
  <c r="P19" i="4"/>
  <c r="P20" i="4"/>
  <c r="P21" i="4"/>
  <c r="P10" i="4"/>
  <c r="L11" i="4"/>
  <c r="L12" i="4"/>
  <c r="L13" i="4"/>
  <c r="L14" i="4"/>
  <c r="L15" i="4"/>
  <c r="L16" i="4"/>
  <c r="L17" i="4"/>
  <c r="L18" i="4"/>
  <c r="L19" i="4"/>
  <c r="L20" i="4"/>
  <c r="L21" i="4"/>
  <c r="L10" i="4"/>
  <c r="H11" i="4"/>
  <c r="H12" i="4"/>
  <c r="H13" i="4"/>
  <c r="H14" i="4"/>
  <c r="H15" i="4"/>
  <c r="H16" i="4"/>
  <c r="H17" i="4"/>
  <c r="H18" i="4"/>
  <c r="H19" i="4"/>
  <c r="H20" i="4"/>
  <c r="H21" i="4"/>
  <c r="H10" i="4"/>
  <c r="I12" i="3"/>
  <c r="I13" i="3"/>
  <c r="I14" i="3"/>
  <c r="I15" i="3"/>
  <c r="I16" i="3"/>
  <c r="I17" i="3"/>
  <c r="I18" i="3"/>
  <c r="I19" i="3"/>
  <c r="I20" i="3"/>
  <c r="I21" i="3"/>
  <c r="F11" i="3"/>
  <c r="F12" i="3"/>
  <c r="F13" i="3"/>
  <c r="F14" i="3"/>
  <c r="F15" i="3"/>
  <c r="F16" i="3"/>
  <c r="F17" i="3"/>
  <c r="F18" i="3"/>
  <c r="F19" i="3"/>
  <c r="F20" i="3"/>
  <c r="F21" i="3"/>
  <c r="F10" i="3"/>
  <c r="J14" i="5" l="1"/>
  <c r="K11" i="3" l="1"/>
  <c r="N11" i="4" s="1"/>
  <c r="K12" i="3"/>
  <c r="N12" i="4" s="1"/>
  <c r="H38" i="4" s="1"/>
  <c r="K13" i="3"/>
  <c r="N13" i="4" s="1"/>
  <c r="H39" i="4" s="1"/>
  <c r="K14" i="3"/>
  <c r="G41" i="3" s="1"/>
  <c r="K15" i="3"/>
  <c r="N15" i="4" s="1"/>
  <c r="K16" i="3"/>
  <c r="N16" i="4" s="1"/>
  <c r="K17" i="3"/>
  <c r="N17" i="4" s="1"/>
  <c r="H43" i="4" s="1"/>
  <c r="K18" i="3"/>
  <c r="N18" i="4" s="1"/>
  <c r="K19" i="3"/>
  <c r="N19" i="4" s="1"/>
  <c r="H45" i="4" s="1"/>
  <c r="K20" i="3"/>
  <c r="G47" i="3" s="1"/>
  <c r="K21" i="3"/>
  <c r="N21" i="4" s="1"/>
  <c r="H11" i="3"/>
  <c r="J11" i="4" s="1"/>
  <c r="M11" i="4" s="1"/>
  <c r="H12" i="3"/>
  <c r="J12" i="4" s="1"/>
  <c r="M12" i="4" s="1"/>
  <c r="H13" i="3"/>
  <c r="J13" i="4" s="1"/>
  <c r="H14" i="3"/>
  <c r="J14" i="4" s="1"/>
  <c r="G40" i="4" s="1"/>
  <c r="H15" i="3"/>
  <c r="J15" i="4" s="1"/>
  <c r="M15" i="4" s="1"/>
  <c r="H16" i="3"/>
  <c r="H17" i="3"/>
  <c r="J17" i="4" s="1"/>
  <c r="H18" i="3"/>
  <c r="J18" i="4" s="1"/>
  <c r="H19" i="3"/>
  <c r="H20" i="3"/>
  <c r="F47" i="3" s="1"/>
  <c r="H21" i="3"/>
  <c r="J21" i="4" s="1"/>
  <c r="M21" i="4" s="1"/>
  <c r="E11" i="3"/>
  <c r="F11" i="4" s="1"/>
  <c r="F37" i="4" s="1"/>
  <c r="E12" i="3"/>
  <c r="F12" i="4" s="1"/>
  <c r="E13" i="3"/>
  <c r="E40" i="3" s="1"/>
  <c r="E14" i="3"/>
  <c r="F14" i="4" s="1"/>
  <c r="E15" i="3"/>
  <c r="F15" i="4" s="1"/>
  <c r="E16" i="3"/>
  <c r="G16" i="3" s="1"/>
  <c r="E17" i="3"/>
  <c r="F17" i="4" s="1"/>
  <c r="I17" i="4" s="1"/>
  <c r="E18" i="3"/>
  <c r="E45" i="3" s="1"/>
  <c r="E19" i="3"/>
  <c r="F19" i="4" s="1"/>
  <c r="I19" i="4" s="1"/>
  <c r="E20" i="3"/>
  <c r="E47" i="3" s="1"/>
  <c r="E21" i="3"/>
  <c r="F21" i="4" s="1"/>
  <c r="E10" i="3"/>
  <c r="E37" i="3" s="1"/>
  <c r="R47" i="4"/>
  <c r="Q47" i="4"/>
  <c r="P47" i="4"/>
  <c r="M47" i="4"/>
  <c r="L47" i="4"/>
  <c r="K47" i="4"/>
  <c r="R46" i="4"/>
  <c r="Q46" i="4"/>
  <c r="P46" i="4"/>
  <c r="M46" i="4"/>
  <c r="L46" i="4"/>
  <c r="K46" i="4"/>
  <c r="R45" i="4"/>
  <c r="Q45" i="4"/>
  <c r="P45" i="4"/>
  <c r="M45" i="4"/>
  <c r="L45" i="4"/>
  <c r="K45" i="4"/>
  <c r="R44" i="4"/>
  <c r="Q44" i="4"/>
  <c r="P44" i="4"/>
  <c r="M44" i="4"/>
  <c r="L44" i="4"/>
  <c r="K44" i="4"/>
  <c r="R43" i="4"/>
  <c r="Q43" i="4"/>
  <c r="P43" i="4"/>
  <c r="M43" i="4"/>
  <c r="L43" i="4"/>
  <c r="K43" i="4"/>
  <c r="R42" i="4"/>
  <c r="Q42" i="4"/>
  <c r="P42" i="4"/>
  <c r="M42" i="4"/>
  <c r="L42" i="4"/>
  <c r="K42" i="4"/>
  <c r="R41" i="4"/>
  <c r="Q41" i="4"/>
  <c r="P41" i="4"/>
  <c r="M41" i="4"/>
  <c r="L41" i="4"/>
  <c r="K41" i="4"/>
  <c r="R40" i="4"/>
  <c r="Q40" i="4"/>
  <c r="P40" i="4"/>
  <c r="M40" i="4"/>
  <c r="L40" i="4"/>
  <c r="K40" i="4"/>
  <c r="R39" i="4"/>
  <c r="Q39" i="4"/>
  <c r="P39" i="4"/>
  <c r="M39" i="4"/>
  <c r="L39" i="4"/>
  <c r="K39" i="4"/>
  <c r="R38" i="4"/>
  <c r="Q38" i="4"/>
  <c r="P38" i="4"/>
  <c r="M38" i="4"/>
  <c r="L38" i="4"/>
  <c r="K38" i="4"/>
  <c r="R37" i="4"/>
  <c r="Q37" i="4"/>
  <c r="P37" i="4"/>
  <c r="M37" i="4"/>
  <c r="L37" i="4"/>
  <c r="K37" i="4"/>
  <c r="R36" i="4"/>
  <c r="Q36" i="4"/>
  <c r="P36" i="4"/>
  <c r="M36" i="4"/>
  <c r="L36" i="4"/>
  <c r="K36" i="4"/>
  <c r="R31" i="4"/>
  <c r="P28" i="4"/>
  <c r="P26" i="4"/>
  <c r="Z189" i="3"/>
  <c r="P78" i="3"/>
  <c r="K48" i="3"/>
  <c r="J48" i="3"/>
  <c r="I48" i="3"/>
  <c r="K47" i="3"/>
  <c r="J47" i="3"/>
  <c r="I47" i="3"/>
  <c r="K46" i="3"/>
  <c r="J46" i="3"/>
  <c r="I46" i="3"/>
  <c r="K45" i="3"/>
  <c r="J45" i="3"/>
  <c r="I45" i="3"/>
  <c r="K44" i="3"/>
  <c r="J44" i="3"/>
  <c r="I44" i="3"/>
  <c r="K43" i="3"/>
  <c r="J43" i="3"/>
  <c r="I43" i="3"/>
  <c r="K42" i="3"/>
  <c r="J42" i="3"/>
  <c r="I42" i="3"/>
  <c r="K41" i="3"/>
  <c r="J41" i="3"/>
  <c r="I41" i="3"/>
  <c r="K40" i="3"/>
  <c r="J40" i="3"/>
  <c r="I40" i="3"/>
  <c r="C40" i="3"/>
  <c r="K39" i="3"/>
  <c r="J39" i="3"/>
  <c r="I39" i="3"/>
  <c r="K38" i="3"/>
  <c r="I38" i="3"/>
  <c r="K37" i="3"/>
  <c r="I37" i="3"/>
  <c r="C37" i="3"/>
  <c r="T34" i="3"/>
  <c r="P34" i="3"/>
  <c r="R29" i="3"/>
  <c r="U8" i="3"/>
  <c r="U15" i="3" s="1"/>
  <c r="M21" i="3" l="1"/>
  <c r="F44" i="3"/>
  <c r="G43" i="3"/>
  <c r="M17" i="3"/>
  <c r="G44" i="3"/>
  <c r="Q16" i="3"/>
  <c r="F40" i="3"/>
  <c r="F10" i="4"/>
  <c r="W8" i="4" s="1"/>
  <c r="G10" i="3"/>
  <c r="G17" i="3"/>
  <c r="E44" i="3"/>
  <c r="M15" i="3"/>
  <c r="Q15" i="3"/>
  <c r="G42" i="3"/>
  <c r="G15" i="3"/>
  <c r="E42" i="3"/>
  <c r="E26" i="3"/>
  <c r="F16" i="4"/>
  <c r="N15" i="3"/>
  <c r="R15" i="3" s="1"/>
  <c r="F24" i="3"/>
  <c r="M14" i="3"/>
  <c r="M12" i="3"/>
  <c r="J12" i="3"/>
  <c r="F39" i="3"/>
  <c r="G39" i="3"/>
  <c r="K24" i="3"/>
  <c r="E38" i="3"/>
  <c r="Q18" i="4"/>
  <c r="H44" i="4"/>
  <c r="G45" i="3"/>
  <c r="L26" i="3"/>
  <c r="Q19" i="3"/>
  <c r="M19" i="3"/>
  <c r="G46" i="3"/>
  <c r="N14" i="4"/>
  <c r="Q14" i="4" s="1"/>
  <c r="J17" i="3"/>
  <c r="N17" i="3"/>
  <c r="S17" i="3" s="1"/>
  <c r="F42" i="3"/>
  <c r="J15" i="3"/>
  <c r="Q17" i="3"/>
  <c r="G19" i="3"/>
  <c r="E46" i="3"/>
  <c r="F38" i="3"/>
  <c r="G40" i="3"/>
  <c r="M13" i="3"/>
  <c r="H24" i="3"/>
  <c r="J13" i="3"/>
  <c r="F13" i="4"/>
  <c r="H25" i="4" s="1"/>
  <c r="N12" i="3"/>
  <c r="R12" i="3" s="1"/>
  <c r="G38" i="4"/>
  <c r="R12" i="4"/>
  <c r="G38" i="3"/>
  <c r="M11" i="3"/>
  <c r="F30" i="3"/>
  <c r="E23" i="3"/>
  <c r="G12" i="3"/>
  <c r="E39" i="3"/>
  <c r="F23" i="3"/>
  <c r="G11" i="3"/>
  <c r="N11" i="3"/>
  <c r="R11" i="3" s="1"/>
  <c r="H42" i="4"/>
  <c r="N26" i="4"/>
  <c r="Q16" i="4"/>
  <c r="K26" i="3"/>
  <c r="M18" i="4"/>
  <c r="G44" i="4"/>
  <c r="J20" i="3"/>
  <c r="I26" i="3"/>
  <c r="F43" i="3"/>
  <c r="J16" i="4"/>
  <c r="L26" i="4" s="1"/>
  <c r="J16" i="3"/>
  <c r="P16" i="3" s="1"/>
  <c r="N16" i="3"/>
  <c r="S16" i="3" s="1"/>
  <c r="F40" i="4"/>
  <c r="E41" i="3"/>
  <c r="R17" i="4"/>
  <c r="N13" i="3"/>
  <c r="R13" i="3" s="1"/>
  <c r="G13" i="3"/>
  <c r="E25" i="3"/>
  <c r="E43" i="3"/>
  <c r="F18" i="4"/>
  <c r="G48" i="3"/>
  <c r="E48" i="3"/>
  <c r="G21" i="3"/>
  <c r="N19" i="3"/>
  <c r="S19" i="3" s="1"/>
  <c r="J19" i="3"/>
  <c r="F46" i="3"/>
  <c r="J21" i="3"/>
  <c r="N21" i="3"/>
  <c r="R21" i="3" s="1"/>
  <c r="Q21" i="3"/>
  <c r="F48" i="3"/>
  <c r="L27" i="3"/>
  <c r="M20" i="3"/>
  <c r="H27" i="3"/>
  <c r="N20" i="4"/>
  <c r="N28" i="4" s="1"/>
  <c r="K28" i="3"/>
  <c r="K27" i="3"/>
  <c r="J20" i="4"/>
  <c r="I27" i="3"/>
  <c r="Q20" i="3"/>
  <c r="I28" i="3"/>
  <c r="J19" i="4"/>
  <c r="R19" i="4" s="1"/>
  <c r="E27" i="3"/>
  <c r="F20" i="4"/>
  <c r="F27" i="3"/>
  <c r="N43" i="3"/>
  <c r="F31" i="3"/>
  <c r="N20" i="3"/>
  <c r="S20" i="3" s="1"/>
  <c r="G20" i="3"/>
  <c r="E28" i="3"/>
  <c r="I14" i="4"/>
  <c r="L24" i="3"/>
  <c r="L28" i="3"/>
  <c r="M18" i="3"/>
  <c r="L47" i="3"/>
  <c r="O20" i="3" s="1"/>
  <c r="F41" i="3"/>
  <c r="N18" i="3"/>
  <c r="F45" i="3"/>
  <c r="J14" i="3"/>
  <c r="Q18" i="3"/>
  <c r="H28" i="3"/>
  <c r="J18" i="3"/>
  <c r="H26" i="3"/>
  <c r="G14" i="3"/>
  <c r="N14" i="3"/>
  <c r="G18" i="3"/>
  <c r="F25" i="3"/>
  <c r="F26" i="3"/>
  <c r="F28" i="3"/>
  <c r="F34" i="3"/>
  <c r="E35" i="3"/>
  <c r="E31" i="3"/>
  <c r="F35" i="3"/>
  <c r="E24" i="3"/>
  <c r="E30" i="3"/>
  <c r="H37" i="4"/>
  <c r="Q11" i="4"/>
  <c r="L24" i="4"/>
  <c r="G39" i="4"/>
  <c r="K24" i="4"/>
  <c r="J24" i="4"/>
  <c r="M13" i="4"/>
  <c r="R15" i="4"/>
  <c r="F41" i="4"/>
  <c r="I15" i="4"/>
  <c r="G43" i="4"/>
  <c r="M17" i="4"/>
  <c r="R21" i="4"/>
  <c r="F47" i="4"/>
  <c r="I21" i="4"/>
  <c r="U21" i="4" s="1"/>
  <c r="H47" i="4"/>
  <c r="Q21" i="4"/>
  <c r="R11" i="4"/>
  <c r="I11" i="4"/>
  <c r="H41" i="4"/>
  <c r="Q15" i="4"/>
  <c r="O26" i="4"/>
  <c r="G37" i="4"/>
  <c r="F38" i="4"/>
  <c r="F43" i="4"/>
  <c r="F45" i="4"/>
  <c r="Q12" i="4"/>
  <c r="M14" i="4"/>
  <c r="G41" i="4"/>
  <c r="G47" i="4"/>
  <c r="I12" i="4"/>
  <c r="Q13" i="4"/>
  <c r="Q17" i="4"/>
  <c r="Q19" i="4"/>
  <c r="V15" i="3"/>
  <c r="U12" i="3"/>
  <c r="I24" i="3"/>
  <c r="H47" i="3"/>
  <c r="P47" i="3" s="1"/>
  <c r="V12" i="3"/>
  <c r="W12" i="3"/>
  <c r="Q14" i="3"/>
  <c r="I10" i="4" l="1"/>
  <c r="I23" i="4" s="1"/>
  <c r="G23" i="4"/>
  <c r="H45" i="3"/>
  <c r="P45" i="3" s="1"/>
  <c r="M24" i="3"/>
  <c r="H23" i="4"/>
  <c r="F36" i="4"/>
  <c r="F23" i="4"/>
  <c r="L44" i="3"/>
  <c r="O17" i="3" s="1"/>
  <c r="H26" i="4"/>
  <c r="L42" i="3"/>
  <c r="O15" i="3" s="1"/>
  <c r="H43" i="3"/>
  <c r="P43" i="3" s="1"/>
  <c r="G28" i="4"/>
  <c r="L40" i="3"/>
  <c r="O13" i="3" s="1"/>
  <c r="M28" i="3"/>
  <c r="P19" i="3"/>
  <c r="H40" i="3"/>
  <c r="P40" i="3" s="1"/>
  <c r="H44" i="3"/>
  <c r="P44" i="3" s="1"/>
  <c r="P17" i="3"/>
  <c r="L43" i="3"/>
  <c r="G26" i="4"/>
  <c r="M26" i="3"/>
  <c r="L48" i="3"/>
  <c r="O21" i="3" s="1"/>
  <c r="H46" i="3"/>
  <c r="P46" i="3" s="1"/>
  <c r="P15" i="3"/>
  <c r="S15" i="3"/>
  <c r="H42" i="3"/>
  <c r="P42" i="3" s="1"/>
  <c r="H32" i="4"/>
  <c r="G24" i="4"/>
  <c r="K26" i="4"/>
  <c r="L46" i="3"/>
  <c r="O19" i="3" s="1"/>
  <c r="F42" i="4"/>
  <c r="I16" i="4"/>
  <c r="H28" i="4"/>
  <c r="L45" i="3"/>
  <c r="O18" i="3" s="1"/>
  <c r="M27" i="3"/>
  <c r="H40" i="4"/>
  <c r="S40" i="4" s="1"/>
  <c r="T14" i="4" s="1"/>
  <c r="P12" i="3"/>
  <c r="H38" i="3"/>
  <c r="F39" i="4"/>
  <c r="S39" i="4" s="1"/>
  <c r="T13" i="4" s="1"/>
  <c r="I13" i="4"/>
  <c r="U13" i="4" s="1"/>
  <c r="F25" i="4"/>
  <c r="R13" i="4"/>
  <c r="G25" i="4"/>
  <c r="F24" i="4"/>
  <c r="H31" i="4"/>
  <c r="F31" i="4"/>
  <c r="G32" i="4"/>
  <c r="F32" i="4"/>
  <c r="H24" i="4"/>
  <c r="F30" i="4"/>
  <c r="H30" i="4"/>
  <c r="L39" i="3"/>
  <c r="O12" i="3" s="1"/>
  <c r="J24" i="3"/>
  <c r="S13" i="3"/>
  <c r="H39" i="3"/>
  <c r="P39" i="3" s="1"/>
  <c r="J26" i="3"/>
  <c r="P13" i="3"/>
  <c r="O28" i="4"/>
  <c r="R14" i="4"/>
  <c r="N24" i="4"/>
  <c r="P24" i="4"/>
  <c r="R17" i="3"/>
  <c r="N26" i="3"/>
  <c r="U12" i="4"/>
  <c r="I37" i="4"/>
  <c r="S12" i="3"/>
  <c r="G23" i="3"/>
  <c r="S11" i="3"/>
  <c r="R16" i="3"/>
  <c r="R16" i="4"/>
  <c r="M16" i="4"/>
  <c r="G42" i="4"/>
  <c r="J26" i="4"/>
  <c r="P18" i="3"/>
  <c r="J27" i="3"/>
  <c r="H41" i="3"/>
  <c r="P41" i="3" s="1"/>
  <c r="K28" i="4"/>
  <c r="G26" i="3"/>
  <c r="U14" i="4"/>
  <c r="L41" i="3"/>
  <c r="O14" i="3" s="1"/>
  <c r="N24" i="3"/>
  <c r="F44" i="4"/>
  <c r="I18" i="4"/>
  <c r="R19" i="3"/>
  <c r="R18" i="4"/>
  <c r="F26" i="4"/>
  <c r="G27" i="3"/>
  <c r="L27" i="4"/>
  <c r="M19" i="4"/>
  <c r="U19" i="4" s="1"/>
  <c r="G45" i="4"/>
  <c r="S45" i="4" s="1"/>
  <c r="T19" i="4" s="1"/>
  <c r="S21" i="3"/>
  <c r="P21" i="3"/>
  <c r="J28" i="3"/>
  <c r="L28" i="4"/>
  <c r="N27" i="4"/>
  <c r="O27" i="4"/>
  <c r="P27" i="4"/>
  <c r="H48" i="3"/>
  <c r="P48" i="3" s="1"/>
  <c r="P20" i="3"/>
  <c r="R20" i="4"/>
  <c r="R27" i="4" s="1"/>
  <c r="J28" i="4"/>
  <c r="K27" i="4"/>
  <c r="J27" i="4"/>
  <c r="H46" i="4"/>
  <c r="Q20" i="4"/>
  <c r="Q27" i="4" s="1"/>
  <c r="M20" i="4"/>
  <c r="G46" i="4"/>
  <c r="N27" i="3"/>
  <c r="R20" i="3"/>
  <c r="G28" i="3"/>
  <c r="I20" i="4"/>
  <c r="I27" i="4" s="1"/>
  <c r="F46" i="4"/>
  <c r="N28" i="3"/>
  <c r="H33" i="4"/>
  <c r="G33" i="4"/>
  <c r="G27" i="4"/>
  <c r="F33" i="4"/>
  <c r="F27" i="4"/>
  <c r="H27" i="4"/>
  <c r="F28" i="4"/>
  <c r="U11" i="4"/>
  <c r="U17" i="4"/>
  <c r="Q26" i="4"/>
  <c r="S18" i="3"/>
  <c r="R18" i="3"/>
  <c r="R14" i="3"/>
  <c r="S14" i="3"/>
  <c r="P14" i="3"/>
  <c r="G31" i="3"/>
  <c r="G24" i="3"/>
  <c r="G25" i="3"/>
  <c r="G35" i="3"/>
  <c r="G30" i="3"/>
  <c r="S37" i="4"/>
  <c r="T11" i="4" s="1"/>
  <c r="I43" i="4"/>
  <c r="S43" i="4"/>
  <c r="T17" i="4" s="1"/>
  <c r="U15" i="4"/>
  <c r="O24" i="4"/>
  <c r="M24" i="4"/>
  <c r="S24" i="4"/>
  <c r="Q24" i="4"/>
  <c r="S41" i="4"/>
  <c r="T15" i="4" s="1"/>
  <c r="I41" i="4"/>
  <c r="S38" i="4"/>
  <c r="T12" i="4" s="1"/>
  <c r="I38" i="4"/>
  <c r="S47" i="4"/>
  <c r="T21" i="4" s="1"/>
  <c r="I47" i="4"/>
  <c r="O27" i="3" l="1"/>
  <c r="O26" i="3"/>
  <c r="P26" i="3"/>
  <c r="R26" i="4"/>
  <c r="I39" i="4"/>
  <c r="O24" i="3"/>
  <c r="I30" i="4"/>
  <c r="U16" i="4"/>
  <c r="S26" i="4"/>
  <c r="S28" i="4"/>
  <c r="I45" i="4"/>
  <c r="I40" i="4"/>
  <c r="O28" i="3"/>
  <c r="I28" i="4"/>
  <c r="I25" i="4"/>
  <c r="I31" i="4"/>
  <c r="I24" i="4"/>
  <c r="I32" i="4"/>
  <c r="R24" i="4"/>
  <c r="W18" i="4"/>
  <c r="M27" i="4"/>
  <c r="M26" i="4"/>
  <c r="I33" i="4"/>
  <c r="S42" i="4"/>
  <c r="T16" i="4" s="1"/>
  <c r="I42" i="4"/>
  <c r="R28" i="4"/>
  <c r="S44" i="4"/>
  <c r="T18" i="4" s="1"/>
  <c r="I44" i="4"/>
  <c r="U18" i="4"/>
  <c r="I26" i="4"/>
  <c r="P27" i="3"/>
  <c r="Q28" i="4"/>
  <c r="P28" i="3"/>
  <c r="M28" i="4"/>
  <c r="S27" i="4"/>
  <c r="U20" i="4"/>
  <c r="U27" i="4" s="1"/>
  <c r="T24" i="4"/>
  <c r="I46" i="4"/>
  <c r="S46" i="4"/>
  <c r="T20" i="4" s="1"/>
  <c r="T27" i="4" s="1"/>
  <c r="P24" i="3"/>
  <c r="U24" i="4"/>
  <c r="U26" i="4" l="1"/>
  <c r="T26" i="4"/>
  <c r="U28" i="4"/>
  <c r="T28" i="4"/>
  <c r="I14" i="5" l="1"/>
  <c r="F14" i="5"/>
  <c r="E14" i="5" l="1"/>
  <c r="I10" i="3"/>
  <c r="J37" i="3" s="1"/>
  <c r="G4" i="7"/>
  <c r="G4" i="6"/>
  <c r="G5" i="7"/>
  <c r="M46" i="7" s="1"/>
  <c r="O46" i="7" s="1"/>
  <c r="J5" i="7" s="1"/>
  <c r="G5" i="6"/>
  <c r="M46" i="6" s="1"/>
  <c r="O46" i="6" s="1"/>
  <c r="J5" i="6" s="1"/>
  <c r="G14" i="5"/>
  <c r="K10" i="3"/>
  <c r="K35" i="3" s="1"/>
  <c r="H10" i="3"/>
  <c r="H25" i="3" s="1"/>
  <c r="I11" i="3"/>
  <c r="L14" i="5"/>
  <c r="H23" i="3" l="1"/>
  <c r="H30" i="3"/>
  <c r="H35" i="3"/>
  <c r="G37" i="3"/>
  <c r="G50" i="3" s="1"/>
  <c r="J10" i="4"/>
  <c r="L30" i="4" s="1"/>
  <c r="F37" i="3"/>
  <c r="N10" i="3"/>
  <c r="N35" i="3" s="1"/>
  <c r="I34" i="3"/>
  <c r="I23" i="3"/>
  <c r="I25" i="3"/>
  <c r="M45" i="6"/>
  <c r="O45" i="6" s="1"/>
  <c r="J4" i="6" s="1"/>
  <c r="G17" i="6"/>
  <c r="G19" i="6"/>
  <c r="G24" i="6"/>
  <c r="G25" i="6"/>
  <c r="J10" i="3"/>
  <c r="M45" i="7"/>
  <c r="O45" i="7" s="1"/>
  <c r="J4" i="7" s="1"/>
  <c r="G17" i="7"/>
  <c r="G24" i="7"/>
  <c r="G25" i="7"/>
  <c r="G19" i="7"/>
  <c r="H31" i="3"/>
  <c r="K14" i="5"/>
  <c r="K23" i="3"/>
  <c r="K25" i="3"/>
  <c r="L35" i="3"/>
  <c r="K30" i="3"/>
  <c r="K31" i="3"/>
  <c r="L25" i="3"/>
  <c r="M10" i="3"/>
  <c r="L31" i="3"/>
  <c r="L23" i="3"/>
  <c r="I30" i="3"/>
  <c r="N10" i="4"/>
  <c r="I35" i="3"/>
  <c r="L30" i="3"/>
  <c r="I33" i="3"/>
  <c r="J11" i="3"/>
  <c r="P11" i="3" s="1"/>
  <c r="R6" i="3" s="1"/>
  <c r="J38" i="3"/>
  <c r="I31" i="3"/>
  <c r="D14" i="5"/>
  <c r="M14" i="5"/>
  <c r="O14" i="5"/>
  <c r="K33" i="4" l="1"/>
  <c r="J23" i="4"/>
  <c r="J33" i="4"/>
  <c r="J30" i="4"/>
  <c r="L33" i="4"/>
  <c r="J25" i="4"/>
  <c r="L23" i="4"/>
  <c r="J32" i="4"/>
  <c r="L31" i="4"/>
  <c r="G36" i="4"/>
  <c r="K32" i="4"/>
  <c r="M10" i="4"/>
  <c r="M25" i="4" s="1"/>
  <c r="L25" i="4"/>
  <c r="L32" i="4"/>
  <c r="J31" i="4"/>
  <c r="K25" i="4"/>
  <c r="K23" i="4"/>
  <c r="R10" i="4"/>
  <c r="R23" i="4" s="1"/>
  <c r="N33" i="4"/>
  <c r="N30" i="4"/>
  <c r="Q10" i="4"/>
  <c r="S23" i="4" s="1"/>
  <c r="N23" i="4"/>
  <c r="L37" i="3"/>
  <c r="O10" i="3" s="1"/>
  <c r="P33" i="4"/>
  <c r="H36" i="4"/>
  <c r="H37" i="3"/>
  <c r="P37" i="3" s="1"/>
  <c r="N23" i="3"/>
  <c r="L33" i="3" s="1"/>
  <c r="S10" i="3"/>
  <c r="N25" i="3"/>
  <c r="R10" i="3"/>
  <c r="N31" i="3"/>
  <c r="N40" i="3" s="1"/>
  <c r="N30" i="3"/>
  <c r="P10" i="3"/>
  <c r="P35" i="3" s="1"/>
  <c r="O32" i="4"/>
  <c r="N31" i="4"/>
  <c r="J17" i="7"/>
  <c r="J19" i="7"/>
  <c r="J25" i="7"/>
  <c r="J24" i="7"/>
  <c r="J19" i="6"/>
  <c r="J25" i="6"/>
  <c r="J17" i="6"/>
  <c r="J24" i="6"/>
  <c r="N25" i="4"/>
  <c r="O23" i="4"/>
  <c r="P32" i="4"/>
  <c r="P31" i="4"/>
  <c r="O33" i="4"/>
  <c r="P25" i="4"/>
  <c r="P30" i="4"/>
  <c r="P23" i="4"/>
  <c r="N32" i="4"/>
  <c r="M30" i="3"/>
  <c r="M31" i="3"/>
  <c r="M25" i="3"/>
  <c r="M35" i="3"/>
  <c r="M23" i="3"/>
  <c r="J35" i="3"/>
  <c r="J31" i="3"/>
  <c r="J30" i="3"/>
  <c r="J23" i="3"/>
  <c r="J25" i="3"/>
  <c r="L38" i="3"/>
  <c r="O11" i="3" s="1"/>
  <c r="P38" i="3"/>
  <c r="N14" i="5"/>
  <c r="R30" i="4" l="1"/>
  <c r="R25" i="4"/>
  <c r="N34" i="4"/>
  <c r="R33" i="4"/>
  <c r="S33" i="4"/>
  <c r="N43" i="4"/>
  <c r="N38" i="4"/>
  <c r="N39" i="4"/>
  <c r="M32" i="4"/>
  <c r="M33" i="4"/>
  <c r="M31" i="4"/>
  <c r="R32" i="4"/>
  <c r="O25" i="4"/>
  <c r="M30" i="4"/>
  <c r="M23" i="4"/>
  <c r="S32" i="4"/>
  <c r="I36" i="4"/>
  <c r="N50" i="4" s="1"/>
  <c r="Q31" i="4"/>
  <c r="U10" i="4"/>
  <c r="U31" i="4" s="1"/>
  <c r="Q33" i="4"/>
  <c r="S36" i="4"/>
  <c r="T10" i="4" s="1"/>
  <c r="W10" i="4" s="1"/>
  <c r="N46" i="4"/>
  <c r="N42" i="4"/>
  <c r="N37" i="4"/>
  <c r="O30" i="3"/>
  <c r="Q25" i="4"/>
  <c r="Q32" i="4"/>
  <c r="Q30" i="4"/>
  <c r="N44" i="4"/>
  <c r="N45" i="4"/>
  <c r="N36" i="4"/>
  <c r="Q23" i="4"/>
  <c r="N40" i="4"/>
  <c r="N47" i="4"/>
  <c r="N41" i="4"/>
  <c r="N34" i="3"/>
  <c r="N38" i="3"/>
  <c r="N33" i="3"/>
  <c r="C35" i="3" s="1"/>
  <c r="P25" i="3"/>
  <c r="P30" i="3"/>
  <c r="P31" i="3"/>
  <c r="R34" i="3" s="1"/>
  <c r="P23" i="3"/>
  <c r="N50" i="3"/>
  <c r="N51" i="3"/>
  <c r="O23" i="3"/>
  <c r="O35" i="3"/>
  <c r="O25" i="3"/>
  <c r="O31" i="3"/>
  <c r="O41" i="3" s="1"/>
  <c r="O33" i="3"/>
  <c r="U32" i="4" l="1"/>
  <c r="U23" i="4"/>
  <c r="U30" i="4"/>
  <c r="U25" i="4"/>
  <c r="U33" i="4"/>
  <c r="N49" i="4"/>
  <c r="I49" i="4"/>
  <c r="T23" i="4"/>
  <c r="T33" i="4"/>
  <c r="P34" i="4"/>
  <c r="T25" i="4"/>
  <c r="T31" i="4"/>
  <c r="T30" i="4"/>
  <c r="T32" i="4"/>
  <c r="U34" i="4"/>
  <c r="H14" i="5" l="1"/>
  <c r="P14" i="5" s="1"/>
  <c r="P6" i="5"/>
  <c r="N48" i="10" l="1"/>
  <c r="J48" i="10"/>
  <c r="M21" i="10" s="1"/>
  <c r="N47" i="10"/>
  <c r="J47" i="10"/>
  <c r="M20" i="10" s="1"/>
  <c r="N46" i="10"/>
  <c r="J46" i="10"/>
  <c r="M19" i="10" s="1"/>
  <c r="N45" i="10"/>
  <c r="J45" i="10"/>
  <c r="M18" i="10" s="1"/>
  <c r="N44" i="10"/>
  <c r="J44" i="10"/>
  <c r="N43" i="10"/>
  <c r="J43" i="10"/>
  <c r="N42" i="10"/>
  <c r="J42" i="10"/>
  <c r="M15" i="10" s="1"/>
  <c r="N41" i="10"/>
  <c r="J41" i="10"/>
  <c r="M14" i="10" s="1"/>
  <c r="N40" i="10"/>
  <c r="J40" i="10"/>
  <c r="M13" i="10" s="1"/>
  <c r="M24" i="10" s="1"/>
  <c r="N39" i="10"/>
  <c r="J39" i="10"/>
  <c r="M12" i="10" s="1"/>
  <c r="N38" i="10"/>
  <c r="J38" i="10"/>
  <c r="M11" i="10" s="1"/>
  <c r="N37" i="10"/>
  <c r="J37" i="10"/>
  <c r="M17" i="10"/>
  <c r="M16" i="10"/>
  <c r="M10" i="10"/>
  <c r="K44" i="11"/>
  <c r="K43" i="11"/>
  <c r="P41" i="11"/>
  <c r="Q15" i="11" s="1"/>
  <c r="K41" i="11"/>
  <c r="P40" i="11"/>
  <c r="K40" i="11"/>
  <c r="P39" i="11"/>
  <c r="K39" i="11"/>
  <c r="P38" i="11"/>
  <c r="K38" i="11"/>
  <c r="P37" i="11"/>
  <c r="Q11" i="11" s="1"/>
  <c r="K37" i="11"/>
  <c r="P36" i="11"/>
  <c r="K36" i="11"/>
  <c r="P35" i="11"/>
  <c r="Q9" i="11" s="1"/>
  <c r="K35" i="11"/>
  <c r="P34" i="11"/>
  <c r="Q8" i="11" s="1"/>
  <c r="K34" i="11"/>
  <c r="P33" i="11"/>
  <c r="K33" i="11"/>
  <c r="P32" i="11"/>
  <c r="K32" i="11"/>
  <c r="P31" i="11"/>
  <c r="Q5" i="11" s="1"/>
  <c r="K31" i="11"/>
  <c r="P30" i="11"/>
  <c r="Q4" i="11" s="1"/>
  <c r="K30" i="11"/>
  <c r="P27" i="11"/>
  <c r="M27" i="11"/>
  <c r="L27" i="11"/>
  <c r="I27" i="11"/>
  <c r="H27" i="11"/>
  <c r="E27" i="11"/>
  <c r="D27" i="11"/>
  <c r="P26" i="11"/>
  <c r="M26" i="11"/>
  <c r="L26" i="11"/>
  <c r="I26" i="11"/>
  <c r="H26" i="11"/>
  <c r="E26" i="11"/>
  <c r="D26" i="11"/>
  <c r="M25" i="11"/>
  <c r="I25" i="11"/>
  <c r="E25" i="11"/>
  <c r="M24" i="11"/>
  <c r="I24" i="11"/>
  <c r="E24" i="11"/>
  <c r="P22" i="11"/>
  <c r="L22" i="11"/>
  <c r="I22" i="11"/>
  <c r="H22" i="11"/>
  <c r="E22" i="11"/>
  <c r="D22" i="11"/>
  <c r="P21" i="11"/>
  <c r="M21" i="11"/>
  <c r="L21" i="11"/>
  <c r="I21" i="11"/>
  <c r="H21" i="11"/>
  <c r="E21" i="11"/>
  <c r="D21" i="11"/>
  <c r="P20" i="11"/>
  <c r="L20" i="11"/>
  <c r="I20" i="11"/>
  <c r="H20" i="11"/>
  <c r="E20" i="11"/>
  <c r="D20" i="11"/>
  <c r="M19" i="11"/>
  <c r="L19" i="11"/>
  <c r="I19" i="11"/>
  <c r="H19" i="11"/>
  <c r="E19" i="11"/>
  <c r="D19" i="11"/>
  <c r="P18" i="11"/>
  <c r="M18" i="11"/>
  <c r="L18" i="11"/>
  <c r="I18" i="11"/>
  <c r="H18" i="11"/>
  <c r="E18" i="11"/>
  <c r="D18" i="11"/>
  <c r="P17" i="11"/>
  <c r="M17" i="11"/>
  <c r="L17" i="11"/>
  <c r="I17" i="11"/>
  <c r="H17" i="11"/>
  <c r="E17" i="11"/>
  <c r="D17" i="11"/>
  <c r="Q14" i="11"/>
  <c r="Q13" i="11"/>
  <c r="Q21" i="11" s="1"/>
  <c r="Q12" i="11"/>
  <c r="Q10" i="11"/>
  <c r="Q7" i="11"/>
  <c r="Q6" i="11"/>
  <c r="Q17" i="11" l="1"/>
  <c r="Q20" i="11"/>
  <c r="M28" i="10"/>
  <c r="Q24" i="11"/>
  <c r="Q22" i="11"/>
  <c r="M26" i="10"/>
  <c r="L50" i="10"/>
  <c r="M28" i="11"/>
  <c r="Q19" i="11"/>
  <c r="Q18" i="11"/>
  <c r="Q27" i="11"/>
  <c r="R28" i="11"/>
  <c r="M31" i="10"/>
  <c r="M41" i="10" s="1"/>
  <c r="M23" i="10"/>
  <c r="M25" i="10"/>
  <c r="M27" i="10"/>
  <c r="M30" i="10"/>
  <c r="L51" i="10"/>
  <c r="Q26" i="11"/>
  <c r="M35" i="10"/>
  <c r="M33" i="10"/>
  <c r="Q25" i="11"/>
</calcChain>
</file>

<file path=xl/sharedStrings.xml><?xml version="1.0" encoding="utf-8"?>
<sst xmlns="http://schemas.openxmlformats.org/spreadsheetml/2006/main" count="670" uniqueCount="80">
  <si>
    <t xml:space="preserve">Actual </t>
  </si>
  <si>
    <t>Outlook</t>
  </si>
  <si>
    <t>Budget</t>
  </si>
  <si>
    <t>Month</t>
  </si>
  <si>
    <t>BoCT</t>
  </si>
  <si>
    <t>Non BoCT</t>
  </si>
  <si>
    <t>Direct barge</t>
  </si>
  <si>
    <t>Total Shipment ITM by Month</t>
  </si>
  <si>
    <t>Remark</t>
  </si>
  <si>
    <t>ton</t>
  </si>
  <si>
    <r>
      <rPr>
        <b/>
        <sz val="14"/>
        <color rgb="FFFF0000"/>
        <rFont val="Calibri"/>
        <family val="2"/>
        <scheme val="minor"/>
      </rPr>
      <t>Dem</t>
    </r>
    <r>
      <rPr>
        <b/>
        <sz val="14"/>
        <color rgb="FF0070C0"/>
        <rFont val="Calibri"/>
        <family val="2"/>
        <scheme val="minor"/>
      </rPr>
      <t xml:space="preserve"> /</t>
    </r>
    <r>
      <rPr>
        <b/>
        <sz val="14"/>
        <color rgb="FF0000FF"/>
        <rFont val="Calibri"/>
        <family val="2"/>
        <scheme val="minor"/>
      </rPr>
      <t>Desp</t>
    </r>
  </si>
  <si>
    <t>$</t>
  </si>
  <si>
    <r>
      <rPr>
        <b/>
        <sz val="14"/>
        <color rgb="FFFF0000"/>
        <rFont val="Calibri"/>
        <family val="2"/>
        <scheme val="minor"/>
      </rPr>
      <t xml:space="preserve">Dem </t>
    </r>
    <r>
      <rPr>
        <b/>
        <sz val="14"/>
        <color rgb="FF0070C0"/>
        <rFont val="Calibri"/>
        <family val="2"/>
        <scheme val="minor"/>
      </rPr>
      <t>/</t>
    </r>
    <r>
      <rPr>
        <b/>
        <sz val="14"/>
        <color rgb="FF0000FF"/>
        <rFont val="Calibri"/>
        <family val="2"/>
        <scheme val="minor"/>
      </rPr>
      <t>Desp</t>
    </r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</si>
  <si>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</si>
  <si>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</si>
  <si>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</si>
  <si>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</si>
  <si>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</si>
  <si>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</si>
  <si>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</si>
  <si>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</si>
  <si>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</si>
  <si>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</si>
  <si>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</si>
  <si>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</si>
  <si>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Actual Q1</t>
  </si>
  <si>
    <t>Actual Q2</t>
  </si>
  <si>
    <t>Act Smstr 1</t>
  </si>
  <si>
    <t>Act Q3</t>
  </si>
  <si>
    <t>Prediction Q4</t>
  </si>
  <si>
    <t>Prediction Smstr 2</t>
  </si>
  <si>
    <t>Act Jan-Jun24</t>
  </si>
  <si>
    <t>Predict Jan-Dec'24</t>
  </si>
  <si>
    <t>in K ton</t>
  </si>
  <si>
    <t>`</t>
  </si>
  <si>
    <t>Actual S1</t>
  </si>
  <si>
    <t>Prediction Q3</t>
  </si>
  <si>
    <t>Prediction S2</t>
  </si>
  <si>
    <t>Predict Jan-Dec '26</t>
  </si>
  <si>
    <t>Predict Jan - Dec 2025</t>
  </si>
  <si>
    <t>* in K ton</t>
  </si>
  <si>
    <r>
      <rPr>
        <b/>
        <sz val="14"/>
        <color rgb="FFFF0000"/>
        <rFont val="Calibri"/>
        <family val="2"/>
        <scheme val="minor"/>
      </rPr>
      <t>Pen</t>
    </r>
    <r>
      <rPr>
        <b/>
        <sz val="14"/>
        <color rgb="FF0070C0"/>
        <rFont val="Calibri"/>
        <family val="2"/>
        <scheme val="minor"/>
      </rPr>
      <t>/Bons</t>
    </r>
  </si>
  <si>
    <t>Actual Smstr 1</t>
  </si>
  <si>
    <t>Actual Q3</t>
  </si>
  <si>
    <t>Actual Jan-Jun'20</t>
  </si>
  <si>
    <t>Predict Jan-Dec'20</t>
  </si>
  <si>
    <t>Tonnage (Ton)</t>
  </si>
  <si>
    <t>Budget Penalty ($/ton)</t>
  </si>
  <si>
    <t>Averge Budget</t>
  </si>
  <si>
    <t>Actual/Prediction Penalty ($/ton)</t>
  </si>
  <si>
    <t>Averge penalty Actual ITM</t>
  </si>
  <si>
    <t>Averge penalty Actual Non BoCT</t>
  </si>
  <si>
    <t>Total</t>
  </si>
  <si>
    <t>Actual/Prediction Demurage ($/ton)</t>
  </si>
  <si>
    <t>Averge demmurage Actual ITM</t>
  </si>
  <si>
    <t>Prediction Q1</t>
  </si>
  <si>
    <t>Prediction Q2</t>
  </si>
  <si>
    <t>Prediction Smstr 1</t>
  </si>
  <si>
    <t>Predict Jan-Jun'21</t>
  </si>
  <si>
    <t>Predict Jan-Dec'21</t>
  </si>
  <si>
    <t>Actual Jan-Jun'19</t>
  </si>
  <si>
    <t>Direct Barge</t>
  </si>
  <si>
    <t>Total ITM by Month</t>
  </si>
  <si>
    <t>Act/Est</t>
  </si>
  <si>
    <t>$ Act/Pred</t>
  </si>
  <si>
    <t>Prediction Smst2</t>
  </si>
  <si>
    <t>Actual Jan-Nov</t>
  </si>
  <si>
    <t>Prediction Jan-Apr'15</t>
  </si>
  <si>
    <t>Prediction Jan-Jun'19</t>
  </si>
  <si>
    <t>Budget (Ton)</t>
  </si>
  <si>
    <t>Averge Actual</t>
  </si>
  <si>
    <t>Penalty</t>
  </si>
  <si>
    <t>Completed</t>
  </si>
  <si>
    <t>FC Outlook/Dem Prediction</t>
  </si>
  <si>
    <t>Demurage</t>
  </si>
  <si>
    <t>Plan</t>
  </si>
  <si>
    <t>Actual/Outlook</t>
  </si>
  <si>
    <t>Tonnage</t>
  </si>
  <si>
    <r>
      <t>Actual/</t>
    </r>
    <r>
      <rPr>
        <sz val="11"/>
        <color theme="8"/>
        <rFont val="Calibri"/>
        <family val="2"/>
        <scheme val="minor"/>
      </rPr>
      <t>Outlook</t>
    </r>
  </si>
  <si>
    <t>Actual Jan-Jun'21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</si>
</sst>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0_);[Red]\(0.00\)"/>
    <numFmt numFmtId="165" formatCode="_(* #,##0.000000_);_(* \(#,##0.000000\);_(* &quot;-&quot;??_);_(@_)"/>
    <numFmt numFmtId="166" formatCode="_(* #,##0_);_(* \(#,##0\);_(* &quot;-&quot;??_);_(@_)"/>
    <numFmt numFmtId="167" formatCode="0.000"/>
    <numFmt numFmtId="168" formatCode="0_);[Red]\(0\)"/>
    <numFmt numFmtId="169" formatCode="#,##0.000_);[Red]\(#,##0.000\)"/>
    <numFmt numFmtId="170" formatCode="0.000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5" tint="0.59999389629810485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0000FF"/>
      <name val="Courier New"/>
      <family val="3"/>
    </font>
    <font>
      <sz val="14"/>
      <color rgb="FFFF0000"/>
      <name val="Calibri"/>
      <family val="2"/>
      <scheme val="minor"/>
    </font>
    <font>
      <b/>
      <sz val="14"/>
      <color theme="9" tint="0.59999389629810485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2"/>
      <color theme="8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4"/>
      <color theme="8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rgb="FF4472C4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A9D08E"/>
      <name val="Calibri"/>
      <family val="2"/>
      <scheme val="minor"/>
    </font>
    <font>
      <sz val="14"/>
      <color theme="5" tint="0.59999389629810485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gradientFill degree="90">
        <stop position="0">
          <color theme="0"/>
        </stop>
        <stop position="1">
          <color theme="5" tint="0.40000610370189521"/>
        </stop>
      </gradientFill>
    </fill>
    <fill>
      <patternFill patternType="solid">
        <fgColor theme="4" tint="0.59999389629810485"/>
        <bgColor theme="0" tint="-0.24994659260841701"/>
      </patternFill>
    </fill>
    <fill>
      <gradientFill degree="90">
        <stop position="0">
          <color theme="0"/>
        </stop>
        <stop position="1">
          <color rgb="FFFFFF00"/>
        </stop>
      </gradient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theme="0" tint="-0.24994659260841701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theme="0" tint="-0.24994659260841701"/>
      </patternFill>
    </fill>
    <fill>
      <patternFill patternType="solid">
        <fgColor theme="5" tint="0.59999389629810485"/>
        <bgColor theme="0" tint="-0.24994659260841701"/>
      </patternFill>
    </fill>
    <fill>
      <patternFill patternType="solid">
        <fgColor theme="8" tint="0.39997558519241921"/>
        <bgColor theme="0" tint="-0.24994659260841701"/>
      </patternFill>
    </fill>
    <fill>
      <patternFill patternType="solid">
        <fgColor theme="4" tint="0.39997558519241921"/>
        <bgColor theme="0" tint="-0.24994659260841701"/>
      </patternFill>
    </fill>
    <fill>
      <patternFill patternType="solid">
        <fgColor rgb="FFA9D08E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621">
    <xf numFmtId="0" fontId="0" fillId="0" borderId="0" xfId="0"/>
    <xf numFmtId="0" fontId="0" fillId="2" borderId="0" xfId="0" applyFill="1"/>
    <xf numFmtId="3" fontId="0" fillId="2" borderId="0" xfId="0" applyNumberFormat="1" applyFill="1"/>
    <xf numFmtId="0" fontId="3" fillId="4" borderId="0" xfId="0" applyFont="1" applyFill="1"/>
    <xf numFmtId="0" fontId="3" fillId="5" borderId="0" xfId="0" applyFont="1" applyFill="1"/>
    <xf numFmtId="2" fontId="0" fillId="2" borderId="0" xfId="0" applyNumberFormat="1" applyFill="1"/>
    <xf numFmtId="9" fontId="0" fillId="2" borderId="0" xfId="2" applyFont="1" applyFill="1"/>
    <xf numFmtId="3" fontId="2" fillId="2" borderId="0" xfId="0" applyNumberFormat="1" applyFont="1" applyFill="1"/>
    <xf numFmtId="43" fontId="0" fillId="2" borderId="0" xfId="1" applyFont="1" applyFill="1"/>
    <xf numFmtId="0" fontId="10" fillId="2" borderId="4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64" fontId="11" fillId="2" borderId="0" xfId="0" applyNumberFormat="1" applyFont="1" applyFill="1" applyAlignment="1">
      <alignment horizontal="center" vertical="center"/>
    </xf>
    <xf numFmtId="38" fontId="11" fillId="2" borderId="0" xfId="0" applyNumberFormat="1" applyFont="1" applyFill="1" applyAlignment="1">
      <alignment horizontal="center" vertical="center"/>
    </xf>
    <xf numFmtId="40" fontId="11" fillId="2" borderId="0" xfId="0" applyNumberFormat="1" applyFont="1" applyFill="1" applyAlignment="1">
      <alignment horizontal="center" vertical="center"/>
    </xf>
    <xf numFmtId="4" fontId="10" fillId="2" borderId="0" xfId="0" applyNumberFormat="1" applyFont="1" applyFill="1" applyAlignment="1">
      <alignment horizontal="center" vertical="center"/>
    </xf>
    <xf numFmtId="3" fontId="10" fillId="2" borderId="0" xfId="0" applyNumberFormat="1" applyFont="1" applyFill="1" applyAlignment="1">
      <alignment horizontal="center" vertical="center"/>
    </xf>
    <xf numFmtId="4" fontId="10" fillId="2" borderId="2" xfId="0" applyNumberFormat="1" applyFont="1" applyFill="1" applyBorder="1"/>
    <xf numFmtId="164" fontId="11" fillId="2" borderId="2" xfId="0" applyNumberFormat="1" applyFont="1" applyFill="1" applyBorder="1"/>
    <xf numFmtId="38" fontId="11" fillId="2" borderId="2" xfId="0" applyNumberFormat="1" applyFont="1" applyFill="1" applyBorder="1"/>
    <xf numFmtId="0" fontId="7" fillId="6" borderId="6" xfId="0" applyFont="1" applyFill="1" applyBorder="1" applyAlignment="1">
      <alignment horizontal="left"/>
    </xf>
    <xf numFmtId="164" fontId="4" fillId="6" borderId="6" xfId="0" applyNumberFormat="1" applyFont="1" applyFill="1" applyBorder="1" applyAlignment="1">
      <alignment horizontal="center"/>
    </xf>
    <xf numFmtId="3" fontId="7" fillId="6" borderId="6" xfId="0" applyNumberFormat="1" applyFont="1" applyFill="1" applyBorder="1" applyAlignment="1">
      <alignment horizontal="center" vertical="center"/>
    </xf>
    <xf numFmtId="38" fontId="4" fillId="6" borderId="6" xfId="0" applyNumberFormat="1" applyFont="1" applyFill="1" applyBorder="1"/>
    <xf numFmtId="3" fontId="7" fillId="6" borderId="6" xfId="0" applyNumberFormat="1" applyFont="1" applyFill="1" applyBorder="1" applyAlignment="1">
      <alignment horizontal="center"/>
    </xf>
    <xf numFmtId="0" fontId="7" fillId="6" borderId="6" xfId="0" applyFont="1" applyFill="1" applyBorder="1" applyAlignment="1">
      <alignment horizontal="left" vertical="center"/>
    </xf>
    <xf numFmtId="3" fontId="7" fillId="6" borderId="6" xfId="0" applyNumberFormat="1" applyFont="1" applyFill="1" applyBorder="1"/>
    <xf numFmtId="3" fontId="6" fillId="6" borderId="6" xfId="0" applyNumberFormat="1" applyFont="1" applyFill="1" applyBorder="1" applyAlignment="1">
      <alignment horizontal="center"/>
    </xf>
    <xf numFmtId="3" fontId="6" fillId="6" borderId="7" xfId="0" applyNumberFormat="1" applyFont="1" applyFill="1" applyBorder="1" applyAlignment="1">
      <alignment horizontal="center"/>
    </xf>
    <xf numFmtId="3" fontId="7" fillId="6" borderId="2" xfId="0" applyNumberFormat="1" applyFont="1" applyFill="1" applyBorder="1"/>
    <xf numFmtId="164" fontId="4" fillId="6" borderId="2" xfId="0" applyNumberFormat="1" applyFont="1" applyFill="1" applyBorder="1" applyAlignment="1">
      <alignment horizontal="center"/>
    </xf>
    <xf numFmtId="38" fontId="4" fillId="6" borderId="2" xfId="0" applyNumberFormat="1" applyFont="1" applyFill="1" applyBorder="1"/>
    <xf numFmtId="164" fontId="12" fillId="2" borderId="0" xfId="0" applyNumberFormat="1" applyFont="1" applyFill="1"/>
    <xf numFmtId="38" fontId="12" fillId="2" borderId="0" xfId="0" applyNumberFormat="1" applyFont="1" applyFill="1"/>
    <xf numFmtId="0" fontId="0" fillId="2" borderId="0" xfId="0" applyFill="1" applyAlignment="1">
      <alignment horizontal="center" vertical="center"/>
    </xf>
    <xf numFmtId="0" fontId="13" fillId="2" borderId="0" xfId="0" applyFont="1" applyFill="1"/>
    <xf numFmtId="3" fontId="13" fillId="2" borderId="0" xfId="0" applyNumberFormat="1" applyFont="1" applyFill="1"/>
    <xf numFmtId="0" fontId="0" fillId="2" borderId="2" xfId="0" applyFill="1" applyBorder="1"/>
    <xf numFmtId="164" fontId="12" fillId="2" borderId="2" xfId="0" applyNumberFormat="1" applyFont="1" applyFill="1" applyBorder="1" applyAlignment="1">
      <alignment horizontal="center"/>
    </xf>
    <xf numFmtId="38" fontId="12" fillId="2" borderId="2" xfId="0" applyNumberFormat="1" applyFont="1" applyFill="1" applyBorder="1"/>
    <xf numFmtId="165" fontId="0" fillId="2" borderId="0" xfId="1" applyNumberFormat="1" applyFont="1" applyFill="1"/>
    <xf numFmtId="0" fontId="14" fillId="2" borderId="2" xfId="0" applyFont="1" applyFill="1" applyBorder="1"/>
    <xf numFmtId="3" fontId="7" fillId="2" borderId="2" xfId="0" applyNumberFormat="1" applyFont="1" applyFill="1" applyBorder="1"/>
    <xf numFmtId="164" fontId="4" fillId="2" borderId="2" xfId="0" applyNumberFormat="1" applyFont="1" applyFill="1" applyBorder="1" applyAlignment="1">
      <alignment horizontal="center"/>
    </xf>
    <xf numFmtId="38" fontId="4" fillId="2" borderId="2" xfId="0" applyNumberFormat="1" applyFont="1" applyFill="1" applyBorder="1"/>
    <xf numFmtId="3" fontId="7" fillId="2" borderId="2" xfId="0" applyNumberFormat="1" applyFont="1" applyFill="1" applyBorder="1" applyAlignment="1">
      <alignment horizontal="center" vertical="center"/>
    </xf>
    <xf numFmtId="3" fontId="6" fillId="2" borderId="2" xfId="0" applyNumberFormat="1" applyFont="1" applyFill="1" applyBorder="1" applyAlignment="1">
      <alignment horizontal="center"/>
    </xf>
    <xf numFmtId="3" fontId="6" fillId="2" borderId="3" xfId="0" applyNumberFormat="1" applyFont="1" applyFill="1" applyBorder="1" applyAlignment="1">
      <alignment horizontal="center"/>
    </xf>
    <xf numFmtId="0" fontId="14" fillId="2" borderId="0" xfId="0" applyFont="1" applyFill="1"/>
    <xf numFmtId="3" fontId="7" fillId="2" borderId="0" xfId="0" applyNumberFormat="1" applyFont="1" applyFill="1"/>
    <xf numFmtId="2" fontId="6" fillId="2" borderId="0" xfId="0" applyNumberFormat="1" applyFont="1" applyFill="1" applyAlignment="1">
      <alignment horizontal="center"/>
    </xf>
    <xf numFmtId="4" fontId="7" fillId="2" borderId="0" xfId="0" applyNumberFormat="1" applyFont="1" applyFill="1"/>
    <xf numFmtId="3" fontId="7" fillId="2" borderId="0" xfId="0" applyNumberFormat="1" applyFont="1" applyFill="1" applyAlignment="1">
      <alignment horizontal="center" vertical="center"/>
    </xf>
    <xf numFmtId="3" fontId="7" fillId="2" borderId="0" xfId="0" applyNumberFormat="1" applyFont="1" applyFill="1" applyAlignment="1">
      <alignment horizontal="center"/>
    </xf>
    <xf numFmtId="166" fontId="0" fillId="2" borderId="0" xfId="1" applyNumberFormat="1" applyFont="1" applyFill="1"/>
    <xf numFmtId="9" fontId="7" fillId="2" borderId="0" xfId="2" applyFont="1" applyFill="1" applyBorder="1" applyAlignment="1">
      <alignment horizontal="center"/>
    </xf>
    <xf numFmtId="166" fontId="0" fillId="2" borderId="0" xfId="0" applyNumberFormat="1" applyFill="1"/>
    <xf numFmtId="43" fontId="6" fillId="2" borderId="0" xfId="1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3" fontId="0" fillId="2" borderId="0" xfId="0" applyNumberFormat="1" applyFill="1" applyAlignment="1">
      <alignment horizontal="center"/>
    </xf>
    <xf numFmtId="4" fontId="0" fillId="2" borderId="0" xfId="0" applyNumberFormat="1" applyFill="1"/>
    <xf numFmtId="164" fontId="0" fillId="2" borderId="0" xfId="0" applyNumberFormat="1" applyFill="1"/>
    <xf numFmtId="40" fontId="0" fillId="2" borderId="0" xfId="0" applyNumberFormat="1" applyFill="1"/>
    <xf numFmtId="38" fontId="0" fillId="2" borderId="0" xfId="0" applyNumberFormat="1" applyFill="1"/>
    <xf numFmtId="3" fontId="0" fillId="2" borderId="2" xfId="0" applyNumberForma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 vertical="center"/>
    </xf>
    <xf numFmtId="167" fontId="0" fillId="2" borderId="0" xfId="0" applyNumberFormat="1" applyFill="1"/>
    <xf numFmtId="0" fontId="0" fillId="3" borderId="0" xfId="0" applyFill="1"/>
    <xf numFmtId="40" fontId="15" fillId="0" borderId="2" xfId="1" applyNumberFormat="1" applyFont="1" applyBorder="1" applyAlignment="1">
      <alignment horizontal="center"/>
    </xf>
    <xf numFmtId="40" fontId="15" fillId="0" borderId="0" xfId="1" applyNumberFormat="1" applyFont="1" applyBorder="1" applyAlignment="1">
      <alignment horizontal="center"/>
    </xf>
    <xf numFmtId="2" fontId="10" fillId="2" borderId="0" xfId="0" applyNumberFormat="1" applyFont="1" applyFill="1" applyAlignment="1">
      <alignment horizontal="center" vertical="center"/>
    </xf>
    <xf numFmtId="2" fontId="16" fillId="2" borderId="0" xfId="0" applyNumberFormat="1" applyFont="1" applyFill="1" applyAlignment="1">
      <alignment horizontal="center" vertical="center"/>
    </xf>
    <xf numFmtId="38" fontId="10" fillId="2" borderId="0" xfId="0" applyNumberFormat="1" applyFont="1" applyFill="1" applyAlignment="1">
      <alignment horizontal="center" vertical="center"/>
    </xf>
    <xf numFmtId="0" fontId="10" fillId="2" borderId="0" xfId="0" applyFont="1" applyFill="1"/>
    <xf numFmtId="164" fontId="11" fillId="2" borderId="0" xfId="0" applyNumberFormat="1" applyFont="1" applyFill="1"/>
    <xf numFmtId="38" fontId="10" fillId="2" borderId="0" xfId="0" applyNumberFormat="1" applyFont="1" applyFill="1" applyAlignment="1">
      <alignment horizontal="center"/>
    </xf>
    <xf numFmtId="4" fontId="10" fillId="2" borderId="0" xfId="0" applyNumberFormat="1" applyFont="1" applyFill="1"/>
    <xf numFmtId="38" fontId="10" fillId="2" borderId="11" xfId="0" applyNumberFormat="1" applyFont="1" applyFill="1" applyBorder="1"/>
    <xf numFmtId="40" fontId="4" fillId="6" borderId="2" xfId="0" applyNumberFormat="1" applyFont="1" applyFill="1" applyBorder="1" applyAlignment="1">
      <alignment horizontal="center"/>
    </xf>
    <xf numFmtId="38" fontId="4" fillId="6" borderId="2" xfId="0" applyNumberFormat="1" applyFont="1" applyFill="1" applyBorder="1" applyAlignment="1">
      <alignment horizontal="center"/>
    </xf>
    <xf numFmtId="3" fontId="7" fillId="6" borderId="2" xfId="0" applyNumberFormat="1" applyFont="1" applyFill="1" applyBorder="1" applyAlignment="1">
      <alignment horizontal="center" vertical="center"/>
    </xf>
    <xf numFmtId="2" fontId="4" fillId="6" borderId="2" xfId="0" applyNumberFormat="1" applyFont="1" applyFill="1" applyBorder="1" applyAlignment="1">
      <alignment horizontal="center"/>
    </xf>
    <xf numFmtId="38" fontId="4" fillId="6" borderId="2" xfId="0" applyNumberFormat="1" applyFont="1" applyFill="1" applyBorder="1" applyAlignment="1">
      <alignment horizontal="right"/>
    </xf>
    <xf numFmtId="164" fontId="4" fillId="6" borderId="2" xfId="0" applyNumberFormat="1" applyFont="1" applyFill="1" applyBorder="1" applyAlignment="1">
      <alignment horizontal="center" vertical="center"/>
    </xf>
    <xf numFmtId="38" fontId="6" fillId="6" borderId="2" xfId="0" applyNumberFormat="1" applyFont="1" applyFill="1" applyBorder="1" applyAlignment="1">
      <alignment horizontal="right"/>
    </xf>
    <xf numFmtId="3" fontId="7" fillId="6" borderId="2" xfId="0" applyNumberFormat="1" applyFont="1" applyFill="1" applyBorder="1" applyAlignment="1">
      <alignment horizontal="center"/>
    </xf>
    <xf numFmtId="38" fontId="6" fillId="6" borderId="2" xfId="0" applyNumberFormat="1" applyFont="1" applyFill="1" applyBorder="1"/>
    <xf numFmtId="40" fontId="12" fillId="2" borderId="0" xfId="0" applyNumberFormat="1" applyFont="1" applyFill="1"/>
    <xf numFmtId="38" fontId="12" fillId="2" borderId="0" xfId="0" applyNumberFormat="1" applyFont="1" applyFill="1" applyAlignment="1">
      <alignment horizontal="center"/>
    </xf>
    <xf numFmtId="2" fontId="12" fillId="2" borderId="0" xfId="0" applyNumberFormat="1" applyFont="1" applyFill="1"/>
    <xf numFmtId="164" fontId="12" fillId="2" borderId="0" xfId="0" applyNumberFormat="1" applyFont="1" applyFill="1" applyAlignment="1">
      <alignment horizontal="center" vertical="center"/>
    </xf>
    <xf numFmtId="38" fontId="2" fillId="2" borderId="0" xfId="0" applyNumberFormat="1" applyFont="1" applyFill="1"/>
    <xf numFmtId="2" fontId="2" fillId="2" borderId="0" xfId="0" applyNumberFormat="1" applyFont="1" applyFill="1" applyAlignment="1">
      <alignment horizontal="center"/>
    </xf>
    <xf numFmtId="38" fontId="2" fillId="2" borderId="11" xfId="0" applyNumberFormat="1" applyFont="1" applyFill="1" applyBorder="1"/>
    <xf numFmtId="0" fontId="14" fillId="8" borderId="2" xfId="0" applyFont="1" applyFill="1" applyBorder="1"/>
    <xf numFmtId="3" fontId="7" fillId="8" borderId="2" xfId="0" applyNumberFormat="1" applyFont="1" applyFill="1" applyBorder="1"/>
    <xf numFmtId="40" fontId="4" fillId="8" borderId="2" xfId="0" applyNumberFormat="1" applyFont="1" applyFill="1" applyBorder="1"/>
    <xf numFmtId="40" fontId="4" fillId="8" borderId="2" xfId="0" applyNumberFormat="1" applyFont="1" applyFill="1" applyBorder="1" applyAlignment="1">
      <alignment horizontal="center"/>
    </xf>
    <xf numFmtId="38" fontId="4" fillId="8" borderId="2" xfId="0" applyNumberFormat="1" applyFont="1" applyFill="1" applyBorder="1" applyAlignment="1">
      <alignment horizontal="center"/>
    </xf>
    <xf numFmtId="3" fontId="7" fillId="8" borderId="2" xfId="0" applyNumberFormat="1" applyFont="1" applyFill="1" applyBorder="1" applyAlignment="1">
      <alignment horizontal="center" vertical="center"/>
    </xf>
    <xf numFmtId="2" fontId="4" fillId="8" borderId="2" xfId="0" applyNumberFormat="1" applyFont="1" applyFill="1" applyBorder="1" applyAlignment="1">
      <alignment horizontal="center"/>
    </xf>
    <xf numFmtId="38" fontId="4" fillId="8" borderId="2" xfId="0" applyNumberFormat="1" applyFont="1" applyFill="1" applyBorder="1"/>
    <xf numFmtId="164" fontId="4" fillId="8" borderId="2" xfId="0" applyNumberFormat="1" applyFont="1" applyFill="1" applyBorder="1"/>
    <xf numFmtId="164" fontId="4" fillId="8" borderId="2" xfId="0" applyNumberFormat="1" applyFont="1" applyFill="1" applyBorder="1" applyAlignment="1">
      <alignment horizontal="center" vertical="center"/>
    </xf>
    <xf numFmtId="38" fontId="5" fillId="8" borderId="2" xfId="0" applyNumberFormat="1" applyFont="1" applyFill="1" applyBorder="1"/>
    <xf numFmtId="2" fontId="5" fillId="8" borderId="2" xfId="0" applyNumberFormat="1" applyFont="1" applyFill="1" applyBorder="1" applyAlignment="1">
      <alignment horizontal="center"/>
    </xf>
    <xf numFmtId="40" fontId="4" fillId="2" borderId="2" xfId="0" applyNumberFormat="1" applyFont="1" applyFill="1" applyBorder="1"/>
    <xf numFmtId="40" fontId="4" fillId="2" borderId="2" xfId="0" applyNumberFormat="1" applyFont="1" applyFill="1" applyBorder="1" applyAlignment="1">
      <alignment horizontal="center"/>
    </xf>
    <xf numFmtId="38" fontId="4" fillId="2" borderId="2" xfId="0" applyNumberFormat="1" applyFont="1" applyFill="1" applyBorder="1" applyAlignment="1">
      <alignment horizontal="center"/>
    </xf>
    <xf numFmtId="2" fontId="4" fillId="2" borderId="2" xfId="0" applyNumberFormat="1" applyFont="1" applyFill="1" applyBorder="1" applyAlignment="1">
      <alignment horizontal="center"/>
    </xf>
    <xf numFmtId="164" fontId="4" fillId="2" borderId="2" xfId="0" applyNumberFormat="1" applyFont="1" applyFill="1" applyBorder="1"/>
    <xf numFmtId="164" fontId="4" fillId="2" borderId="2" xfId="0" applyNumberFormat="1" applyFont="1" applyFill="1" applyBorder="1" applyAlignment="1">
      <alignment horizontal="center" vertical="center"/>
    </xf>
    <xf numFmtId="38" fontId="5" fillId="2" borderId="2" xfId="0" applyNumberFormat="1" applyFont="1" applyFill="1" applyBorder="1"/>
    <xf numFmtId="2" fontId="7" fillId="8" borderId="2" xfId="0" applyNumberFormat="1" applyFont="1" applyFill="1" applyBorder="1" applyAlignment="1">
      <alignment horizontal="center"/>
    </xf>
    <xf numFmtId="2" fontId="5" fillId="2" borderId="2" xfId="0" applyNumberFormat="1" applyFont="1" applyFill="1" applyBorder="1" applyAlignment="1">
      <alignment horizontal="center"/>
    </xf>
    <xf numFmtId="40" fontId="4" fillId="0" borderId="2" xfId="0" applyNumberFormat="1" applyFont="1" applyBorder="1" applyAlignment="1">
      <alignment horizontal="center"/>
    </xf>
    <xf numFmtId="38" fontId="4" fillId="0" borderId="2" xfId="0" applyNumberFormat="1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38" fontId="4" fillId="0" borderId="2" xfId="0" applyNumberFormat="1" applyFont="1" applyBorder="1"/>
    <xf numFmtId="164" fontId="4" fillId="0" borderId="2" xfId="0" applyNumberFormat="1" applyFont="1" applyBorder="1" applyAlignment="1">
      <alignment horizontal="center"/>
    </xf>
    <xf numFmtId="38" fontId="5" fillId="0" borderId="2" xfId="0" applyNumberFormat="1" applyFont="1" applyBorder="1" applyAlignment="1">
      <alignment horizontal="center"/>
    </xf>
    <xf numFmtId="3" fontId="7" fillId="0" borderId="2" xfId="0" applyNumberFormat="1" applyFont="1" applyBorder="1"/>
    <xf numFmtId="0" fontId="0" fillId="2" borderId="0" xfId="0" applyFill="1" applyAlignment="1">
      <alignment horizontal="center"/>
    </xf>
    <xf numFmtId="3" fontId="0" fillId="2" borderId="2" xfId="0" applyNumberFormat="1" applyFill="1" applyBorder="1"/>
    <xf numFmtId="2" fontId="0" fillId="2" borderId="2" xfId="0" applyNumberFormat="1" applyFill="1" applyBorder="1" applyAlignment="1">
      <alignment horizontal="center"/>
    </xf>
    <xf numFmtId="0" fontId="0" fillId="7" borderId="0" xfId="0" applyFill="1"/>
    <xf numFmtId="0" fontId="7" fillId="9" borderId="2" xfId="0" applyFont="1" applyFill="1" applyBorder="1" applyAlignment="1">
      <alignment horizontal="center" vertical="center"/>
    </xf>
    <xf numFmtId="3" fontId="7" fillId="9" borderId="2" xfId="0" applyNumberFormat="1" applyFont="1" applyFill="1" applyBorder="1" applyAlignment="1">
      <alignment horizontal="right" vertical="center"/>
    </xf>
    <xf numFmtId="38" fontId="4" fillId="9" borderId="2" xfId="0" applyNumberFormat="1" applyFont="1" applyFill="1" applyBorder="1" applyAlignment="1">
      <alignment horizontal="right" vertical="center"/>
    </xf>
    <xf numFmtId="40" fontId="4" fillId="9" borderId="2" xfId="0" applyNumberFormat="1" applyFont="1" applyFill="1" applyBorder="1" applyAlignment="1">
      <alignment horizontal="center" vertical="center"/>
    </xf>
    <xf numFmtId="164" fontId="4" fillId="9" borderId="2" xfId="0" applyNumberFormat="1" applyFont="1" applyFill="1" applyBorder="1" applyAlignment="1">
      <alignment horizontal="center"/>
    </xf>
    <xf numFmtId="38" fontId="4" fillId="9" borderId="2" xfId="0" applyNumberFormat="1" applyFont="1" applyFill="1" applyBorder="1" applyAlignment="1">
      <alignment horizontal="right"/>
    </xf>
    <xf numFmtId="0" fontId="3" fillId="9" borderId="0" xfId="0" applyFont="1" applyFill="1"/>
    <xf numFmtId="38" fontId="4" fillId="9" borderId="2" xfId="0" applyNumberFormat="1" applyFont="1" applyFill="1" applyBorder="1" applyAlignment="1">
      <alignment horizontal="center" vertical="center"/>
    </xf>
    <xf numFmtId="164" fontId="4" fillId="9" borderId="2" xfId="0" applyNumberFormat="1" applyFont="1" applyFill="1" applyBorder="1" applyAlignment="1">
      <alignment horizontal="center" vertical="center"/>
    </xf>
    <xf numFmtId="38" fontId="5" fillId="9" borderId="2" xfId="0" applyNumberFormat="1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 vertical="center"/>
    </xf>
    <xf numFmtId="2" fontId="4" fillId="9" borderId="2" xfId="0" applyNumberFormat="1" applyFont="1" applyFill="1" applyBorder="1" applyAlignment="1">
      <alignment horizontal="center"/>
    </xf>
    <xf numFmtId="164" fontId="5" fillId="9" borderId="2" xfId="0" applyNumberFormat="1" applyFont="1" applyFill="1" applyBorder="1" applyAlignment="1">
      <alignment horizontal="center"/>
    </xf>
    <xf numFmtId="164" fontId="5" fillId="6" borderId="2" xfId="0" applyNumberFormat="1" applyFont="1" applyFill="1" applyBorder="1" applyAlignment="1">
      <alignment horizontal="center"/>
    </xf>
    <xf numFmtId="164" fontId="7" fillId="8" borderId="2" xfId="0" applyNumberFormat="1" applyFont="1" applyFill="1" applyBorder="1"/>
    <xf numFmtId="164" fontId="7" fillId="8" borderId="2" xfId="0" applyNumberFormat="1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38" fontId="4" fillId="9" borderId="2" xfId="0" applyNumberFormat="1" applyFont="1" applyFill="1" applyBorder="1" applyAlignment="1">
      <alignment horizontal="center"/>
    </xf>
    <xf numFmtId="38" fontId="9" fillId="9" borderId="2" xfId="0" applyNumberFormat="1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 vertical="center"/>
    </xf>
    <xf numFmtId="38" fontId="4" fillId="9" borderId="1" xfId="0" applyNumberFormat="1" applyFont="1" applyFill="1" applyBorder="1" applyAlignment="1">
      <alignment horizontal="center" vertical="center" wrapText="1"/>
    </xf>
    <xf numFmtId="38" fontId="4" fillId="9" borderId="1" xfId="0" applyNumberFormat="1" applyFont="1" applyFill="1" applyBorder="1" applyAlignment="1">
      <alignment horizontal="right" vertical="center"/>
    </xf>
    <xf numFmtId="0" fontId="0" fillId="10" borderId="0" xfId="0" applyFill="1"/>
    <xf numFmtId="3" fontId="4" fillId="11" borderId="2" xfId="0" applyNumberFormat="1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/>
    </xf>
    <xf numFmtId="0" fontId="7" fillId="12" borderId="2" xfId="0" applyFont="1" applyFill="1" applyBorder="1" applyAlignment="1">
      <alignment horizontal="center" vertical="center"/>
    </xf>
    <xf numFmtId="3" fontId="7" fillId="12" borderId="2" xfId="0" applyNumberFormat="1" applyFont="1" applyFill="1" applyBorder="1" applyAlignment="1">
      <alignment horizontal="right" vertical="center"/>
    </xf>
    <xf numFmtId="164" fontId="4" fillId="12" borderId="2" xfId="0" applyNumberFormat="1" applyFont="1" applyFill="1" applyBorder="1" applyAlignment="1">
      <alignment horizontal="center" vertical="center" wrapText="1"/>
    </xf>
    <xf numFmtId="38" fontId="4" fillId="12" borderId="2" xfId="0" applyNumberFormat="1" applyFont="1" applyFill="1" applyBorder="1" applyAlignment="1">
      <alignment horizontal="right" vertical="center"/>
    </xf>
    <xf numFmtId="3" fontId="7" fillId="12" borderId="2" xfId="0" applyNumberFormat="1" applyFont="1" applyFill="1" applyBorder="1" applyAlignment="1">
      <alignment horizontal="left" vertical="center"/>
    </xf>
    <xf numFmtId="40" fontId="4" fillId="12" borderId="2" xfId="0" applyNumberFormat="1" applyFont="1" applyFill="1" applyBorder="1" applyAlignment="1">
      <alignment horizontal="center" vertical="center"/>
    </xf>
    <xf numFmtId="3" fontId="7" fillId="12" borderId="6" xfId="0" applyNumberFormat="1" applyFont="1" applyFill="1" applyBorder="1" applyAlignment="1">
      <alignment horizontal="right" vertical="center"/>
    </xf>
    <xf numFmtId="3" fontId="4" fillId="12" borderId="6" xfId="0" applyNumberFormat="1" applyFont="1" applyFill="1" applyBorder="1" applyAlignment="1">
      <alignment horizontal="center" vertical="center"/>
    </xf>
    <xf numFmtId="3" fontId="4" fillId="12" borderId="7" xfId="0" applyNumberFormat="1" applyFont="1" applyFill="1" applyBorder="1" applyAlignment="1">
      <alignment horizontal="center" vertical="center"/>
    </xf>
    <xf numFmtId="3" fontId="7" fillId="12" borderId="2" xfId="0" applyNumberFormat="1" applyFont="1" applyFill="1" applyBorder="1" applyAlignment="1">
      <alignment horizontal="right"/>
    </xf>
    <xf numFmtId="164" fontId="4" fillId="12" borderId="2" xfId="0" applyNumberFormat="1" applyFont="1" applyFill="1" applyBorder="1" applyAlignment="1">
      <alignment horizontal="center"/>
    </xf>
    <xf numFmtId="38" fontId="4" fillId="12" borderId="2" xfId="0" applyNumberFormat="1" applyFont="1" applyFill="1" applyBorder="1" applyAlignment="1">
      <alignment horizontal="right"/>
    </xf>
    <xf numFmtId="3" fontId="8" fillId="12" borderId="2" xfId="0" applyNumberFormat="1" applyFont="1" applyFill="1" applyBorder="1" applyAlignment="1">
      <alignment horizontal="right"/>
    </xf>
    <xf numFmtId="0" fontId="7" fillId="12" borderId="1" xfId="0" applyFont="1" applyFill="1" applyBorder="1" applyAlignment="1">
      <alignment horizontal="center" vertical="center"/>
    </xf>
    <xf numFmtId="38" fontId="4" fillId="12" borderId="1" xfId="0" applyNumberFormat="1" applyFont="1" applyFill="1" applyBorder="1" applyAlignment="1">
      <alignment horizontal="right" vertical="center"/>
    </xf>
    <xf numFmtId="3" fontId="4" fillId="12" borderId="9" xfId="0" applyNumberFormat="1" applyFont="1" applyFill="1" applyBorder="1" applyAlignment="1">
      <alignment horizontal="center" vertical="center"/>
    </xf>
    <xf numFmtId="3" fontId="4" fillId="12" borderId="3" xfId="0" applyNumberFormat="1" applyFont="1" applyFill="1" applyBorder="1" applyAlignment="1">
      <alignment horizontal="center" vertical="center"/>
    </xf>
    <xf numFmtId="0" fontId="14" fillId="13" borderId="2" xfId="0" applyFont="1" applyFill="1" applyBorder="1"/>
    <xf numFmtId="3" fontId="7" fillId="13" borderId="2" xfId="0" applyNumberFormat="1" applyFont="1" applyFill="1" applyBorder="1"/>
    <xf numFmtId="164" fontId="4" fillId="13" borderId="2" xfId="0" applyNumberFormat="1" applyFont="1" applyFill="1" applyBorder="1" applyAlignment="1">
      <alignment horizontal="center"/>
    </xf>
    <xf numFmtId="38" fontId="4" fillId="13" borderId="2" xfId="0" applyNumberFormat="1" applyFont="1" applyFill="1" applyBorder="1"/>
    <xf numFmtId="168" fontId="4" fillId="13" borderId="2" xfId="0" applyNumberFormat="1" applyFont="1" applyFill="1" applyBorder="1" applyAlignment="1">
      <alignment horizontal="center"/>
    </xf>
    <xf numFmtId="38" fontId="4" fillId="13" borderId="2" xfId="0" applyNumberFormat="1" applyFont="1" applyFill="1" applyBorder="1" applyAlignment="1">
      <alignment horizontal="center" vertical="center"/>
    </xf>
    <xf numFmtId="2" fontId="4" fillId="11" borderId="2" xfId="0" applyNumberFormat="1" applyFont="1" applyFill="1" applyBorder="1" applyAlignment="1">
      <alignment horizontal="center" vertical="center"/>
    </xf>
    <xf numFmtId="38" fontId="4" fillId="11" borderId="2" xfId="0" applyNumberFormat="1" applyFont="1" applyFill="1" applyBorder="1" applyAlignment="1">
      <alignment horizontal="center" vertical="center"/>
    </xf>
    <xf numFmtId="38" fontId="4" fillId="11" borderId="2" xfId="0" applyNumberFormat="1" applyFont="1" applyFill="1" applyBorder="1" applyAlignment="1">
      <alignment horizontal="center"/>
    </xf>
    <xf numFmtId="40" fontId="4" fillId="13" borderId="2" xfId="0" applyNumberFormat="1" applyFont="1" applyFill="1" applyBorder="1" applyAlignment="1">
      <alignment horizontal="center"/>
    </xf>
    <xf numFmtId="38" fontId="4" fillId="13" borderId="2" xfId="0" applyNumberFormat="1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/>
    </xf>
    <xf numFmtId="3" fontId="8" fillId="6" borderId="2" xfId="0" applyNumberFormat="1" applyFont="1" applyFill="1" applyBorder="1" applyAlignment="1">
      <alignment horizontal="right" vertical="center"/>
    </xf>
    <xf numFmtId="38" fontId="4" fillId="6" borderId="2" xfId="0" applyNumberFormat="1" applyFont="1" applyFill="1" applyBorder="1" applyAlignment="1">
      <alignment horizontal="right" vertical="center"/>
    </xf>
    <xf numFmtId="40" fontId="4" fillId="6" borderId="2" xfId="0" applyNumberFormat="1" applyFont="1" applyFill="1" applyBorder="1" applyAlignment="1">
      <alignment horizontal="center" vertical="center"/>
    </xf>
    <xf numFmtId="3" fontId="4" fillId="6" borderId="6" xfId="0" applyNumberFormat="1" applyFont="1" applyFill="1" applyBorder="1" applyAlignment="1">
      <alignment horizontal="center" vertical="center"/>
    </xf>
    <xf numFmtId="3" fontId="4" fillId="6" borderId="3" xfId="0" applyNumberFormat="1" applyFont="1" applyFill="1" applyBorder="1" applyAlignment="1">
      <alignment horizontal="center" vertical="center"/>
    </xf>
    <xf numFmtId="3" fontId="8" fillId="6" borderId="2" xfId="0" applyNumberFormat="1" applyFont="1" applyFill="1" applyBorder="1" applyAlignment="1">
      <alignment horizontal="right"/>
    </xf>
    <xf numFmtId="38" fontId="17" fillId="6" borderId="2" xfId="0" applyNumberFormat="1" applyFont="1" applyFill="1" applyBorder="1" applyAlignment="1">
      <alignment horizontal="right" vertical="center"/>
    </xf>
    <xf numFmtId="164" fontId="17" fillId="6" borderId="2" xfId="0" applyNumberFormat="1" applyFont="1" applyFill="1" applyBorder="1" applyAlignment="1">
      <alignment horizontal="center"/>
    </xf>
    <xf numFmtId="38" fontId="17" fillId="6" borderId="2" xfId="0" applyNumberFormat="1" applyFont="1" applyFill="1" applyBorder="1" applyAlignment="1">
      <alignment horizontal="right"/>
    </xf>
    <xf numFmtId="0" fontId="8" fillId="6" borderId="2" xfId="0" applyFont="1" applyFill="1" applyBorder="1" applyAlignment="1">
      <alignment horizontal="center" vertical="center"/>
    </xf>
    <xf numFmtId="0" fontId="7" fillId="14" borderId="6" xfId="0" applyFont="1" applyFill="1" applyBorder="1" applyAlignment="1">
      <alignment horizontal="left"/>
    </xf>
    <xf numFmtId="3" fontId="7" fillId="14" borderId="6" xfId="0" applyNumberFormat="1" applyFont="1" applyFill="1" applyBorder="1" applyAlignment="1">
      <alignment horizontal="right"/>
    </xf>
    <xf numFmtId="164" fontId="4" fillId="14" borderId="6" xfId="0" applyNumberFormat="1" applyFont="1" applyFill="1" applyBorder="1" applyAlignment="1">
      <alignment horizontal="center"/>
    </xf>
    <xf numFmtId="38" fontId="4" fillId="14" borderId="6" xfId="0" applyNumberFormat="1" applyFont="1" applyFill="1" applyBorder="1" applyAlignment="1">
      <alignment horizontal="right"/>
    </xf>
    <xf numFmtId="3" fontId="7" fillId="14" borderId="6" xfId="0" applyNumberFormat="1" applyFont="1" applyFill="1" applyBorder="1" applyAlignment="1">
      <alignment horizontal="center" vertical="center"/>
    </xf>
    <xf numFmtId="38" fontId="4" fillId="14" borderId="6" xfId="0" applyNumberFormat="1" applyFont="1" applyFill="1" applyBorder="1"/>
    <xf numFmtId="1" fontId="6" fillId="14" borderId="6" xfId="0" applyNumberFormat="1" applyFont="1" applyFill="1" applyBorder="1" applyAlignment="1">
      <alignment horizontal="center"/>
    </xf>
    <xf numFmtId="3" fontId="6" fillId="14" borderId="6" xfId="0" applyNumberFormat="1" applyFont="1" applyFill="1" applyBorder="1" applyAlignment="1">
      <alignment horizontal="center" vertical="center"/>
    </xf>
    <xf numFmtId="3" fontId="7" fillId="14" borderId="2" xfId="0" applyNumberFormat="1" applyFont="1" applyFill="1" applyBorder="1" applyAlignment="1">
      <alignment horizontal="right"/>
    </xf>
    <xf numFmtId="0" fontId="7" fillId="6" borderId="2" xfId="0" applyFont="1" applyFill="1" applyBorder="1" applyAlignment="1">
      <alignment horizontal="left" vertical="center"/>
    </xf>
    <xf numFmtId="3" fontId="7" fillId="6" borderId="2" xfId="0" applyNumberFormat="1" applyFont="1" applyFill="1" applyBorder="1" applyAlignment="1">
      <alignment horizontal="right" vertical="center"/>
    </xf>
    <xf numFmtId="0" fontId="7" fillId="14" borderId="2" xfId="0" applyFont="1" applyFill="1" applyBorder="1" applyAlignment="1">
      <alignment horizontal="left" vertical="center"/>
    </xf>
    <xf numFmtId="3" fontId="7" fillId="14" borderId="2" xfId="0" applyNumberFormat="1" applyFont="1" applyFill="1" applyBorder="1" applyAlignment="1">
      <alignment horizontal="right" vertical="center"/>
    </xf>
    <xf numFmtId="164" fontId="4" fillId="14" borderId="2" xfId="0" applyNumberFormat="1" applyFont="1" applyFill="1" applyBorder="1" applyAlignment="1">
      <alignment horizontal="center" vertical="center"/>
    </xf>
    <xf numFmtId="38" fontId="4" fillId="14" borderId="2" xfId="0" applyNumberFormat="1" applyFont="1" applyFill="1" applyBorder="1" applyAlignment="1">
      <alignment horizontal="right" vertical="center"/>
    </xf>
    <xf numFmtId="3" fontId="7" fillId="14" borderId="2" xfId="0" applyNumberFormat="1" applyFont="1" applyFill="1" applyBorder="1" applyAlignment="1">
      <alignment horizontal="center" vertical="center"/>
    </xf>
    <xf numFmtId="40" fontId="4" fillId="14" borderId="2" xfId="0" applyNumberFormat="1" applyFont="1" applyFill="1" applyBorder="1" applyAlignment="1">
      <alignment horizontal="center" vertical="center"/>
    </xf>
    <xf numFmtId="38" fontId="4" fillId="14" borderId="2" xfId="0" applyNumberFormat="1" applyFont="1" applyFill="1" applyBorder="1" applyAlignment="1">
      <alignment vertical="center"/>
    </xf>
    <xf numFmtId="3" fontId="6" fillId="14" borderId="2" xfId="0" applyNumberFormat="1" applyFont="1" applyFill="1" applyBorder="1" applyAlignment="1">
      <alignment horizontal="center" vertical="center"/>
    </xf>
    <xf numFmtId="3" fontId="6" fillId="14" borderId="3" xfId="0" applyNumberFormat="1" applyFont="1" applyFill="1" applyBorder="1" applyAlignment="1">
      <alignment horizontal="center" vertical="center"/>
    </xf>
    <xf numFmtId="164" fontId="4" fillId="14" borderId="2" xfId="0" applyNumberFormat="1" applyFont="1" applyFill="1" applyBorder="1" applyAlignment="1">
      <alignment horizontal="center"/>
    </xf>
    <xf numFmtId="38" fontId="4" fillId="14" borderId="2" xfId="0" applyNumberFormat="1" applyFont="1" applyFill="1" applyBorder="1"/>
    <xf numFmtId="3" fontId="8" fillId="14" borderId="2" xfId="0" applyNumberFormat="1" applyFont="1" applyFill="1" applyBorder="1" applyAlignment="1">
      <alignment horizontal="center" vertical="center"/>
    </xf>
    <xf numFmtId="38" fontId="4" fillId="6" borderId="2" xfId="0" applyNumberFormat="1" applyFont="1" applyFill="1" applyBorder="1" applyAlignment="1">
      <alignment horizontal="center" vertical="center"/>
    </xf>
    <xf numFmtId="164" fontId="5" fillId="6" borderId="2" xfId="0" applyNumberFormat="1" applyFont="1" applyFill="1" applyBorder="1" applyAlignment="1">
      <alignment horizontal="center" vertical="center"/>
    </xf>
    <xf numFmtId="38" fontId="17" fillId="6" borderId="2" xfId="0" applyNumberFormat="1" applyFont="1" applyFill="1" applyBorder="1" applyAlignment="1">
      <alignment horizontal="center" vertical="center"/>
    </xf>
    <xf numFmtId="40" fontId="4" fillId="6" borderId="2" xfId="0" applyNumberFormat="1" applyFont="1" applyFill="1" applyBorder="1" applyAlignment="1">
      <alignment horizontal="center" vertical="center" wrapText="1" shrinkToFit="1"/>
    </xf>
    <xf numFmtId="38" fontId="4" fillId="14" borderId="2" xfId="0" applyNumberFormat="1" applyFont="1" applyFill="1" applyBorder="1" applyAlignment="1">
      <alignment horizontal="center" vertical="center"/>
    </xf>
    <xf numFmtId="2" fontId="4" fillId="14" borderId="2" xfId="0" applyNumberFormat="1" applyFont="1" applyFill="1" applyBorder="1" applyAlignment="1">
      <alignment horizontal="center" vertical="center"/>
    </xf>
    <xf numFmtId="3" fontId="7" fillId="14" borderId="2" xfId="0" applyNumberFormat="1" applyFont="1" applyFill="1" applyBorder="1"/>
    <xf numFmtId="38" fontId="5" fillId="14" borderId="2" xfId="0" applyNumberFormat="1" applyFont="1" applyFill="1" applyBorder="1" applyAlignment="1">
      <alignment horizontal="center" vertical="center"/>
    </xf>
    <xf numFmtId="164" fontId="5" fillId="14" borderId="2" xfId="0" applyNumberFormat="1" applyFont="1" applyFill="1" applyBorder="1" applyAlignment="1">
      <alignment horizontal="center" vertical="center"/>
    </xf>
    <xf numFmtId="38" fontId="6" fillId="14" borderId="2" xfId="0" applyNumberFormat="1" applyFont="1" applyFill="1" applyBorder="1" applyAlignment="1">
      <alignment horizontal="right"/>
    </xf>
    <xf numFmtId="164" fontId="5" fillId="14" borderId="2" xfId="0" applyNumberFormat="1" applyFont="1" applyFill="1" applyBorder="1" applyAlignment="1">
      <alignment horizontal="center"/>
    </xf>
    <xf numFmtId="164" fontId="6" fillId="14" borderId="2" xfId="0" applyNumberFormat="1" applyFont="1" applyFill="1" applyBorder="1" applyAlignment="1">
      <alignment horizontal="center"/>
    </xf>
    <xf numFmtId="40" fontId="4" fillId="14" borderId="2" xfId="0" applyNumberFormat="1" applyFont="1" applyFill="1" applyBorder="1" applyAlignment="1">
      <alignment horizontal="center"/>
    </xf>
    <xf numFmtId="38" fontId="4" fillId="14" borderId="2" xfId="0" applyNumberFormat="1" applyFont="1" applyFill="1" applyBorder="1" applyAlignment="1">
      <alignment horizontal="center"/>
    </xf>
    <xf numFmtId="2" fontId="4" fillId="14" borderId="2" xfId="0" applyNumberFormat="1" applyFont="1" applyFill="1" applyBorder="1" applyAlignment="1">
      <alignment horizontal="center"/>
    </xf>
    <xf numFmtId="38" fontId="4" fillId="14" borderId="2" xfId="0" applyNumberFormat="1" applyFont="1" applyFill="1" applyBorder="1" applyAlignment="1">
      <alignment horizontal="right"/>
    </xf>
    <xf numFmtId="164" fontId="6" fillId="6" borderId="2" xfId="0" applyNumberFormat="1" applyFont="1" applyFill="1" applyBorder="1" applyAlignment="1">
      <alignment horizontal="center"/>
    </xf>
    <xf numFmtId="3" fontId="7" fillId="15" borderId="2" xfId="0" applyNumberFormat="1" applyFont="1" applyFill="1" applyBorder="1" applyAlignment="1">
      <alignment horizontal="right" vertical="center"/>
    </xf>
    <xf numFmtId="3" fontId="7" fillId="15" borderId="6" xfId="0" applyNumberFormat="1" applyFont="1" applyFill="1" applyBorder="1" applyAlignment="1">
      <alignment horizontal="right" vertical="center"/>
    </xf>
    <xf numFmtId="3" fontId="7" fillId="14" borderId="2" xfId="0" applyNumberFormat="1" applyFont="1" applyFill="1" applyBorder="1" applyAlignment="1">
      <alignment vertical="center"/>
    </xf>
    <xf numFmtId="3" fontId="7" fillId="14" borderId="6" xfId="0" applyNumberFormat="1" applyFont="1" applyFill="1" applyBorder="1"/>
    <xf numFmtId="3" fontId="8" fillId="14" borderId="2" xfId="0" applyNumberFormat="1" applyFont="1" applyFill="1" applyBorder="1" applyAlignment="1">
      <alignment vertical="center"/>
    </xf>
    <xf numFmtId="3" fontId="7" fillId="14" borderId="6" xfId="0" applyNumberFormat="1" applyFont="1" applyFill="1" applyBorder="1" applyAlignment="1">
      <alignment vertical="center"/>
    </xf>
    <xf numFmtId="3" fontId="7" fillId="6" borderId="6" xfId="0" applyNumberFormat="1" applyFont="1" applyFill="1" applyBorder="1" applyAlignment="1">
      <alignment vertical="center"/>
    </xf>
    <xf numFmtId="0" fontId="7" fillId="16" borderId="2" xfId="0" applyFont="1" applyFill="1" applyBorder="1" applyAlignment="1">
      <alignment horizontal="center" vertical="center"/>
    </xf>
    <xf numFmtId="38" fontId="4" fillId="16" borderId="2" xfId="0" applyNumberFormat="1" applyFont="1" applyFill="1" applyBorder="1" applyAlignment="1">
      <alignment horizontal="right" vertical="center"/>
    </xf>
    <xf numFmtId="3" fontId="4" fillId="16" borderId="6" xfId="0" applyNumberFormat="1" applyFont="1" applyFill="1" applyBorder="1" applyAlignment="1">
      <alignment horizontal="center" vertical="center"/>
    </xf>
    <xf numFmtId="3" fontId="4" fillId="16" borderId="3" xfId="0" applyNumberFormat="1" applyFont="1" applyFill="1" applyBorder="1" applyAlignment="1">
      <alignment horizontal="center" vertical="center"/>
    </xf>
    <xf numFmtId="3" fontId="8" fillId="16" borderId="2" xfId="0" applyNumberFormat="1" applyFont="1" applyFill="1" applyBorder="1" applyAlignment="1">
      <alignment horizontal="right"/>
    </xf>
    <xf numFmtId="164" fontId="4" fillId="16" borderId="2" xfId="0" applyNumberFormat="1" applyFont="1" applyFill="1" applyBorder="1" applyAlignment="1">
      <alignment horizontal="center"/>
    </xf>
    <xf numFmtId="38" fontId="4" fillId="16" borderId="2" xfId="0" applyNumberFormat="1" applyFont="1" applyFill="1" applyBorder="1" applyAlignment="1">
      <alignment horizontal="right"/>
    </xf>
    <xf numFmtId="166" fontId="0" fillId="0" borderId="0" xfId="1" applyNumberFormat="1" applyFont="1"/>
    <xf numFmtId="43" fontId="1" fillId="0" borderId="0" xfId="1" applyFont="1"/>
    <xf numFmtId="43" fontId="1" fillId="17" borderId="0" xfId="1" applyFont="1" applyFill="1"/>
    <xf numFmtId="166" fontId="0" fillId="0" borderId="0" xfId="0" applyNumberFormat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2" fontId="18" fillId="2" borderId="0" xfId="0" applyNumberFormat="1" applyFont="1" applyFill="1" applyAlignment="1">
      <alignment horizontal="center"/>
    </xf>
    <xf numFmtId="2" fontId="18" fillId="2" borderId="0" xfId="0" applyNumberFormat="1" applyFont="1" applyFill="1"/>
    <xf numFmtId="38" fontId="18" fillId="2" borderId="0" xfId="0" applyNumberFormat="1" applyFont="1" applyFill="1"/>
    <xf numFmtId="3" fontId="18" fillId="2" borderId="0" xfId="0" applyNumberFormat="1" applyFont="1" applyFill="1"/>
    <xf numFmtId="2" fontId="18" fillId="2" borderId="0" xfId="0" applyNumberFormat="1" applyFont="1" applyFill="1" applyAlignment="1">
      <alignment horizontal="center" vertical="center"/>
    </xf>
    <xf numFmtId="0" fontId="19" fillId="2" borderId="0" xfId="0" applyFont="1" applyFill="1"/>
    <xf numFmtId="3" fontId="20" fillId="2" borderId="0" xfId="0" applyNumberFormat="1" applyFont="1" applyFill="1"/>
    <xf numFmtId="0" fontId="21" fillId="2" borderId="0" xfId="0" applyFont="1" applyFill="1" applyAlignment="1">
      <alignment horizontal="left" vertical="center"/>
    </xf>
    <xf numFmtId="164" fontId="4" fillId="15" borderId="2" xfId="0" applyNumberFormat="1" applyFont="1" applyFill="1" applyBorder="1" applyAlignment="1">
      <alignment horizontal="center" vertical="center" wrapText="1"/>
    </xf>
    <xf numFmtId="40" fontId="4" fillId="15" borderId="2" xfId="0" applyNumberFormat="1" applyFont="1" applyFill="1" applyBorder="1" applyAlignment="1">
      <alignment horizontal="center" vertical="center"/>
    </xf>
    <xf numFmtId="3" fontId="7" fillId="9" borderId="2" xfId="0" applyNumberFormat="1" applyFont="1" applyFill="1" applyBorder="1" applyAlignment="1">
      <alignment horizontal="right"/>
    </xf>
    <xf numFmtId="3" fontId="7" fillId="6" borderId="2" xfId="0" applyNumberFormat="1" applyFont="1" applyFill="1" applyBorder="1" applyAlignment="1">
      <alignment horizontal="right"/>
    </xf>
    <xf numFmtId="3" fontId="7" fillId="9" borderId="6" xfId="0" applyNumberFormat="1" applyFont="1" applyFill="1" applyBorder="1" applyAlignment="1">
      <alignment horizontal="right"/>
    </xf>
    <xf numFmtId="3" fontId="7" fillId="6" borderId="6" xfId="0" applyNumberFormat="1" applyFont="1" applyFill="1" applyBorder="1" applyAlignment="1">
      <alignment horizontal="right"/>
    </xf>
    <xf numFmtId="4" fontId="10" fillId="2" borderId="0" xfId="0" applyNumberFormat="1" applyFont="1" applyFill="1" applyAlignment="1">
      <alignment horizontal="right"/>
    </xf>
    <xf numFmtId="3" fontId="8" fillId="14" borderId="2" xfId="0" applyNumberFormat="1" applyFont="1" applyFill="1" applyBorder="1" applyAlignment="1">
      <alignment horizontal="right"/>
    </xf>
    <xf numFmtId="38" fontId="4" fillId="13" borderId="2" xfId="0" applyNumberFormat="1" applyFont="1" applyFill="1" applyBorder="1" applyAlignment="1">
      <alignment horizontal="right"/>
    </xf>
    <xf numFmtId="40" fontId="4" fillId="12" borderId="2" xfId="0" applyNumberFormat="1" applyFont="1" applyFill="1" applyBorder="1" applyAlignment="1">
      <alignment horizontal="right" vertical="center"/>
    </xf>
    <xf numFmtId="3" fontId="4" fillId="11" borderId="2" xfId="0" applyNumberFormat="1" applyFont="1" applyFill="1" applyBorder="1" applyAlignment="1">
      <alignment horizontal="center"/>
    </xf>
    <xf numFmtId="40" fontId="4" fillId="12" borderId="2" xfId="0" applyNumberFormat="1" applyFont="1" applyFill="1" applyBorder="1" applyAlignment="1">
      <alignment horizontal="right"/>
    </xf>
    <xf numFmtId="40" fontId="4" fillId="14" borderId="2" xfId="0" applyNumberFormat="1" applyFont="1" applyFill="1" applyBorder="1" applyAlignment="1">
      <alignment horizontal="right" vertical="center"/>
    </xf>
    <xf numFmtId="40" fontId="4" fillId="14" borderId="6" xfId="0" applyNumberFormat="1" applyFont="1" applyFill="1" applyBorder="1" applyAlignment="1">
      <alignment horizontal="right"/>
    </xf>
    <xf numFmtId="40" fontId="4" fillId="6" borderId="6" xfId="0" applyNumberFormat="1" applyFont="1" applyFill="1" applyBorder="1"/>
    <xf numFmtId="40" fontId="4" fillId="14" borderId="2" xfId="0" applyNumberFormat="1" applyFont="1" applyFill="1" applyBorder="1" applyAlignment="1">
      <alignment vertical="center"/>
    </xf>
    <xf numFmtId="40" fontId="4" fillId="14" borderId="6" xfId="0" applyNumberFormat="1" applyFont="1" applyFill="1" applyBorder="1"/>
    <xf numFmtId="40" fontId="4" fillId="14" borderId="2" xfId="0" applyNumberFormat="1" applyFont="1" applyFill="1" applyBorder="1"/>
    <xf numFmtId="40" fontId="4" fillId="6" borderId="2" xfId="0" applyNumberFormat="1" applyFont="1" applyFill="1" applyBorder="1"/>
    <xf numFmtId="40" fontId="4" fillId="15" borderId="2" xfId="0" applyNumberFormat="1" applyFont="1" applyFill="1" applyBorder="1" applyAlignment="1">
      <alignment horizontal="right" vertical="center"/>
    </xf>
    <xf numFmtId="3" fontId="7" fillId="15" borderId="2" xfId="0" applyNumberFormat="1" applyFont="1" applyFill="1" applyBorder="1" applyAlignment="1">
      <alignment horizontal="left" vertical="center"/>
    </xf>
    <xf numFmtId="3" fontId="7" fillId="15" borderId="2" xfId="0" applyNumberFormat="1" applyFont="1" applyFill="1" applyBorder="1" applyAlignment="1">
      <alignment horizontal="right"/>
    </xf>
    <xf numFmtId="164" fontId="4" fillId="15" borderId="2" xfId="0" applyNumberFormat="1" applyFont="1" applyFill="1" applyBorder="1" applyAlignment="1">
      <alignment horizontal="center"/>
    </xf>
    <xf numFmtId="40" fontId="4" fillId="15" borderId="2" xfId="0" applyNumberFormat="1" applyFont="1" applyFill="1" applyBorder="1" applyAlignment="1">
      <alignment horizontal="right"/>
    </xf>
    <xf numFmtId="3" fontId="7" fillId="13" borderId="2" xfId="0" applyNumberFormat="1" applyFont="1" applyFill="1" applyBorder="1" applyAlignment="1">
      <alignment horizontal="center" vertical="center"/>
    </xf>
    <xf numFmtId="3" fontId="7" fillId="6" borderId="6" xfId="0" applyNumberFormat="1" applyFont="1" applyFill="1" applyBorder="1" applyAlignment="1">
      <alignment horizontal="right" vertical="center"/>
    </xf>
    <xf numFmtId="164" fontId="4" fillId="6" borderId="6" xfId="0" applyNumberFormat="1" applyFont="1" applyFill="1" applyBorder="1" applyAlignment="1">
      <alignment horizontal="right"/>
    </xf>
    <xf numFmtId="164" fontId="4" fillId="6" borderId="2" xfId="0" applyNumberFormat="1" applyFont="1" applyFill="1" applyBorder="1" applyAlignment="1">
      <alignment horizontal="right"/>
    </xf>
    <xf numFmtId="164" fontId="4" fillId="13" borderId="2" xfId="0" applyNumberFormat="1" applyFont="1" applyFill="1" applyBorder="1" applyAlignment="1">
      <alignment horizontal="right"/>
    </xf>
    <xf numFmtId="3" fontId="7" fillId="13" borderId="2" xfId="0" applyNumberFormat="1" applyFont="1" applyFill="1" applyBorder="1" applyAlignment="1">
      <alignment horizontal="right"/>
    </xf>
    <xf numFmtId="3" fontId="7" fillId="13" borderId="2" xfId="0" applyNumberFormat="1" applyFont="1" applyFill="1" applyBorder="1" applyAlignment="1">
      <alignment horizontal="right" vertical="center"/>
    </xf>
    <xf numFmtId="38" fontId="4" fillId="6" borderId="2" xfId="0" applyNumberFormat="1" applyFont="1" applyFill="1" applyBorder="1" applyAlignment="1">
      <alignment vertical="center"/>
    </xf>
    <xf numFmtId="3" fontId="6" fillId="6" borderId="2" xfId="0" applyNumberFormat="1" applyFont="1" applyFill="1" applyBorder="1" applyAlignment="1">
      <alignment horizontal="center" vertical="center"/>
    </xf>
    <xf numFmtId="3" fontId="6" fillId="6" borderId="3" xfId="0" applyNumberFormat="1" applyFont="1" applyFill="1" applyBorder="1" applyAlignment="1">
      <alignment horizontal="center" vertical="center"/>
    </xf>
    <xf numFmtId="3" fontId="8" fillId="6" borderId="2" xfId="0" applyNumberFormat="1" applyFont="1" applyFill="1" applyBorder="1" applyAlignment="1">
      <alignment horizontal="center" vertical="center"/>
    </xf>
    <xf numFmtId="38" fontId="4" fillId="6" borderId="6" xfId="0" applyNumberFormat="1" applyFont="1" applyFill="1" applyBorder="1" applyAlignment="1">
      <alignment horizontal="right"/>
    </xf>
    <xf numFmtId="1" fontId="6" fillId="6" borderId="6" xfId="0" applyNumberFormat="1" applyFont="1" applyFill="1" applyBorder="1" applyAlignment="1">
      <alignment horizontal="center"/>
    </xf>
    <xf numFmtId="3" fontId="6" fillId="6" borderId="6" xfId="0" applyNumberFormat="1" applyFont="1" applyFill="1" applyBorder="1" applyAlignment="1">
      <alignment horizontal="center" vertical="center"/>
    </xf>
    <xf numFmtId="38" fontId="5" fillId="6" borderId="2" xfId="0" applyNumberFormat="1" applyFont="1" applyFill="1" applyBorder="1" applyAlignment="1">
      <alignment horizontal="center" vertical="center"/>
    </xf>
    <xf numFmtId="3" fontId="8" fillId="6" borderId="2" xfId="0" applyNumberFormat="1" applyFont="1" applyFill="1" applyBorder="1" applyAlignment="1">
      <alignment horizontal="center"/>
    </xf>
    <xf numFmtId="164" fontId="4" fillId="6" borderId="2" xfId="0" applyNumberFormat="1" applyFont="1" applyFill="1" applyBorder="1" applyAlignment="1">
      <alignment horizontal="right" vertical="center"/>
    </xf>
    <xf numFmtId="40" fontId="4" fillId="6" borderId="2" xfId="0" applyNumberFormat="1" applyFont="1" applyFill="1" applyBorder="1" applyAlignment="1">
      <alignment horizontal="right" vertical="center"/>
    </xf>
    <xf numFmtId="40" fontId="4" fillId="6" borderId="2" xfId="0" applyNumberFormat="1" applyFont="1" applyFill="1" applyBorder="1" applyAlignment="1">
      <alignment vertical="center"/>
    </xf>
    <xf numFmtId="40" fontId="4" fillId="6" borderId="6" xfId="0" applyNumberFormat="1" applyFont="1" applyFill="1" applyBorder="1" applyAlignment="1">
      <alignment horizontal="right"/>
    </xf>
    <xf numFmtId="0" fontId="7" fillId="18" borderId="2" xfId="0" applyFont="1" applyFill="1" applyBorder="1" applyAlignment="1">
      <alignment horizontal="center" vertical="center"/>
    </xf>
    <xf numFmtId="3" fontId="7" fillId="18" borderId="2" xfId="0" applyNumberFormat="1" applyFont="1" applyFill="1" applyBorder="1" applyAlignment="1">
      <alignment horizontal="right" vertical="center"/>
    </xf>
    <xf numFmtId="3" fontId="7" fillId="18" borderId="2" xfId="0" applyNumberFormat="1" applyFont="1" applyFill="1" applyBorder="1" applyAlignment="1">
      <alignment horizontal="right"/>
    </xf>
    <xf numFmtId="0" fontId="7" fillId="19" borderId="2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164" fontId="16" fillId="2" borderId="0" xfId="0" applyNumberFormat="1" applyFont="1" applyFill="1" applyAlignment="1">
      <alignment horizontal="center" vertical="center"/>
    </xf>
    <xf numFmtId="164" fontId="10" fillId="2" borderId="0" xfId="0" applyNumberFormat="1" applyFont="1" applyFill="1"/>
    <xf numFmtId="0" fontId="7" fillId="3" borderId="2" xfId="0" applyFont="1" applyFill="1" applyBorder="1" applyAlignment="1">
      <alignment horizontal="center" vertical="center"/>
    </xf>
    <xf numFmtId="3" fontId="7" fillId="3" borderId="2" xfId="0" applyNumberFormat="1" applyFont="1" applyFill="1" applyBorder="1" applyAlignment="1">
      <alignment horizontal="right" vertical="center"/>
    </xf>
    <xf numFmtId="40" fontId="4" fillId="3" borderId="2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38" fontId="4" fillId="3" borderId="2" xfId="0" applyNumberFormat="1" applyFont="1" applyFill="1" applyBorder="1" applyAlignment="1">
      <alignment horizontal="center" vertical="center"/>
    </xf>
    <xf numFmtId="3" fontId="7" fillId="3" borderId="2" xfId="0" applyNumberFormat="1" applyFont="1" applyFill="1" applyBorder="1" applyAlignment="1">
      <alignment horizontal="left" vertical="center"/>
    </xf>
    <xf numFmtId="164" fontId="5" fillId="3" borderId="2" xfId="0" applyNumberFormat="1" applyFont="1" applyFill="1" applyBorder="1" applyAlignment="1">
      <alignment horizontal="center" vertical="center"/>
    </xf>
    <xf numFmtId="38" fontId="4" fillId="3" borderId="2" xfId="0" applyNumberFormat="1" applyFont="1" applyFill="1" applyBorder="1" applyAlignment="1">
      <alignment horizontal="right" vertical="center"/>
    </xf>
    <xf numFmtId="3" fontId="7" fillId="3" borderId="2" xfId="0" applyNumberFormat="1" applyFont="1" applyFill="1" applyBorder="1" applyAlignment="1">
      <alignment horizontal="center"/>
    </xf>
    <xf numFmtId="38" fontId="5" fillId="3" borderId="2" xfId="0" applyNumberFormat="1" applyFont="1" applyFill="1" applyBorder="1" applyAlignment="1">
      <alignment horizontal="center"/>
    </xf>
    <xf numFmtId="3" fontId="7" fillId="3" borderId="6" xfId="0" applyNumberFormat="1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38" fontId="4" fillId="3" borderId="2" xfId="0" applyNumberFormat="1" applyFont="1" applyFill="1" applyBorder="1" applyAlignment="1">
      <alignment horizontal="right"/>
    </xf>
    <xf numFmtId="0" fontId="7" fillId="20" borderId="2" xfId="0" applyFont="1" applyFill="1" applyBorder="1" applyAlignment="1">
      <alignment horizontal="center" vertical="center"/>
    </xf>
    <xf numFmtId="3" fontId="7" fillId="20" borderId="2" xfId="0" applyNumberFormat="1" applyFont="1" applyFill="1" applyBorder="1" applyAlignment="1">
      <alignment horizontal="right" vertical="center"/>
    </xf>
    <xf numFmtId="164" fontId="4" fillId="20" borderId="2" xfId="0" applyNumberFormat="1" applyFont="1" applyFill="1" applyBorder="1" applyAlignment="1">
      <alignment horizontal="center" vertical="center" wrapText="1"/>
    </xf>
    <xf numFmtId="38" fontId="4" fillId="20" borderId="2" xfId="0" applyNumberFormat="1" applyFont="1" applyFill="1" applyBorder="1" applyAlignment="1">
      <alignment horizontal="right" vertical="center"/>
    </xf>
    <xf numFmtId="3" fontId="7" fillId="20" borderId="2" xfId="0" applyNumberFormat="1" applyFont="1" applyFill="1" applyBorder="1" applyAlignment="1">
      <alignment horizontal="left" vertical="center"/>
    </xf>
    <xf numFmtId="40" fontId="4" fillId="20" borderId="2" xfId="0" applyNumberFormat="1" applyFont="1" applyFill="1" applyBorder="1" applyAlignment="1">
      <alignment horizontal="center" vertical="center"/>
    </xf>
    <xf numFmtId="3" fontId="7" fillId="20" borderId="6" xfId="0" applyNumberFormat="1" applyFont="1" applyFill="1" applyBorder="1" applyAlignment="1">
      <alignment horizontal="right" vertical="center"/>
    </xf>
    <xf numFmtId="3" fontId="4" fillId="20" borderId="6" xfId="0" applyNumberFormat="1" applyFont="1" applyFill="1" applyBorder="1" applyAlignment="1">
      <alignment horizontal="center" vertical="center"/>
    </xf>
    <xf numFmtId="3" fontId="4" fillId="20" borderId="7" xfId="0" applyNumberFormat="1" applyFont="1" applyFill="1" applyBorder="1" applyAlignment="1">
      <alignment horizontal="center" vertical="center"/>
    </xf>
    <xf numFmtId="3" fontId="7" fillId="20" borderId="2" xfId="0" applyNumberFormat="1" applyFont="1" applyFill="1" applyBorder="1" applyAlignment="1">
      <alignment horizontal="right"/>
    </xf>
    <xf numFmtId="164" fontId="4" fillId="20" borderId="2" xfId="0" applyNumberFormat="1" applyFont="1" applyFill="1" applyBorder="1" applyAlignment="1">
      <alignment horizontal="center"/>
    </xf>
    <xf numFmtId="38" fontId="4" fillId="20" borderId="2" xfId="0" applyNumberFormat="1" applyFont="1" applyFill="1" applyBorder="1" applyAlignment="1">
      <alignment horizontal="right"/>
    </xf>
    <xf numFmtId="3" fontId="7" fillId="21" borderId="2" xfId="0" applyNumberFormat="1" applyFont="1" applyFill="1" applyBorder="1" applyAlignment="1">
      <alignment horizontal="right" vertical="center"/>
    </xf>
    <xf numFmtId="164" fontId="4" fillId="21" borderId="2" xfId="0" applyNumberFormat="1" applyFont="1" applyFill="1" applyBorder="1" applyAlignment="1">
      <alignment horizontal="right" vertical="center" wrapText="1"/>
    </xf>
    <xf numFmtId="40" fontId="4" fillId="21" borderId="2" xfId="0" applyNumberFormat="1" applyFont="1" applyFill="1" applyBorder="1" applyAlignment="1">
      <alignment horizontal="right" vertical="center"/>
    </xf>
    <xf numFmtId="164" fontId="4" fillId="21" borderId="2" xfId="0" applyNumberFormat="1" applyFont="1" applyFill="1" applyBorder="1" applyAlignment="1">
      <alignment horizontal="right" vertical="center"/>
    </xf>
    <xf numFmtId="3" fontId="7" fillId="21" borderId="2" xfId="0" applyNumberFormat="1" applyFont="1" applyFill="1" applyBorder="1" applyAlignment="1">
      <alignment horizontal="right"/>
    </xf>
    <xf numFmtId="164" fontId="4" fillId="21" borderId="2" xfId="0" applyNumberFormat="1" applyFont="1" applyFill="1" applyBorder="1" applyAlignment="1">
      <alignment horizontal="right"/>
    </xf>
    <xf numFmtId="40" fontId="4" fillId="21" borderId="2" xfId="0" applyNumberFormat="1" applyFont="1" applyFill="1" applyBorder="1" applyAlignment="1">
      <alignment horizontal="right"/>
    </xf>
    <xf numFmtId="0" fontId="7" fillId="21" borderId="2" xfId="0" applyFont="1" applyFill="1" applyBorder="1" applyAlignment="1">
      <alignment horizontal="center" vertical="center"/>
    </xf>
    <xf numFmtId="3" fontId="7" fillId="19" borderId="2" xfId="0" applyNumberFormat="1" applyFont="1" applyFill="1" applyBorder="1" applyAlignment="1">
      <alignment horizontal="right" vertical="center"/>
    </xf>
    <xf numFmtId="3" fontId="7" fillId="19" borderId="2" xfId="0" applyNumberFormat="1" applyFont="1" applyFill="1" applyBorder="1" applyAlignment="1">
      <alignment horizontal="right"/>
    </xf>
    <xf numFmtId="164" fontId="4" fillId="18" borderId="2" xfId="0" applyNumberFormat="1" applyFont="1" applyFill="1" applyBorder="1" applyAlignment="1">
      <alignment horizontal="right" vertical="center" wrapText="1"/>
    </xf>
    <xf numFmtId="40" fontId="4" fillId="18" borderId="2" xfId="0" applyNumberFormat="1" applyFont="1" applyFill="1" applyBorder="1" applyAlignment="1">
      <alignment horizontal="right" vertical="center"/>
    </xf>
    <xf numFmtId="164" fontId="4" fillId="18" borderId="2" xfId="0" applyNumberFormat="1" applyFont="1" applyFill="1" applyBorder="1" applyAlignment="1">
      <alignment horizontal="right" vertical="center"/>
    </xf>
    <xf numFmtId="164" fontId="4" fillId="18" borderId="2" xfId="0" applyNumberFormat="1" applyFont="1" applyFill="1" applyBorder="1" applyAlignment="1">
      <alignment horizontal="right"/>
    </xf>
    <xf numFmtId="40" fontId="4" fillId="18" borderId="2" xfId="0" applyNumberFormat="1" applyFont="1" applyFill="1" applyBorder="1" applyAlignment="1">
      <alignment horizontal="right"/>
    </xf>
    <xf numFmtId="164" fontId="9" fillId="19" borderId="2" xfId="0" applyNumberFormat="1" applyFont="1" applyFill="1" applyBorder="1" applyAlignment="1">
      <alignment horizontal="right" vertical="center" wrapText="1"/>
    </xf>
    <xf numFmtId="40" fontId="9" fillId="19" borderId="2" xfId="0" applyNumberFormat="1" applyFont="1" applyFill="1" applyBorder="1" applyAlignment="1">
      <alignment horizontal="right" vertical="center"/>
    </xf>
    <xf numFmtId="164" fontId="9" fillId="19" borderId="2" xfId="0" applyNumberFormat="1" applyFont="1" applyFill="1" applyBorder="1" applyAlignment="1">
      <alignment horizontal="right" vertical="center"/>
    </xf>
    <xf numFmtId="164" fontId="9" fillId="19" borderId="2" xfId="0" applyNumberFormat="1" applyFont="1" applyFill="1" applyBorder="1" applyAlignment="1">
      <alignment horizontal="right"/>
    </xf>
    <xf numFmtId="40" fontId="9" fillId="19" borderId="2" xfId="0" applyNumberFormat="1" applyFont="1" applyFill="1" applyBorder="1" applyAlignment="1">
      <alignment horizontal="right"/>
    </xf>
    <xf numFmtId="0" fontId="7" fillId="18" borderId="1" xfId="0" applyFont="1" applyFill="1" applyBorder="1" applyAlignment="1">
      <alignment horizontal="center" vertical="center"/>
    </xf>
    <xf numFmtId="164" fontId="9" fillId="18" borderId="2" xfId="0" applyNumberFormat="1" applyFont="1" applyFill="1" applyBorder="1" applyAlignment="1">
      <alignment horizontal="right" vertical="center" wrapText="1"/>
    </xf>
    <xf numFmtId="40" fontId="9" fillId="18" borderId="2" xfId="0" applyNumberFormat="1" applyFont="1" applyFill="1" applyBorder="1" applyAlignment="1">
      <alignment horizontal="right" vertical="center"/>
    </xf>
    <xf numFmtId="164" fontId="9" fillId="18" borderId="2" xfId="0" applyNumberFormat="1" applyFont="1" applyFill="1" applyBorder="1" applyAlignment="1">
      <alignment horizontal="right" vertical="center"/>
    </xf>
    <xf numFmtId="164" fontId="9" fillId="18" borderId="2" xfId="0" applyNumberFormat="1" applyFont="1" applyFill="1" applyBorder="1" applyAlignment="1">
      <alignment horizontal="right"/>
    </xf>
    <xf numFmtId="40" fontId="9" fillId="18" borderId="2" xfId="0" applyNumberFormat="1" applyFont="1" applyFill="1" applyBorder="1" applyAlignment="1">
      <alignment horizontal="right"/>
    </xf>
    <xf numFmtId="164" fontId="5" fillId="3" borderId="2" xfId="0" applyNumberFormat="1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 vertical="center"/>
    </xf>
    <xf numFmtId="38" fontId="4" fillId="3" borderId="2" xfId="0" applyNumberFormat="1" applyFont="1" applyFill="1" applyBorder="1" applyAlignment="1">
      <alignment horizontal="center"/>
    </xf>
    <xf numFmtId="3" fontId="8" fillId="20" borderId="2" xfId="0" applyNumberFormat="1" applyFont="1" applyFill="1" applyBorder="1" applyAlignment="1">
      <alignment horizontal="right" vertical="center"/>
    </xf>
    <xf numFmtId="3" fontId="8" fillId="20" borderId="2" xfId="0" applyNumberFormat="1" applyFont="1" applyFill="1" applyBorder="1" applyAlignment="1">
      <alignment horizontal="left" vertical="center"/>
    </xf>
    <xf numFmtId="3" fontId="8" fillId="20" borderId="2" xfId="0" applyNumberFormat="1" applyFont="1" applyFill="1" applyBorder="1" applyAlignment="1">
      <alignment horizontal="right"/>
    </xf>
    <xf numFmtId="38" fontId="9" fillId="20" borderId="2" xfId="0" applyNumberFormat="1" applyFont="1" applyFill="1" applyBorder="1" applyAlignment="1">
      <alignment horizontal="right" vertical="center"/>
    </xf>
    <xf numFmtId="3" fontId="8" fillId="20" borderId="6" xfId="0" applyNumberFormat="1" applyFont="1" applyFill="1" applyBorder="1" applyAlignment="1">
      <alignment horizontal="right" vertical="center"/>
    </xf>
    <xf numFmtId="164" fontId="9" fillId="20" borderId="2" xfId="0" applyNumberFormat="1" applyFont="1" applyFill="1" applyBorder="1" applyAlignment="1">
      <alignment horizontal="center"/>
    </xf>
    <xf numFmtId="38" fontId="9" fillId="20" borderId="2" xfId="0" applyNumberFormat="1" applyFont="1" applyFill="1" applyBorder="1" applyAlignment="1">
      <alignment horizontal="right"/>
    </xf>
    <xf numFmtId="0" fontId="7" fillId="20" borderId="1" xfId="0" applyFont="1" applyFill="1" applyBorder="1" applyAlignment="1">
      <alignment horizontal="center" vertical="center"/>
    </xf>
    <xf numFmtId="164" fontId="4" fillId="20" borderId="2" xfId="0" applyNumberFormat="1" applyFont="1" applyFill="1" applyBorder="1" applyAlignment="1">
      <alignment horizontal="center" vertical="center"/>
    </xf>
    <xf numFmtId="3" fontId="8" fillId="20" borderId="1" xfId="0" applyNumberFormat="1" applyFont="1" applyFill="1" applyBorder="1" applyAlignment="1">
      <alignment horizontal="left" vertical="center"/>
    </xf>
    <xf numFmtId="38" fontId="9" fillId="20" borderId="1" xfId="0" applyNumberFormat="1" applyFont="1" applyFill="1" applyBorder="1" applyAlignment="1">
      <alignment horizontal="right" vertical="center"/>
    </xf>
    <xf numFmtId="3" fontId="8" fillId="20" borderId="8" xfId="0" applyNumberFormat="1" applyFont="1" applyFill="1" applyBorder="1" applyAlignment="1">
      <alignment horizontal="right" vertical="center"/>
    </xf>
    <xf numFmtId="3" fontId="4" fillId="20" borderId="9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38" fontId="4" fillId="3" borderId="1" xfId="0" applyNumberFormat="1" applyFont="1" applyFill="1" applyBorder="1" applyAlignment="1">
      <alignment horizontal="center" vertical="center" wrapText="1"/>
    </xf>
    <xf numFmtId="38" fontId="4" fillId="3" borderId="1" xfId="0" applyNumberFormat="1" applyFont="1" applyFill="1" applyBorder="1" applyAlignment="1">
      <alignment horizontal="right" vertical="center"/>
    </xf>
    <xf numFmtId="164" fontId="9" fillId="3" borderId="2" xfId="0" applyNumberFormat="1" applyFont="1" applyFill="1" applyBorder="1" applyAlignment="1">
      <alignment horizontal="center"/>
    </xf>
    <xf numFmtId="40" fontId="4" fillId="20" borderId="1" xfId="0" applyNumberFormat="1" applyFont="1" applyFill="1" applyBorder="1" applyAlignment="1">
      <alignment horizontal="center" vertical="center"/>
    </xf>
    <xf numFmtId="3" fontId="4" fillId="20" borderId="3" xfId="0" applyNumberFormat="1" applyFont="1" applyFill="1" applyBorder="1" applyAlignment="1">
      <alignment horizontal="center" vertical="center"/>
    </xf>
    <xf numFmtId="0" fontId="8" fillId="22" borderId="2" xfId="0" applyFont="1" applyFill="1" applyBorder="1" applyAlignment="1">
      <alignment horizontal="center" vertical="center"/>
    </xf>
    <xf numFmtId="3" fontId="8" fillId="22" borderId="2" xfId="0" applyNumberFormat="1" applyFont="1" applyFill="1" applyBorder="1" applyAlignment="1">
      <alignment horizontal="right" vertical="center"/>
    </xf>
    <xf numFmtId="164" fontId="4" fillId="22" borderId="2" xfId="0" applyNumberFormat="1" applyFont="1" applyFill="1" applyBorder="1" applyAlignment="1">
      <alignment horizontal="center" vertical="center"/>
    </xf>
    <xf numFmtId="38" fontId="9" fillId="22" borderId="2" xfId="0" applyNumberFormat="1" applyFont="1" applyFill="1" applyBorder="1" applyAlignment="1">
      <alignment horizontal="right" vertical="center"/>
    </xf>
    <xf numFmtId="3" fontId="8" fillId="22" borderId="2" xfId="0" applyNumberFormat="1" applyFont="1" applyFill="1" applyBorder="1" applyAlignment="1">
      <alignment horizontal="left" vertical="center"/>
    </xf>
    <xf numFmtId="3" fontId="8" fillId="22" borderId="2" xfId="0" applyNumberFormat="1" applyFont="1" applyFill="1" applyBorder="1" applyAlignment="1">
      <alignment horizontal="right"/>
    </xf>
    <xf numFmtId="164" fontId="9" fillId="22" borderId="2" xfId="0" applyNumberFormat="1" applyFont="1" applyFill="1" applyBorder="1" applyAlignment="1">
      <alignment horizontal="center"/>
    </xf>
    <xf numFmtId="38" fontId="9" fillId="22" borderId="2" xfId="0" applyNumberFormat="1" applyFont="1" applyFill="1" applyBorder="1" applyAlignment="1">
      <alignment horizontal="right"/>
    </xf>
    <xf numFmtId="0" fontId="7" fillId="23" borderId="2" xfId="0" applyFont="1" applyFill="1" applyBorder="1" applyAlignment="1">
      <alignment horizontal="center" vertical="center"/>
    </xf>
    <xf numFmtId="40" fontId="4" fillId="23" borderId="2" xfId="0" applyNumberFormat="1" applyFont="1" applyFill="1" applyBorder="1" applyAlignment="1">
      <alignment horizontal="center" vertical="center" wrapText="1" shrinkToFit="1"/>
    </xf>
    <xf numFmtId="164" fontId="4" fillId="23" borderId="2" xfId="0" applyNumberFormat="1" applyFont="1" applyFill="1" applyBorder="1" applyAlignment="1">
      <alignment horizontal="center" vertical="center"/>
    </xf>
    <xf numFmtId="38" fontId="4" fillId="23" borderId="2" xfId="0" applyNumberFormat="1" applyFont="1" applyFill="1" applyBorder="1" applyAlignment="1">
      <alignment horizontal="center" vertical="center"/>
    </xf>
    <xf numFmtId="164" fontId="5" fillId="23" borderId="2" xfId="0" applyNumberFormat="1" applyFont="1" applyFill="1" applyBorder="1" applyAlignment="1">
      <alignment horizontal="center" vertical="center"/>
    </xf>
    <xf numFmtId="38" fontId="9" fillId="23" borderId="1" xfId="0" applyNumberFormat="1" applyFont="1" applyFill="1" applyBorder="1" applyAlignment="1">
      <alignment horizontal="right" vertical="center"/>
    </xf>
    <xf numFmtId="38" fontId="4" fillId="23" borderId="2" xfId="0" applyNumberFormat="1" applyFont="1" applyFill="1" applyBorder="1" applyAlignment="1">
      <alignment horizontal="center"/>
    </xf>
    <xf numFmtId="3" fontId="7" fillId="23" borderId="6" xfId="0" applyNumberFormat="1" applyFont="1" applyFill="1" applyBorder="1" applyAlignment="1">
      <alignment horizontal="center"/>
    </xf>
    <xf numFmtId="164" fontId="9" fillId="23" borderId="2" xfId="0" applyNumberFormat="1" applyFont="1" applyFill="1" applyBorder="1" applyAlignment="1">
      <alignment horizontal="center"/>
    </xf>
    <xf numFmtId="38" fontId="4" fillId="23" borderId="2" xfId="0" applyNumberFormat="1" applyFont="1" applyFill="1" applyBorder="1" applyAlignment="1">
      <alignment horizontal="right"/>
    </xf>
    <xf numFmtId="0" fontId="7" fillId="23" borderId="1" xfId="0" applyFont="1" applyFill="1" applyBorder="1" applyAlignment="1">
      <alignment horizontal="center" vertical="center"/>
    </xf>
    <xf numFmtId="3" fontId="8" fillId="23" borderId="2" xfId="0" applyNumberFormat="1" applyFont="1" applyFill="1" applyBorder="1" applyAlignment="1">
      <alignment horizontal="right" vertical="center"/>
    </xf>
    <xf numFmtId="38" fontId="9" fillId="23" borderId="2" xfId="0" applyNumberFormat="1" applyFont="1" applyFill="1" applyBorder="1" applyAlignment="1">
      <alignment horizontal="right" vertical="center"/>
    </xf>
    <xf numFmtId="3" fontId="8" fillId="23" borderId="2" xfId="0" applyNumberFormat="1" applyFont="1" applyFill="1" applyBorder="1" applyAlignment="1">
      <alignment horizontal="left" vertical="center"/>
    </xf>
    <xf numFmtId="40" fontId="4" fillId="23" borderId="2" xfId="0" applyNumberFormat="1" applyFont="1" applyFill="1" applyBorder="1" applyAlignment="1">
      <alignment horizontal="center" vertical="center"/>
    </xf>
    <xf numFmtId="3" fontId="4" fillId="23" borderId="6" xfId="0" applyNumberFormat="1" applyFont="1" applyFill="1" applyBorder="1" applyAlignment="1">
      <alignment horizontal="center" vertical="center"/>
    </xf>
    <xf numFmtId="3" fontId="4" fillId="23" borderId="3" xfId="0" applyNumberFormat="1" applyFont="1" applyFill="1" applyBorder="1" applyAlignment="1">
      <alignment horizontal="center" vertical="center"/>
    </xf>
    <xf numFmtId="3" fontId="8" fillId="23" borderId="2" xfId="0" applyNumberFormat="1" applyFont="1" applyFill="1" applyBorder="1" applyAlignment="1">
      <alignment horizontal="right"/>
    </xf>
    <xf numFmtId="38" fontId="9" fillId="23" borderId="2" xfId="0" applyNumberFormat="1" applyFont="1" applyFill="1" applyBorder="1" applyAlignment="1">
      <alignment horizontal="right"/>
    </xf>
    <xf numFmtId="164" fontId="4" fillId="23" borderId="2" xfId="0" applyNumberFormat="1" applyFont="1" applyFill="1" applyBorder="1" applyAlignment="1">
      <alignment horizontal="center"/>
    </xf>
    <xf numFmtId="0" fontId="24" fillId="2" borderId="0" xfId="0" applyFont="1" applyFill="1"/>
    <xf numFmtId="3" fontId="25" fillId="2" borderId="0" xfId="0" applyNumberFormat="1" applyFont="1" applyFill="1"/>
    <xf numFmtId="40" fontId="5" fillId="22" borderId="2" xfId="0" applyNumberFormat="1" applyFont="1" applyFill="1" applyBorder="1" applyAlignment="1">
      <alignment horizontal="center" vertical="center"/>
    </xf>
    <xf numFmtId="38" fontId="5" fillId="22" borderId="2" xfId="0" applyNumberFormat="1" applyFont="1" applyFill="1" applyBorder="1" applyAlignment="1">
      <alignment horizontal="right" vertical="center"/>
    </xf>
    <xf numFmtId="3" fontId="26" fillId="22" borderId="6" xfId="0" applyNumberFormat="1" applyFont="1" applyFill="1" applyBorder="1" applyAlignment="1">
      <alignment horizontal="center" vertical="center"/>
    </xf>
    <xf numFmtId="3" fontId="26" fillId="22" borderId="3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/>
    </xf>
    <xf numFmtId="168" fontId="6" fillId="6" borderId="2" xfId="0" applyNumberFormat="1" applyFont="1" applyFill="1" applyBorder="1" applyAlignment="1">
      <alignment horizontal="right"/>
    </xf>
    <xf numFmtId="168" fontId="6" fillId="6" borderId="2" xfId="0" applyNumberFormat="1" applyFont="1" applyFill="1" applyBorder="1"/>
    <xf numFmtId="0" fontId="4" fillId="11" borderId="2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38" fontId="4" fillId="23" borderId="2" xfId="0" applyNumberFormat="1" applyFont="1" applyFill="1" applyBorder="1" applyAlignment="1">
      <alignment horizontal="right" vertical="center"/>
    </xf>
    <xf numFmtId="0" fontId="8" fillId="23" borderId="2" xfId="0" applyFont="1" applyFill="1" applyBorder="1" applyAlignment="1">
      <alignment horizontal="center" vertical="center"/>
    </xf>
    <xf numFmtId="38" fontId="9" fillId="23" borderId="2" xfId="0" applyNumberFormat="1" applyFont="1" applyFill="1" applyBorder="1" applyAlignment="1">
      <alignment horizontal="center" vertical="center"/>
    </xf>
    <xf numFmtId="38" fontId="23" fillId="23" borderId="2" xfId="0" applyNumberFormat="1" applyFont="1" applyFill="1" applyBorder="1" applyAlignment="1">
      <alignment horizontal="right" vertical="center"/>
    </xf>
    <xf numFmtId="38" fontId="23" fillId="23" borderId="2" xfId="0" applyNumberFormat="1" applyFont="1" applyFill="1" applyBorder="1" applyAlignment="1">
      <alignment horizontal="center"/>
    </xf>
    <xf numFmtId="38" fontId="26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left" vertical="center"/>
    </xf>
    <xf numFmtId="164" fontId="26" fillId="6" borderId="2" xfId="0" applyNumberFormat="1" applyFont="1" applyFill="1" applyBorder="1" applyAlignment="1">
      <alignment horizontal="center" vertical="center"/>
    </xf>
    <xf numFmtId="38" fontId="26" fillId="6" borderId="2" xfId="0" applyNumberFormat="1" applyFont="1" applyFill="1" applyBorder="1" applyAlignment="1">
      <alignment horizontal="right" vertical="center"/>
    </xf>
    <xf numFmtId="38" fontId="26" fillId="6" borderId="2" xfId="0" applyNumberFormat="1" applyFont="1" applyFill="1" applyBorder="1" applyAlignment="1">
      <alignment horizontal="center"/>
    </xf>
    <xf numFmtId="169" fontId="4" fillId="6" borderId="2" xfId="0" applyNumberFormat="1" applyFont="1" applyFill="1" applyBorder="1" applyAlignment="1">
      <alignment horizontal="right"/>
    </xf>
    <xf numFmtId="0" fontId="0" fillId="24" borderId="0" xfId="0" applyFill="1"/>
    <xf numFmtId="0" fontId="14" fillId="24" borderId="0" xfId="0" applyFont="1" applyFill="1"/>
    <xf numFmtId="3" fontId="7" fillId="24" borderId="0" xfId="0" applyNumberFormat="1" applyFont="1" applyFill="1"/>
    <xf numFmtId="40" fontId="4" fillId="24" borderId="0" xfId="0" applyNumberFormat="1" applyFont="1" applyFill="1" applyAlignment="1">
      <alignment horizontal="center"/>
    </xf>
    <xf numFmtId="38" fontId="4" fillId="24" borderId="0" xfId="0" applyNumberFormat="1" applyFont="1" applyFill="1" applyAlignment="1">
      <alignment horizontal="center"/>
    </xf>
    <xf numFmtId="164" fontId="4" fillId="24" borderId="0" xfId="0" applyNumberFormat="1" applyFont="1" applyFill="1" applyAlignment="1">
      <alignment horizontal="center"/>
    </xf>
    <xf numFmtId="164" fontId="4" fillId="11" borderId="2" xfId="0" applyNumberFormat="1" applyFont="1" applyFill="1" applyBorder="1" applyAlignment="1">
      <alignment horizontal="center" vertical="center"/>
    </xf>
    <xf numFmtId="164" fontId="6" fillId="2" borderId="0" xfId="0" applyNumberFormat="1" applyFont="1" applyFill="1" applyAlignment="1">
      <alignment horizontal="center"/>
    </xf>
    <xf numFmtId="164" fontId="6" fillId="2" borderId="0" xfId="1" applyNumberFormat="1" applyFont="1" applyFill="1" applyBorder="1" applyAlignment="1">
      <alignment horizontal="center"/>
    </xf>
    <xf numFmtId="0" fontId="3" fillId="0" borderId="0" xfId="0" applyFont="1"/>
    <xf numFmtId="3" fontId="4" fillId="4" borderId="7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right"/>
    </xf>
    <xf numFmtId="0" fontId="4" fillId="11" borderId="2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3" fontId="7" fillId="2" borderId="2" xfId="0" applyNumberFormat="1" applyFont="1" applyFill="1" applyBorder="1" applyAlignment="1">
      <alignment horizontal="right" vertical="center"/>
    </xf>
    <xf numFmtId="3" fontId="7" fillId="2" borderId="0" xfId="0" applyNumberFormat="1" applyFont="1" applyFill="1" applyAlignment="1">
      <alignment horizontal="right" vertical="center"/>
    </xf>
    <xf numFmtId="3" fontId="0" fillId="2" borderId="0" xfId="0" applyNumberFormat="1" applyFill="1" applyAlignment="1">
      <alignment horizontal="right"/>
    </xf>
    <xf numFmtId="38" fontId="9" fillId="4" borderId="2" xfId="0" applyNumberFormat="1" applyFont="1" applyFill="1" applyBorder="1" applyAlignment="1">
      <alignment horizontal="right" vertical="center"/>
    </xf>
    <xf numFmtId="38" fontId="9" fillId="4" borderId="2" xfId="0" applyNumberFormat="1" applyFont="1" applyFill="1" applyBorder="1" applyAlignment="1">
      <alignment horizontal="right"/>
    </xf>
    <xf numFmtId="164" fontId="4" fillId="3" borderId="2" xfId="0" applyNumberFormat="1" applyFont="1" applyFill="1" applyBorder="1" applyAlignment="1">
      <alignment horizontal="center" vertical="center" wrapText="1"/>
    </xf>
    <xf numFmtId="3" fontId="7" fillId="3" borderId="6" xfId="0" applyNumberFormat="1" applyFont="1" applyFill="1" applyBorder="1" applyAlignment="1">
      <alignment horizontal="right" vertical="center"/>
    </xf>
    <xf numFmtId="3" fontId="4" fillId="3" borderId="6" xfId="0" applyNumberFormat="1" applyFont="1" applyFill="1" applyBorder="1" applyAlignment="1">
      <alignment horizontal="center" vertical="center"/>
    </xf>
    <xf numFmtId="3" fontId="4" fillId="3" borderId="7" xfId="0" applyNumberFormat="1" applyFont="1" applyFill="1" applyBorder="1" applyAlignment="1">
      <alignment horizontal="center" vertical="center"/>
    </xf>
    <xf numFmtId="3" fontId="7" fillId="3" borderId="2" xfId="0" applyNumberFormat="1" applyFont="1" applyFill="1" applyBorder="1" applyAlignment="1">
      <alignment horizontal="right"/>
    </xf>
    <xf numFmtId="0" fontId="8" fillId="4" borderId="1" xfId="0" applyFont="1" applyFill="1" applyBorder="1" applyAlignment="1">
      <alignment horizontal="center" vertical="center"/>
    </xf>
    <xf numFmtId="3" fontId="8" fillId="4" borderId="2" xfId="0" applyNumberFormat="1" applyFont="1" applyFill="1" applyBorder="1" applyAlignment="1">
      <alignment horizontal="right" vertical="center"/>
    </xf>
    <xf numFmtId="3" fontId="8" fillId="4" borderId="2" xfId="0" applyNumberFormat="1" applyFont="1" applyFill="1" applyBorder="1" applyAlignment="1">
      <alignment horizontal="right"/>
    </xf>
    <xf numFmtId="164" fontId="9" fillId="4" borderId="2" xfId="0" applyNumberFormat="1" applyFont="1" applyFill="1" applyBorder="1" applyAlignment="1">
      <alignment horizontal="center"/>
    </xf>
    <xf numFmtId="164" fontId="9" fillId="4" borderId="2" xfId="0" applyNumberFormat="1" applyFont="1" applyFill="1" applyBorder="1" applyAlignment="1">
      <alignment horizontal="center" vertical="center"/>
    </xf>
    <xf numFmtId="3" fontId="27" fillId="4" borderId="6" xfId="0" applyNumberFormat="1" applyFont="1" applyFill="1" applyBorder="1" applyAlignment="1">
      <alignment horizontal="center" vertical="center"/>
    </xf>
    <xf numFmtId="9" fontId="7" fillId="2" borderId="0" xfId="2" applyFont="1" applyFill="1" applyAlignment="1">
      <alignment horizontal="center"/>
    </xf>
    <xf numFmtId="164" fontId="6" fillId="2" borderId="0" xfId="1" applyNumberFormat="1" applyFont="1" applyFill="1" applyAlignment="1">
      <alignment horizontal="center"/>
    </xf>
    <xf numFmtId="164" fontId="4" fillId="25" borderId="2" xfId="0" applyNumberFormat="1" applyFont="1" applyFill="1" applyBorder="1" applyAlignment="1">
      <alignment horizontal="center" vertical="center"/>
    </xf>
    <xf numFmtId="164" fontId="4" fillId="25" borderId="2" xfId="0" applyNumberFormat="1" applyFont="1" applyFill="1" applyBorder="1" applyAlignment="1">
      <alignment horizontal="center"/>
    </xf>
    <xf numFmtId="38" fontId="4" fillId="25" borderId="2" xfId="0" applyNumberFormat="1" applyFont="1" applyFill="1" applyBorder="1" applyAlignment="1">
      <alignment horizontal="center" vertical="center"/>
    </xf>
    <xf numFmtId="38" fontId="4" fillId="25" borderId="2" xfId="0" applyNumberFormat="1" applyFont="1" applyFill="1" applyBorder="1" applyAlignment="1">
      <alignment horizontal="center"/>
    </xf>
    <xf numFmtId="3" fontId="4" fillId="4" borderId="2" xfId="0" applyNumberFormat="1" applyFont="1" applyFill="1" applyBorder="1" applyAlignment="1">
      <alignment horizontal="right" vertical="center"/>
    </xf>
    <xf numFmtId="164" fontId="4" fillId="4" borderId="2" xfId="0" applyNumberFormat="1" applyFont="1" applyFill="1" applyBorder="1" applyAlignment="1">
      <alignment horizontal="center" vertical="center" wrapText="1"/>
    </xf>
    <xf numFmtId="38" fontId="4" fillId="4" borderId="2" xfId="0" applyNumberFormat="1" applyFont="1" applyFill="1" applyBorder="1" applyAlignment="1">
      <alignment horizontal="right" vertical="center"/>
    </xf>
    <xf numFmtId="164" fontId="4" fillId="4" borderId="2" xfId="0" applyNumberFormat="1" applyFont="1" applyFill="1" applyBorder="1" applyAlignment="1">
      <alignment horizontal="center" vertical="center"/>
    </xf>
    <xf numFmtId="3" fontId="4" fillId="4" borderId="6" xfId="0" applyNumberFormat="1" applyFont="1" applyFill="1" applyBorder="1" applyAlignment="1">
      <alignment horizontal="right" vertical="center"/>
    </xf>
    <xf numFmtId="3" fontId="4" fillId="4" borderId="6" xfId="0" applyNumberFormat="1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horizontal="right"/>
    </xf>
    <xf numFmtId="164" fontId="4" fillId="4" borderId="2" xfId="0" applyNumberFormat="1" applyFont="1" applyFill="1" applyBorder="1" applyAlignment="1">
      <alignment horizontal="center"/>
    </xf>
    <xf numFmtId="38" fontId="4" fillId="4" borderId="2" xfId="0" applyNumberFormat="1" applyFont="1" applyFill="1" applyBorder="1" applyAlignment="1">
      <alignment horizontal="right"/>
    </xf>
    <xf numFmtId="0" fontId="4" fillId="4" borderId="1" xfId="0" applyFont="1" applyFill="1" applyBorder="1" applyAlignment="1">
      <alignment horizontal="center" vertical="center"/>
    </xf>
    <xf numFmtId="38" fontId="6" fillId="6" borderId="2" xfId="0" applyNumberFormat="1" applyFont="1" applyFill="1" applyBorder="1" applyAlignment="1">
      <alignment horizontal="center"/>
    </xf>
    <xf numFmtId="40" fontId="12" fillId="2" borderId="0" xfId="0" applyNumberFormat="1" applyFont="1" applyFill="1" applyAlignment="1">
      <alignment horizontal="center"/>
    </xf>
    <xf numFmtId="2" fontId="12" fillId="2" borderId="0" xfId="0" applyNumberFormat="1" applyFont="1" applyFill="1" applyAlignment="1">
      <alignment horizontal="center"/>
    </xf>
    <xf numFmtId="164" fontId="12" fillId="2" borderId="0" xfId="0" applyNumberFormat="1" applyFont="1" applyFill="1" applyAlignment="1">
      <alignment horizontal="center"/>
    </xf>
    <xf numFmtId="38" fontId="2" fillId="2" borderId="0" xfId="0" applyNumberFormat="1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38" fontId="2" fillId="2" borderId="11" xfId="0" applyNumberFormat="1" applyFont="1" applyFill="1" applyBorder="1" applyAlignment="1">
      <alignment horizontal="center"/>
    </xf>
    <xf numFmtId="3" fontId="7" fillId="8" borderId="2" xfId="0" applyNumberFormat="1" applyFont="1" applyFill="1" applyBorder="1" applyAlignment="1">
      <alignment horizontal="center"/>
    </xf>
    <xf numFmtId="164" fontId="4" fillId="8" borderId="2" xfId="0" applyNumberFormat="1" applyFont="1" applyFill="1" applyBorder="1" applyAlignment="1">
      <alignment horizontal="center"/>
    </xf>
    <xf numFmtId="38" fontId="5" fillId="8" borderId="2" xfId="0" applyNumberFormat="1" applyFont="1" applyFill="1" applyBorder="1" applyAlignment="1">
      <alignment horizontal="center"/>
    </xf>
    <xf numFmtId="3" fontId="7" fillId="2" borderId="2" xfId="0" applyNumberFormat="1" applyFont="1" applyFill="1" applyBorder="1" applyAlignment="1">
      <alignment horizontal="center"/>
    </xf>
    <xf numFmtId="38" fontId="5" fillId="2" borderId="2" xfId="0" applyNumberFormat="1" applyFont="1" applyFill="1" applyBorder="1" applyAlignment="1">
      <alignment horizontal="center"/>
    </xf>
    <xf numFmtId="3" fontId="7" fillId="0" borderId="2" xfId="0" applyNumberFormat="1" applyFont="1" applyBorder="1" applyAlignment="1">
      <alignment horizontal="center"/>
    </xf>
    <xf numFmtId="3" fontId="7" fillId="13" borderId="2" xfId="0" applyNumberFormat="1" applyFont="1" applyFill="1" applyBorder="1" applyAlignment="1">
      <alignment horizontal="center"/>
    </xf>
    <xf numFmtId="164" fontId="4" fillId="16" borderId="2" xfId="0" applyNumberFormat="1" applyFont="1" applyFill="1" applyBorder="1" applyAlignment="1">
      <alignment horizontal="center" vertical="center"/>
    </xf>
    <xf numFmtId="0" fontId="21" fillId="2" borderId="0" xfId="0" applyFont="1" applyFill="1"/>
    <xf numFmtId="3" fontId="28" fillId="2" borderId="0" xfId="0" applyNumberFormat="1" applyFont="1" applyFill="1"/>
    <xf numFmtId="38" fontId="12" fillId="2" borderId="2" xfId="0" applyNumberFormat="1" applyFont="1" applyFill="1" applyBorder="1" applyAlignment="1">
      <alignment horizontal="center"/>
    </xf>
    <xf numFmtId="0" fontId="27" fillId="25" borderId="2" xfId="0" applyFont="1" applyFill="1" applyBorder="1" applyAlignment="1">
      <alignment horizontal="center" vertical="center"/>
    </xf>
    <xf numFmtId="3" fontId="27" fillId="25" borderId="2" xfId="0" applyNumberFormat="1" applyFont="1" applyFill="1" applyBorder="1" applyAlignment="1">
      <alignment horizontal="center" vertical="center"/>
    </xf>
    <xf numFmtId="164" fontId="5" fillId="25" borderId="2" xfId="0" applyNumberFormat="1" applyFont="1" applyFill="1" applyBorder="1" applyAlignment="1">
      <alignment horizontal="center" vertical="center" wrapText="1"/>
    </xf>
    <xf numFmtId="38" fontId="5" fillId="25" borderId="2" xfId="0" applyNumberFormat="1" applyFont="1" applyFill="1" applyBorder="1" applyAlignment="1">
      <alignment horizontal="center" vertical="center"/>
    </xf>
    <xf numFmtId="3" fontId="27" fillId="25" borderId="2" xfId="0" applyNumberFormat="1" applyFont="1" applyFill="1" applyBorder="1" applyAlignment="1">
      <alignment horizontal="center"/>
    </xf>
    <xf numFmtId="38" fontId="5" fillId="25" borderId="2" xfId="0" applyNumberFormat="1" applyFont="1" applyFill="1" applyBorder="1" applyAlignment="1">
      <alignment horizontal="center"/>
    </xf>
    <xf numFmtId="164" fontId="30" fillId="2" borderId="0" xfId="0" applyNumberFormat="1" applyFont="1" applyFill="1" applyAlignment="1">
      <alignment horizontal="center" vertical="center"/>
    </xf>
    <xf numFmtId="38" fontId="4" fillId="0" borderId="2" xfId="0" applyNumberFormat="1" applyFont="1" applyBorder="1" applyAlignment="1">
      <alignment horizontal="center" vertical="center"/>
    </xf>
    <xf numFmtId="40" fontId="29" fillId="25" borderId="2" xfId="0" applyNumberFormat="1" applyFont="1" applyFill="1" applyBorder="1" applyAlignment="1">
      <alignment horizontal="center" vertical="center"/>
    </xf>
    <xf numFmtId="164" fontId="29" fillId="25" borderId="2" xfId="0" applyNumberFormat="1" applyFont="1" applyFill="1" applyBorder="1" applyAlignment="1">
      <alignment horizontal="center" vertical="center"/>
    </xf>
    <xf numFmtId="3" fontId="27" fillId="25" borderId="6" xfId="0" applyNumberFormat="1" applyFont="1" applyFill="1" applyBorder="1" applyAlignment="1">
      <alignment horizontal="center"/>
    </xf>
    <xf numFmtId="3" fontId="4" fillId="4" borderId="2" xfId="0" applyNumberFormat="1" applyFont="1" applyFill="1" applyBorder="1" applyAlignment="1">
      <alignment vertical="center"/>
    </xf>
    <xf numFmtId="3" fontId="4" fillId="4" borderId="6" xfId="0" applyNumberFormat="1" applyFont="1" applyFill="1" applyBorder="1" applyAlignment="1">
      <alignment horizontal="right"/>
    </xf>
    <xf numFmtId="38" fontId="4" fillId="4" borderId="2" xfId="0" applyNumberFormat="1" applyFont="1" applyFill="1" applyBorder="1" applyAlignment="1">
      <alignment horizontal="right" vertical="center" wrapText="1"/>
    </xf>
    <xf numFmtId="170" fontId="0" fillId="2" borderId="0" xfId="0" applyNumberFormat="1" applyFill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" fontId="10" fillId="2" borderId="1" xfId="0" applyNumberFormat="1" applyFont="1" applyFill="1" applyBorder="1"/>
    <xf numFmtId="164" fontId="11" fillId="2" borderId="1" xfId="0" applyNumberFormat="1" applyFont="1" applyFill="1" applyBorder="1"/>
    <xf numFmtId="38" fontId="11" fillId="2" borderId="1" xfId="0" applyNumberFormat="1" applyFont="1" applyFill="1" applyBorder="1"/>
    <xf numFmtId="3" fontId="6" fillId="6" borderId="2" xfId="0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/>
    </xf>
    <xf numFmtId="3" fontId="13" fillId="2" borderId="2" xfId="0" applyNumberFormat="1" applyFont="1" applyFill="1" applyBorder="1" applyAlignment="1">
      <alignment horizontal="center"/>
    </xf>
    <xf numFmtId="168" fontId="8" fillId="25" borderId="2" xfId="0" applyNumberFormat="1" applyFont="1" applyFill="1" applyBorder="1" applyAlignment="1">
      <alignment horizontal="center" vertical="center" wrapText="1"/>
    </xf>
    <xf numFmtId="168" fontId="8" fillId="25" borderId="7" xfId="0" applyNumberFormat="1" applyFont="1" applyFill="1" applyBorder="1" applyAlignment="1">
      <alignment horizontal="center" vertical="center"/>
    </xf>
    <xf numFmtId="168" fontId="8" fillId="25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vertical="center"/>
    </xf>
    <xf numFmtId="43" fontId="6" fillId="2" borderId="0" xfId="1" applyFont="1" applyFill="1" applyAlignment="1">
      <alignment horizontal="center"/>
    </xf>
    <xf numFmtId="0" fontId="8" fillId="25" borderId="2" xfId="0" applyFont="1" applyFill="1" applyBorder="1" applyAlignment="1">
      <alignment horizontal="center" vertical="center"/>
    </xf>
    <xf numFmtId="3" fontId="8" fillId="25" borderId="2" xfId="0" applyNumberFormat="1" applyFont="1" applyFill="1" applyBorder="1" applyAlignment="1">
      <alignment horizontal="center" vertical="center"/>
    </xf>
    <xf numFmtId="164" fontId="8" fillId="25" borderId="2" xfId="0" applyNumberFormat="1" applyFont="1" applyFill="1" applyBorder="1" applyAlignment="1">
      <alignment horizontal="center" vertical="center" wrapText="1"/>
    </xf>
    <xf numFmtId="38" fontId="8" fillId="25" borderId="2" xfId="0" applyNumberFormat="1" applyFont="1" applyFill="1" applyBorder="1" applyAlignment="1">
      <alignment horizontal="center" vertical="center"/>
    </xf>
    <xf numFmtId="164" fontId="8" fillId="25" borderId="2" xfId="0" applyNumberFormat="1" applyFont="1" applyFill="1" applyBorder="1" applyAlignment="1">
      <alignment horizontal="center" vertical="center"/>
    </xf>
    <xf numFmtId="3" fontId="8" fillId="25" borderId="6" xfId="0" applyNumberFormat="1" applyFont="1" applyFill="1" applyBorder="1" applyAlignment="1">
      <alignment horizontal="center" vertical="center"/>
    </xf>
    <xf numFmtId="3" fontId="8" fillId="25" borderId="7" xfId="0" applyNumberFormat="1" applyFont="1" applyFill="1" applyBorder="1" applyAlignment="1">
      <alignment horizontal="center" vertical="center"/>
    </xf>
    <xf numFmtId="3" fontId="8" fillId="25" borderId="2" xfId="0" applyNumberFormat="1" applyFont="1" applyFill="1" applyBorder="1" applyAlignment="1">
      <alignment horizontal="center"/>
    </xf>
    <xf numFmtId="164" fontId="8" fillId="25" borderId="2" xfId="0" applyNumberFormat="1" applyFont="1" applyFill="1" applyBorder="1" applyAlignment="1">
      <alignment horizontal="center"/>
    </xf>
    <xf numFmtId="38" fontId="8" fillId="25" borderId="2" xfId="0" applyNumberFormat="1" applyFont="1" applyFill="1" applyBorder="1" applyAlignment="1">
      <alignment horizontal="center"/>
    </xf>
    <xf numFmtId="0" fontId="7" fillId="6" borderId="2" xfId="0" applyFont="1" applyFill="1" applyBorder="1" applyAlignment="1">
      <alignment horizontal="left"/>
    </xf>
    <xf numFmtId="1" fontId="6" fillId="6" borderId="2" xfId="0" applyNumberFormat="1" applyFont="1" applyFill="1" applyBorder="1" applyAlignment="1">
      <alignment horizontal="center"/>
    </xf>
    <xf numFmtId="40" fontId="15" fillId="0" borderId="0" xfId="1" applyNumberFormat="1" applyFont="1" applyAlignment="1">
      <alignment horizontal="center"/>
    </xf>
    <xf numFmtId="40" fontId="8" fillId="25" borderId="2" xfId="0" applyNumberFormat="1" applyFont="1" applyFill="1" applyBorder="1" applyAlignment="1">
      <alignment horizontal="center" vertical="center"/>
    </xf>
    <xf numFmtId="3" fontId="8" fillId="25" borderId="6" xfId="0" applyNumberFormat="1" applyFont="1" applyFill="1" applyBorder="1" applyAlignment="1">
      <alignment horizontal="center"/>
    </xf>
    <xf numFmtId="3" fontId="7" fillId="6" borderId="2" xfId="0" applyNumberFormat="1" applyFont="1" applyFill="1" applyBorder="1" applyAlignment="1">
      <alignment horizontal="left"/>
    </xf>
    <xf numFmtId="0" fontId="4" fillId="16" borderId="2" xfId="0" applyFont="1" applyFill="1" applyBorder="1" applyAlignment="1">
      <alignment horizontal="center" vertical="center"/>
    </xf>
    <xf numFmtId="3" fontId="4" fillId="16" borderId="2" xfId="0" applyNumberFormat="1" applyFont="1" applyFill="1" applyBorder="1" applyAlignment="1">
      <alignment horizontal="right" vertical="center"/>
    </xf>
    <xf numFmtId="164" fontId="4" fillId="16" borderId="2" xfId="0" applyNumberFormat="1" applyFont="1" applyFill="1" applyBorder="1" applyAlignment="1">
      <alignment horizontal="center" vertical="center" wrapText="1"/>
    </xf>
    <xf numFmtId="3" fontId="4" fillId="16" borderId="6" xfId="0" applyNumberFormat="1" applyFont="1" applyFill="1" applyBorder="1" applyAlignment="1">
      <alignment horizontal="right" vertical="center"/>
    </xf>
    <xf numFmtId="3" fontId="4" fillId="16" borderId="7" xfId="0" applyNumberFormat="1" applyFont="1" applyFill="1" applyBorder="1" applyAlignment="1">
      <alignment horizontal="center" vertical="center"/>
    </xf>
    <xf numFmtId="3" fontId="4" fillId="16" borderId="2" xfId="0" applyNumberFormat="1" applyFont="1" applyFill="1" applyBorder="1" applyAlignment="1">
      <alignment horizontal="right"/>
    </xf>
    <xf numFmtId="3" fontId="4" fillId="16" borderId="2" xfId="0" applyNumberFormat="1" applyFont="1" applyFill="1" applyBorder="1" applyAlignment="1">
      <alignment vertical="center"/>
    </xf>
    <xf numFmtId="3" fontId="4" fillId="16" borderId="6" xfId="0" applyNumberFormat="1" applyFont="1" applyFill="1" applyBorder="1" applyAlignment="1">
      <alignment horizontal="right"/>
    </xf>
    <xf numFmtId="0" fontId="8" fillId="26" borderId="2" xfId="0" applyFont="1" applyFill="1" applyBorder="1" applyAlignment="1">
      <alignment horizontal="center" vertical="center"/>
    </xf>
    <xf numFmtId="3" fontId="8" fillId="26" borderId="2" xfId="0" applyNumberFormat="1" applyFont="1" applyFill="1" applyBorder="1" applyAlignment="1">
      <alignment horizontal="center" vertical="center"/>
    </xf>
    <xf numFmtId="164" fontId="8" fillId="26" borderId="2" xfId="0" applyNumberFormat="1" applyFont="1" applyFill="1" applyBorder="1" applyAlignment="1">
      <alignment horizontal="center" vertical="center" wrapText="1"/>
    </xf>
    <xf numFmtId="38" fontId="8" fillId="26" borderId="2" xfId="0" applyNumberFormat="1" applyFont="1" applyFill="1" applyBorder="1" applyAlignment="1">
      <alignment horizontal="center" vertical="center"/>
    </xf>
    <xf numFmtId="164" fontId="8" fillId="26" borderId="2" xfId="0" applyNumberFormat="1" applyFont="1" applyFill="1" applyBorder="1" applyAlignment="1">
      <alignment horizontal="center" vertical="center"/>
    </xf>
    <xf numFmtId="3" fontId="8" fillId="26" borderId="6" xfId="0" applyNumberFormat="1" applyFont="1" applyFill="1" applyBorder="1" applyAlignment="1">
      <alignment horizontal="center" vertical="center"/>
    </xf>
    <xf numFmtId="3" fontId="8" fillId="26" borderId="7" xfId="0" applyNumberFormat="1" applyFont="1" applyFill="1" applyBorder="1" applyAlignment="1">
      <alignment horizontal="center" vertical="center"/>
    </xf>
    <xf numFmtId="3" fontId="8" fillId="26" borderId="2" xfId="0" applyNumberFormat="1" applyFont="1" applyFill="1" applyBorder="1" applyAlignment="1">
      <alignment horizontal="center"/>
    </xf>
    <xf numFmtId="164" fontId="8" fillId="26" borderId="2" xfId="0" applyNumberFormat="1" applyFont="1" applyFill="1" applyBorder="1" applyAlignment="1">
      <alignment horizontal="center"/>
    </xf>
    <xf numFmtId="38" fontId="8" fillId="26" borderId="2" xfId="0" applyNumberFormat="1" applyFont="1" applyFill="1" applyBorder="1" applyAlignment="1">
      <alignment horizontal="center"/>
    </xf>
    <xf numFmtId="0" fontId="27" fillId="26" borderId="2" xfId="0" applyFont="1" applyFill="1" applyBorder="1" applyAlignment="1">
      <alignment horizontal="center" vertical="center"/>
    </xf>
    <xf numFmtId="3" fontId="27" fillId="26" borderId="2" xfId="0" applyNumberFormat="1" applyFont="1" applyFill="1" applyBorder="1" applyAlignment="1">
      <alignment horizontal="center" vertical="center"/>
    </xf>
    <xf numFmtId="40" fontId="29" fillId="26" borderId="2" xfId="0" applyNumberFormat="1" applyFont="1" applyFill="1" applyBorder="1" applyAlignment="1">
      <alignment horizontal="center" vertical="center"/>
    </xf>
    <xf numFmtId="164" fontId="4" fillId="26" borderId="2" xfId="0" applyNumberFormat="1" applyFont="1" applyFill="1" applyBorder="1" applyAlignment="1">
      <alignment horizontal="center" vertical="center"/>
    </xf>
    <xf numFmtId="38" fontId="4" fillId="26" borderId="2" xfId="0" applyNumberFormat="1" applyFont="1" applyFill="1" applyBorder="1" applyAlignment="1">
      <alignment horizontal="center" vertical="center"/>
    </xf>
    <xf numFmtId="3" fontId="27" fillId="26" borderId="6" xfId="0" applyNumberFormat="1" applyFont="1" applyFill="1" applyBorder="1" applyAlignment="1">
      <alignment horizontal="center"/>
    </xf>
    <xf numFmtId="164" fontId="29" fillId="26" borderId="2" xfId="0" applyNumberFormat="1" applyFont="1" applyFill="1" applyBorder="1" applyAlignment="1">
      <alignment horizontal="center" vertical="center"/>
    </xf>
    <xf numFmtId="164" fontId="4" fillId="26" borderId="2" xfId="0" applyNumberFormat="1" applyFont="1" applyFill="1" applyBorder="1" applyAlignment="1">
      <alignment horizontal="center"/>
    </xf>
    <xf numFmtId="38" fontId="4" fillId="26" borderId="2" xfId="0" applyNumberFormat="1" applyFont="1" applyFill="1" applyBorder="1" applyAlignment="1">
      <alignment horizontal="center"/>
    </xf>
    <xf numFmtId="43" fontId="0" fillId="0" borderId="0" xfId="1" applyFont="1"/>
    <xf numFmtId="0" fontId="7" fillId="16" borderId="2" xfId="0" applyFont="1" applyFill="1" applyBorder="1" applyAlignment="1">
      <alignment horizontal="left" vertical="center"/>
    </xf>
    <xf numFmtId="3" fontId="7" fillId="16" borderId="2" xfId="0" applyNumberFormat="1" applyFont="1" applyFill="1" applyBorder="1" applyAlignment="1">
      <alignment horizontal="right" vertical="center"/>
    </xf>
    <xf numFmtId="38" fontId="4" fillId="16" borderId="2" xfId="0" applyNumberFormat="1" applyFont="1" applyFill="1" applyBorder="1" applyAlignment="1">
      <alignment vertical="center"/>
    </xf>
    <xf numFmtId="3" fontId="6" fillId="16" borderId="2" xfId="0" applyNumberFormat="1" applyFont="1" applyFill="1" applyBorder="1" applyAlignment="1">
      <alignment horizontal="center" vertical="center"/>
    </xf>
    <xf numFmtId="3" fontId="6" fillId="16" borderId="3" xfId="0" applyNumberFormat="1" applyFont="1" applyFill="1" applyBorder="1" applyAlignment="1">
      <alignment horizontal="center" vertical="center"/>
    </xf>
    <xf numFmtId="3" fontId="7" fillId="16" borderId="2" xfId="0" applyNumberFormat="1" applyFont="1" applyFill="1" applyBorder="1" applyAlignment="1">
      <alignment vertical="center"/>
    </xf>
    <xf numFmtId="3" fontId="7" fillId="16" borderId="2" xfId="0" applyNumberFormat="1" applyFont="1" applyFill="1" applyBorder="1" applyAlignment="1">
      <alignment horizontal="right"/>
    </xf>
    <xf numFmtId="164" fontId="6" fillId="16" borderId="2" xfId="0" applyNumberFormat="1" applyFont="1" applyFill="1" applyBorder="1" applyAlignment="1">
      <alignment horizontal="center" vertical="center"/>
    </xf>
    <xf numFmtId="38" fontId="6" fillId="16" borderId="2" xfId="0" applyNumberFormat="1" applyFont="1" applyFill="1" applyBorder="1" applyAlignment="1">
      <alignment horizontal="right" vertical="center"/>
    </xf>
    <xf numFmtId="3" fontId="8" fillId="16" borderId="2" xfId="0" applyNumberFormat="1" applyFont="1" applyFill="1" applyBorder="1" applyAlignment="1">
      <alignment horizontal="right" vertical="center"/>
    </xf>
    <xf numFmtId="0" fontId="7" fillId="16" borderId="6" xfId="0" applyFont="1" applyFill="1" applyBorder="1" applyAlignment="1">
      <alignment horizontal="left"/>
    </xf>
    <xf numFmtId="3" fontId="7" fillId="16" borderId="6" xfId="0" applyNumberFormat="1" applyFont="1" applyFill="1" applyBorder="1" applyAlignment="1">
      <alignment horizontal="right"/>
    </xf>
    <xf numFmtId="164" fontId="4" fillId="16" borderId="6" xfId="0" applyNumberFormat="1" applyFont="1" applyFill="1" applyBorder="1" applyAlignment="1">
      <alignment horizontal="center"/>
    </xf>
    <xf numFmtId="38" fontId="4" fillId="16" borderId="6" xfId="0" applyNumberFormat="1" applyFont="1" applyFill="1" applyBorder="1" applyAlignment="1">
      <alignment horizontal="right"/>
    </xf>
    <xf numFmtId="3" fontId="7" fillId="16" borderId="6" xfId="0" applyNumberFormat="1" applyFont="1" applyFill="1" applyBorder="1" applyAlignment="1">
      <alignment horizontal="right" vertical="center"/>
    </xf>
    <xf numFmtId="38" fontId="4" fillId="16" borderId="6" xfId="0" applyNumberFormat="1" applyFont="1" applyFill="1" applyBorder="1"/>
    <xf numFmtId="1" fontId="6" fillId="16" borderId="6" xfId="0" applyNumberFormat="1" applyFont="1" applyFill="1" applyBorder="1" applyAlignment="1">
      <alignment horizontal="center"/>
    </xf>
    <xf numFmtId="3" fontId="6" fillId="16" borderId="6" xfId="0" applyNumberFormat="1" applyFont="1" applyFill="1" applyBorder="1" applyAlignment="1">
      <alignment horizontal="center" vertical="center"/>
    </xf>
    <xf numFmtId="164" fontId="4" fillId="16" borderId="6" xfId="0" applyNumberFormat="1" applyFont="1" applyFill="1" applyBorder="1" applyAlignment="1">
      <alignment horizontal="center" vertical="center"/>
    </xf>
    <xf numFmtId="38" fontId="4" fillId="16" borderId="6" xfId="0" applyNumberFormat="1" applyFont="1" applyFill="1" applyBorder="1" applyAlignment="1">
      <alignment vertical="center"/>
    </xf>
    <xf numFmtId="40" fontId="4" fillId="16" borderId="2" xfId="0" applyNumberFormat="1" applyFont="1" applyFill="1" applyBorder="1" applyAlignment="1">
      <alignment horizontal="center" vertical="center"/>
    </xf>
    <xf numFmtId="164" fontId="6" fillId="16" borderId="2" xfId="0" applyNumberFormat="1" applyFont="1" applyFill="1" applyBorder="1" applyAlignment="1">
      <alignment horizontal="center"/>
    </xf>
    <xf numFmtId="38" fontId="6" fillId="16" borderId="2" xfId="0" applyNumberFormat="1" applyFont="1" applyFill="1" applyBorder="1" applyAlignment="1">
      <alignment horizontal="right"/>
    </xf>
    <xf numFmtId="40" fontId="4" fillId="16" borderId="2" xfId="0" applyNumberFormat="1" applyFont="1" applyFill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164" fontId="11" fillId="0" borderId="0" xfId="0" applyNumberFormat="1" applyFont="1" applyAlignment="1">
      <alignment horizontal="center" vertical="center"/>
    </xf>
    <xf numFmtId="38" fontId="11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164" fontId="16" fillId="0" borderId="0" xfId="0" applyNumberFormat="1" applyFont="1" applyAlignment="1">
      <alignment horizontal="center" vertical="center"/>
    </xf>
    <xf numFmtId="38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/>
    </xf>
    <xf numFmtId="38" fontId="10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/>
    </xf>
    <xf numFmtId="164" fontId="10" fillId="0" borderId="0" xfId="0" applyNumberFormat="1" applyFont="1"/>
    <xf numFmtId="38" fontId="10" fillId="0" borderId="11" xfId="0" applyNumberFormat="1" applyFont="1" applyBorder="1" applyAlignment="1">
      <alignment horizontal="right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4" fillId="11" borderId="1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2" xfId="0" applyFill="1" applyBorder="1" applyAlignment="1">
      <alignment horizontal="center"/>
    </xf>
  </cellXfs>
  <cellStyles count="4">
    <cellStyle name="Comma" xfId="1" builtinId="3"/>
    <cellStyle name="Normal" xfId="0" builtinId="0"/>
    <cellStyle name="Normal 302" xfId="3" xr:uid="{00000000-0005-0000-0000-000002000000}"/>
    <cellStyle name="Percent" xfId="2" builtinId="5"/>
  </cellStyles>
  <dxfs count="0"/>
  <tableStyles count="0" defaultTableStyle="TableStyleMedium2" defaultPivotStyle="PivotStyleLight16"/>
  <colors>
    <mruColors>
      <color rgb="FFD2D4D3"/>
      <color rgb="FF00B4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4.xml"/><Relationship Id="rId21" Type="http://schemas.openxmlformats.org/officeDocument/2006/relationships/externalLink" Target="externalLinks/externalLink9.xml"/><Relationship Id="rId42" Type="http://schemas.openxmlformats.org/officeDocument/2006/relationships/externalLink" Target="externalLinks/externalLink30.xml"/><Relationship Id="rId47" Type="http://schemas.openxmlformats.org/officeDocument/2006/relationships/externalLink" Target="externalLinks/externalLink35.xml"/><Relationship Id="rId63" Type="http://schemas.openxmlformats.org/officeDocument/2006/relationships/externalLink" Target="externalLinks/externalLink51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9" Type="http://schemas.openxmlformats.org/officeDocument/2006/relationships/externalLink" Target="externalLinks/externalLink17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externalLink" Target="externalLinks/externalLink20.xml"/><Relationship Id="rId37" Type="http://schemas.openxmlformats.org/officeDocument/2006/relationships/externalLink" Target="externalLinks/externalLink25.xml"/><Relationship Id="rId40" Type="http://schemas.openxmlformats.org/officeDocument/2006/relationships/externalLink" Target="externalLinks/externalLink28.xml"/><Relationship Id="rId45" Type="http://schemas.openxmlformats.org/officeDocument/2006/relationships/externalLink" Target="externalLinks/externalLink33.xml"/><Relationship Id="rId53" Type="http://schemas.openxmlformats.org/officeDocument/2006/relationships/externalLink" Target="externalLinks/externalLink41.xml"/><Relationship Id="rId58" Type="http://schemas.openxmlformats.org/officeDocument/2006/relationships/externalLink" Target="externalLinks/externalLink46.xml"/><Relationship Id="rId66" Type="http://schemas.openxmlformats.org/officeDocument/2006/relationships/externalLink" Target="externalLinks/externalLink54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9.xml"/><Relationship Id="rId1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43" Type="http://schemas.openxmlformats.org/officeDocument/2006/relationships/externalLink" Target="externalLinks/externalLink31.xml"/><Relationship Id="rId48" Type="http://schemas.openxmlformats.org/officeDocument/2006/relationships/externalLink" Target="externalLinks/externalLink36.xml"/><Relationship Id="rId56" Type="http://schemas.openxmlformats.org/officeDocument/2006/relationships/externalLink" Target="externalLinks/externalLink44.xml"/><Relationship Id="rId64" Type="http://schemas.openxmlformats.org/officeDocument/2006/relationships/externalLink" Target="externalLinks/externalLink52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externalLink" Target="externalLinks/externalLink26.xml"/><Relationship Id="rId46" Type="http://schemas.openxmlformats.org/officeDocument/2006/relationships/externalLink" Target="externalLinks/externalLink34.xml"/><Relationship Id="rId59" Type="http://schemas.openxmlformats.org/officeDocument/2006/relationships/externalLink" Target="externalLinks/externalLink47.xml"/><Relationship Id="rId67" Type="http://schemas.openxmlformats.org/officeDocument/2006/relationships/externalLink" Target="externalLinks/externalLink55.xml"/><Relationship Id="rId20" Type="http://schemas.openxmlformats.org/officeDocument/2006/relationships/externalLink" Target="externalLinks/externalLink8.xml"/><Relationship Id="rId41" Type="http://schemas.openxmlformats.org/officeDocument/2006/relationships/externalLink" Target="externalLinks/externalLink29.xml"/><Relationship Id="rId54" Type="http://schemas.openxmlformats.org/officeDocument/2006/relationships/externalLink" Target="externalLinks/externalLink42.xml"/><Relationship Id="rId62" Type="http://schemas.openxmlformats.org/officeDocument/2006/relationships/externalLink" Target="externalLinks/externalLink50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49" Type="http://schemas.openxmlformats.org/officeDocument/2006/relationships/externalLink" Target="externalLinks/externalLink37.xml"/><Relationship Id="rId57" Type="http://schemas.openxmlformats.org/officeDocument/2006/relationships/externalLink" Target="externalLinks/externalLink45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9.xml"/><Relationship Id="rId44" Type="http://schemas.openxmlformats.org/officeDocument/2006/relationships/externalLink" Target="externalLinks/externalLink32.xml"/><Relationship Id="rId52" Type="http://schemas.openxmlformats.org/officeDocument/2006/relationships/externalLink" Target="externalLinks/externalLink40.xml"/><Relationship Id="rId60" Type="http://schemas.openxmlformats.org/officeDocument/2006/relationships/externalLink" Target="externalLinks/externalLink48.xml"/><Relationship Id="rId65" Type="http://schemas.openxmlformats.org/officeDocument/2006/relationships/externalLink" Target="externalLinks/externalLink5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9" Type="http://schemas.openxmlformats.org/officeDocument/2006/relationships/externalLink" Target="externalLinks/externalLink27.xml"/><Relationship Id="rId34" Type="http://schemas.openxmlformats.org/officeDocument/2006/relationships/externalLink" Target="externalLinks/externalLink22.xml"/><Relationship Id="rId50" Type="http://schemas.openxmlformats.org/officeDocument/2006/relationships/externalLink" Target="externalLinks/externalLink38.xml"/><Relationship Id="rId55" Type="http://schemas.openxmlformats.org/officeDocument/2006/relationships/externalLink" Target="externalLinks/externalLink4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Averege Demurrage Rate/Month</a:t>
            </a:r>
            <a:r>
              <a:rPr lang="en-US" baseline="0"/>
              <a:t> </a:t>
            </a:r>
            <a:r>
              <a:rPr lang="en-US"/>
              <a:t>of ITM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'Demurage 2024 (2)'!$R$215:$AA$215</c:f>
              <c:strCache>
                <c:ptCount val="9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</c:strCache>
            </c:strRef>
          </c:cat>
          <c:val>
            <c:numRef>
              <c:f>'Demurage 2024 (2)'!$R$216:$AA$216</c:f>
              <c:numCache>
                <c:formatCode>#,##0</c:formatCode>
                <c:ptCount val="9"/>
                <c:pt idx="0">
                  <c:v>15984</c:v>
                </c:pt>
                <c:pt idx="1">
                  <c:v>15615</c:v>
                </c:pt>
                <c:pt idx="2">
                  <c:v>15489</c:v>
                </c:pt>
                <c:pt idx="3">
                  <c:v>15789</c:v>
                </c:pt>
                <c:pt idx="4">
                  <c:v>15291</c:v>
                </c:pt>
                <c:pt idx="5">
                  <c:v>16742</c:v>
                </c:pt>
                <c:pt idx="6">
                  <c:v>16099</c:v>
                </c:pt>
                <c:pt idx="7">
                  <c:v>19190.767950603542</c:v>
                </c:pt>
                <c:pt idx="8">
                  <c:v>17094.711547981136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v>#REF!</c:v>
                </c15:tx>
              </c15:filteredSeriesTitle>
            </c:ext>
            <c:ext xmlns:c16="http://schemas.microsoft.com/office/drawing/2014/chart" uri="{C3380CC4-5D6E-409C-BE32-E72D297353CC}">
              <c16:uniqueId val="{00000000-3156-4DBC-90FA-AAD48F584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669489392"/>
        <c:axId val="669487040"/>
      </c:barChart>
      <c:catAx>
        <c:axId val="6694893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669487040"/>
        <c:crosses val="autoZero"/>
        <c:auto val="1"/>
        <c:lblAlgn val="ctr"/>
        <c:lblOffset val="100"/>
        <c:noMultiLvlLbl val="0"/>
      </c:catAx>
      <c:valAx>
        <c:axId val="6694870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Tonnages</a:t>
                </a:r>
              </a:p>
            </c:rich>
          </c:tx>
          <c:layout>
            <c:manualLayout>
              <c:xMode val="edge"/>
              <c:yMode val="edge"/>
              <c:x val="1.6052168282969393E-2"/>
              <c:y val="0.35829687955672201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crossAx val="669489392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Inventory of ITM</a:t>
            </a:r>
          </a:p>
          <a:p>
            <a:pPr>
              <a:defRPr/>
            </a:pPr>
            <a:r>
              <a:rPr lang="en-US" sz="1200"/>
              <a:t>(BoCT, BCT, Barge, TCM, EMB, BEK, JBG)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CFM</c:v>
          </c:tx>
          <c:invertIfNegative val="0"/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280238</c:v>
              </c:pt>
              <c:pt idx="1">
                <c:v>184607</c:v>
              </c:pt>
              <c:pt idx="2">
                <c:v>83834</c:v>
              </c:pt>
              <c:pt idx="3">
                <c:v>121641</c:v>
              </c:pt>
              <c:pt idx="4">
                <c:v>233103</c:v>
              </c:pt>
              <c:pt idx="5">
                <c:v>469236</c:v>
              </c:pt>
              <c:pt idx="6">
                <c:v>466872</c:v>
              </c:pt>
              <c:pt idx="7">
                <c:v>462366</c:v>
              </c:pt>
              <c:pt idx="8">
                <c:v>555638</c:v>
              </c:pt>
              <c:pt idx="9">
                <c:v>436513</c:v>
              </c:pt>
              <c:pt idx="10">
                <c:v>142128</c:v>
              </c:pt>
              <c:pt idx="11">
                <c:v>115862</c:v>
              </c:pt>
            </c:numLit>
          </c:val>
          <c:extLst>
            <c:ext xmlns:c16="http://schemas.microsoft.com/office/drawing/2014/chart" uri="{C3380CC4-5D6E-409C-BE32-E72D297353CC}">
              <c16:uniqueId val="{00000000-1546-4CDC-9360-2EBF1139279A}"/>
            </c:ext>
          </c:extLst>
        </c:ser>
        <c:ser>
          <c:idx val="1"/>
          <c:order val="1"/>
          <c:tx>
            <c:v>BoCT</c:v>
          </c:tx>
          <c:invertIfNegative val="0"/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273689</c:v>
              </c:pt>
              <c:pt idx="1">
                <c:v>413679</c:v>
              </c:pt>
              <c:pt idx="2">
                <c:v>361566</c:v>
              </c:pt>
              <c:pt idx="3">
                <c:v>332415</c:v>
              </c:pt>
              <c:pt idx="4">
                <c:v>328588</c:v>
              </c:pt>
              <c:pt idx="5">
                <c:v>214695</c:v>
              </c:pt>
              <c:pt idx="6">
                <c:v>231913</c:v>
              </c:pt>
              <c:pt idx="7">
                <c:v>459278</c:v>
              </c:pt>
              <c:pt idx="8">
                <c:v>293638</c:v>
              </c:pt>
              <c:pt idx="9">
                <c:v>364907</c:v>
              </c:pt>
              <c:pt idx="10">
                <c:v>392080</c:v>
              </c:pt>
              <c:pt idx="11">
                <c:v>431631</c:v>
              </c:pt>
            </c:numLit>
          </c:val>
          <c:extLst>
            <c:ext xmlns:c16="http://schemas.microsoft.com/office/drawing/2014/chart" uri="{C3380CC4-5D6E-409C-BE32-E72D297353CC}">
              <c16:uniqueId val="{00000001-1546-4CDC-9360-2EBF11392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669490176"/>
        <c:axId val="669489000"/>
      </c:barChart>
      <c:catAx>
        <c:axId val="669490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669489000"/>
        <c:crosses val="autoZero"/>
        <c:auto val="1"/>
        <c:lblAlgn val="ctr"/>
        <c:lblOffset val="100"/>
        <c:noMultiLvlLbl val="0"/>
      </c:catAx>
      <c:valAx>
        <c:axId val="6694890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Tonnages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 b="1"/>
            </a:pPr>
            <a:endParaRPr lang="en-US"/>
          </a:p>
        </c:txPr>
        <c:crossAx val="66949017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Averege Demurrage Rate/Month</a:t>
            </a:r>
            <a:r>
              <a:rPr lang="en-US" baseline="0"/>
              <a:t> </a:t>
            </a:r>
            <a:r>
              <a:rPr lang="en-US"/>
              <a:t>of ITM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'Demurage 2026'!$R$213:$AA$213</c:f>
              <c:strCache>
                <c:ptCount val="9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</c:strCache>
            </c:strRef>
          </c:cat>
          <c:val>
            <c:numRef>
              <c:f>'Demurage 2026'!$R$214:$AA$214</c:f>
              <c:numCache>
                <c:formatCode>#,##0</c:formatCode>
                <c:ptCount val="9"/>
                <c:pt idx="0">
                  <c:v>15984</c:v>
                </c:pt>
                <c:pt idx="1">
                  <c:v>15615</c:v>
                </c:pt>
                <c:pt idx="2">
                  <c:v>15489</c:v>
                </c:pt>
                <c:pt idx="3">
                  <c:v>15789</c:v>
                </c:pt>
                <c:pt idx="4">
                  <c:v>15291</c:v>
                </c:pt>
                <c:pt idx="5">
                  <c:v>16742</c:v>
                </c:pt>
                <c:pt idx="6">
                  <c:v>16099</c:v>
                </c:pt>
                <c:pt idx="7">
                  <c:v>19190.767950603542</c:v>
                </c:pt>
                <c:pt idx="8">
                  <c:v>17094.711547981136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v>#REF!</c:v>
                </c15:tx>
              </c15:filteredSeriesTitle>
            </c:ext>
            <c:ext xmlns:c16="http://schemas.microsoft.com/office/drawing/2014/chart" uri="{C3380CC4-5D6E-409C-BE32-E72D297353CC}">
              <c16:uniqueId val="{00000000-F7E9-4BE7-9689-2E5B2F9B5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669489392"/>
        <c:axId val="669487040"/>
      </c:barChart>
      <c:catAx>
        <c:axId val="6694893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669487040"/>
        <c:crosses val="autoZero"/>
        <c:auto val="1"/>
        <c:lblAlgn val="ctr"/>
        <c:lblOffset val="100"/>
        <c:noMultiLvlLbl val="0"/>
      </c:catAx>
      <c:valAx>
        <c:axId val="6694870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Tonnages</a:t>
                </a:r>
              </a:p>
            </c:rich>
          </c:tx>
          <c:layout>
            <c:manualLayout>
              <c:xMode val="edge"/>
              <c:yMode val="edge"/>
              <c:x val="1.6052168282969393E-2"/>
              <c:y val="0.35829687955672201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crossAx val="669489392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Inventory of ITM</a:t>
            </a:r>
          </a:p>
          <a:p>
            <a:pPr>
              <a:defRPr/>
            </a:pPr>
            <a:r>
              <a:rPr lang="en-US" sz="1200"/>
              <a:t>(BoCT, BCT, Barge, TCM, EMB, BEK, JBG)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CFM</c:v>
          </c:tx>
          <c:invertIfNegative val="0"/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280238</c:v>
              </c:pt>
              <c:pt idx="1">
                <c:v>184607</c:v>
              </c:pt>
              <c:pt idx="2">
                <c:v>83834</c:v>
              </c:pt>
              <c:pt idx="3">
                <c:v>121641</c:v>
              </c:pt>
              <c:pt idx="4">
                <c:v>233103</c:v>
              </c:pt>
              <c:pt idx="5">
                <c:v>469236</c:v>
              </c:pt>
              <c:pt idx="6">
                <c:v>466872</c:v>
              </c:pt>
              <c:pt idx="7">
                <c:v>462366</c:v>
              </c:pt>
              <c:pt idx="8">
                <c:v>555638</c:v>
              </c:pt>
              <c:pt idx="9">
                <c:v>436513</c:v>
              </c:pt>
              <c:pt idx="10">
                <c:v>142128</c:v>
              </c:pt>
              <c:pt idx="11">
                <c:v>115862</c:v>
              </c:pt>
            </c:numLit>
          </c:val>
          <c:extLst>
            <c:ext xmlns:c16="http://schemas.microsoft.com/office/drawing/2014/chart" uri="{C3380CC4-5D6E-409C-BE32-E72D297353CC}">
              <c16:uniqueId val="{00000000-0285-4187-BB08-5E4000EBFED2}"/>
            </c:ext>
          </c:extLst>
        </c:ser>
        <c:ser>
          <c:idx val="1"/>
          <c:order val="1"/>
          <c:tx>
            <c:v>BoCT</c:v>
          </c:tx>
          <c:invertIfNegative val="0"/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273689</c:v>
              </c:pt>
              <c:pt idx="1">
                <c:v>413679</c:v>
              </c:pt>
              <c:pt idx="2">
                <c:v>361566</c:v>
              </c:pt>
              <c:pt idx="3">
                <c:v>332415</c:v>
              </c:pt>
              <c:pt idx="4">
                <c:v>328588</c:v>
              </c:pt>
              <c:pt idx="5">
                <c:v>214695</c:v>
              </c:pt>
              <c:pt idx="6">
                <c:v>231913</c:v>
              </c:pt>
              <c:pt idx="7">
                <c:v>459278</c:v>
              </c:pt>
              <c:pt idx="8">
                <c:v>293638</c:v>
              </c:pt>
              <c:pt idx="9">
                <c:v>364907</c:v>
              </c:pt>
              <c:pt idx="10">
                <c:v>392080</c:v>
              </c:pt>
              <c:pt idx="11">
                <c:v>431631</c:v>
              </c:pt>
            </c:numLit>
          </c:val>
          <c:extLst>
            <c:ext xmlns:c16="http://schemas.microsoft.com/office/drawing/2014/chart" uri="{C3380CC4-5D6E-409C-BE32-E72D297353CC}">
              <c16:uniqueId val="{00000001-0285-4187-BB08-5E4000EBF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669490176"/>
        <c:axId val="669489000"/>
      </c:barChart>
      <c:catAx>
        <c:axId val="669490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669489000"/>
        <c:crosses val="autoZero"/>
        <c:auto val="1"/>
        <c:lblAlgn val="ctr"/>
        <c:lblOffset val="100"/>
        <c:noMultiLvlLbl val="0"/>
      </c:catAx>
      <c:valAx>
        <c:axId val="6694890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Tonnages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 b="1"/>
            </a:pPr>
            <a:endParaRPr lang="en-US"/>
          </a:p>
        </c:txPr>
        <c:crossAx val="66949017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Averege Demurrage Rate/Month</a:t>
            </a:r>
            <a:r>
              <a:rPr lang="en-US" baseline="0"/>
              <a:t> </a:t>
            </a:r>
            <a:r>
              <a:rPr lang="en-US"/>
              <a:t>of ITM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Lit>
              <c:ptCount val="10"/>
              <c:pt idx="0">
                <c:v>Mar</c:v>
              </c:pt>
              <c:pt idx="1">
                <c:v>Apr</c:v>
              </c:pt>
              <c:pt idx="2">
                <c:v>May</c:v>
              </c:pt>
              <c:pt idx="3">
                <c:v>Jun</c:v>
              </c:pt>
              <c:pt idx="4">
                <c:v>Jul</c:v>
              </c:pt>
              <c:pt idx="5">
                <c:v>Aug</c:v>
              </c:pt>
              <c:pt idx="6">
                <c:v>Sep</c:v>
              </c:pt>
              <c:pt idx="7">
                <c:v>Oct</c:v>
              </c:pt>
              <c:pt idx="8">
                <c:v>Nov</c:v>
              </c:pt>
              <c:pt idx="9">
                <c:v>Dec</c:v>
              </c:pt>
            </c:strLit>
          </c:cat>
          <c:val>
            <c:numLit>
              <c:formatCode>General</c:formatCode>
              <c:ptCount val="10"/>
              <c:pt idx="0">
                <c:v>15401</c:v>
              </c:pt>
              <c:pt idx="1">
                <c:v>15984</c:v>
              </c:pt>
              <c:pt idx="2">
                <c:v>15615</c:v>
              </c:pt>
              <c:pt idx="3">
                <c:v>15489</c:v>
              </c:pt>
              <c:pt idx="4">
                <c:v>15789</c:v>
              </c:pt>
              <c:pt idx="5">
                <c:v>15291</c:v>
              </c:pt>
              <c:pt idx="6">
                <c:v>16742</c:v>
              </c:pt>
              <c:pt idx="7">
                <c:v>16099</c:v>
              </c:pt>
              <c:pt idx="8">
                <c:v>19190.767950603542</c:v>
              </c:pt>
              <c:pt idx="9">
                <c:v>17094.711547981136</c:v>
              </c:pt>
            </c:numLit>
          </c:val>
          <c:extLst>
            <c:ext xmlns:c15="http://schemas.microsoft.com/office/drawing/2012/chart" uri="{02D57815-91ED-43cb-92C2-25804820EDAC}">
              <c15:filteredSeriesTitle>
                <c15:tx>
                  <c:v>#REF!</c:v>
                </c15:tx>
              </c15:filteredSeriesTitle>
            </c:ext>
            <c:ext xmlns:c16="http://schemas.microsoft.com/office/drawing/2014/chart" uri="{C3380CC4-5D6E-409C-BE32-E72D297353CC}">
              <c16:uniqueId val="{00000000-E2F3-4A39-A18E-464268129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669489392"/>
        <c:axId val="669487040"/>
      </c:barChart>
      <c:catAx>
        <c:axId val="6694893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669487040"/>
        <c:crosses val="autoZero"/>
        <c:auto val="1"/>
        <c:lblAlgn val="ctr"/>
        <c:lblOffset val="100"/>
        <c:noMultiLvlLbl val="0"/>
      </c:catAx>
      <c:valAx>
        <c:axId val="6694870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Tonnages</a:t>
                </a:r>
              </a:p>
            </c:rich>
          </c:tx>
          <c:layout>
            <c:manualLayout>
              <c:xMode val="edge"/>
              <c:yMode val="edge"/>
              <c:x val="1.6052168282969393E-2"/>
              <c:y val="0.3582968795567220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669489392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Inventory of ITM</a:t>
            </a:r>
          </a:p>
          <a:p>
            <a:pPr>
              <a:defRPr/>
            </a:pPr>
            <a:r>
              <a:rPr lang="en-US" sz="1200"/>
              <a:t>(BoCT, BCT, Barge, TCM, EMB, BEK, JBG)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CFM</c:v>
          </c:tx>
          <c:invertIfNegative val="0"/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280238</c:v>
              </c:pt>
              <c:pt idx="1">
                <c:v>184607</c:v>
              </c:pt>
              <c:pt idx="2">
                <c:v>83834</c:v>
              </c:pt>
              <c:pt idx="3">
                <c:v>121641</c:v>
              </c:pt>
              <c:pt idx="4">
                <c:v>233103</c:v>
              </c:pt>
              <c:pt idx="5">
                <c:v>469236</c:v>
              </c:pt>
              <c:pt idx="6">
                <c:v>466872</c:v>
              </c:pt>
              <c:pt idx="7">
                <c:v>462366</c:v>
              </c:pt>
              <c:pt idx="8">
                <c:v>555638</c:v>
              </c:pt>
              <c:pt idx="9">
                <c:v>436513</c:v>
              </c:pt>
              <c:pt idx="10">
                <c:v>142128</c:v>
              </c:pt>
              <c:pt idx="11">
                <c:v>115862</c:v>
              </c:pt>
            </c:numLit>
          </c:val>
          <c:extLst>
            <c:ext xmlns:c16="http://schemas.microsoft.com/office/drawing/2014/chart" uri="{C3380CC4-5D6E-409C-BE32-E72D297353CC}">
              <c16:uniqueId val="{00000000-BC73-4B71-A5F9-F19AE8996D70}"/>
            </c:ext>
          </c:extLst>
        </c:ser>
        <c:ser>
          <c:idx val="1"/>
          <c:order val="1"/>
          <c:tx>
            <c:v>BoCT</c:v>
          </c:tx>
          <c:invertIfNegative val="0"/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273689</c:v>
              </c:pt>
              <c:pt idx="1">
                <c:v>413679</c:v>
              </c:pt>
              <c:pt idx="2">
                <c:v>361566</c:v>
              </c:pt>
              <c:pt idx="3">
                <c:v>332415</c:v>
              </c:pt>
              <c:pt idx="4">
                <c:v>328588</c:v>
              </c:pt>
              <c:pt idx="5">
                <c:v>214695</c:v>
              </c:pt>
              <c:pt idx="6">
                <c:v>231913</c:v>
              </c:pt>
              <c:pt idx="7">
                <c:v>459278</c:v>
              </c:pt>
              <c:pt idx="8">
                <c:v>293638</c:v>
              </c:pt>
              <c:pt idx="9">
                <c:v>364907</c:v>
              </c:pt>
              <c:pt idx="10">
                <c:v>392080</c:v>
              </c:pt>
              <c:pt idx="11">
                <c:v>431631</c:v>
              </c:pt>
            </c:numLit>
          </c:val>
          <c:extLst>
            <c:ext xmlns:c16="http://schemas.microsoft.com/office/drawing/2014/chart" uri="{C3380CC4-5D6E-409C-BE32-E72D297353CC}">
              <c16:uniqueId val="{00000001-BC73-4B71-A5F9-F19AE8996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669490176"/>
        <c:axId val="669489000"/>
      </c:barChart>
      <c:catAx>
        <c:axId val="669490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669489000"/>
        <c:crosses val="autoZero"/>
        <c:auto val="1"/>
        <c:lblAlgn val="ctr"/>
        <c:lblOffset val="100"/>
        <c:noMultiLvlLbl val="0"/>
      </c:catAx>
      <c:valAx>
        <c:axId val="6694890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Tonnages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 b="1"/>
            </a:pPr>
            <a:endParaRPr lang="en-US"/>
          </a:p>
        </c:txPr>
        <c:crossAx val="66949017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Averege Demurrage Rate/Month</a:t>
            </a:r>
            <a:r>
              <a:rPr lang="en-US" baseline="0"/>
              <a:t> </a:t>
            </a:r>
            <a:r>
              <a:rPr lang="en-US"/>
              <a:t>of ITM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val>
            <c:numRef>
              <c:f>present!#REF!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v>#REF!</c:v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present!#REF!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A0B-4B5E-9EDC-31FAE39F4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669489392"/>
        <c:axId val="669487040"/>
      </c:barChart>
      <c:catAx>
        <c:axId val="6694893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669487040"/>
        <c:crosses val="autoZero"/>
        <c:auto val="1"/>
        <c:lblAlgn val="ctr"/>
        <c:lblOffset val="100"/>
        <c:noMultiLvlLbl val="0"/>
      </c:catAx>
      <c:valAx>
        <c:axId val="6694870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Tonnages</a:t>
                </a:r>
              </a:p>
            </c:rich>
          </c:tx>
          <c:layout>
            <c:manualLayout>
              <c:xMode val="edge"/>
              <c:yMode val="edge"/>
              <c:x val="1.6052168282969393E-2"/>
              <c:y val="0.3582968795567220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669489392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Inventory of ITM</a:t>
            </a:r>
          </a:p>
          <a:p>
            <a:pPr>
              <a:defRPr/>
            </a:pPr>
            <a:r>
              <a:rPr lang="en-US" sz="1200"/>
              <a:t>(BoCT, BCT, Barge, TCM, EMB, BEK, JBG)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CFM</c:v>
          </c:tx>
          <c:invertIfNegative val="0"/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280238</c:v>
              </c:pt>
              <c:pt idx="1">
                <c:v>184607</c:v>
              </c:pt>
              <c:pt idx="2">
                <c:v>83834</c:v>
              </c:pt>
              <c:pt idx="3">
                <c:v>121641</c:v>
              </c:pt>
              <c:pt idx="4">
                <c:v>233103</c:v>
              </c:pt>
              <c:pt idx="5">
                <c:v>469236</c:v>
              </c:pt>
              <c:pt idx="6">
                <c:v>466872</c:v>
              </c:pt>
              <c:pt idx="7">
                <c:v>462366</c:v>
              </c:pt>
              <c:pt idx="8">
                <c:v>555638</c:v>
              </c:pt>
              <c:pt idx="9">
                <c:v>436513</c:v>
              </c:pt>
              <c:pt idx="10">
                <c:v>142128</c:v>
              </c:pt>
              <c:pt idx="11">
                <c:v>115862</c:v>
              </c:pt>
            </c:numLit>
          </c:val>
          <c:extLst>
            <c:ext xmlns:c16="http://schemas.microsoft.com/office/drawing/2014/chart" uri="{C3380CC4-5D6E-409C-BE32-E72D297353CC}">
              <c16:uniqueId val="{00000000-EA6A-4228-9551-4B5141233CB3}"/>
            </c:ext>
          </c:extLst>
        </c:ser>
        <c:ser>
          <c:idx val="1"/>
          <c:order val="1"/>
          <c:tx>
            <c:v>BoCT</c:v>
          </c:tx>
          <c:invertIfNegative val="0"/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273689</c:v>
              </c:pt>
              <c:pt idx="1">
                <c:v>413679</c:v>
              </c:pt>
              <c:pt idx="2">
                <c:v>361566</c:v>
              </c:pt>
              <c:pt idx="3">
                <c:v>332415</c:v>
              </c:pt>
              <c:pt idx="4">
                <c:v>328588</c:v>
              </c:pt>
              <c:pt idx="5">
                <c:v>214695</c:v>
              </c:pt>
              <c:pt idx="6">
                <c:v>231913</c:v>
              </c:pt>
              <c:pt idx="7">
                <c:v>459278</c:v>
              </c:pt>
              <c:pt idx="8">
                <c:v>293638</c:v>
              </c:pt>
              <c:pt idx="9">
                <c:v>364907</c:v>
              </c:pt>
              <c:pt idx="10">
                <c:v>392080</c:v>
              </c:pt>
              <c:pt idx="11">
                <c:v>431631</c:v>
              </c:pt>
            </c:numLit>
          </c:val>
          <c:extLst>
            <c:ext xmlns:c16="http://schemas.microsoft.com/office/drawing/2014/chart" uri="{C3380CC4-5D6E-409C-BE32-E72D297353CC}">
              <c16:uniqueId val="{00000001-EA6A-4228-9551-4B5141233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669490176"/>
        <c:axId val="669489000"/>
      </c:barChart>
      <c:catAx>
        <c:axId val="669490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669489000"/>
        <c:crosses val="autoZero"/>
        <c:auto val="1"/>
        <c:lblAlgn val="ctr"/>
        <c:lblOffset val="100"/>
        <c:noMultiLvlLbl val="0"/>
      </c:catAx>
      <c:valAx>
        <c:axId val="6694890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Tonnages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 b="1"/>
            </a:pPr>
            <a:endParaRPr lang="en-US"/>
          </a:p>
        </c:txPr>
        <c:crossAx val="66949017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 b="1" i="0" baseline="0">
                <a:effectLst/>
              </a:rPr>
              <a:t>Actual  Demurrage Cost BoCT as Period Jan - Jun 2013</a:t>
            </a:r>
            <a:endParaRPr lang="en-US" sz="1400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'present 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'present 2'!#REF!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'present 2'!#REF!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7FF-4982-9630-4266AC0C2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9479200"/>
        <c:axId val="669484296"/>
      </c:barChart>
      <c:lineChart>
        <c:grouping val="standard"/>
        <c:varyColors val="0"/>
        <c:ser>
          <c:idx val="1"/>
          <c:order val="1"/>
          <c:val>
            <c:numRef>
              <c:f>'present 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'present 2'!#REF!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'present 2'!#REF!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7FF-4982-9630-4266AC0C2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9480768"/>
        <c:axId val="669486648"/>
      </c:lineChart>
      <c:catAx>
        <c:axId val="6694792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669484296"/>
        <c:crosses val="autoZero"/>
        <c:auto val="1"/>
        <c:lblAlgn val="ctr"/>
        <c:lblOffset val="100"/>
        <c:noMultiLvlLbl val="0"/>
      </c:catAx>
      <c:valAx>
        <c:axId val="6694842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669479200"/>
        <c:crosses val="autoZero"/>
        <c:crossBetween val="between"/>
      </c:valAx>
      <c:valAx>
        <c:axId val="669486648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$/ton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9480768"/>
        <c:crosses val="max"/>
        <c:crossBetween val="between"/>
      </c:valAx>
      <c:catAx>
        <c:axId val="6694807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948664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Averege Penalty Rate/Month</a:t>
            </a:r>
            <a:r>
              <a:rPr lang="en-US" baseline="0"/>
              <a:t> </a:t>
            </a:r>
            <a:r>
              <a:rPr lang="en-US"/>
              <a:t>of ITM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val>
            <c:numRef>
              <c:f>'present 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'present 2'!#REF!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'present 2'!#REF!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E20-4109-8A00-DE0AA6AE6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669492920"/>
        <c:axId val="669491744"/>
      </c:barChart>
      <c:catAx>
        <c:axId val="6694929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669491744"/>
        <c:crosses val="autoZero"/>
        <c:auto val="1"/>
        <c:lblAlgn val="ctr"/>
        <c:lblOffset val="100"/>
        <c:noMultiLvlLbl val="0"/>
      </c:catAx>
      <c:valAx>
        <c:axId val="6694917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Tonnages</a:t>
                </a:r>
              </a:p>
            </c:rich>
          </c:tx>
          <c:layout>
            <c:manualLayout>
              <c:xMode val="edge"/>
              <c:yMode val="edge"/>
              <c:x val="1.6052168282969393E-2"/>
              <c:y val="0.3582968795567220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669492920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 b="1" i="0" baseline="0">
                <a:effectLst/>
              </a:rPr>
              <a:t>Actual  Demurrage Cost BoCT as Period Jan - Jun 2013</a:t>
            </a:r>
            <a:endParaRPr lang="en-US" sz="1400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'Penalty 2026'!$G$9</c:f>
              <c:strCache>
                <c:ptCount val="1"/>
                <c:pt idx="0">
                  <c:v>ton</c:v>
                </c:pt>
              </c:strCache>
            </c:strRef>
          </c:tx>
          <c:invertIfNegative val="0"/>
          <c:cat>
            <c:strRef>
              <c:f>'Penalty 2026'!$F$10:$F$15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'Penalty 2026'!$G$10:$G$15</c:f>
              <c:numCache>
                <c:formatCode>#,##0</c:formatCode>
                <c:ptCount val="6"/>
                <c:pt idx="0">
                  <c:v>1049005.01</c:v>
                </c:pt>
                <c:pt idx="1">
                  <c:v>865634</c:v>
                </c:pt>
                <c:pt idx="2">
                  <c:v>941705.85</c:v>
                </c:pt>
                <c:pt idx="3">
                  <c:v>948486.78000000014</c:v>
                </c:pt>
                <c:pt idx="4">
                  <c:v>755972.03999999992</c:v>
                </c:pt>
                <c:pt idx="5">
                  <c:v>1015599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C4-4D81-BB89-91D366536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9479200"/>
        <c:axId val="669484296"/>
      </c:barChart>
      <c:lineChart>
        <c:grouping val="standard"/>
        <c:varyColors val="0"/>
        <c:ser>
          <c:idx val="1"/>
          <c:order val="1"/>
          <c:tx>
            <c:strRef>
              <c:f>'Penalty 2026'!$H$9</c:f>
              <c:strCache>
                <c:ptCount val="1"/>
                <c:pt idx="0">
                  <c:v>Act/Est</c:v>
                </c:pt>
              </c:strCache>
            </c:strRef>
          </c:tx>
          <c:cat>
            <c:strRef>
              <c:f>'Penalty 2026'!$F$10:$F$21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'Penalty 2026'!$H$10:$H$15</c:f>
              <c:numCache>
                <c:formatCode>0.00_);[Red]\(0.00\)</c:formatCode>
                <c:ptCount val="6"/>
                <c:pt idx="0">
                  <c:v>-0.54</c:v>
                </c:pt>
                <c:pt idx="1">
                  <c:v>-0.6</c:v>
                </c:pt>
                <c:pt idx="2">
                  <c:v>0.79</c:v>
                </c:pt>
                <c:pt idx="3">
                  <c:v>0.85</c:v>
                </c:pt>
                <c:pt idx="4">
                  <c:v>-1.76</c:v>
                </c:pt>
                <c:pt idx="5">
                  <c:v>-1.01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C4-4D81-BB89-91D366536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9480768"/>
        <c:axId val="669486648"/>
      </c:lineChart>
      <c:catAx>
        <c:axId val="6694792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669484296"/>
        <c:crosses val="autoZero"/>
        <c:auto val="1"/>
        <c:lblAlgn val="ctr"/>
        <c:lblOffset val="100"/>
        <c:noMultiLvlLbl val="0"/>
      </c:catAx>
      <c:valAx>
        <c:axId val="6694842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669479200"/>
        <c:crosses val="autoZero"/>
        <c:crossBetween val="between"/>
      </c:valAx>
      <c:valAx>
        <c:axId val="669486648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$/ton</a:t>
                </a:r>
              </a:p>
            </c:rich>
          </c:tx>
          <c:overlay val="0"/>
        </c:title>
        <c:numFmt formatCode="0.00_);[Red]\(0.00\)" sourceLinked="1"/>
        <c:majorTickMark val="out"/>
        <c:minorTickMark val="none"/>
        <c:tickLblPos val="nextTo"/>
        <c:crossAx val="669480768"/>
        <c:crosses val="max"/>
        <c:crossBetween val="between"/>
      </c:valAx>
      <c:catAx>
        <c:axId val="6694807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948664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Averege Penalty Rate/Month</a:t>
            </a:r>
            <a:r>
              <a:rPr lang="en-US" baseline="0"/>
              <a:t> </a:t>
            </a:r>
            <a:r>
              <a:rPr lang="en-US"/>
              <a:t>of ITM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'Penalty 2026'!$AC$109</c:f>
              <c:strCache>
                <c:ptCount val="1"/>
                <c:pt idx="0">
                  <c:v>Penalty</c:v>
                </c:pt>
              </c:strCache>
            </c:strRef>
          </c:tx>
          <c:invertIfNegative val="0"/>
          <c:cat>
            <c:strRef>
              <c:f>'Penalty 2026'!$AD$108:$AO$108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'Penalty 2026'!$AD$109:$AO$109</c:f>
              <c:numCache>
                <c:formatCode>0.00</c:formatCode>
                <c:ptCount val="12"/>
                <c:pt idx="0">
                  <c:v>0.90666645174022875</c:v>
                </c:pt>
                <c:pt idx="1">
                  <c:v>0.77203645659455267</c:v>
                </c:pt>
                <c:pt idx="2">
                  <c:v>0.61065862033916507</c:v>
                </c:pt>
                <c:pt idx="3">
                  <c:v>1.262938115605968</c:v>
                </c:pt>
                <c:pt idx="4">
                  <c:v>0.82579795560443892</c:v>
                </c:pt>
                <c:pt idx="5">
                  <c:v>0.18004726373826782</c:v>
                </c:pt>
                <c:pt idx="6">
                  <c:v>0.18421161358688642</c:v>
                </c:pt>
                <c:pt idx="7">
                  <c:v>0.71187249117893303</c:v>
                </c:pt>
                <c:pt idx="8">
                  <c:v>1.3579993461462254</c:v>
                </c:pt>
                <c:pt idx="9">
                  <c:v>0.71953682974824762</c:v>
                </c:pt>
                <c:pt idx="10">
                  <c:v>0.79567434132037773</c:v>
                </c:pt>
                <c:pt idx="11">
                  <c:v>1.4588933471785837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06-4960-AADB-75C854C28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669492920"/>
        <c:axId val="669491744"/>
      </c:barChart>
      <c:catAx>
        <c:axId val="6694929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669491744"/>
        <c:crosses val="autoZero"/>
        <c:auto val="1"/>
        <c:lblAlgn val="ctr"/>
        <c:lblOffset val="100"/>
        <c:noMultiLvlLbl val="0"/>
      </c:catAx>
      <c:valAx>
        <c:axId val="6694917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Tonnages</a:t>
                </a:r>
              </a:p>
            </c:rich>
          </c:tx>
          <c:layout>
            <c:manualLayout>
              <c:xMode val="edge"/>
              <c:yMode val="edge"/>
              <c:x val="1.6052168282969393E-2"/>
              <c:y val="0.35829687955672201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669492920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 b="1" i="0" baseline="0">
                <a:effectLst/>
              </a:rPr>
              <a:t>Actual  Demurrage Cost BoCT as Period Jan - Jun 2013</a:t>
            </a:r>
            <a:endParaRPr lang="en-US" sz="1400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ton</c:v>
          </c:tx>
          <c:invertIfNegative val="0"/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755824.28500000003</c:v>
              </c:pt>
              <c:pt idx="1">
                <c:v>857042.29299999995</c:v>
              </c:pt>
              <c:pt idx="2">
                <c:v>722477.59</c:v>
              </c:pt>
              <c:pt idx="3">
                <c:v>845558.14900000009</c:v>
              </c:pt>
              <c:pt idx="4">
                <c:v>751034</c:v>
              </c:pt>
              <c:pt idx="5">
                <c:v>874691.3743202202</c:v>
              </c:pt>
            </c:numLit>
          </c:val>
          <c:extLst>
            <c:ext xmlns:c16="http://schemas.microsoft.com/office/drawing/2014/chart" uri="{C3380CC4-5D6E-409C-BE32-E72D297353CC}">
              <c16:uniqueId val="{00000000-6238-4E61-8621-8B4D1D36B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9479200"/>
        <c:axId val="669484296"/>
      </c:barChart>
      <c:lineChart>
        <c:grouping val="standard"/>
        <c:varyColors val="0"/>
        <c:ser>
          <c:idx val="1"/>
          <c:order val="1"/>
          <c:tx>
            <c:v>Act/Est</c:v>
          </c:tx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6"/>
              <c:pt idx="0">
                <c:v>-1.5263319017329537</c:v>
              </c:pt>
              <c:pt idx="1">
                <c:v>-3.695790167965509E-2</c:v>
              </c:pt>
              <c:pt idx="2">
                <c:v>-0.61931618712215009</c:v>
              </c:pt>
              <c:pt idx="3">
                <c:v>0.14375511359420409</c:v>
              </c:pt>
              <c:pt idx="4">
                <c:v>-0.09</c:v>
              </c:pt>
              <c:pt idx="5">
                <c:v>-0.24414487043831526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6238-4E61-8621-8B4D1D36B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9480768"/>
        <c:axId val="669486648"/>
      </c:lineChart>
      <c:catAx>
        <c:axId val="6694792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669484296"/>
        <c:crosses val="autoZero"/>
        <c:auto val="1"/>
        <c:lblAlgn val="ctr"/>
        <c:lblOffset val="100"/>
        <c:noMultiLvlLbl val="0"/>
      </c:catAx>
      <c:valAx>
        <c:axId val="6694842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669479200"/>
        <c:crosses val="autoZero"/>
        <c:crossBetween val="between"/>
      </c:valAx>
      <c:valAx>
        <c:axId val="669486648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$/ton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9480768"/>
        <c:crosses val="max"/>
        <c:crossBetween val="between"/>
      </c:valAx>
      <c:catAx>
        <c:axId val="6694807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948664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Averege Penalty Rate/Month</a:t>
            </a:r>
            <a:r>
              <a:rPr lang="en-US" baseline="0"/>
              <a:t> </a:t>
            </a:r>
            <a:r>
              <a:rPr lang="en-US"/>
              <a:t>of ITM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Penalty</c:v>
          </c:tx>
          <c:invertIfNegative val="0"/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0.90666645174022875</c:v>
              </c:pt>
              <c:pt idx="1">
                <c:v>0.77203645659455267</c:v>
              </c:pt>
              <c:pt idx="2">
                <c:v>0.61065862033916507</c:v>
              </c:pt>
              <c:pt idx="3">
                <c:v>1.262938115605968</c:v>
              </c:pt>
              <c:pt idx="4">
                <c:v>0.82579795560443892</c:v>
              </c:pt>
              <c:pt idx="5">
                <c:v>0.18004726373826782</c:v>
              </c:pt>
              <c:pt idx="6">
                <c:v>0.18421161358688642</c:v>
              </c:pt>
              <c:pt idx="7">
                <c:v>0.71187249117893303</c:v>
              </c:pt>
              <c:pt idx="8">
                <c:v>1.3579993461462254</c:v>
              </c:pt>
              <c:pt idx="9">
                <c:v>0.71953682974824762</c:v>
              </c:pt>
              <c:pt idx="10">
                <c:v>0.79567434132037773</c:v>
              </c:pt>
              <c:pt idx="11">
                <c:v>1.4588933471785837</c:v>
              </c:pt>
            </c:numLit>
          </c:val>
          <c:extLst>
            <c:ext xmlns:c16="http://schemas.microsoft.com/office/drawing/2014/chart" uri="{C3380CC4-5D6E-409C-BE32-E72D297353CC}">
              <c16:uniqueId val="{00000000-4D41-4DD2-A283-443F19745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669492920"/>
        <c:axId val="669491744"/>
      </c:barChart>
      <c:catAx>
        <c:axId val="6694929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669491744"/>
        <c:crosses val="autoZero"/>
        <c:auto val="1"/>
        <c:lblAlgn val="ctr"/>
        <c:lblOffset val="100"/>
        <c:noMultiLvlLbl val="0"/>
      </c:catAx>
      <c:valAx>
        <c:axId val="6694917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Tonnages</a:t>
                </a:r>
              </a:p>
            </c:rich>
          </c:tx>
          <c:layout>
            <c:manualLayout>
              <c:xMode val="edge"/>
              <c:yMode val="edge"/>
              <c:x val="1.6052168282969393E-2"/>
              <c:y val="0.3582968795567220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669492920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ITM Demurage (USD/t)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'graph 3'!$B$6:$C$6</c:f>
              <c:strCache>
                <c:ptCount val="2"/>
                <c:pt idx="0">
                  <c:v>Tonnage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'graph 3'!$D$3:$O$3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'graph 3'!$D$6:$O$6</c:f>
              <c:numCache>
                <c:formatCode>_(* #,##0_);_(* \(#,##0\);_(* "-"??_);_(@_)</c:formatCode>
                <c:ptCount val="12"/>
                <c:pt idx="0">
                  <c:v>2184.2619180000002</c:v>
                </c:pt>
                <c:pt idx="1">
                  <c:v>2122.6060000000002</c:v>
                </c:pt>
                <c:pt idx="2">
                  <c:v>1951.5973259999998</c:v>
                </c:pt>
                <c:pt idx="3">
                  <c:v>1887.0547800000002</c:v>
                </c:pt>
                <c:pt idx="4" formatCode="_(* #,##0.00_);_(* \(#,##0.00\);_(* &quot;-&quot;??_);_(@_)">
                  <c:v>2045.7310400000001</c:v>
                </c:pt>
                <c:pt idx="5">
                  <c:v>2140.6889999999999</c:v>
                </c:pt>
                <c:pt idx="6">
                  <c:v>2432.3609999999999</c:v>
                </c:pt>
                <c:pt idx="7">
                  <c:v>1834.912</c:v>
                </c:pt>
                <c:pt idx="8">
                  <c:v>2083.6766899999998</c:v>
                </c:pt>
                <c:pt idx="9">
                  <c:v>2550.5</c:v>
                </c:pt>
                <c:pt idx="10">
                  <c:v>2594</c:v>
                </c:pt>
                <c:pt idx="11">
                  <c:v>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D-42EA-8526-F576B308A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8521408"/>
        <c:axId val="1688520992"/>
      </c:barChart>
      <c:lineChart>
        <c:grouping val="standard"/>
        <c:varyColors val="0"/>
        <c:ser>
          <c:idx val="0"/>
          <c:order val="0"/>
          <c:tx>
            <c:strRef>
              <c:f>'graph 3'!$B$4:$C$4</c:f>
              <c:strCache>
                <c:ptCount val="2"/>
                <c:pt idx="0">
                  <c:v>Plan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'graph 3'!$D$3:$O$3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'graph 3'!$D$4:$O$4</c:f>
              <c:numCache>
                <c:formatCode>_(* #,##0.00_);_(* \(#,##0.00\);_(* "-"??_);_(@_)</c:formatCode>
                <c:ptCount val="12"/>
                <c:pt idx="0">
                  <c:v>0.49</c:v>
                </c:pt>
                <c:pt idx="1">
                  <c:v>0.49</c:v>
                </c:pt>
                <c:pt idx="2">
                  <c:v>0.49</c:v>
                </c:pt>
                <c:pt idx="3">
                  <c:v>0.49</c:v>
                </c:pt>
                <c:pt idx="4">
                  <c:v>0.49</c:v>
                </c:pt>
                <c:pt idx="5">
                  <c:v>0.49</c:v>
                </c:pt>
                <c:pt idx="6">
                  <c:v>0.49</c:v>
                </c:pt>
                <c:pt idx="7">
                  <c:v>0.49</c:v>
                </c:pt>
                <c:pt idx="8">
                  <c:v>0.49</c:v>
                </c:pt>
                <c:pt idx="9">
                  <c:v>0.49</c:v>
                </c:pt>
                <c:pt idx="10">
                  <c:v>0.49</c:v>
                </c:pt>
                <c:pt idx="11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0D-42EA-8526-F576B308A928}"/>
            </c:ext>
          </c:extLst>
        </c:ser>
        <c:ser>
          <c:idx val="1"/>
          <c:order val="1"/>
          <c:tx>
            <c:strRef>
              <c:f>'graph 3'!$B$5:$C$5</c:f>
              <c:strCache>
                <c:ptCount val="2"/>
                <c:pt idx="0">
                  <c:v>Actual/Outlook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317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Lbl>
              <c:idx val="11"/>
              <c:layout>
                <c:manualLayout>
                  <c:x val="-1.2288786482334869E-2"/>
                  <c:y val="-3.59147025813692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F0D-42EA-8526-F576B308A9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3'!$D$3:$O$3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'graph 3'!$D$5:$O$5</c:f>
              <c:numCache>
                <c:formatCode>_(* #,##0.00_);_(* \(#,##0.00\);_(* "-"??_);_(@_)</c:formatCode>
                <c:ptCount val="12"/>
                <c:pt idx="0">
                  <c:v>0.37</c:v>
                </c:pt>
                <c:pt idx="1">
                  <c:v>0.28999999999999998</c:v>
                </c:pt>
                <c:pt idx="2">
                  <c:v>0.6</c:v>
                </c:pt>
                <c:pt idx="3">
                  <c:v>0.44</c:v>
                </c:pt>
                <c:pt idx="4">
                  <c:v>0.31</c:v>
                </c:pt>
                <c:pt idx="5">
                  <c:v>0.57999999999999996</c:v>
                </c:pt>
                <c:pt idx="6">
                  <c:v>0.25</c:v>
                </c:pt>
                <c:pt idx="7">
                  <c:v>0.19</c:v>
                </c:pt>
                <c:pt idx="8">
                  <c:v>1.19</c:v>
                </c:pt>
                <c:pt idx="9">
                  <c:v>0.61</c:v>
                </c:pt>
                <c:pt idx="10">
                  <c:v>0.31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0D-42EA-8526-F576B308A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56776"/>
        <c:axId val="13156384"/>
      </c:lineChart>
      <c:catAx>
        <c:axId val="13156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6384"/>
        <c:crosses val="autoZero"/>
        <c:auto val="1"/>
        <c:lblAlgn val="ctr"/>
        <c:lblOffset val="100"/>
        <c:noMultiLvlLbl val="0"/>
      </c:catAx>
      <c:valAx>
        <c:axId val="131563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6776"/>
        <c:crosses val="autoZero"/>
        <c:crossBetween val="between"/>
      </c:valAx>
      <c:valAx>
        <c:axId val="1688520992"/>
        <c:scaling>
          <c:orientation val="minMax"/>
        </c:scaling>
        <c:delete val="0"/>
        <c:axPos val="r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521408"/>
        <c:crosses val="max"/>
        <c:crossBetween val="between"/>
      </c:valAx>
      <c:catAx>
        <c:axId val="16885214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885209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ITM Penalty (USD/t)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'graph 3'!$B$14:$C$14</c:f>
              <c:strCache>
                <c:ptCount val="2"/>
                <c:pt idx="0">
                  <c:v>Tonnage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'graph 3'!$D$11:$O$11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'graph 3'!$D$14:$O$14</c:f>
              <c:numCache>
                <c:formatCode>_(* #,##0_);_(* \(#,##0\);_(* "-"??_);_(@_)</c:formatCode>
                <c:ptCount val="12"/>
                <c:pt idx="0">
                  <c:v>2184.2619180000002</c:v>
                </c:pt>
                <c:pt idx="1">
                  <c:v>2122.6060000000002</c:v>
                </c:pt>
                <c:pt idx="2">
                  <c:v>1951.5973259999998</c:v>
                </c:pt>
                <c:pt idx="3">
                  <c:v>1887.0547800000002</c:v>
                </c:pt>
                <c:pt idx="4">
                  <c:v>2045.7310400000001</c:v>
                </c:pt>
                <c:pt idx="5">
                  <c:v>2140.6889999999999</c:v>
                </c:pt>
                <c:pt idx="6">
                  <c:v>2432.3609999999999</c:v>
                </c:pt>
                <c:pt idx="7">
                  <c:v>1834.912</c:v>
                </c:pt>
                <c:pt idx="8">
                  <c:v>2083.6766899999998</c:v>
                </c:pt>
                <c:pt idx="9">
                  <c:v>2550.5</c:v>
                </c:pt>
                <c:pt idx="10">
                  <c:v>2594</c:v>
                </c:pt>
                <c:pt idx="11">
                  <c:v>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C-4AEC-A448-16027B47A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8962160"/>
        <c:axId val="1488960080"/>
      </c:barChart>
      <c:lineChart>
        <c:grouping val="standard"/>
        <c:varyColors val="0"/>
        <c:ser>
          <c:idx val="1"/>
          <c:order val="1"/>
          <c:tx>
            <c:strRef>
              <c:f>'graph 3'!$B$13:$C$13</c:f>
              <c:strCache>
                <c:ptCount val="2"/>
                <c:pt idx="0">
                  <c:v>Actual/Outlook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317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Lbl>
              <c:idx val="11"/>
              <c:layout>
                <c:manualLayout>
                  <c:x val="-2.1822149481723948E-3"/>
                  <c:y val="-1.7957351290684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53C-4AEC-A448-16027B47A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3'!$D$11:$O$11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'graph 3'!$D$13:$O$13</c:f>
              <c:numCache>
                <c:formatCode>_(* #,##0.00_);_(* \(#,##0.00\);_(* "-"??_);_(@_)</c:formatCode>
                <c:ptCount val="12"/>
                <c:pt idx="0">
                  <c:v>0.32399808257793372</c:v>
                </c:pt>
                <c:pt idx="1">
                  <c:v>-0.17280348307693466</c:v>
                </c:pt>
                <c:pt idx="2">
                  <c:v>0.87409747072998401</c:v>
                </c:pt>
                <c:pt idx="3">
                  <c:v>1.7826950369718468</c:v>
                </c:pt>
                <c:pt idx="4">
                  <c:v>-2.9875843502868163E-2</c:v>
                </c:pt>
                <c:pt idx="5">
                  <c:v>-0.58165246796708914</c:v>
                </c:pt>
                <c:pt idx="6">
                  <c:v>1.0907384183515523</c:v>
                </c:pt>
                <c:pt idx="7">
                  <c:v>1.6283605916796011</c:v>
                </c:pt>
                <c:pt idx="8">
                  <c:v>1.0967626603146383</c:v>
                </c:pt>
                <c:pt idx="9">
                  <c:v>0.28154871593805131</c:v>
                </c:pt>
                <c:pt idx="10">
                  <c:v>0.21154587509637626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3C-4AEC-A448-16027B47A94A}"/>
            </c:ext>
          </c:extLst>
        </c:ser>
        <c:ser>
          <c:idx val="0"/>
          <c:order val="0"/>
          <c:tx>
            <c:strRef>
              <c:f>'graph 3'!$B$12:$C$12</c:f>
              <c:strCache>
                <c:ptCount val="2"/>
                <c:pt idx="0">
                  <c:v>Plan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'graph 3'!$D$11:$O$11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'graph 3'!$D$12:$O$12</c:f>
              <c:numCache>
                <c:formatCode>_(* #,##0.00_);_(* \(#,##0.00\);_(* "-"??_);_(@_)</c:formatCode>
                <c:ptCount val="12"/>
                <c:pt idx="0">
                  <c:v>-0.1</c:v>
                </c:pt>
                <c:pt idx="1">
                  <c:v>-0.1</c:v>
                </c:pt>
                <c:pt idx="2">
                  <c:v>-0.1</c:v>
                </c:pt>
                <c:pt idx="3">
                  <c:v>-0.1</c:v>
                </c:pt>
                <c:pt idx="4">
                  <c:v>-0.1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-0.1</c:v>
                </c:pt>
                <c:pt idx="9">
                  <c:v>-0.1</c:v>
                </c:pt>
                <c:pt idx="10">
                  <c:v>-0.1</c:v>
                </c:pt>
                <c:pt idx="11">
                  <c:v>-0.1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3C-4AEC-A448-16027B47A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57952"/>
        <c:axId val="326970424"/>
      </c:lineChart>
      <c:catAx>
        <c:axId val="1315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970424"/>
        <c:crosses val="autoZero"/>
        <c:auto val="1"/>
        <c:lblAlgn val="ctr"/>
        <c:lblOffset val="100"/>
        <c:noMultiLvlLbl val="0"/>
      </c:catAx>
      <c:valAx>
        <c:axId val="326970424"/>
        <c:scaling>
          <c:orientation val="minMax"/>
          <c:max val="5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7952"/>
        <c:crosses val="autoZero"/>
        <c:crossBetween val="between"/>
      </c:valAx>
      <c:valAx>
        <c:axId val="1488960080"/>
        <c:scaling>
          <c:orientation val="minMax"/>
        </c:scaling>
        <c:delete val="0"/>
        <c:axPos val="r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962160"/>
        <c:crosses val="max"/>
        <c:crossBetween val="between"/>
      </c:valAx>
      <c:catAx>
        <c:axId val="14889621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889600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image" Target="../media/image1.png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image" Target="../media/image1.png"/><Relationship Id="rId1" Type="http://schemas.openxmlformats.org/officeDocument/2006/relationships/chart" Target="../charts/chart11.xml"/><Relationship Id="rId4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image" Target="../media/image1.png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1148900</xdr:colOff>
      <xdr:row>211</xdr:row>
      <xdr:rowOff>76200</xdr:rowOff>
    </xdr:from>
    <xdr:to>
      <xdr:col>22</xdr:col>
      <xdr:colOff>559083</xdr:colOff>
      <xdr:row>226</xdr:row>
      <xdr:rowOff>2477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61FCEE-E172-4226-98B9-77B5F83F0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139875" y="38681025"/>
          <a:ext cx="6561103" cy="283457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17</xdr:col>
      <xdr:colOff>0</xdr:colOff>
      <xdr:row>220</xdr:row>
      <xdr:rowOff>38100</xdr:rowOff>
    </xdr:from>
    <xdr:to>
      <xdr:col>25</xdr:col>
      <xdr:colOff>23814</xdr:colOff>
      <xdr:row>234</xdr:row>
      <xdr:rowOff>114300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56F2813-93BF-4E29-8CF4-54B401B3F68D}"/>
            </a:ext>
            <a:ext uri="{147F2762-F138-4A5C-976F-8EAC2B608ADB}">
              <a16:predDERef xmlns:a16="http://schemas.microsoft.com/office/drawing/2014/main" pred="{7761FCEE-E172-4226-98B9-77B5F83F00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235</xdr:row>
      <xdr:rowOff>0</xdr:rowOff>
    </xdr:from>
    <xdr:to>
      <xdr:col>25</xdr:col>
      <xdr:colOff>19050</xdr:colOff>
      <xdr:row>248</xdr:row>
      <xdr:rowOff>28575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1E481248-1530-427A-94AF-2AD7B7456953}"/>
            </a:ext>
            <a:ext uri="{147F2762-F138-4A5C-976F-8EAC2B608ADB}">
              <a16:predDERef xmlns:a16="http://schemas.microsoft.com/office/drawing/2014/main" pred="{056F2813-93BF-4E29-8CF4-54B401B3F6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1148900</xdr:colOff>
      <xdr:row>209</xdr:row>
      <xdr:rowOff>76200</xdr:rowOff>
    </xdr:from>
    <xdr:to>
      <xdr:col>15</xdr:col>
      <xdr:colOff>32853</xdr:colOff>
      <xdr:row>225</xdr:row>
      <xdr:rowOff>15181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5C5BBA-2A43-4A57-BBA7-4F4C34D64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256080" y="39166800"/>
          <a:ext cx="6778273" cy="286505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17</xdr:col>
      <xdr:colOff>0</xdr:colOff>
      <xdr:row>218</xdr:row>
      <xdr:rowOff>38100</xdr:rowOff>
    </xdr:from>
    <xdr:to>
      <xdr:col>25</xdr:col>
      <xdr:colOff>23814</xdr:colOff>
      <xdr:row>232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C02337-410C-4CD5-8F52-AD2EE04550DE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233</xdr:row>
      <xdr:rowOff>0</xdr:rowOff>
    </xdr:from>
    <xdr:to>
      <xdr:col>25</xdr:col>
      <xdr:colOff>19050</xdr:colOff>
      <xdr:row>246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2E6DCB-F6DE-4075-9F15-4564FBE1EE1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1148900</xdr:colOff>
      <xdr:row>211</xdr:row>
      <xdr:rowOff>76200</xdr:rowOff>
    </xdr:from>
    <xdr:to>
      <xdr:col>15</xdr:col>
      <xdr:colOff>277963</xdr:colOff>
      <xdr:row>227</xdr:row>
      <xdr:rowOff>15180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C8F1C4-B6E1-4542-8D69-A31CD79F6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703880" y="39418260"/>
          <a:ext cx="6642383" cy="28650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16</xdr:col>
      <xdr:colOff>0</xdr:colOff>
      <xdr:row>220</xdr:row>
      <xdr:rowOff>38100</xdr:rowOff>
    </xdr:from>
    <xdr:to>
      <xdr:col>24</xdr:col>
      <xdr:colOff>23814</xdr:colOff>
      <xdr:row>234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38239A-B7D7-4BEC-8404-1495CBCE7C26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235</xdr:row>
      <xdr:rowOff>0</xdr:rowOff>
    </xdr:from>
    <xdr:to>
      <xdr:col>24</xdr:col>
      <xdr:colOff>19050</xdr:colOff>
      <xdr:row>248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3607B6-F73F-4C5C-BD43-630A3D956705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1148900</xdr:colOff>
      <xdr:row>211</xdr:row>
      <xdr:rowOff>76200</xdr:rowOff>
    </xdr:from>
    <xdr:to>
      <xdr:col>14</xdr:col>
      <xdr:colOff>32853</xdr:colOff>
      <xdr:row>227</xdr:row>
      <xdr:rowOff>15179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987725" y="41148000"/>
          <a:ext cx="6542053" cy="298697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16</xdr:col>
      <xdr:colOff>0</xdr:colOff>
      <xdr:row>220</xdr:row>
      <xdr:rowOff>38100</xdr:rowOff>
    </xdr:from>
    <xdr:to>
      <xdr:col>24</xdr:col>
      <xdr:colOff>23814</xdr:colOff>
      <xdr:row>234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  <a:ext uri="{147F2762-F138-4A5C-976F-8EAC2B608ADB}">
              <a16:predDERef xmlns:a16="http://schemas.microsoft.com/office/drawing/2014/main" pre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235</xdr:row>
      <xdr:rowOff>0</xdr:rowOff>
    </xdr:from>
    <xdr:to>
      <xdr:col>24</xdr:col>
      <xdr:colOff>19050</xdr:colOff>
      <xdr:row>248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  <a:ext uri="{147F2762-F138-4A5C-976F-8EAC2B608ADB}">
              <a16:predDERef xmlns:a16="http://schemas.microsoft.com/office/drawing/2014/main" pre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34</xdr:col>
      <xdr:colOff>465858</xdr:colOff>
      <xdr:row>14</xdr:row>
      <xdr:rowOff>223203</xdr:rowOff>
    </xdr:from>
    <xdr:to>
      <xdr:col>49</xdr:col>
      <xdr:colOff>372289</xdr:colOff>
      <xdr:row>31</xdr:row>
      <xdr:rowOff>121669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678783" y="3223578"/>
          <a:ext cx="9050431" cy="316554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71439</xdr:colOff>
      <xdr:row>121</xdr:row>
      <xdr:rowOff>178028</xdr:rowOff>
    </xdr:from>
    <xdr:to>
      <xdr:col>23</xdr:col>
      <xdr:colOff>151949</xdr:colOff>
      <xdr:row>139</xdr:row>
      <xdr:rowOff>103870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721178</xdr:colOff>
      <xdr:row>104</xdr:row>
      <xdr:rowOff>142875</xdr:rowOff>
    </xdr:from>
    <xdr:to>
      <xdr:col>30</xdr:col>
      <xdr:colOff>115937</xdr:colOff>
      <xdr:row>120</xdr:row>
      <xdr:rowOff>81853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951278" y="20307300"/>
          <a:ext cx="6548034" cy="298697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30</xdr:col>
      <xdr:colOff>230864</xdr:colOff>
      <xdr:row>113</xdr:row>
      <xdr:rowOff>104775</xdr:rowOff>
    </xdr:from>
    <xdr:to>
      <xdr:col>43</xdr:col>
      <xdr:colOff>333599</xdr:colOff>
      <xdr:row>127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  <a:ext uri="{147F2762-F138-4A5C-976F-8EAC2B608ADB}">
              <a16:predDERef xmlns:a16="http://schemas.microsoft.com/office/drawing/2014/main" pre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71439</xdr:colOff>
      <xdr:row>119</xdr:row>
      <xdr:rowOff>178028</xdr:rowOff>
    </xdr:from>
    <xdr:to>
      <xdr:col>21</xdr:col>
      <xdr:colOff>151949</xdr:colOff>
      <xdr:row>137</xdr:row>
      <xdr:rowOff>103870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5E61E7-FF4B-421C-BBC4-96130664BF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721178</xdr:colOff>
      <xdr:row>102</xdr:row>
      <xdr:rowOff>142875</xdr:rowOff>
    </xdr:from>
    <xdr:to>
      <xdr:col>19</xdr:col>
      <xdr:colOff>1291996</xdr:colOff>
      <xdr:row>117</xdr:row>
      <xdr:rowOff>119954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2AE30E-06F2-4CC2-BB06-10215673D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9362258" y="20015835"/>
          <a:ext cx="6689678" cy="280409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28</xdr:col>
      <xdr:colOff>230864</xdr:colOff>
      <xdr:row>111</xdr:row>
      <xdr:rowOff>104775</xdr:rowOff>
    </xdr:from>
    <xdr:to>
      <xdr:col>41</xdr:col>
      <xdr:colOff>333599</xdr:colOff>
      <xdr:row>125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A60C3C-FF87-4DB8-8BE4-ED1167D25698}"/>
            </a:ext>
            <a:ext uri="{147F2762-F138-4A5C-976F-8EAC2B608ADB}">
              <a16:predDERef xmlns:a16="http://schemas.microsoft.com/office/drawing/2014/main" pre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600075</xdr:colOff>
      <xdr:row>7</xdr:row>
      <xdr:rowOff>152400</xdr:rowOff>
    </xdr:from>
    <xdr:to>
      <xdr:col>29</xdr:col>
      <xdr:colOff>626745</xdr:colOff>
      <xdr:row>22</xdr:row>
      <xdr:rowOff>219920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5572F6-FAEF-40B9-B012-B0DA48B316D7}"/>
            </a:ext>
            <a:ext uri="{147F2762-F138-4A5C-976F-8EAC2B608ADB}">
              <a16:predDERef xmlns:a16="http://schemas.microsoft.com/office/drawing/2014/main" pre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56055" y="1455420"/>
          <a:ext cx="8439150" cy="33813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71439</xdr:colOff>
      <xdr:row>122</xdr:row>
      <xdr:rowOff>178028</xdr:rowOff>
    </xdr:from>
    <xdr:to>
      <xdr:col>23</xdr:col>
      <xdr:colOff>151949</xdr:colOff>
      <xdr:row>140</xdr:row>
      <xdr:rowOff>103870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B7F026-6F24-43E0-A7BF-E9D0972BBA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721178</xdr:colOff>
      <xdr:row>105</xdr:row>
      <xdr:rowOff>142875</xdr:rowOff>
    </xdr:from>
    <xdr:to>
      <xdr:col>32</xdr:col>
      <xdr:colOff>62710</xdr:colOff>
      <xdr:row>121</xdr:row>
      <xdr:rowOff>81853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1FD9F4-A264-454D-AA3D-8A09055C4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0322378" y="19520535"/>
          <a:ext cx="6839612" cy="286505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30</xdr:col>
      <xdr:colOff>230864</xdr:colOff>
      <xdr:row>114</xdr:row>
      <xdr:rowOff>104775</xdr:rowOff>
    </xdr:from>
    <xdr:to>
      <xdr:col>43</xdr:col>
      <xdr:colOff>333599</xdr:colOff>
      <xdr:row>128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0740C6-459A-48B9-A4C6-ABAE2B322382}"/>
            </a:ext>
            <a:ext uri="{147F2762-F138-4A5C-976F-8EAC2B608ADB}">
              <a16:predDERef xmlns:a16="http://schemas.microsoft.com/office/drawing/2014/main" pre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531495</xdr:colOff>
      <xdr:row>16</xdr:row>
      <xdr:rowOff>7620</xdr:rowOff>
    </xdr:from>
    <xdr:to>
      <xdr:col>9</xdr:col>
      <xdr:colOff>807720</xdr:colOff>
      <xdr:row>30</xdr:row>
      <xdr:rowOff>169545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878205</xdr:colOff>
      <xdr:row>16</xdr:row>
      <xdr:rowOff>22860</xdr:rowOff>
    </xdr:from>
    <xdr:to>
      <xdr:col>18</xdr:col>
      <xdr:colOff>278130</xdr:colOff>
      <xdr:row>31</xdr:row>
      <xdr:rowOff>1905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800-000003000000}"/>
            </a:ext>
            <a:ext uri="{147F2762-F138-4A5C-976F-8EAC2B608ADB}">
              <a16:predDERef xmlns:a16="http://schemas.microsoft.com/office/drawing/2014/main" pre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aechat_A\AppData\Local\Temp\wz93cb\2011%20Sales%20Plan%20Budget%20Penalty%20Template_2010-10-14_V2_2ndRe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0\Monthly_Report_10\Shipment_2010\Penalty\Shipment%20Quality%20Monitoring%20Data_Platinum%20Customers_2010.07.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Daily%20Master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OM%20DAILY%20MEETING\2006\Daily%20Meeting%20KIDE%20Ap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me\Data_centre\DATA%20REPORT%202007\A%20-%20DAILY%20REPORT\01%20-%20Report_IMM_07\04%20-%20DAILY%20REPORT%20IMM_APR_20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ily%20Master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%20I%20F%20A%20I%20(05Mar14)\BUDGET\SUMMARY\Y2014\Monthly\03%20Weekly%20Performance%20Updatemanual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PORT\01.%20DAILY\2007\02.%20February\DAILY%20CONTRACTOR%20EQUIPMENT%20REPORT-February-2007_Progres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dget%202008%20-%20All\Documents%20and%20Settings\yuliana_t.BANPUINDO\My%20Documents\Budget%202006\3.%20Bontang%20Revision\Macr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5.%202015\Ansarullah\Copy%20of%20CQC_1504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rusher1\Mi_Fac-2006\DELIVERY%20REPORT\(9)September\Delivery%20report%20tgl%2030%20September%200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bora_n\AppData\Local\Temp\notes758E9C\SOS_Drat_Report-2015-05-29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PLAN%202013\Sales\2013%20Sales%20Plan_2012-11-21_(V.3)%20Budget%20R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siripong\D\Download\Download_Program\excel1\inputdbf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fdiyanto%20Nasution\REPORT\DPR\July\Users\MJAZUL~1\AppData\Local\Temp\notes758E9C\Users\MJAZUL~1\AppData\Local\Temp\notes758E9C\01_Hourly\2007\01_Jan\Hourly%2031_Jan_0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6\Monthly\PLAN608_mo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6\Monthly\PLAN608_monthlty_r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6\Monthly\PLAN608_monthlty_r0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Production%20Evaluat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6\Monthly\PLAN608_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6\Monthly\PLAN608_monthlty_r00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GASA~1\AppData\Local\Temp\notes758E9C\CBM%20Template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imm119\mi%20fac\Sml\2003\latihan%20kode%20baru\DTW%23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Moco%20Adm\DATA_SURVEY\Haul%20Distance%20Oct%20200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Moco%20Adm\DATA_SURVEY\Haul%20Distance%20Oct%202006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Moco%20Adm\DATA_SURVEY\Haul%20Distance%20Oct%20200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Moco%20Adm\DATA_SURV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Moco%20Adm\DATA_SURVEY\Haul%20Distance%20Oct%20200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Moco%20Adm\DATA_SURVEY\Haul%20Distance%20Oct%20200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Moco%20Adm\DATA_SURVEY\2007\Haul%20Distance%20NOV%202007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NTAL\2007\Sub_Count%20JAN_07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lex\tip%20n%20trik\FormsControls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Navo\LOCALS~1\Temp\_ZCTmp.Dir\33_08_83133_53000_Mine%20Planning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7%20BOD%20&amp;%20CBM%20JULY%202009\DOCUME~1\bono_b\LOCALS~1\Temp\notesFFF692\DOCUME~1\firman_a\LOCALS~1\Temp\notesE1EF34\2007%20BOD%20CBM%20Jan\DOCUME~1\Bono_b\LOCALS~1\Temp\notesFFF692\Document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rubaindo\Budget\Budget%202006\Production's%20template\31_08_86932_53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Hourly%20Monitoring%20master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Hourly%20Monitoring%20master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rusher1\Mi_Fac-2007\DELIVERY%20REPORT\Delivery%20report%20tgl%2012%20July%20%202007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HITY~1\AppData\Local\Temp\7zO70FD.tmp\1212_sum_quality.xlsm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2017\c\Monitor%20&amp;%20Control\Kideco\MIMS\Entry%20Data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NEW_PELIKAN_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\2006\Documents%20and%20Settings\ETS\My%20Documents\My%20Documents\ERA%20on%20Era%20TS%20(Pcimm078)\PROD_2004\bgt_2005\33_08_83133_5300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01_Jan\Hourly_16_Des_2006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aily_Plan\2007\11.%20nOV\Daily%20Plan%20Nov'06R0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7\PLAN701_monthlty_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7\PLAN701_monthlty_sim_r00---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7\PLAN701_monthlty_sim_r00---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7\PLAN701_monthlty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7\PLAN701_monthlty_sim_r00---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3.111\gateway\DAILY%20REPORT%20PROJECT\COSTMTB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BALANCING%20INVENTORY\Coal%20Balancing%20%202013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imm113\My%20Folder\My%20Documents\Budget%202003\Tandung%20Mayang\Budget%20OC%202003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.1%20First%20Draft%20TDM%20Coal%20Quality%20(27jul12)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Navo\LOCALS~1\Temp\_ZCTmp.Dir\Macro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PERATION\Report%20P%20E%20R%20F%20O%20R%20M%20A%20N%20C%20E\09%20BOD%20&amp;%20CBM%20SEP%202013\2013%20BOD%20Report%20Act.%20AU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o_Detail"/>
      <sheetName val="IMM"/>
      <sheetName val="TCM"/>
      <sheetName val="JBG"/>
      <sheetName val="KTD"/>
      <sheetName val="BEK"/>
      <sheetName val="Blending"/>
      <sheetName val="Affiliated"/>
      <sheetName val="dBase"/>
      <sheetName val="Enel "/>
      <sheetName val="Chubu"/>
      <sheetName val="EPDC"/>
      <sheetName val="Formosa"/>
      <sheetName val="Mine Quality"/>
      <sheetName val="HEK"/>
      <sheetName val="Huaneng"/>
      <sheetName val="TJB"/>
      <sheetName val="CLP"/>
      <sheetName val="Tirreno"/>
      <sheetName val="Kobe Steel"/>
      <sheetName val="Shikoku"/>
      <sheetName val="Kospo"/>
      <sheetName val="Kowepo"/>
      <sheetName val="Validation"/>
      <sheetName val="Summary"/>
      <sheetName val="Base"/>
      <sheetName val="Base Actual"/>
      <sheetName val="Production Budget 2016"/>
      <sheetName val="form"/>
      <sheetName val="Control Effectiveness"/>
      <sheetName val="FC Quality"/>
      <sheetName val="Control Effectivenes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tinum Cstmr Performance 2010"/>
      <sheetName val="Summary"/>
      <sheetName val="imm_data"/>
      <sheetName val="tcm_data"/>
      <sheetName val="jbg_data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OB Forecasting"/>
      <sheetName val="Base"/>
      <sheetName val="TABLE"/>
      <sheetName val="summary"/>
      <sheetName val="Run"/>
      <sheetName val="OVERBURDEN"/>
      <sheetName val="SUBKON"/>
      <sheetName val="MAINTENANCE"/>
      <sheetName val="rate"/>
      <sheetName val="Housekeeping"/>
      <sheetName val="Summ PRM"/>
      <sheetName val="ACUM"/>
      <sheetName val="TJ"/>
      <sheetName val="LM"/>
      <sheetName val="LIST"/>
      <sheetName val="Data"/>
      <sheetName val="Konversi Jara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Konversi Jarak"/>
      <sheetName val="Master Evaluasi"/>
      <sheetName val="010306"/>
      <sheetName val="Produksi"/>
      <sheetName val="Target Lost Time"/>
      <sheetName val="Reference"/>
      <sheetName val="Sheet1"/>
      <sheetName val="Sheet2"/>
      <sheetName val="Sheet3"/>
      <sheetName val="Petrosea"/>
      <sheetName val="DTDummy"/>
      <sheetName val="PRA401"/>
      <sheetName val="KPTJ001"/>
      <sheetName val="Parameter"/>
      <sheetName val="Blasting_per_block"/>
      <sheetName val="Master "/>
      <sheetName val="Konversi_Jarak"/>
      <sheetName val="Master_Evaluasi"/>
      <sheetName val="Target_Lost_Time"/>
      <sheetName val="MASTER"/>
      <sheetName val="Productivity"/>
      <sheetName val="awal bulan"/>
      <sheetName val="FS01"/>
      <sheetName val="Lists"/>
      <sheetName val="Test Depre"/>
      <sheetName val="Asset List"/>
      <sheetName val="Component History"/>
      <sheetName val="Forecast"/>
      <sheetName val="EX2500FIX"/>
      <sheetName val="Cost Code"/>
      <sheetName val=" SAF 02"/>
      <sheetName val="Hotel"/>
      <sheetName val="H.Satuan"/>
      <sheetName val="Data Base"/>
      <sheetName val="Master_Evaluasi1"/>
      <sheetName val="Target_Lost_Time1"/>
      <sheetName val="Konversi_Jarak1"/>
      <sheetName val="Master_"/>
      <sheetName val="Data_Base"/>
      <sheetName val="Master_Evaluasi2"/>
      <sheetName val="Target_Lost_Time2"/>
      <sheetName val="Konversi_Jarak2"/>
      <sheetName val="Master_1"/>
      <sheetName val="Data_Base1"/>
      <sheetName val="Master_Evaluasi3"/>
      <sheetName val="Target_Lost_Time3"/>
      <sheetName val="Konversi_Jarak3"/>
      <sheetName val="Master_2"/>
      <sheetName val="Data_Base2"/>
      <sheetName val="1106-M&amp;E"/>
      <sheetName val="1105-B&amp;I-OK"/>
      <sheetName val="Validation"/>
      <sheetName val="Chubu"/>
      <sheetName val="CLP"/>
      <sheetName val="Enel "/>
      <sheetName val="EPDC"/>
      <sheetName val="Formosa"/>
      <sheetName val="HEK"/>
      <sheetName val="Huaneng"/>
      <sheetName val="Kobe Steel"/>
      <sheetName val="Kospo"/>
      <sheetName val="Kowepo"/>
      <sheetName val="Shikoku"/>
      <sheetName val="Tirreno"/>
      <sheetName val="TJB"/>
      <sheetName val="1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"/>
      <sheetName val="20"/>
      <sheetName val="3"/>
      <sheetName val="4"/>
      <sheetName val="5"/>
      <sheetName val="6"/>
      <sheetName val="7"/>
      <sheetName val="8"/>
      <sheetName val="9"/>
      <sheetName val="PS"/>
      <sheetName val="Plant"/>
      <sheetName val="EWH-UA"/>
      <sheetName val="MTD OB Forecasting"/>
      <sheetName val="Remarks"/>
      <sheetName val="Input"/>
      <sheetName val="Coal"/>
      <sheetName val="Block"/>
      <sheetName val="CondDaily"/>
      <sheetName val="epei "/>
      <sheetName val="DaiRep"/>
      <sheetName val="Safety"/>
      <sheetName val="CondMonthly"/>
      <sheetName val="Weather"/>
      <sheetName val="pexfee"/>
      <sheetName val="Busang1"/>
      <sheetName val="Busang2"/>
      <sheetName val="Busang3"/>
      <sheetName val="Jonggon1"/>
      <sheetName val="Jonggon2"/>
      <sheetName val="Jonggon3"/>
      <sheetName val="Trading Statement"/>
      <sheetName val="COA"/>
      <sheetName val="DRILL&amp;BLAST"/>
      <sheetName val="DOZING"/>
      <sheetName val="PLAN CC"/>
      <sheetName val="PLAN CM"/>
      <sheetName val="PLAN OB"/>
      <sheetName val="Formula"/>
      <sheetName val="CA110_sep10"/>
      <sheetName val="Cost from Acc"/>
      <sheetName val="SUPPORT"/>
      <sheetName val="DOZER"/>
      <sheetName val="EXCA"/>
      <sheetName val="HAULER"/>
      <sheetName val="Update"/>
      <sheetName val="Row Data"/>
      <sheetName val="March_april _2_"/>
      <sheetName val="KPI"/>
      <sheetName val="A_PROD"/>
      <sheetName val="VALUE"/>
      <sheetName val="D-PR_PTY"/>
      <sheetName val="PROD"/>
      <sheetName val="C-PF_ALL"/>
      <sheetName val="B-PF_ACT"/>
      <sheetName val="D_WF"/>
      <sheetName val="LIST"/>
      <sheetName val="March-april (2)"/>
      <sheetName val="Resume Eng"/>
      <sheetName val="_SAF 02"/>
      <sheetName val="awal_bulan"/>
      <sheetName val="awal_bulan1"/>
      <sheetName val="awal_bulan2"/>
      <sheetName val="oldmap"/>
      <sheetName val="summary"/>
      <sheetName val="seq plan"/>
      <sheetName val="M_PLANS_"/>
      <sheetName val="MA_PLANS_"/>
      <sheetName val="nto71"/>
      <sheetName val="HISTORICAL_COAL HAUL"/>
      <sheetName val="HAUL DIST_KANGURU"/>
      <sheetName val="KOMPOSISI"/>
      <sheetName val="OVERBURDEN"/>
      <sheetName val="Galian 1"/>
      <sheetName val="Cost Parameter"/>
      <sheetName val="TABEL STOCK"/>
      <sheetName val="smu"/>
      <sheetName val="Wheel Grp"/>
      <sheetName val="Coal Class_April2016"/>
      <sheetName val="ThisMonth"/>
      <sheetName val="Act_cost"/>
      <sheetName val="COVER"/>
      <sheetName val="DATA BULAN LALU"/>
      <sheetName val="BA PENERIMAAN"/>
      <sheetName val="SUPPORT SUBCONT"/>
      <sheetName val="PT.PPA"/>
      <sheetName val="PT.MNK"/>
      <sheetName val="PT.EKA CITRA"/>
      <sheetName val="PT. ABP"/>
      <sheetName val="PT.HPU"/>
      <sheetName val="PT.TITAN"/>
      <sheetName val="TDC"/>
      <sheetName val="PT.AMM"/>
      <sheetName val="PT.MTK"/>
      <sheetName val="Saldo Solar"/>
      <sheetName val="BA SELISIH SOLAR PT. USI"/>
      <sheetName val="Solar Masuk PT. USI"/>
      <sheetName val="FS02AMM"/>
      <sheetName val="FS03AMM"/>
      <sheetName val="FS10"/>
      <sheetName val="FS09"/>
      <sheetName val="R-UNIT"/>
      <sheetName val="HM-UNIT"/>
      <sheetName val="R-SUPPORT"/>
      <sheetName val="KM-SUPPORT "/>
      <sheetName val="BA SO"/>
      <sheetName val="REKAP ALL"/>
      <sheetName val="FLOWMETER SS6"/>
      <sheetName val="FUEL UNIT"/>
      <sheetName val="FUEL SUPPORT"/>
      <sheetName val="FT52601"/>
      <sheetName val="FT52602"/>
      <sheetName val="FT52603"/>
      <sheetName val="FT52604"/>
      <sheetName val="FT52605"/>
      <sheetName val="FT2620"/>
      <sheetName val="TRANSPORTIR"/>
      <sheetName val="SALES_SUMMARY"/>
      <sheetName val="shipping_program"/>
      <sheetName val="KPC_PRINANG_MO_CF"/>
      <sheetName val="Run"/>
      <sheetName val="SOS Summary "/>
      <sheetName val="Konversi_Jarak4"/>
      <sheetName val="Master_Evaluasi4"/>
      <sheetName val="Target_Lost_Time4"/>
      <sheetName val="Master_3"/>
      <sheetName val="awal_bulan3"/>
      <sheetName val="Test_Depre"/>
      <sheetName val="Asset_List"/>
      <sheetName val="Component_History"/>
      <sheetName val="_SAF_02"/>
      <sheetName val="Row_Data"/>
      <sheetName val="Data_Base3"/>
      <sheetName val="Cost_Code"/>
      <sheetName val="H_Satuan"/>
      <sheetName val="March_april__2_"/>
      <sheetName val="Konversi_Jarak5"/>
      <sheetName val="Master_Evaluasi5"/>
      <sheetName val="Target_Lost_Time5"/>
      <sheetName val="Master_4"/>
      <sheetName val="awal_bulan4"/>
      <sheetName val="Test_Depre1"/>
      <sheetName val="Asset_List1"/>
      <sheetName val="Component_History1"/>
      <sheetName val="_SAF_021"/>
      <sheetName val="Row_Data1"/>
      <sheetName val="Data_Base4"/>
      <sheetName val="Cost_Code1"/>
      <sheetName val="H_Satuan1"/>
      <sheetName val="March_april__2_1"/>
      <sheetName val="Konversi_Jarak6"/>
      <sheetName val="Master_Evaluasi6"/>
      <sheetName val="Target_Lost_Time6"/>
      <sheetName val="Master_5"/>
      <sheetName val="awal_bulan5"/>
      <sheetName val="Test_Depre2"/>
      <sheetName val="Asset_List2"/>
      <sheetName val="Component_History2"/>
      <sheetName val="_SAF_022"/>
      <sheetName val="Row_Data2"/>
      <sheetName val="Data_Base5"/>
      <sheetName val="Cost_Code2"/>
      <sheetName val="H_Satuan2"/>
      <sheetName val="March_april__2_2"/>
      <sheetName val="Coal_Class_April2016"/>
      <sheetName val="Galian_1"/>
      <sheetName val="Cost_Parameter"/>
      <sheetName val="DATA_BULAN_LALU"/>
      <sheetName val="BA_PENERIMAAN"/>
      <sheetName val="SUPPORT_SUBCONT"/>
      <sheetName val="PT_PPA"/>
      <sheetName val="PT_MNK"/>
      <sheetName val="PT_EKA_CITRA"/>
      <sheetName val="PT__ABP"/>
      <sheetName val="PT_HPU"/>
      <sheetName val="PT_TITAN"/>
      <sheetName val="PT_AMM"/>
      <sheetName val="PT_MTK"/>
      <sheetName val="Saldo_Solar"/>
      <sheetName val="BA_SELISIH_SOLAR_PT__USI"/>
      <sheetName val="Solar_Masuk_PT__USI"/>
      <sheetName val="KM-SUPPORT_"/>
      <sheetName val="BA_SO"/>
      <sheetName val="REKAP_ALL"/>
      <sheetName val="FLOWMETER_SS6"/>
      <sheetName val="FUEL_UNIT"/>
      <sheetName val="FUEL_SUPPORT"/>
      <sheetName val="TABEL_STOCK"/>
      <sheetName val="March-april_(2)"/>
      <sheetName val="Resume_Eng"/>
      <sheetName val="Konversi_Jarak9"/>
      <sheetName val="Master_Evaluasi9"/>
      <sheetName val="Target_Lost_Time9"/>
      <sheetName val="Master_8"/>
      <sheetName val="awal_bulan8"/>
      <sheetName val="Test_Depre5"/>
      <sheetName val="Asset_List5"/>
      <sheetName val="Component_History5"/>
      <sheetName val="_SAF_025"/>
      <sheetName val="Row_Data5"/>
      <sheetName val="Data_Base8"/>
      <sheetName val="Cost_Code5"/>
      <sheetName val="H_Satuan5"/>
      <sheetName val="March_april__2_5"/>
      <sheetName val="March-april_(2)3"/>
      <sheetName val="Resume_Eng3"/>
      <sheetName val="Coal_Class_April20163"/>
      <sheetName val="Galian_13"/>
      <sheetName val="Cost_Parameter3"/>
      <sheetName val="DATA_BULAN_LALU3"/>
      <sheetName val="BA_PENERIMAAN3"/>
      <sheetName val="SUPPORT_SUBCONT3"/>
      <sheetName val="PT_PPA3"/>
      <sheetName val="PT_MNK3"/>
      <sheetName val="PT_EKA_CITRA3"/>
      <sheetName val="PT__ABP3"/>
      <sheetName val="PT_HPU3"/>
      <sheetName val="PT_TITAN3"/>
      <sheetName val="PT_AMM3"/>
      <sheetName val="PT_MTK3"/>
      <sheetName val="Saldo_Solar3"/>
      <sheetName val="BA_SELISIH_SOLAR_PT__USI3"/>
      <sheetName val="Solar_Masuk_PT__USI3"/>
      <sheetName val="KM-SUPPORT_3"/>
      <sheetName val="BA_SO3"/>
      <sheetName val="REKAP_ALL3"/>
      <sheetName val="FLOWMETER_SS63"/>
      <sheetName val="FUEL_UNIT3"/>
      <sheetName val="FUEL_SUPPORT3"/>
      <sheetName val="TABEL_STOCK3"/>
      <sheetName val="Konversi_Jarak8"/>
      <sheetName val="Master_Evaluasi8"/>
      <sheetName val="Target_Lost_Time8"/>
      <sheetName val="Master_7"/>
      <sheetName val="awal_bulan7"/>
      <sheetName val="Test_Depre4"/>
      <sheetName val="Asset_List4"/>
      <sheetName val="Component_History4"/>
      <sheetName val="_SAF_024"/>
      <sheetName val="Row_Data4"/>
      <sheetName val="Data_Base7"/>
      <sheetName val="Cost_Code4"/>
      <sheetName val="H_Satuan4"/>
      <sheetName val="March_april__2_4"/>
      <sheetName val="March-april_(2)2"/>
      <sheetName val="Resume_Eng2"/>
      <sheetName val="Coal_Class_April20162"/>
      <sheetName val="Galian_12"/>
      <sheetName val="Cost_Parameter2"/>
      <sheetName val="DATA_BULAN_LALU2"/>
      <sheetName val="BA_PENERIMAAN2"/>
      <sheetName val="SUPPORT_SUBCONT2"/>
      <sheetName val="PT_PPA2"/>
      <sheetName val="PT_MNK2"/>
      <sheetName val="PT_EKA_CITRA2"/>
      <sheetName val="PT__ABP2"/>
      <sheetName val="PT_HPU2"/>
      <sheetName val="PT_TITAN2"/>
      <sheetName val="PT_AMM2"/>
      <sheetName val="PT_MTK2"/>
      <sheetName val="Saldo_Solar2"/>
      <sheetName val="BA_SELISIH_SOLAR_PT__USI2"/>
      <sheetName val="Solar_Masuk_PT__USI2"/>
      <sheetName val="KM-SUPPORT_2"/>
      <sheetName val="BA_SO2"/>
      <sheetName val="REKAP_ALL2"/>
      <sheetName val="FLOWMETER_SS62"/>
      <sheetName val="FUEL_UNIT2"/>
      <sheetName val="FUEL_SUPPORT2"/>
      <sheetName val="TABEL_STOCK2"/>
      <sheetName val="Konversi_Jarak7"/>
      <sheetName val="Master_Evaluasi7"/>
      <sheetName val="Target_Lost_Time7"/>
      <sheetName val="Master_6"/>
      <sheetName val="awal_bulan6"/>
      <sheetName val="Test_Depre3"/>
      <sheetName val="Asset_List3"/>
      <sheetName val="Component_History3"/>
      <sheetName val="_SAF_023"/>
      <sheetName val="Row_Data3"/>
      <sheetName val="Data_Base6"/>
      <sheetName val="Cost_Code3"/>
      <sheetName val="H_Satuan3"/>
      <sheetName val="March_april__2_3"/>
      <sheetName val="March-april_(2)1"/>
      <sheetName val="Resume_Eng1"/>
      <sheetName val="Coal_Class_April20161"/>
      <sheetName val="Galian_11"/>
      <sheetName val="Cost_Parameter1"/>
      <sheetName val="DATA_BULAN_LALU1"/>
      <sheetName val="BA_PENERIMAAN1"/>
      <sheetName val="SUPPORT_SUBCONT1"/>
      <sheetName val="PT_PPA1"/>
      <sheetName val="PT_MNK1"/>
      <sheetName val="PT_EKA_CITRA1"/>
      <sheetName val="PT__ABP1"/>
      <sheetName val="PT_HPU1"/>
      <sheetName val="PT_TITAN1"/>
      <sheetName val="PT_AMM1"/>
      <sheetName val="PT_MTK1"/>
      <sheetName val="Saldo_Solar1"/>
      <sheetName val="BA_SELISIH_SOLAR_PT__USI1"/>
      <sheetName val="Solar_Masuk_PT__USI1"/>
      <sheetName val="KM-SUPPORT_1"/>
      <sheetName val="BA_SO1"/>
      <sheetName val="REKAP_ALL1"/>
      <sheetName val="FLOWMETER_SS61"/>
      <sheetName val="FUEL_UNIT1"/>
      <sheetName val="FUEL_SUPPORT1"/>
      <sheetName val="TABEL_STOCK1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 refreshError="1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"/>
      <sheetName val="samsidb"/>
      <sheetName val="COAL CRUSH PLAN"/>
      <sheetName val="COAL MINE PLAN"/>
      <sheetName val="OB PLAN"/>
      <sheetName val="REPORT01"/>
      <sheetName val="REPORT 02"/>
      <sheetName val="REPORT 03"/>
      <sheetName val="ACT COAL"/>
      <sheetName val="ACT DIRTY COAL"/>
      <sheetName val="WASHPLANT"/>
      <sheetName val="ACT OB"/>
      <sheetName val="DRILLBLAST"/>
      <sheetName val="HAUL C1,C2,C3"/>
      <sheetName val="DOZING"/>
      <sheetName val="PITINVENTORY"/>
      <sheetName val="Rain &amp; Slippery Method"/>
      <sheetName val="DAILY_SUM"/>
      <sheetName val="REPORT01 for P'GANIS"/>
      <sheetName val="REPORT01 TS"/>
      <sheetName val="ACT OB TS"/>
      <sheetName val="04 - DAILY REPORT IMM_APR_2007"/>
      <sheetName val="Data"/>
      <sheetName val="Konversi Jara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OB Forecasting"/>
      <sheetName val="QTY_DT"/>
      <sheetName val="HOURLY"/>
      <sheetName val="OB by Time Sheet"/>
      <sheetName val="Rain"/>
      <sheetName val="Intensitas Hujan"/>
      <sheetName val="Intern"/>
      <sheetName val="External"/>
      <sheetName val="Loss Opp Prod"/>
      <sheetName val="Grafik"/>
      <sheetName val="MTD Coal Forecasting"/>
      <sheetName val="YTD OB Forecasting"/>
      <sheetName val="YTD Coal Forecasting"/>
      <sheetName val="26_02"/>
      <sheetName val="03_09"/>
      <sheetName val="10_16"/>
      <sheetName val="17_23"/>
      <sheetName val="24_25"/>
      <sheetName val="Resume_Desember"/>
      <sheetName val="Presentation"/>
      <sheetName val="PL_AC"/>
      <sheetName val="REMARK"/>
      <sheetName val="LIST"/>
      <sheetName val="DPCache_Hourly_QTYDT"/>
      <sheetName val="whiteboard"/>
      <sheetName val="week1"/>
      <sheetName val="week2"/>
      <sheetName val="week3"/>
      <sheetName val="week4"/>
      <sheetName val="week5"/>
      <sheetName val="Resume_January"/>
      <sheetName val="ACUM"/>
      <sheetName val="TJ"/>
      <sheetName val="LM"/>
      <sheetName val="HAUL C1,C2,C3"/>
      <sheetName val="OB PLAN"/>
      <sheetName val="Database"/>
      <sheetName val="Run"/>
      <sheetName val="COAL ACT"/>
      <sheetName val="WASH PLANT"/>
      <sheetName val="DIRTY COAL ACT"/>
      <sheetName val="JAM2AN"/>
      <sheetName val="SUM"/>
      <sheetName val="HE"/>
      <sheetName val="DB Dept"/>
      <sheetName val="Lists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erformance"/>
      <sheetName val="BOD"/>
      <sheetName val="WS-Annual"/>
      <sheetName val="Chart sheet"/>
      <sheetName val="View for BOC"/>
      <sheetName val="WS-Daily"/>
      <sheetName val="IMM"/>
      <sheetName val="TDM"/>
      <sheetName val="BEK"/>
      <sheetName val="EMB"/>
      <sheetName val="TCM"/>
      <sheetName val="JBG"/>
      <sheetName val="Budget &amp; Outlook"/>
      <sheetName val="Summ TOTAL"/>
      <sheetName val="Sheet1"/>
      <sheetName val="MTD OB Forecasting"/>
      <sheetName val="ACT COAL"/>
      <sheetName val="ACT OB"/>
      <sheetName val="HAUL C1,C2,C3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ER"/>
      <sheetName val="DCER (2)"/>
      <sheetName val="MCER"/>
      <sheetName val="Database"/>
      <sheetName val="tabel_2006_Total_R1"/>
      <sheetName val="tabel_2007_Total_plan 93jt"/>
      <sheetName val="KODE"/>
      <sheetName val=" 2017"/>
      <sheetName val="2018"/>
      <sheetName val="Summary"/>
      <sheetName val="COST"/>
      <sheetName val="BEK"/>
      <sheetName val="Budget &amp; Outlook"/>
      <sheetName val="IMM"/>
      <sheetName val="JBG"/>
      <sheetName val="EMB"/>
      <sheetName val="TCM"/>
      <sheetName val="TDM"/>
      <sheetName val="WS-Daily"/>
      <sheetName val="ACT HAUL"/>
      <sheetName val="Truck"/>
      <sheetName val="REFERENSI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Macro.xls"/>
      <sheetName val="OB_89"/>
      <sheetName val="sum_MSY"/>
      <sheetName val="Exchange"/>
      <sheetName val="LIST"/>
      <sheetName val="NOMOR REKENING"/>
    </sheetNames>
    <definedNames>
      <definedName name="Business_Unit" refersTo="='Business Unit'!$A$3:$A$9"/>
      <definedName name="Company" refersTo="='Company'!$A$3:$A$33"/>
      <definedName name="Cost_Center" refersTo="='Cost Center'!$A$3:$A$339"/>
      <definedName name="Exchange_Code" refersTo="='Exchange Rate'!$B$2:$B$6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L"/>
      <sheetName val="ENELFORM"/>
      <sheetName val="ALL CUSTOMERS SUMMARY"/>
      <sheetName val="PLATINUM"/>
      <sheetName val="GOLD"/>
      <sheetName val="DATA1"/>
      <sheetName val="CRM DATABASE 2015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ushing"/>
      <sheetName val="CPR"/>
      <sheetName val="Hauling"/>
      <sheetName val="Recl_July 06"/>
      <sheetName val="Stockpile"/>
      <sheetName val="LOADIN_LOADOUT "/>
      <sheetName val="Daily Coal Feeding to Hopp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idation"/>
      <sheetName val="ALLMineSource"/>
      <sheetName val="Total Revenue.Tonnage "/>
      <sheetName val="Sheet1 (2)"/>
      <sheetName val="SOS_Drat_Report-2015-05-29"/>
      <sheetName val="Sum July(SOS May 29th)"/>
    </sheetNames>
    <sheetDataSet>
      <sheetData sheetId="0"/>
      <sheetData sheetId="1"/>
      <sheetData sheetId="2"/>
      <sheetData sheetId="3"/>
      <sheetData sheetId="4" refreshError="1"/>
      <sheetData sheetId="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G_Status"/>
      <sheetName val="BPG_Regional"/>
      <sheetName val="BPG_Product"/>
      <sheetName val="BPG_Mine (3)"/>
      <sheetName val="BPG_Mine (1)"/>
      <sheetName val="BPG_Detail"/>
      <sheetName val="Indo_Status"/>
      <sheetName val="Indo_Mine (1)"/>
      <sheetName val="Indo_Product"/>
      <sheetName val="Indo_Mine (2)"/>
      <sheetName val="Indo_Detail"/>
      <sheetName val="Indo_Port"/>
      <sheetName val="dBase"/>
      <sheetName val="dBonus"/>
      <sheetName val="IMM"/>
      <sheetName val="TCM"/>
      <sheetName val="JBG"/>
      <sheetName val="KTD"/>
      <sheetName val="BEK"/>
      <sheetName val="Blending"/>
      <sheetName val="Affiliated"/>
      <sheetName val="Exchange"/>
      <sheetName val="2013 Sales Plan_2012-11-21_(V"/>
      <sheetName val="Data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Input"/>
      <sheetName val="Database"/>
      <sheetName val="Option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URLY"/>
      <sheetName val="SUM"/>
      <sheetName val="LIST"/>
      <sheetName val="dBase"/>
      <sheetName val="dBonus"/>
      <sheetName val="Exchang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ST"/>
      <sheetName val="Overall"/>
      <sheetName val="crushnsp"/>
      <sheetName val="pittonsp"/>
      <sheetName val="KODJA"/>
      <sheetName val="Cruser Sp71"/>
      <sheetName val="Blasting_per_block"/>
      <sheetName val="Overall_plan"/>
      <sheetName val="Productivity"/>
      <sheetName val="UA_PA"/>
      <sheetName val="PA"/>
      <sheetName val="KPI"/>
      <sheetName val="_SAF 02"/>
      <sheetName val=" SAF 02"/>
      <sheetName val="HOURLY"/>
      <sheetName val="dBase"/>
      <sheetName val="dBonus"/>
      <sheetName val="Database"/>
      <sheetName val="sum"/>
      <sheetName val="bantuan"/>
      <sheetName val="Quar Mon"/>
      <sheetName val="base quality"/>
      <sheetName val="Plan 2017"/>
      <sheetName val="coal transport"/>
      <sheetName val="Data"/>
      <sheetName val="Usage"/>
      <sheetName val="Detail Excavator Rental"/>
      <sheetName val="Stock"/>
      <sheetName val="Tru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air_klp_biru_per10cm modif"/>
      <sheetName val="air_spt_sel_modif"/>
      <sheetName val="air_spt_teng_modif"/>
      <sheetName val="whrs"/>
      <sheetName val="Big"/>
      <sheetName val="Coal_Mining"/>
      <sheetName val="Cover"/>
      <sheetName val="Htr"/>
      <sheetName val="KPC Coal"/>
      <sheetName val="KPC"/>
      <sheetName val="KPC_Total"/>
      <sheetName val="MS"/>
      <sheetName val="Petrosea"/>
      <sheetName val="HOURLY"/>
      <sheetName val="Compact sakai SV 515 D no 14"/>
      <sheetName val="COMPACT SAKAI 515D-H NO 15"/>
      <sheetName val="COMPACT SAKAI 515D-H NO 16"/>
      <sheetName val="COMPACT SAKAI 515D-H NO 17"/>
      <sheetName val="DT 544"/>
      <sheetName val="DT 601"/>
      <sheetName val="DT 605"/>
      <sheetName val="GREADER 705 A"/>
      <sheetName val="EXCA SK 200 EX 004"/>
      <sheetName val="Indirect Function - Dropdowns"/>
      <sheetName val="OPT_GL"/>
      <sheetName val="Database"/>
      <sheetName val="TABLE"/>
      <sheetName val="Data_AC"/>
      <sheetName val="Data hauler"/>
      <sheetName val="Data"/>
      <sheetName val="Usage"/>
      <sheetName val="Sto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Bantuan"/>
      <sheetName val="COST"/>
      <sheetName val="summary KPI"/>
      <sheetName val="DRILLBLAST"/>
      <sheetName val="Coal"/>
      <sheetName val="Rain and Slipp."/>
      <sheetName val="Rain and Slipp_"/>
      <sheetName val="OB"/>
      <sheetName val="EXCV PRODUCTIVITY"/>
      <sheetName val="mtd ob forecasting"/>
      <sheetName val="Master"/>
      <sheetName val="Run"/>
      <sheetName val="MTD"/>
      <sheetName val="SUM"/>
      <sheetName val="HOURLY"/>
      <sheetName val="Database"/>
      <sheetName val="Global Assumptions"/>
      <sheetName val="Scenario &amp; Sensitiv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Cost Centre &amp; COA"/>
      <sheetName val="General Assumption"/>
      <sheetName val="Production Evaluat"/>
      <sheetName val="Master"/>
      <sheetName val="Run"/>
      <sheetName val="MTD"/>
      <sheetName val="Daily Plan"/>
      <sheetName val="OLI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tandard Cost"/>
      <sheetName val="Hystori"/>
      <sheetName val="EXA"/>
      <sheetName val="SUM PLAN"/>
      <sheetName val="DATA"/>
      <sheetName val="Rental"/>
      <sheetName val="D_PLAN"/>
      <sheetName val="CONTROL"/>
      <sheetName val="Sum"/>
      <sheetName val="D_Report"/>
      <sheetName val="DRILL_BLAST"/>
      <sheetName val="COAL"/>
      <sheetName val="Productivity"/>
      <sheetName val="ob"/>
      <sheetName val="RAIN_SILPPERY"/>
      <sheetName val="Konversi Jarak"/>
      <sheetName val="Master"/>
      <sheetName val="Run"/>
      <sheetName val="Overburden"/>
      <sheetName val="Base"/>
      <sheetName val="Usage"/>
      <sheetName val="Stock"/>
      <sheetName val="Data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CP"/>
      <sheetName val="DZ"/>
      <sheetName val="DATA"/>
      <sheetName val="LINK"/>
      <sheetName val="summary KPI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  <sheetName val="Run"/>
      <sheetName val="Konversi Jarak"/>
      <sheetName val="D"/>
      <sheetName val="PC_750"/>
      <sheetName val="I"/>
      <sheetName val="PLAN"/>
      <sheetName val="REMARK"/>
      <sheetName val="WORK"/>
      <sheetName val="HOURLY"/>
      <sheetName val="COST"/>
      <sheetName val="Overall"/>
      <sheetName val="crushnsp"/>
      <sheetName val="pittonsp"/>
      <sheetName val="KODJA"/>
      <sheetName val="Cruser Sp71"/>
      <sheetName val="_SAF 02"/>
      <sheetName val=" SAF 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PRM"/>
      <sheetName val="Production Performance"/>
      <sheetName val="Total Quality FC Production"/>
      <sheetName val="FC Quality"/>
      <sheetName val="tabel_2007_Total_plan 93jt"/>
      <sheetName val="summary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_Code"/>
      <sheetName val="Detail_Code"/>
      <sheetName val="Input"/>
      <sheetName val="Crushing_Plant"/>
      <sheetName val="Port_Stacking"/>
      <sheetName val="Ship_Loader"/>
      <sheetName val="Module3"/>
      <sheetName val="CR3 (W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Data_AC"/>
      <sheetName val="summary"/>
      <sheetName val="DATA"/>
      <sheetName val="LINK"/>
      <sheetName val="c"/>
      <sheetName val="e"/>
      <sheetName val="g"/>
      <sheetName val="h"/>
      <sheetName val="k"/>
      <sheetName val="n"/>
      <sheetName val="MTD OB Forecasting"/>
      <sheetName val="Housekeeping"/>
      <sheetName val="Base"/>
      <sheetName val="5-Peralatan"/>
      <sheetName val="Haul Distance Oct 20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Data loader"/>
      <sheetName val="Hourly"/>
      <sheetName val="summary"/>
      <sheetName val="Input Coal"/>
      <sheetName val="MTD OB Forecasting"/>
      <sheetName val="Base"/>
      <sheetName val="Rehab"/>
      <sheetName val="HAUL C1,C2,C3"/>
      <sheetName val="OB PLAN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  <sheetName val="bantuan"/>
      <sheetName val="Indirect Function - Dropdow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WHRS"/>
      <sheetName val="MA_PLANS_"/>
      <sheetName val="M_PLANS_"/>
      <sheetName val="summary"/>
      <sheetName val="Data Coal I"/>
      <sheetName val="Data Coal II"/>
      <sheetName val="Curah hujan"/>
      <sheetName val="Base"/>
      <sheetName val=" OB PLAN"/>
      <sheetName val="REPORT01"/>
      <sheetName val="EQL"/>
      <sheetName val="Source_Data"/>
      <sheetName val="EXA"/>
      <sheetName val="O_PERF"/>
      <sheetName val="ACUM"/>
      <sheetName val="TJ"/>
      <sheetName val="L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summary"/>
      <sheetName val="Sheet2"/>
      <sheetName val="Sheet1"/>
      <sheetName val="kptj001"/>
      <sheetName val="Overall"/>
      <sheetName val="crushnsp"/>
      <sheetName val="pittonsp"/>
      <sheetName val="KODJA"/>
      <sheetName val="Cruser Sp71"/>
      <sheetName val="Database"/>
      <sheetName val="Param"/>
      <sheetName val="EPR MTD"/>
      <sheetName val="EXA"/>
      <sheetName val="DP Report"/>
      <sheetName val="Base"/>
      <sheetName val="Tru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summary"/>
      <sheetName val="HOURLY"/>
      <sheetName val="PRO"/>
      <sheetName val="whrs"/>
      <sheetName val="Database"/>
      <sheetName val="Source"/>
      <sheetName val="Summ PRM"/>
      <sheetName val="rumus"/>
      <sheetName val="Base"/>
      <sheetName val="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Input OB"/>
      <sheetName val="HOURLY"/>
      <sheetName val="Data Coal I"/>
      <sheetName val="Data Coal II"/>
      <sheetName val="Curah hujan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mtd ob forecasting"/>
      <sheetName val="Housekeeping"/>
      <sheetName val="Project"/>
      <sheetName val="ACUM"/>
      <sheetName val="TJ"/>
      <sheetName val="LM"/>
      <sheetName val="Stock"/>
      <sheetName val="Usage"/>
      <sheetName val="summary"/>
      <sheetName val="OPT_G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summary"/>
      <sheetName val="A_SQL2IMPS_"/>
      <sheetName val="Sheet1"/>
      <sheetName val="PRO"/>
      <sheetName val="PLAN"/>
      <sheetName val="simulasi prod'ty"/>
      <sheetName val="Truck"/>
      <sheetName val="Data Base"/>
      <sheetName val="ACUM"/>
      <sheetName val="TJ"/>
      <sheetName val="L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J"/>
      <sheetName val="LM"/>
      <sheetName val="ACUM"/>
      <sheetName val="LIST"/>
      <sheetName val="PRINT"/>
      <sheetName val="Chek_T-Sheet"/>
      <sheetName val="Perform_TJ"/>
      <sheetName val="Sheet1"/>
      <sheetName val="Perform_LM"/>
      <sheetName val="M_PLANS_"/>
      <sheetName val="MA_PLANS_"/>
      <sheetName val="_SAF 02"/>
      <sheetName val="PROD"/>
      <sheetName val="summary"/>
      <sheetName val="Sheet2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Run"/>
      <sheetName val="Rain &amp; Slippery Method"/>
      <sheetName val="MTD OB Forecasting"/>
      <sheetName val="Project"/>
      <sheetName val="PLAN"/>
      <sheetName val="BS final"/>
      <sheetName val="Data Base"/>
      <sheetName val="Daily Plan"/>
      <sheetName val="Petrosea"/>
      <sheetName val="chart D31"/>
      <sheetName val="chart-DT"/>
      <sheetName val="chart-WA 500"/>
      <sheetName val="Permanent info"/>
      <sheetName val="GeneralInfo"/>
      <sheetName val="A"/>
      <sheetName val="Distance(1)"/>
      <sheetName val="LOSE"/>
      <sheetName val="THIESS"/>
      <sheetName val="SCTM_OB"/>
      <sheetName val="SCTM_puasa"/>
      <sheetName val="DATA"/>
      <sheetName val="Overall"/>
      <sheetName val="KODJA"/>
      <sheetName val="crushnsp"/>
      <sheetName val="pittonsp"/>
      <sheetName val="productivity"/>
      <sheetName val="Cruser Sp71"/>
      <sheetName val="kptj001"/>
      <sheetName val="Distance-CO (m)"/>
      <sheetName val="Distance-OB (m)"/>
      <sheetName val="Tonnage-Coal (tonn)"/>
      <sheetName val="Volume-OB (bcm)"/>
      <sheetName val="KHUSUS BRAVO II"/>
      <sheetName val="upload"/>
      <sheetName val="EDS110507"/>
      <sheetName val="Master"/>
      <sheetName val="PARAMETER"/>
      <sheetName val="Master Stock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Boxes"/>
      <sheetName val="Sheet2"/>
    </sheet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7_Total_plan 93jt"/>
      <sheetName val="tabel_2006_Total_R1"/>
      <sheetName val="OB_85"/>
      <sheetName val="Elec"/>
      <sheetName val="ACUM"/>
      <sheetName val="TJ"/>
      <sheetName val="LM"/>
      <sheetName val="Dafta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Project"/>
      <sheetName val="tabel_2006_Total_R1"/>
      <sheetName val="tabel_2007_Total_plan 93jt"/>
      <sheetName val="2007_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Detail Exp_"/>
      <sheetName val="tabel_2007_Total_plan 93jt"/>
      <sheetName val="tabel_2006_Total_R1"/>
      <sheetName val="OB_89"/>
      <sheetName val="EDS110507"/>
      <sheetName val="Hourly"/>
      <sheetName val="INPUT PLAN"/>
      <sheetName val="Run"/>
      <sheetName val="H.Satuan"/>
      <sheetName val="List"/>
      <sheetName val="DATA"/>
      <sheetName val="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ummary"/>
      <sheetName val="Run"/>
      <sheetName val="HOURLY"/>
      <sheetName val="Data_AC"/>
      <sheetName val="Project"/>
      <sheetName val="Plan"/>
      <sheetName val="Detail Exp."/>
      <sheetName val="ACUM"/>
      <sheetName val="TJ"/>
      <sheetName val="LM"/>
      <sheetName val="244 Black coal"/>
      <sheetName val="bantuan"/>
      <sheetName val="Database"/>
      <sheetName val="Assumptions"/>
      <sheetName val="412src2"/>
      <sheetName val="Truck"/>
      <sheetName val="DP Report"/>
      <sheetName val="Coal_Mining"/>
      <sheetName val="MS"/>
      <sheetName val="MTD OB Forecast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ummary"/>
      <sheetName val="Run"/>
      <sheetName val="A_SQL2IMPS_"/>
      <sheetName val="Hourly"/>
      <sheetName val="Project"/>
      <sheetName val="Plan"/>
      <sheetName val="Hourly Monitoring master"/>
      <sheetName val="Truck"/>
      <sheetName val="ASPAL (14)"/>
      <sheetName val="OPT_GL"/>
      <sheetName val="Assumptions"/>
      <sheetName val="Lists"/>
      <sheetName val="MTD OB Forecasting"/>
      <sheetName val="bantua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ushing"/>
      <sheetName val="Hauling"/>
      <sheetName val="CPR"/>
      <sheetName val="LOPR"/>
      <sheetName val="Stockpile"/>
      <sheetName val="LOADIN_LOADOUT"/>
      <sheetName val="Daily_Inventory"/>
      <sheetName val=" Feeding to Hopper"/>
      <sheetName val="Adju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PSY"/>
      <sheetName val="sum_MSY"/>
      <sheetName val="1212_sum_quality"/>
      <sheetName val="LIST"/>
      <sheetName val="Project"/>
      <sheetName val="Plan"/>
      <sheetName val="Outcash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tuan"/>
      <sheetName val="D435"/>
      <sheetName val="M420"/>
      <sheetName val="M470"/>
      <sheetName val="PMR76HA3"/>
      <sheetName val="Sheet1"/>
      <sheetName val="ooc"/>
      <sheetName val="PRODUKSI"/>
      <sheetName val="List"/>
      <sheetName val="BOMAG"/>
      <sheetName val="SHE"/>
      <sheetName val="W_H"/>
      <sheetName val="Sum"/>
      <sheetName val="Plant_Week"/>
      <sheetName val="Rental"/>
      <sheetName val="Run"/>
      <sheetName val="MASTER"/>
      <sheetName val="Open Pits"/>
      <sheetName val="Summary"/>
      <sheetName val="OPT_GL"/>
      <sheetName val="Budget"/>
      <sheetName val="STD RATES"/>
      <sheetName val="dat"/>
      <sheetName val="Entry Data"/>
      <sheetName val="sum_MSY"/>
      <sheetName val="#REF!"/>
      <sheetName val="Input Coal"/>
      <sheetName val="ACUM"/>
      <sheetName val="TJ"/>
      <sheetName val="LM"/>
      <sheetName val="Data loader"/>
      <sheetName val="BY_EXA"/>
      <sheetName val="Data_Acc"/>
      <sheetName val="LOAD"/>
      <sheetName val="DATA_Exavator"/>
      <sheetName val="Data_AC"/>
      <sheetName val="DATA_PLAN"/>
      <sheetName val="PA"/>
      <sheetName val="Big"/>
      <sheetName val="Coal_Mining"/>
      <sheetName val="Cover"/>
      <sheetName val="KPI"/>
      <sheetName val="Htr"/>
      <sheetName val="KPC Coal"/>
      <sheetName val="KPC"/>
      <sheetName val="KPC_Total"/>
      <sheetName val="MS"/>
      <sheetName val="Productivity"/>
      <sheetName val="Overall"/>
      <sheetName val="crushnsp"/>
      <sheetName val="pittonsp"/>
      <sheetName val="1"/>
      <sheetName val="EXA"/>
      <sheetName val="CONTROL"/>
      <sheetName val="DATA"/>
      <sheetName val="Rain"/>
      <sheetName val="Data hauler"/>
      <sheetName val="Daily Forecasting"/>
      <sheetName val="ALL"/>
      <sheetName val="ACTUAL"/>
      <sheetName val="24"/>
      <sheetName val="Permanent info"/>
      <sheetName val="GeneralInfo"/>
      <sheetName val="Tabel stock"/>
      <sheetName val="_OB PLAN"/>
      <sheetName val="Roadmaintainance"/>
      <sheetName val="HM "/>
      <sheetName val="database"/>
      <sheetName val="Plant"/>
      <sheetName val="Project"/>
      <sheetName val="PLAN"/>
      <sheetName val="Truck"/>
      <sheetName val="dBase"/>
      <sheetName val="dBonus"/>
      <sheetName val="Op_GL"/>
      <sheetName val="fmc"/>
      <sheetName val="Pama"/>
      <sheetName val="Petrosea"/>
      <sheetName val="Master DPR"/>
      <sheetName val="Contract"/>
      <sheetName val="Tabel FPI"/>
      <sheetName val="LP-01 2012"/>
      <sheetName val="OFFICE"/>
      <sheetName val="Non-staff Tender Rates"/>
      <sheetName val="EX2500FIX"/>
      <sheetName val="MacPro"/>
      <sheetName val="Unit"/>
      <sheetName val="G&amp;L"/>
      <sheetName val="Bonus"/>
      <sheetName val="input loading point"/>
      <sheetName val="Range"/>
      <sheetName val="Dates"/>
      <sheetName val="Movement_Bench15 (ob)"/>
      <sheetName val="Movement_Bench15 (ore)"/>
      <sheetName val="Master Fault"/>
      <sheetName val="Source"/>
      <sheetName val="C"/>
      <sheetName val="RESUME"/>
      <sheetName val="Table Array"/>
      <sheetName val="Monthly Entry"/>
      <sheetName val="Bank data"/>
      <sheetName val="Data Entry"/>
      <sheetName val="Sheet2"/>
      <sheetName val="bg hsbc"/>
      <sheetName val="BUMA"/>
      <sheetName val="DTDummy"/>
      <sheetName val="COST"/>
      <sheetName val="HOURLY"/>
      <sheetName val="DRILLBLAST"/>
      <sheetName val="ACT HAUL"/>
      <sheetName val="ACT OB"/>
      <sheetName val="ACT COAL"/>
      <sheetName val="COAL CRUSH PLAN"/>
      <sheetName val=" COAL MINE PLAN"/>
      <sheetName val="_COAL MINE PLAN"/>
      <sheetName val="ACT DIRTY COAL"/>
      <sheetName val=" OB PLAN"/>
      <sheetName val="Ktd"/>
      <sheetName val="Rain &amp; Slippery Method"/>
      <sheetName val="Rain _ Slippery Method"/>
      <sheetName val="notes"/>
      <sheetName val="Assumptions"/>
      <sheetName val="BB TO STOCK KTD "/>
      <sheetName val="MATRIK"/>
      <sheetName val="ARIA IBS vs Actual"/>
      <sheetName val="air_spt_sel_modif"/>
      <sheetName val="air_spt_teng_modif"/>
      <sheetName val="Safety 2"/>
      <sheetName val="INVENTORY"/>
      <sheetName val="WASTE"/>
      <sheetName val="D_PLAN"/>
      <sheetName val="D_Report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7"/>
      <sheetName val="Y2_PLANS_"/>
      <sheetName val="KODE"/>
      <sheetName val="Wages"/>
      <sheetName val="HARGA MATERIAL"/>
      <sheetName val="Plant Rate"/>
      <sheetName val="TABLE"/>
      <sheetName val="Konversi Jarak"/>
      <sheetName val="EXPL-ADDS"/>
      <sheetName val="Quarterly P&amp;L"/>
      <sheetName val="Menu"/>
      <sheetName val="HM"/>
      <sheetName val="CHART 1"/>
      <sheetName val="M_PLANS_"/>
      <sheetName val="MA_PLANS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_GL"/>
      <sheetName val="C_N"/>
      <sheetName val="QTY"/>
      <sheetName val="TUJUAN"/>
      <sheetName val="EGI"/>
      <sheetName val="Big"/>
      <sheetName val="Coal_Mining"/>
      <sheetName val="Cover"/>
      <sheetName val="Htr"/>
      <sheetName val="KPC Coal"/>
      <sheetName val="KPC"/>
      <sheetName val="KPC_Total"/>
      <sheetName val="MS"/>
      <sheetName val="Depth_41"/>
      <sheetName val="Run"/>
      <sheetName val="summary"/>
      <sheetName val="COST"/>
      <sheetName val="bantuan"/>
      <sheetName val="NEW_PELIKAN_"/>
      <sheetName val="sum_MSY"/>
      <sheetName val="LIST"/>
      <sheetName val="Project"/>
      <sheetName val="Data Base"/>
      <sheetName val="HOURLY"/>
      <sheetName val="MTD OB Forecasting"/>
      <sheetName val="Plan"/>
      <sheetName val="M_PLANS_"/>
      <sheetName val="MA_PLANS_"/>
      <sheetName val="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6_Total_R1"/>
      <sheetName val="tabel_2007_Total_plan 93jt"/>
      <sheetName val="OB_85"/>
      <sheetName val="OB_89"/>
      <sheetName val="2007_Total"/>
      <sheetName val="Database"/>
      <sheetName val="Safety 2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Hourly"/>
      <sheetName val="Sheet1"/>
      <sheetName val="ASAL"/>
      <sheetName val="FOR"/>
      <sheetName val="summary"/>
      <sheetName val="Run"/>
      <sheetName val="D"/>
      <sheetName val="PC_750"/>
      <sheetName val="I"/>
      <sheetName val="PLAN"/>
      <sheetName val="REMARK"/>
      <sheetName val="WORK"/>
      <sheetName val="Standard Cost"/>
      <sheetName val="Hystori"/>
      <sheetName val="OPT_GL"/>
      <sheetName val="bantuan"/>
      <sheetName val="Hourly_16_Des_2006"/>
      <sheetName val="Data Base"/>
      <sheetName val="LS-Rutin"/>
      <sheetName val="ocean voyage"/>
      <sheetName val="LIST"/>
      <sheetName val="BB TO STOCK KTD "/>
      <sheetName val="DATA"/>
      <sheetName val="Daily 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Plan"/>
      <sheetName val="hourly"/>
      <sheetName val="Daily Plan Nov'06R0"/>
      <sheetName val="SUM"/>
      <sheetName val="OPT_GL"/>
      <sheetName val="bantuan"/>
      <sheetName val="Truck"/>
      <sheetName val="database"/>
      <sheetName val="summary"/>
      <sheetName val="Data Base"/>
      <sheetName val="Run"/>
      <sheetName val="Safety 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un"/>
      <sheetName val="LIST"/>
      <sheetName val="A_SQL2IMPS_"/>
      <sheetName val="Daily Plan"/>
      <sheetName val="SUM"/>
      <sheetName val="OPT_GL"/>
      <sheetName val="Data Base"/>
      <sheetName val="R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hauler"/>
      <sheetName val="Data loader"/>
      <sheetName val="Run"/>
      <sheetName val="Data_AC"/>
      <sheetName val="Daily Plan"/>
      <sheetName val="SUM"/>
      <sheetName val="LIST"/>
      <sheetName val="Data Base"/>
      <sheetName val="Data"/>
      <sheetName val="OPT_GL"/>
      <sheetName val="DRILLBLAST"/>
      <sheetName val="Coal"/>
      <sheetName val="Rain and Slipp."/>
      <sheetName val="Rain and Slipp_"/>
      <sheetName val="OB"/>
      <sheetName val="EXCV PRODUCTIVITY"/>
      <sheetName val="Ref"/>
      <sheetName val="Detail"/>
      <sheetName val="ooc"/>
      <sheetName val="March_april _2_"/>
      <sheetName val="March-april (2)"/>
      <sheetName val="BIGPlan"/>
      <sheetName val="Intr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Coal I"/>
      <sheetName val="Data Coal II"/>
      <sheetName val="Data OB"/>
      <sheetName val="Curah hujan"/>
      <sheetName val="ACUM"/>
      <sheetName val="TJ"/>
      <sheetName val="LM"/>
      <sheetName val="Run"/>
      <sheetName val="Hourly"/>
      <sheetName val="Daily Plan"/>
      <sheetName val="SUM"/>
      <sheetName val="Sales Mining"/>
      <sheetName val="EPR_MTD"/>
      <sheetName val="Data Base"/>
      <sheetName val="Truck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notes"/>
      <sheetName val="PRODUKSI"/>
      <sheetName val="Run"/>
      <sheetName val="MA_PLANS_"/>
      <sheetName val="M_PLANS_"/>
      <sheetName val="Daily Plan"/>
      <sheetName val="ROM &amp; FC Actual"/>
      <sheetName val="sum_MSY"/>
      <sheetName val="DP Report"/>
      <sheetName val="Data 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Plant"/>
      <sheetName val="bantuan"/>
      <sheetName val="Run"/>
      <sheetName val="Sheet2"/>
      <sheetName val="Sheet1"/>
      <sheetName val="sum_MSY"/>
      <sheetName val="DB "/>
      <sheetName val="Summ PRM"/>
      <sheetName val="SUM"/>
      <sheetName val="Data Base"/>
      <sheetName val="OPT_GL"/>
      <sheetName val="Project"/>
      <sheetName val="LIST"/>
      <sheetName val="Plan"/>
      <sheetName val="Safety 2"/>
      <sheetName val="DRILL_BLAST"/>
      <sheetName val="COAL"/>
      <sheetName val="Productivity"/>
      <sheetName val="ob"/>
      <sheetName val="RAIN_SILPPERY"/>
      <sheetName val="EPR MTD"/>
      <sheetName val="DP Repor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P Report"/>
      <sheetName val="Hourly Prod"/>
      <sheetName val="Crew Perf"/>
      <sheetName val="OB ACTIV"/>
      <sheetName val="Daily Forecasting"/>
      <sheetName val="BD Equip"/>
      <sheetName val="Curah hujan"/>
      <sheetName val="Cost"/>
      <sheetName val="Revenue"/>
      <sheetName val="Hauling"/>
      <sheetName val="Unit Lain"/>
      <sheetName val="EX3600"/>
      <sheetName val="EX25001"/>
      <sheetName val="EX25002"/>
      <sheetName val="EX25003"/>
      <sheetName val="EX651"/>
      <sheetName val="EX632"/>
      <sheetName val="EX634"/>
      <sheetName val="CAT3201"/>
      <sheetName val="CAT3202"/>
      <sheetName val="Spare1"/>
      <sheetName val="Spare2"/>
      <sheetName val="Spare3"/>
      <sheetName val="Spare4"/>
      <sheetName val="Spare5"/>
      <sheetName val="Spare6"/>
      <sheetName val="Spare7"/>
      <sheetName val="Spare8"/>
      <sheetName val="Summary"/>
      <sheetName val="SumDTperPC"/>
      <sheetName val="SumBMAperPC"/>
      <sheetName val="whours-costprod"/>
      <sheetName val="HIRE RATE 1998"/>
      <sheetName val="Act_cost"/>
      <sheetName val="Jan"/>
      <sheetName val="Peb"/>
      <sheetName val="Mar"/>
      <sheetName val="April "/>
      <sheetName val="Mei"/>
      <sheetName val="Juni"/>
      <sheetName val="JULI"/>
      <sheetName val="Agust"/>
      <sheetName val="Sept"/>
      <sheetName val="Okt"/>
      <sheetName val="Nov"/>
      <sheetName val="Des"/>
      <sheetName val="Sheet4"/>
      <sheetName val="RR"/>
      <sheetName val="LTI-24-09 (3)"/>
      <sheetName val="LTI-24-02 (2)"/>
      <sheetName val="LTI-01 (1)"/>
      <sheetName val="Sheet3"/>
      <sheetName val="Sheet2"/>
      <sheetName val="Sheet1"/>
      <sheetName val="NRP"/>
      <sheetName val="EX1003"/>
      <sheetName val="EX1011"/>
      <sheetName val="EX1015"/>
      <sheetName val="EX1016"/>
      <sheetName val="EX584"/>
      <sheetName val="EX559"/>
      <sheetName val="EX560"/>
      <sheetName val="PA001"/>
      <sheetName val="PA002"/>
      <sheetName val="PA003"/>
      <sheetName val="PA004"/>
      <sheetName val="PA005"/>
      <sheetName val="SM003"/>
      <sheetName val="SM004"/>
      <sheetName val="SM005"/>
      <sheetName val="Permanent info"/>
      <sheetName val=" SAF 02"/>
      <sheetName val="_SAF 02"/>
      <sheetName val="#REF!"/>
      <sheetName val="SIA"/>
      <sheetName val="ALL PC"/>
      <sheetName val="EX"/>
      <sheetName val="bantuan"/>
      <sheetName val="PLO IDR YTD"/>
      <sheetName val="POP"/>
      <sheetName val="Redo"/>
      <sheetName val="summary KPI"/>
      <sheetName val="Master"/>
      <sheetName val="EBL"/>
      <sheetName val="prod_plan"/>
      <sheetName val="Petrosea"/>
      <sheetName val="Productivity"/>
      <sheetName val="ooc"/>
      <sheetName val="EX593"/>
      <sheetName val="EX594"/>
      <sheetName val="EX595"/>
      <sheetName val="Truck Count"/>
      <sheetName val="Joint Survey Actual"/>
      <sheetName val="EX716"/>
      <sheetName val="EX717"/>
      <sheetName val="EX1007"/>
      <sheetName val="EX1010"/>
      <sheetName val="EX625"/>
      <sheetName val="EX629"/>
      <sheetName val="EX630"/>
      <sheetName val="EX569"/>
      <sheetName val="EX572"/>
      <sheetName val="Plan"/>
      <sheetName val="Project"/>
      <sheetName val="Daily Plan"/>
      <sheetName val="PA"/>
      <sheetName val="KPI"/>
      <sheetName val="Dr_s__90 dys"/>
      <sheetName val="DUMMY"/>
      <sheetName val="Daily OB &amp; Coal"/>
      <sheetName val="SAF"/>
      <sheetName val="Resume Opp_Loss"/>
      <sheetName val="Safety 2"/>
      <sheetName val="List"/>
      <sheetName val="DATA"/>
      <sheetName val="March-april (2)"/>
      <sheetName val="March_april _2_"/>
      <sheetName val="TB"/>
      <sheetName val="Blasting_per_block"/>
      <sheetName val="Overall_plan"/>
      <sheetName val="crushnsp"/>
      <sheetName val="pittonsp"/>
      <sheetName val="UA_PA"/>
      <sheetName val="Plant_Week"/>
      <sheetName val="Rental"/>
      <sheetName val="Sum"/>
      <sheetName val="W_H"/>
      <sheetName val="ABSENSI"/>
      <sheetName val="Sakit"/>
      <sheetName val="Alpa"/>
      <sheetName val="PAMA"/>
      <sheetName val="PAMA ALL"/>
      <sheetName val="PROD"/>
      <sheetName val="PLO IDR"/>
      <sheetName val="PLO USD"/>
      <sheetName val="PLO USD YTD"/>
      <sheetName val="BAUS_DT3386"/>
      <sheetName val="JSB"/>
      <sheetName val="KODJA"/>
      <sheetName val="Overall _4_"/>
      <sheetName val="Overall _2_"/>
      <sheetName val="nto71"/>
      <sheetName val="Cruser Sp71"/>
      <sheetName val="#REF"/>
      <sheetName val="Overall"/>
      <sheetName val="STD RATES"/>
      <sheetName val="Hourly_Prod"/>
      <sheetName val="Crew_Perf"/>
      <sheetName val="OB_ACTIV"/>
      <sheetName val="Daily_Forecasting"/>
      <sheetName val="BD_Equip"/>
      <sheetName val="DP_Report"/>
      <sheetName val="Curah_hujan"/>
      <sheetName val="Unit_Lain"/>
      <sheetName val="HIRE_RATE_1998"/>
      <sheetName val="April_"/>
      <sheetName val="LTI-24-09_(3)"/>
      <sheetName val="LTI-24-02_(2)"/>
      <sheetName val="LTI-01_(1)"/>
      <sheetName val="_SAF_02"/>
      <sheetName val="Permanent_info"/>
      <sheetName val="_SAF_021"/>
      <sheetName val="ALL_PC"/>
      <sheetName val="PLO_IDR_YTD"/>
      <sheetName val="summary_KPI"/>
      <sheetName val="Truck_Count"/>
      <sheetName val="Joint_Survey_Actual"/>
      <sheetName val="Daily_Plan"/>
      <sheetName val="Dr_s__90_dys"/>
      <sheetName val="Daily_OB_&amp;_Coal"/>
      <sheetName val="rumus 2 (coal ttp &amp; wr)"/>
      <sheetName val="Target"/>
      <sheetName val="Depth_41"/>
      <sheetName val="D"/>
      <sheetName val="PC_750"/>
      <sheetName val="I"/>
      <sheetName val="REMARK"/>
      <sheetName val="WORK"/>
      <sheetName val="Lists"/>
      <sheetName val="P1"/>
      <sheetName val="POPULATION"/>
      <sheetName val="DT ob"/>
      <sheetName val="DT coal"/>
      <sheetName val="HM"/>
      <sheetName val="OLIE"/>
      <sheetName val="II"/>
      <sheetName val="III"/>
      <sheetName val="UP-CIVIL"/>
      <sheetName val="Konversi Jarak"/>
      <sheetName val="Cash Flow"/>
      <sheetName val="F1771-IV"/>
      <sheetName val="OB_TCM"/>
      <sheetName val="April"/>
      <sheetName val="Data Coal I"/>
      <sheetName val="Data Coal II"/>
      <sheetName val="mtd ob forecasting"/>
      <sheetName val="Big"/>
      <sheetName val="Coal_Mining"/>
      <sheetName val="Cover"/>
      <sheetName val="Htr"/>
      <sheetName val="KPC Coal"/>
      <sheetName val="KPC"/>
      <sheetName val="KPC_Total"/>
      <sheetName val="kpi 2015"/>
      <sheetName val="Hourly_Prod1"/>
      <sheetName val="Crew_Perf1"/>
      <sheetName val="OB_ACTIV1"/>
      <sheetName val="Daily_Forecasting1"/>
      <sheetName val="BD_Equip1"/>
      <sheetName val="DP_Report1"/>
      <sheetName val="Curah_hujan1"/>
      <sheetName val="Unit_Lain1"/>
      <sheetName val="HIRE_RATE_19981"/>
      <sheetName val="April_1"/>
      <sheetName val="LTI-24-09_(3)1"/>
      <sheetName val="LTI-24-02_(2)1"/>
      <sheetName val="LTI-01_(1)1"/>
      <sheetName val="Permanent_info1"/>
      <sheetName val="_SAF_022"/>
      <sheetName val="_SAF_023"/>
      <sheetName val="ALL_PC1"/>
      <sheetName val="PLO_IDR_YTD1"/>
      <sheetName val="summary_KPI1"/>
      <sheetName val="Truck_Count1"/>
      <sheetName val="Joint_Survey_Actual1"/>
      <sheetName val="Daily_Plan1"/>
      <sheetName val="Dr_s__90_dys1"/>
      <sheetName val="Daily_OB_&amp;_Coal1"/>
      <sheetName val="Resume_Opp_Loss"/>
      <sheetName val="Safety_2"/>
      <sheetName val="March-april_(2)"/>
      <sheetName val="March_april__2_"/>
      <sheetName val="PAMA_ALL"/>
      <sheetName val="PLO_IDR"/>
      <sheetName val="PLO_USD"/>
      <sheetName val="PLO_USD_YTD"/>
      <sheetName val="Overall__4_"/>
      <sheetName val="Overall__2_"/>
      <sheetName val="Cruser_Sp71"/>
      <sheetName val="rumus_2_(coal_ttp_&amp;_wr)"/>
      <sheetName val="STD_RATES"/>
      <sheetName val="kpi_2015"/>
      <sheetName val="Hourly_Prod2"/>
      <sheetName val="Crew_Perf2"/>
      <sheetName val="OB_ACTIV2"/>
      <sheetName val="Daily_Forecasting2"/>
      <sheetName val="BD_Equip2"/>
      <sheetName val="DP_Report2"/>
      <sheetName val="Curah_hujan2"/>
      <sheetName val="Unit_Lain2"/>
      <sheetName val="HIRE_RATE_19982"/>
      <sheetName val="April_2"/>
      <sheetName val="LTI-24-09_(3)2"/>
      <sheetName val="LTI-24-02_(2)2"/>
      <sheetName val="LTI-01_(1)2"/>
      <sheetName val="Permanent_info2"/>
      <sheetName val="_SAF_024"/>
      <sheetName val="_SAF_025"/>
      <sheetName val="ALL_PC2"/>
      <sheetName val="PLO_IDR_YTD2"/>
      <sheetName val="summary_KPI2"/>
      <sheetName val="Truck_Count2"/>
      <sheetName val="Joint_Survey_Actual2"/>
      <sheetName val="Daily_Plan2"/>
      <sheetName val="Dr_s__90_dys2"/>
      <sheetName val="Daily_OB_&amp;_Coal2"/>
      <sheetName val="Resume_Opp_Loss1"/>
      <sheetName val="Safety_21"/>
      <sheetName val="March-april_(2)1"/>
      <sheetName val="March_april__2_1"/>
      <sheetName val="PAMA_ALL1"/>
      <sheetName val="PLO_IDR1"/>
      <sheetName val="PLO_USD1"/>
      <sheetName val="PLO_USD_YTD1"/>
      <sheetName val="Overall__4_1"/>
      <sheetName val="Overall__2_1"/>
      <sheetName val="Cruser_Sp711"/>
      <sheetName val="Dates"/>
      <sheetName val="FE-1771$.P1"/>
      <sheetName val="GeneralInfo"/>
      <sheetName val="MS"/>
      <sheetName val="3_ list of mp"/>
      <sheetName val="Loading"/>
      <sheetName val="Contract"/>
      <sheetName val="LP-01 2012"/>
      <sheetName val="Gaji"/>
      <sheetName val="Monthly Plan"/>
      <sheetName val="2.wh"/>
      <sheetName val="6.fc"/>
      <sheetName val="3.pa"/>
      <sheetName val="Budget"/>
      <sheetName val="SOS Summary "/>
      <sheetName val="Elec"/>
      <sheetName val="Housekeeping"/>
      <sheetName val="SAD"/>
      <sheetName val="DATABASE"/>
      <sheetName val="ROM-HOPER-size"/>
      <sheetName val="02"/>
      <sheetName val="01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Run"/>
      <sheetName val="Daily Report"/>
      <sheetName val="ACC Publish"/>
      <sheetName val="ovh"/>
      <sheetName val="FMC"/>
      <sheetName val="OPT_GL"/>
      <sheetName val="ORTCN"/>
      <sheetName val="COAL old"/>
      <sheetName val="COAL"/>
      <sheetName val="PRO"/>
      <sheetName val="Intro"/>
      <sheetName val="ob"/>
      <sheetName val="DRILL_BLAST"/>
      <sheetName val="RAIN_SILPPERY"/>
      <sheetName val="PRO_COAL"/>
      <sheetName val="TABEL"/>
      <sheetName val="Stock Port "/>
      <sheetName val="SUMMARY TONNAGE &amp; USD"/>
      <sheetName val="SP"/>
      <sheetName val="C"/>
      <sheetName val="DATA MASTER JUN"/>
      <sheetName val="SSE"/>
      <sheetName val="Hourly_Prod3"/>
      <sheetName val="Crew_Perf3"/>
      <sheetName val="OB_ACTIV3"/>
      <sheetName val="Daily_Forecasting3"/>
      <sheetName val="BD_Equip3"/>
      <sheetName val="DP_Report3"/>
      <sheetName val="Curah_hujan3"/>
      <sheetName val="Unit_Lain3"/>
      <sheetName val="HIRE_RATE_19983"/>
      <sheetName val="April_3"/>
      <sheetName val="LTI-24-09_(3)3"/>
      <sheetName val="LTI-24-02_(2)3"/>
      <sheetName val="LTI-01_(1)3"/>
      <sheetName val="Permanent_info3"/>
      <sheetName val="_SAF_026"/>
      <sheetName val="_SAF_027"/>
      <sheetName val="ALL_PC3"/>
      <sheetName val="PLO_IDR_YTD3"/>
      <sheetName val="summary_KPI3"/>
      <sheetName val="Truck_Count3"/>
      <sheetName val="Joint_Survey_Actual3"/>
      <sheetName val="Daily_Plan3"/>
      <sheetName val="Dr_s__90_dys3"/>
      <sheetName val="Daily_OB_&amp;_Coal3"/>
      <sheetName val="Resume_Opp_Loss2"/>
      <sheetName val="Safety_22"/>
      <sheetName val="March-april_(2)2"/>
      <sheetName val="March_april__2_2"/>
      <sheetName val="PAMA_ALL2"/>
      <sheetName val="PLO_IDR2"/>
      <sheetName val="PLO_USD2"/>
      <sheetName val="PLO_USD_YTD2"/>
      <sheetName val="Overall__4_2"/>
      <sheetName val="Overall__2_2"/>
      <sheetName val="Cruser_Sp712"/>
      <sheetName val="Hourly_Prod4"/>
      <sheetName val="Crew_Perf4"/>
      <sheetName val="OB_ACTIV4"/>
      <sheetName val="Daily_Forecasting4"/>
      <sheetName val="BD_Equip4"/>
      <sheetName val="DP_Report4"/>
      <sheetName val="Curah_hujan4"/>
      <sheetName val="Unit_Lain4"/>
      <sheetName val="HIRE_RATE_19984"/>
      <sheetName val="April_4"/>
      <sheetName val="LTI-24-09_(3)4"/>
      <sheetName val="LTI-24-02_(2)4"/>
      <sheetName val="LTI-01_(1)4"/>
      <sheetName val="Permanent_info4"/>
      <sheetName val="_SAF_028"/>
      <sheetName val="_SAF_029"/>
      <sheetName val="ALL_PC4"/>
      <sheetName val="PLO_IDR_YTD4"/>
      <sheetName val="summary_KPI4"/>
      <sheetName val="Truck_Count4"/>
      <sheetName val="Joint_Survey_Actual4"/>
      <sheetName val="Daily_Plan4"/>
      <sheetName val="Dr_s__90_dys4"/>
      <sheetName val="Daily_OB_&amp;_Coal4"/>
      <sheetName val="Resume_Opp_Loss3"/>
      <sheetName val="Safety_23"/>
      <sheetName val="March-april_(2)3"/>
      <sheetName val="March_april__2_3"/>
      <sheetName val="PAMA_ALL3"/>
      <sheetName val="PLO_IDR3"/>
      <sheetName val="PLO_USD3"/>
      <sheetName val="PLO_USD_YTD3"/>
      <sheetName val="Overall__4_3"/>
      <sheetName val="Overall__2_3"/>
      <sheetName val="Cruser_Sp713"/>
      <sheetName val="KHUSUS BRAVO II"/>
      <sheetName val="upload"/>
      <sheetName val="Dr's_&gt;90 dys"/>
      <sheetName val="MA_PLANS_"/>
      <sheetName val="M_PLANS_"/>
      <sheetName val="table"/>
      <sheetName val="A_SQL2IMPS_"/>
      <sheetName val="Plant"/>
      <sheetName val="KPI ENG"/>
      <sheetName val="PRICE"/>
      <sheetName val="Pupolasi"/>
      <sheetName val="Query PM"/>
      <sheetName val="BI Share"/>
      <sheetName val="WH &amp; Fuel"/>
      <sheetName val="Data Staff"/>
      <sheetName val="EqList"/>
      <sheetName val="Ppls"/>
      <sheetName val="Dozing Estimation"/>
      <sheetName val="Statistik"/>
      <sheetName val="FORM"/>
      <sheetName val="Prod'n"/>
      <sheetName val="PAR"/>
      <sheetName val="Production HO"/>
      <sheetName val="EDS110507"/>
      <sheetName val="MA"/>
      <sheetName val="Plant Rate"/>
      <sheetName val="POPULASI 2020"/>
      <sheetName val="BUDGET PER UNIT"/>
      <sheetName val="SPO 2020"/>
      <sheetName val="Base Unit"/>
      <sheetName val="DIV.1"/>
      <sheetName val="NP"/>
      <sheetName val="Excavator"/>
      <sheetName val="Dozer"/>
      <sheetName val="Stock"/>
      <sheetName val="Usage"/>
      <sheetName val="Pltrates"/>
      <sheetName val="Isi_Job_Pending"/>
      <sheetName val="SMU Input"/>
      <sheetName val="result"/>
      <sheetName val="Detail Exp.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 Dec'12"/>
      <sheetName val="IMM Mine"/>
      <sheetName val="TCM Mine"/>
      <sheetName val="EMB Mine"/>
      <sheetName val="JBG Mine"/>
      <sheetName val="BEK Mine"/>
      <sheetName val="TDM Mine"/>
      <sheetName val="Pivot"/>
      <sheetName val="Dbase"/>
      <sheetName val="Sum Prod &amp; Sales Bdgt"/>
      <sheetName val="Indo_Mine (2)"/>
      <sheetName val="ITM2013(10Dec) 29.5mt"/>
      <sheetName val="Jul (CREM)"/>
      <sheetName val="DP Report"/>
      <sheetName val="Sheet1"/>
      <sheetName val="Summary"/>
      <sheetName val="ban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X"/>
      <sheetName val="MATERIAL"/>
      <sheetName val="RENTAL"/>
      <sheetName val="EMPLOYEE-OC"/>
      <sheetName val="OFFICE"/>
      <sheetName val="FIXED"/>
      <sheetName val="OTHERS"/>
      <sheetName val="2007_Total"/>
      <sheetName val="OB_89"/>
      <sheetName val="OB_85"/>
      <sheetName val="Budget OC 2003"/>
      <sheetName val="Project"/>
      <sheetName val="1"/>
      <sheetName val="Page_2"/>
      <sheetName val="Revenue"/>
      <sheetName val="FURNITUR"/>
      <sheetName val="RATE"/>
      <sheetName val="Plan"/>
      <sheetName val="Exc. Rate"/>
      <sheetName val="Rates"/>
      <sheetName val="Wells"/>
      <sheetName val="Zones"/>
      <sheetName val="Indonesia"/>
      <sheetName val="Search for Unrecorded Liabilty"/>
      <sheetName val="Macro5"/>
      <sheetName val="TBM"/>
      <sheetName val="result"/>
      <sheetName val="currency"/>
      <sheetName val="product"/>
      <sheetName val="strategy"/>
      <sheetName val="tani"/>
      <sheetName val="2"/>
      <sheetName val="3"/>
      <sheetName val="4"/>
      <sheetName val="5"/>
      <sheetName val="6"/>
      <sheetName val="7"/>
      <sheetName val="8"/>
      <sheetName val="nengo"/>
      <sheetName val="SCORE_RC_Code"/>
      <sheetName val="Tab.Perkiraan"/>
      <sheetName val="MTD_Flash_Report"/>
      <sheetName val="Power"/>
      <sheetName val="BSC"/>
      <sheetName val="Parameters"/>
      <sheetName val="KEND"/>
      <sheetName val="PA Result"/>
      <sheetName val="MED"/>
      <sheetName val="MB51"/>
      <sheetName val="GL"/>
      <sheetName val="TotalReqPM"/>
      <sheetName val="INCOME STATEMENT"/>
      <sheetName val="Sheet2"/>
      <sheetName val="kriteria"/>
      <sheetName val="TEMP"/>
      <sheetName val="02 Prod'n"/>
      <sheetName val="03 Travel"/>
      <sheetName val="2004"/>
      <sheetName val="cov"/>
      <sheetName val="Petrosea"/>
      <sheetName val="Sum Prod &amp; Sales Bdgt"/>
      <sheetName val="DP Report"/>
      <sheetName val="Money"/>
      <sheetName val="Input-Best Case"/>
      <sheetName val="Input-Expected Case"/>
      <sheetName val="Input-Worst Case"/>
      <sheetName val="Other Cargill BU Synergies"/>
      <sheetName val="Revenue Detail"/>
      <sheetName val="OtherTaxAdjustments"/>
      <sheetName val="name"/>
      <sheetName val="Budget_OC_2003"/>
      <sheetName val="Exc__Rate"/>
      <sheetName val="Search_for_Unrecorded_Liabilty"/>
      <sheetName val="Tab_Perkiraan"/>
      <sheetName val="PA_Result"/>
      <sheetName val="INCOME_STATEMENT"/>
      <sheetName val="Budget_OC_20031"/>
      <sheetName val="Exc__Rate1"/>
      <sheetName val="Search_for_Unrecorded_Liabilty1"/>
      <sheetName val="Tab_Perkiraan1"/>
      <sheetName val="PA_Result1"/>
      <sheetName val="INCOME_STATEMENT1"/>
      <sheetName val="Lookup Sheet"/>
      <sheetName val="Fuel"/>
      <sheetName val="C"/>
      <sheetName val="SUPPORT"/>
      <sheetName val="AFTER 55"/>
      <sheetName val="COST_CAL"/>
      <sheetName val="Codestable"/>
      <sheetName val="DF19"/>
      <sheetName val="Proj Summ"/>
      <sheetName val="Exc__Rate2"/>
      <sheetName val="Search_for_Unrecorded_Liabilty2"/>
      <sheetName val="SysNavigation"/>
      <sheetName val="Macro_XLM"/>
      <sheetName val="A.4.3"/>
      <sheetName val="Data Base"/>
      <sheetName val="Site_BQ"/>
      <sheetName val="Revenue &amp; Cost"/>
      <sheetName val="Guidance"/>
      <sheetName val="A.4.2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Sheet1"/>
      <sheetName val="fa-s"/>
      <sheetName val=" total cost Press nov 47"/>
      <sheetName val="CRITERIA1"/>
      <sheetName val="PS"/>
      <sheetName val="data"/>
      <sheetName val="Info"/>
      <sheetName val="IS GMM"/>
      <sheetName val="FE-1771$.P1"/>
      <sheetName val="Market Positioning"/>
      <sheetName val="U1.6"/>
      <sheetName val="Proyeksi"/>
      <sheetName val="Income Tax Calc"/>
      <sheetName val="Angka"/>
      <sheetName val="SE-C"/>
      <sheetName val="Basis 1"/>
      <sheetName val="Summary"/>
      <sheetName val="Listen 1"/>
      <sheetName val="SaldoCorona"/>
      <sheetName val="Bill No.1"/>
      <sheetName val="ob"/>
      <sheetName val="B28"/>
      <sheetName val="Aux"/>
      <sheetName val="Actual"/>
      <sheetName val="U.S. Targeted Investors"/>
      <sheetName val="174_FIS"/>
      <sheetName val="CALCS1"/>
      <sheetName val="Planting"/>
      <sheetName val="number converter"/>
      <sheetName val="Questions"/>
      <sheetName val="C-PF_ALL"/>
      <sheetName val="P_PA"/>
      <sheetName val="Ppls"/>
      <sheetName val="#REF"/>
      <sheetName val="PRO_COAL"/>
      <sheetName val="EDS110507"/>
      <sheetName val="MA"/>
      <sheetName val="Sheet3"/>
      <sheetName val="D) Purchasing Group"/>
      <sheetName val="Bill No. 2 - Carpark"/>
      <sheetName val="Budget_OC_20032"/>
      <sheetName val="Tab_Perkiraan2"/>
      <sheetName val="PA_Result2"/>
      <sheetName val="INCOME_STATEMENT2"/>
      <sheetName val="02_Prod'n"/>
      <sheetName val="03_Travel"/>
      <sheetName val="Budget_OC_20033"/>
      <sheetName val="Exc__Rate3"/>
      <sheetName val="Search_for_Unrecorded_Liabilty3"/>
      <sheetName val="Tab_Perkiraan3"/>
      <sheetName val="PA_Result3"/>
      <sheetName val="INCOME_STATEMENT3"/>
      <sheetName val="02_Prod'n1"/>
      <sheetName val="03_Travel1"/>
      <sheetName val="D)_Purchasing_Group"/>
      <sheetName val="Bill_No__2_-_Carpark"/>
      <sheetName val="Input-Best_Case"/>
      <sheetName val="Input-Expected_Case"/>
      <sheetName val="Input-Worst_Case"/>
      <sheetName val="Other_Cargill_BU_Synergies"/>
      <sheetName val="Revenue_Detail"/>
      <sheetName val="Sum_Prod_&amp;_Sales_Bdgt"/>
      <sheetName val="DP_Report"/>
      <sheetName val="Lookup_Sheet"/>
      <sheetName val="AFTER_55"/>
      <sheetName val="Proj_Summ"/>
      <sheetName val="A_4_3"/>
      <sheetName val="Data_Base"/>
      <sheetName val="Revenue_&amp;_Cost"/>
      <sheetName val="A_4_2"/>
      <sheetName val="_total_cost_Press_nov_47"/>
      <sheetName val="IS_GMM"/>
      <sheetName val="FE-1771$_P1"/>
      <sheetName val="Market_Positioning"/>
      <sheetName val="U1_6"/>
      <sheetName val="Income_Tax_Calc"/>
      <sheetName val="Basis_1"/>
      <sheetName val="Listen_1"/>
      <sheetName val="Bill_No_1"/>
      <sheetName val="U_S__Targeted_Investors"/>
      <sheetName val="number_converter"/>
      <sheetName val="Budget_OC_20034"/>
      <sheetName val="Exc__Rate4"/>
      <sheetName val="Search_for_Unrecorded_Liabilty4"/>
      <sheetName val="Tab_Perkiraan4"/>
      <sheetName val="PA_Result4"/>
      <sheetName val="INCOME_STATEMENT4"/>
      <sheetName val="02_Prod'n2"/>
      <sheetName val="03_Travel2"/>
      <sheetName val="D)_Purchasing_Group1"/>
      <sheetName val="Bill_No__2_-_Carpark1"/>
      <sheetName val="Input-Best_Case1"/>
      <sheetName val="Input-Expected_Case1"/>
      <sheetName val="Input-Worst_Case1"/>
      <sheetName val="Other_Cargill_BU_Synergies1"/>
      <sheetName val="Revenue_Detail1"/>
      <sheetName val="Sum_Prod_&amp;_Sales_Bdgt1"/>
      <sheetName val="DP_Report1"/>
      <sheetName val="Lookup_Sheet1"/>
      <sheetName val="AFTER_551"/>
      <sheetName val="Proj_Summ1"/>
      <sheetName val="A_4_31"/>
      <sheetName val="Data_Base1"/>
      <sheetName val="Revenue_&amp;_Cost1"/>
      <sheetName val="A_4_21"/>
      <sheetName val="_total_cost_Press_nov_471"/>
      <sheetName val="IS_GMM1"/>
      <sheetName val="FE-1771$_P11"/>
      <sheetName val="Market_Positioning1"/>
      <sheetName val="U1_61"/>
      <sheetName val="Income_Tax_Calc1"/>
      <sheetName val="Basis_11"/>
      <sheetName val="Listen_11"/>
      <sheetName val="Bill_No_11"/>
      <sheetName val="U_S__Targeted_Investors1"/>
      <sheetName val="number_converter1"/>
      <sheetName val="Budget_OC_20035"/>
      <sheetName val="Exc__Rate5"/>
      <sheetName val="Search_for_Unrecorded_Liabilty5"/>
      <sheetName val="Tab_Perkiraan5"/>
      <sheetName val="PA_Result5"/>
      <sheetName val="INCOME_STATEMENT5"/>
      <sheetName val="02_Prod'n3"/>
      <sheetName val="03_Travel3"/>
      <sheetName val="D)_Purchasing_Group2"/>
      <sheetName val="Bill_No__2_-_Carpark2"/>
      <sheetName val="Input-Best_Case2"/>
      <sheetName val="Input-Expected_Case2"/>
      <sheetName val="Input-Worst_Case2"/>
      <sheetName val="Other_Cargill_BU_Synergies2"/>
      <sheetName val="Revenue_Detail2"/>
      <sheetName val="Sum_Prod_&amp;_Sales_Bdgt2"/>
      <sheetName val="DP_Report2"/>
      <sheetName val="Lookup_Sheet2"/>
      <sheetName val="AFTER_552"/>
      <sheetName val="Proj_Summ2"/>
      <sheetName val="A_4_32"/>
      <sheetName val="Data_Base2"/>
      <sheetName val="Revenue_&amp;_Cost2"/>
      <sheetName val="A_4_22"/>
      <sheetName val="_total_cost_Press_nov_472"/>
      <sheetName val="IS_GMM2"/>
      <sheetName val="FE-1771$_P12"/>
      <sheetName val="Market_Positioning2"/>
      <sheetName val="U1_62"/>
      <sheetName val="Income_Tax_Calc2"/>
      <sheetName val="Basis_12"/>
      <sheetName val="Listen_12"/>
      <sheetName val="Bill_No_12"/>
      <sheetName val="U_S__Targeted_Investors2"/>
      <sheetName val="number_converter2"/>
      <sheetName val="Budget_OC_20036"/>
      <sheetName val="Exc__Rate6"/>
      <sheetName val="Search_for_Unrecorded_Liabilty6"/>
      <sheetName val="Tab_Perkiraan6"/>
      <sheetName val="PA_Result6"/>
      <sheetName val="INCOME_STATEMENT6"/>
      <sheetName val="02_Prod'n4"/>
      <sheetName val="03_Travel4"/>
      <sheetName val="D)_Purchasing_Group3"/>
      <sheetName val="Bill_No__2_-_Carpark3"/>
      <sheetName val="Input-Best_Case3"/>
      <sheetName val="Input-Expected_Case3"/>
      <sheetName val="Input-Worst_Case3"/>
      <sheetName val="Other_Cargill_BU_Synergies3"/>
      <sheetName val="Revenue_Detail3"/>
      <sheetName val="Sum_Prod_&amp;_Sales_Bdgt3"/>
      <sheetName val="DP_Report3"/>
      <sheetName val="Lookup_Sheet3"/>
      <sheetName val="AFTER_553"/>
      <sheetName val="Proj_Summ3"/>
      <sheetName val="A_4_33"/>
      <sheetName val="Data_Base3"/>
      <sheetName val="Revenue_&amp;_Cost3"/>
      <sheetName val="A_4_23"/>
      <sheetName val="_total_cost_Press_nov_473"/>
      <sheetName val="IS_GMM3"/>
      <sheetName val="FE-1771$_P13"/>
      <sheetName val="Market_Positioning3"/>
      <sheetName val="U1_63"/>
      <sheetName val="Income_Tax_Calc3"/>
      <sheetName val="Basis_13"/>
      <sheetName val="Listen_13"/>
      <sheetName val="Bill_No_13"/>
      <sheetName val="U_S__Targeted_Investors3"/>
      <sheetName val="number_converter3"/>
      <sheetName val="Budget_OC_20037"/>
      <sheetName val="Exc__Rate7"/>
      <sheetName val="Search_for_Unrecorded_Liabilty7"/>
      <sheetName val="Tab_Perkiraan7"/>
      <sheetName val="PA_Result7"/>
      <sheetName val="INCOME_STATEMENT7"/>
      <sheetName val="02_Prod'n5"/>
      <sheetName val="03_Travel5"/>
      <sheetName val="Input-Best_Case4"/>
      <sheetName val="Input-Expected_Case4"/>
      <sheetName val="Input-Worst_Case4"/>
      <sheetName val="Other_Cargill_BU_Synergies4"/>
      <sheetName val="Revenue_Detail4"/>
      <sheetName val="Sum_Prod_&amp;_Sales_Bdgt4"/>
      <sheetName val="DP_Report4"/>
      <sheetName val="D)_Purchasing_Group4"/>
      <sheetName val="Bill_No__2_-_Carpark4"/>
      <sheetName val="Lookup_Sheet4"/>
      <sheetName val="AFTER_554"/>
      <sheetName val="Proj_Summ4"/>
      <sheetName val="A_4_34"/>
      <sheetName val="Data_Base4"/>
      <sheetName val="Revenue_&amp;_Cost4"/>
      <sheetName val="A_4_24"/>
      <sheetName val="_total_cost_Press_nov_474"/>
      <sheetName val="IS_GMM4"/>
      <sheetName val="FE-1771$_P14"/>
      <sheetName val="Market_Positioning4"/>
      <sheetName val="U1_64"/>
      <sheetName val="Income_Tax_Calc4"/>
      <sheetName val="Basis_14"/>
      <sheetName val="Listen_14"/>
      <sheetName val="Bill_No_14"/>
      <sheetName val="U_S__Targeted_Investors4"/>
      <sheetName val="number_converter4"/>
      <sheetName val="Budget_OC_20038"/>
      <sheetName val="Exc__Rate8"/>
      <sheetName val="Search_for_Unrecorded_Liabilty8"/>
      <sheetName val="Tab_Perkiraan8"/>
      <sheetName val="PA_Result8"/>
      <sheetName val="INCOME_STATEMENT8"/>
      <sheetName val="02_Prod'n6"/>
      <sheetName val="03_Travel6"/>
      <sheetName val="Input-Best_Case5"/>
      <sheetName val="Input-Expected_Case5"/>
      <sheetName val="Input-Worst_Case5"/>
      <sheetName val="Other_Cargill_BU_Synergies5"/>
      <sheetName val="Revenue_Detail5"/>
      <sheetName val="Sum_Prod_&amp;_Sales_Bdgt5"/>
      <sheetName val="DP_Report5"/>
      <sheetName val="D)_Purchasing_Group5"/>
      <sheetName val="Bill_No__2_-_Carpark5"/>
      <sheetName val="Lookup_Sheet5"/>
      <sheetName val="AFTER_555"/>
      <sheetName val="Proj_Summ5"/>
      <sheetName val="A_4_35"/>
      <sheetName val="Data_Base5"/>
      <sheetName val="Revenue_&amp;_Cost5"/>
      <sheetName val="A_4_25"/>
      <sheetName val="_total_cost_Press_nov_475"/>
      <sheetName val="IS_GMM5"/>
      <sheetName val="FE-1771$_P15"/>
      <sheetName val="Market_Positioning5"/>
      <sheetName val="U1_65"/>
      <sheetName val="Income_Tax_Calc5"/>
      <sheetName val="Basis_15"/>
      <sheetName val="Listen_15"/>
      <sheetName val="Bill_No_15"/>
      <sheetName val="U_S__Targeted_Investors5"/>
      <sheetName val="number_converter5"/>
      <sheetName val="ExcRate"/>
      <sheetName val="EWH-UA"/>
      <sheetName val="DIGGER"/>
      <sheetName val="Risalah KOM"/>
      <sheetName val="20A.Sum"/>
      <sheetName val="KKP-II.2.2.1.2"/>
      <sheetName val="NAMES"/>
      <sheetName val="SUM_Steel-Strc"/>
      <sheetName val="Depr."/>
      <sheetName val="Personil"/>
      <sheetName val="GeneralInfo"/>
      <sheetName val="OK 18JUL"/>
      <sheetName val="NOT OK 18JUL"/>
      <sheetName val="I-PPh21"/>
      <sheetName val="SSP21"/>
      <sheetName val="SSP25-29"/>
      <sheetName val="Validasi"/>
      <sheetName val="Visa"/>
      <sheetName val="final (2)"/>
      <sheetName val="L4-Info"/>
      <sheetName val="DataReferensi"/>
      <sheetName val="Valuation"/>
      <sheetName val="Bonus"/>
      <sheetName val="Tabel stock"/>
      <sheetName val="Pit C2"/>
      <sheetName val="Pit E"/>
      <sheetName val="Period"/>
      <sheetName val="WeeklyPrices"/>
      <sheetName val="Otd Utilisasi"/>
      <sheetName val="Links"/>
      <sheetName val="Neraca"/>
      <sheetName val="B7"/>
      <sheetName val="table"/>
      <sheetName val="Setting"/>
      <sheetName val="gu-2001"/>
      <sheetName val="OLDDATA"/>
      <sheetName val="PTD"/>
      <sheetName val="YTD"/>
      <sheetName val="FE-1770-I"/>
      <sheetName val="FE-1770.P1"/>
      <sheetName val="FE-1770-II"/>
      <sheetName val="Lead"/>
      <sheetName val="Master Data Karyawan "/>
      <sheetName val="SUM-IN"/>
      <sheetName val="Code"/>
      <sheetName val="Periods"/>
      <sheetName val="Rpt13.Oth"/>
      <sheetName val="monthly"/>
      <sheetName val="DAFTAR NOMINATIF"/>
      <sheetName val="Notes 08"/>
      <sheetName val="RM"/>
      <sheetName val="현장지지물물량"/>
      <sheetName val="KKN"/>
      <sheetName val="General inputs"/>
      <sheetName val="fiscal depr(E)"/>
      <sheetName val="Permanent info"/>
      <sheetName val="10-102"/>
      <sheetName val="VWAP"/>
      <sheetName val="Client"/>
      <sheetName val="Sales"/>
      <sheetName val="Spec"/>
      <sheetName val="Macro1"/>
      <sheetName val="RMS - STR"/>
      <sheetName val="LTS"/>
      <sheetName val="CAPEX CREM - NON project"/>
      <sheetName val="BS final"/>
      <sheetName val="tax calculation 1"/>
      <sheetName val="RK1"/>
      <sheetName val="Marshal"/>
      <sheetName val="F1771-II"/>
      <sheetName val="F1771-III"/>
      <sheetName val="APRIL'02"/>
      <sheetName val="COVER(DEK)"/>
      <sheetName val="s5"/>
      <sheetName val="DATA "/>
      <sheetName val="TERBILANG"/>
      <sheetName val="B"/>
      <sheetName val="WHPT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lusion"/>
      <sheetName val="Quarterly"/>
      <sheetName val="Monthly"/>
      <sheetName val="Coal Quality"/>
      <sheetName val="Summary1"/>
      <sheetName val="Summary2"/>
      <sheetName val="Main Equipment Schedule"/>
      <sheetName val="Aux Equipment Utilization"/>
      <sheetName val="Sub-Cont Equipment Utilization"/>
      <sheetName val="Input"/>
      <sheetName val="Assumptions"/>
      <sheetName val="Productivities"/>
      <sheetName val="PLAN"/>
      <sheetName val="Temp"/>
      <sheetName val="quality"/>
      <sheetName val="Sheet1"/>
      <sheetName val="OFFICE"/>
      <sheetName val="1"/>
      <sheetName val="Sum Prod &amp; Sales Bdg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Provident fund"/>
      <sheetName val="Social security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OB_89"/>
      <sheetName val="Macro.xls"/>
      <sheetName val="OB_85"/>
      <sheetName val="2007_Total"/>
      <sheetName val="PAR"/>
    </sheetNames>
    <definedNames>
      <definedName name="Sub_Account" refersTo="='Sub Account'!$A$3:$A$1062"/>
    </defined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 Page link to Sum PRM"/>
      <sheetName val="Link to Sum BOD"/>
      <sheetName val="Summ BOD _ CBM"/>
      <sheetName val="Summ PRM"/>
      <sheetName val="Summ TOTAL"/>
      <sheetName val="Coal Quality"/>
      <sheetName val="ITM Outlook link to Coal qty"/>
      <sheetName val="3_1_IMM Prod"/>
      <sheetName val="3_2_IMM Inv"/>
      <sheetName val="4_1_TM Mine"/>
      <sheetName val="4_2_TM mine inv"/>
      <sheetName val="5_1_EMB Prod"/>
      <sheetName val="5_2_EMB Inv"/>
      <sheetName val="6_1_ TCM Prod"/>
      <sheetName val="6_2 TCM Inv"/>
      <sheetName val="7_1_BE Prod"/>
      <sheetName val="7_2_BE Inv"/>
      <sheetName val="8_1 JBG Prod"/>
      <sheetName val="8_2 JBG Inv"/>
      <sheetName val="2013 BOD Report Act. AUG"/>
      <sheetName val="Assumptions"/>
      <sheetName val="SUMDRILL_PRE"/>
      <sheetName val="Daily P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6FC89-2B31-4D3F-82FF-E218A8D21FC1}">
  <sheetPr>
    <tabColor rgb="FF00B050"/>
  </sheetPr>
  <dimension ref="A2:AI216"/>
  <sheetViews>
    <sheetView topLeftCell="D1" zoomScale="60" zoomScaleNormal="60" workbookViewId="0">
      <selection activeCell="D19" sqref="D19"/>
    </sheetView>
  </sheetViews>
  <sheetFormatPr defaultColWidth="9.44140625" defaultRowHeight="14.4" x14ac:dyDescent="0.3"/>
  <cols>
    <col min="1" max="1" width="2.44140625" style="1" hidden="1" customWidth="1"/>
    <col min="2" max="2" width="25.44140625" style="1" hidden="1" customWidth="1"/>
    <col min="3" max="3" width="0" style="1" hidden="1" customWidth="1"/>
    <col min="4" max="4" width="9.109375" style="1" bestFit="1" customWidth="1"/>
    <col min="5" max="5" width="21.44140625" style="1" customWidth="1"/>
    <col min="6" max="6" width="15.5546875" style="1" customWidth="1"/>
    <col min="7" max="7" width="13.44140625" style="60" hidden="1" customWidth="1"/>
    <col min="8" max="8" width="17.5546875" style="1" hidden="1" customWidth="1"/>
    <col min="9" max="9" width="14.44140625" style="446" customWidth="1"/>
    <col min="10" max="10" width="13.5546875" style="60" hidden="1" customWidth="1"/>
    <col min="11" max="11" width="15.44140625" style="1" hidden="1" customWidth="1"/>
    <col min="12" max="12" width="13" style="1" customWidth="1"/>
    <col min="13" max="13" width="13.5546875" style="1" hidden="1" customWidth="1"/>
    <col min="14" max="14" width="12" style="1" hidden="1" customWidth="1"/>
    <col min="15" max="15" width="15.5546875" style="1" customWidth="1"/>
    <col min="16" max="16" width="14.44140625" style="60" hidden="1" customWidth="1"/>
    <col min="17" max="17" width="15.5546875" style="1" hidden="1" customWidth="1"/>
    <col min="18" max="18" width="9.44140625" style="1" hidden="1" customWidth="1"/>
    <col min="19" max="19" width="12" style="1" customWidth="1"/>
    <col min="20" max="20" width="13.44140625" style="1" customWidth="1"/>
    <col min="21" max="25" width="9.44140625" style="1" customWidth="1"/>
    <col min="26" max="26" width="9.109375" style="1" bestFit="1" customWidth="1"/>
    <col min="27" max="27" width="13.44140625" style="1" bestFit="1" customWidth="1"/>
    <col min="28" max="16384" width="9.44140625" style="1"/>
  </cols>
  <sheetData>
    <row r="2" spans="2:27" x14ac:dyDescent="0.3">
      <c r="M2" s="2"/>
    </row>
    <row r="3" spans="2:27" x14ac:dyDescent="0.3">
      <c r="B3" s="132" t="s">
        <v>0</v>
      </c>
      <c r="C3" s="444"/>
      <c r="D3" s="444"/>
    </row>
    <row r="4" spans="2:27" x14ac:dyDescent="0.3">
      <c r="B4" s="3" t="s">
        <v>1</v>
      </c>
    </row>
    <row r="5" spans="2:27" x14ac:dyDescent="0.3">
      <c r="B5" s="4" t="s">
        <v>2</v>
      </c>
      <c r="H5" s="5"/>
      <c r="K5" s="5"/>
    </row>
    <row r="6" spans="2:27" x14ac:dyDescent="0.3">
      <c r="B6" s="148"/>
      <c r="K6" s="2"/>
      <c r="L6" s="2"/>
      <c r="N6" s="2"/>
      <c r="S6" s="1">
        <f>Q11/O11</f>
        <v>-1.0785906701224619</v>
      </c>
    </row>
    <row r="7" spans="2:27" x14ac:dyDescent="0.3">
      <c r="K7" s="2"/>
      <c r="L7" s="2"/>
      <c r="O7" s="2"/>
    </row>
    <row r="8" spans="2:27" ht="18" x14ac:dyDescent="0.3">
      <c r="E8" s="612" t="s">
        <v>3</v>
      </c>
      <c r="F8" s="614" t="s">
        <v>4</v>
      </c>
      <c r="G8" s="614"/>
      <c r="H8" s="614"/>
      <c r="I8" s="614" t="s">
        <v>5</v>
      </c>
      <c r="J8" s="614"/>
      <c r="K8" s="614"/>
      <c r="L8" s="615" t="s">
        <v>6</v>
      </c>
      <c r="M8" s="616"/>
      <c r="N8" s="616"/>
      <c r="O8" s="614" t="s">
        <v>7</v>
      </c>
      <c r="P8" s="614"/>
      <c r="Q8" s="614"/>
      <c r="R8" s="618" t="s">
        <v>8</v>
      </c>
      <c r="V8" s="1">
        <f>3000000/29000000</f>
        <v>0.10344827586206896</v>
      </c>
    </row>
    <row r="9" spans="2:27" ht="18" x14ac:dyDescent="0.35">
      <c r="E9" s="613"/>
      <c r="F9" s="421" t="s">
        <v>9</v>
      </c>
      <c r="G9" s="441" t="s">
        <v>10</v>
      </c>
      <c r="H9" s="149" t="s">
        <v>11</v>
      </c>
      <c r="I9" s="447" t="s">
        <v>9</v>
      </c>
      <c r="J9" s="441" t="s">
        <v>12</v>
      </c>
      <c r="K9" s="421" t="s">
        <v>11</v>
      </c>
      <c r="L9" s="421" t="s">
        <v>9</v>
      </c>
      <c r="M9" s="421" t="s">
        <v>10</v>
      </c>
      <c r="N9" s="422" t="s">
        <v>11</v>
      </c>
      <c r="O9" s="421" t="s">
        <v>9</v>
      </c>
      <c r="P9" s="441" t="s">
        <v>10</v>
      </c>
      <c r="Q9" s="150" t="s">
        <v>11</v>
      </c>
      <c r="R9" s="619"/>
    </row>
    <row r="10" spans="2:27" ht="18" x14ac:dyDescent="0.35">
      <c r="E10" s="311" t="s">
        <v>13</v>
      </c>
      <c r="F10" s="312">
        <v>755824.28500000003</v>
      </c>
      <c r="G10" s="455">
        <v>-2.1013875672452453</v>
      </c>
      <c r="H10" s="318">
        <f t="shared" ref="H10:H21" si="0">F10*G10</f>
        <v>-1588279.7555210271</v>
      </c>
      <c r="I10" s="312">
        <v>909711</v>
      </c>
      <c r="J10" s="314">
        <v>-1.8616287339825517</v>
      </c>
      <c r="K10" s="318">
        <f t="shared" ref="K10:K21" si="1">I10*J10</f>
        <v>-1693544.1372200011</v>
      </c>
      <c r="L10" s="456">
        <v>12338</v>
      </c>
      <c r="M10" s="457">
        <v>0</v>
      </c>
      <c r="N10" s="458">
        <f t="shared" ref="N10:N21" si="2">L10*M10</f>
        <v>0</v>
      </c>
      <c r="O10" s="459">
        <f t="shared" ref="O10:O21" si="3">F10+I10+L10</f>
        <v>1677873.2850000001</v>
      </c>
      <c r="P10" s="322">
        <v>-1.9696318220260602</v>
      </c>
      <c r="Q10" s="323">
        <f t="shared" ref="Q10:Q21" si="4">H10+K10+N10</f>
        <v>-3281823.8927410282</v>
      </c>
      <c r="S10" s="6">
        <f t="shared" ref="S10:S21" si="5">F10/O10</f>
        <v>0.4504656530126469</v>
      </c>
      <c r="T10" s="6">
        <f t="shared" ref="T10:T21" si="6">I10/O10</f>
        <v>0.54218099074150283</v>
      </c>
      <c r="V10" s="1">
        <v>0.65</v>
      </c>
      <c r="W10" s="1">
        <v>0.3</v>
      </c>
      <c r="X10" s="1">
        <v>4.9999999999999989E-2</v>
      </c>
    </row>
    <row r="11" spans="2:27" ht="18" x14ac:dyDescent="0.35">
      <c r="E11" s="311" t="s">
        <v>14</v>
      </c>
      <c r="F11" s="312">
        <v>857042.29299999995</v>
      </c>
      <c r="G11" s="455">
        <v>-0.42049509017358089</v>
      </c>
      <c r="H11" s="318">
        <f t="shared" si="0"/>
        <v>-360382.07627760753</v>
      </c>
      <c r="I11" s="312">
        <v>486985</v>
      </c>
      <c r="J11" s="314">
        <v>-2.2530057849010179</v>
      </c>
      <c r="K11" s="318">
        <f t="shared" si="1"/>
        <v>-1097180.0221600223</v>
      </c>
      <c r="L11" s="456">
        <v>7330.6769999999997</v>
      </c>
      <c r="M11" s="457">
        <v>0</v>
      </c>
      <c r="N11" s="458">
        <f t="shared" si="2"/>
        <v>0</v>
      </c>
      <c r="O11" s="459">
        <f t="shared" si="3"/>
        <v>1351357.97</v>
      </c>
      <c r="P11" s="322">
        <v>-1.0908124929517162</v>
      </c>
      <c r="Q11" s="323">
        <f t="shared" si="4"/>
        <v>-1457562.0984376299</v>
      </c>
      <c r="S11" s="6">
        <f t="shared" si="5"/>
        <v>0.63420819059512412</v>
      </c>
      <c r="T11" s="6">
        <f t="shared" si="6"/>
        <v>0.36036713499384626</v>
      </c>
    </row>
    <row r="12" spans="2:27" ht="18" x14ac:dyDescent="0.35">
      <c r="E12" s="311" t="s">
        <v>15</v>
      </c>
      <c r="F12" s="312">
        <v>722477.59</v>
      </c>
      <c r="G12" s="455">
        <v>-1.1122190347494849</v>
      </c>
      <c r="H12" s="318">
        <f t="shared" si="0"/>
        <v>-803553.32777793403</v>
      </c>
      <c r="I12" s="312">
        <v>1250157</v>
      </c>
      <c r="J12" s="314">
        <v>-0.84507801822506989</v>
      </c>
      <c r="K12" s="318">
        <f t="shared" si="1"/>
        <v>-1056480.2000301988</v>
      </c>
      <c r="L12" s="456">
        <v>14728</v>
      </c>
      <c r="M12" s="457">
        <v>0</v>
      </c>
      <c r="N12" s="458">
        <f t="shared" si="2"/>
        <v>0</v>
      </c>
      <c r="O12" s="459">
        <f t="shared" si="3"/>
        <v>1987362.5899999999</v>
      </c>
      <c r="P12" s="322">
        <v>-0.94020879502573984</v>
      </c>
      <c r="Q12" s="323">
        <f t="shared" si="4"/>
        <v>-1860033.5278081328</v>
      </c>
      <c r="S12" s="6">
        <f t="shared" si="5"/>
        <v>0.36353587092529505</v>
      </c>
      <c r="T12" s="6">
        <f t="shared" si="6"/>
        <v>0.6290533022461694</v>
      </c>
      <c r="V12" s="1">
        <f>(V10/1)*$V$8</f>
        <v>6.7241379310344823E-2</v>
      </c>
      <c r="W12" s="1">
        <f>(W10/1)*$V$8</f>
        <v>3.1034482758620689E-2</v>
      </c>
      <c r="X12" s="1">
        <f>(X10/1)*$V$8</f>
        <v>5.1724137931034473E-3</v>
      </c>
    </row>
    <row r="13" spans="2:27" ht="18" x14ac:dyDescent="0.35">
      <c r="E13" s="311" t="s">
        <v>16</v>
      </c>
      <c r="F13" s="312">
        <v>845558.14900000009</v>
      </c>
      <c r="G13" s="455">
        <v>-1.2413323199155675</v>
      </c>
      <c r="H13" s="318">
        <f t="shared" si="0"/>
        <v>-1049618.6587216831</v>
      </c>
      <c r="I13" s="312">
        <v>934063</v>
      </c>
      <c r="J13" s="314">
        <v>-1.3486083820318435</v>
      </c>
      <c r="K13" s="318">
        <f t="shared" si="1"/>
        <v>-1259685.1911458098</v>
      </c>
      <c r="L13" s="456">
        <v>21910</v>
      </c>
      <c r="M13" s="457">
        <v>0</v>
      </c>
      <c r="N13" s="458">
        <f t="shared" si="2"/>
        <v>0</v>
      </c>
      <c r="O13" s="459">
        <f t="shared" si="3"/>
        <v>1801531.1490000002</v>
      </c>
      <c r="P13" s="322">
        <v>-1.2969536863073781</v>
      </c>
      <c r="Q13" s="323">
        <f t="shared" si="4"/>
        <v>-2309303.8498674929</v>
      </c>
      <c r="S13" s="6">
        <f t="shared" si="5"/>
        <v>0.4693552756328167</v>
      </c>
      <c r="T13" s="6">
        <f t="shared" si="6"/>
        <v>0.51848284750362639</v>
      </c>
    </row>
    <row r="14" spans="2:27" ht="18" x14ac:dyDescent="0.35">
      <c r="E14" s="311" t="s">
        <v>17</v>
      </c>
      <c r="F14" s="312">
        <v>751034</v>
      </c>
      <c r="G14" s="455">
        <v>-0.91</v>
      </c>
      <c r="H14" s="318">
        <f t="shared" si="0"/>
        <v>-683440.94000000006</v>
      </c>
      <c r="I14" s="312">
        <v>1171558</v>
      </c>
      <c r="J14" s="314">
        <v>-1.42</v>
      </c>
      <c r="K14" s="318">
        <f t="shared" si="1"/>
        <v>-1663612.3599999999</v>
      </c>
      <c r="L14" s="456">
        <v>14887</v>
      </c>
      <c r="M14" s="457">
        <v>0</v>
      </c>
      <c r="N14" s="458">
        <f t="shared" si="2"/>
        <v>0</v>
      </c>
      <c r="O14" s="459">
        <f t="shared" si="3"/>
        <v>1937479</v>
      </c>
      <c r="P14" s="322">
        <v>-1.23</v>
      </c>
      <c r="Q14" s="323">
        <f t="shared" si="4"/>
        <v>-2347053.2999999998</v>
      </c>
      <c r="R14" s="7">
        <f t="shared" ref="R14:R21" si="7">I14+L14</f>
        <v>1186445</v>
      </c>
      <c r="S14" s="6">
        <f t="shared" si="5"/>
        <v>0.38763465307236877</v>
      </c>
      <c r="T14" s="6">
        <f t="shared" si="6"/>
        <v>0.60468165074305325</v>
      </c>
    </row>
    <row r="15" spans="2:27" ht="18" x14ac:dyDescent="0.35">
      <c r="E15" s="311" t="s">
        <v>18</v>
      </c>
      <c r="F15" s="312">
        <v>874691.3743202202</v>
      </c>
      <c r="G15" s="455">
        <v>-1.8022146965665637</v>
      </c>
      <c r="H15" s="318">
        <f t="shared" si="0"/>
        <v>-1576381.6497599063</v>
      </c>
      <c r="I15" s="312">
        <v>1161537</v>
      </c>
      <c r="J15" s="314">
        <v>-0.60482458180166487</v>
      </c>
      <c r="K15" s="318">
        <f t="shared" si="1"/>
        <v>-702526.1302721604</v>
      </c>
      <c r="L15" s="456">
        <v>7031.1279999999997</v>
      </c>
      <c r="M15" s="457">
        <v>0</v>
      </c>
      <c r="N15" s="458">
        <f t="shared" si="2"/>
        <v>0</v>
      </c>
      <c r="O15" s="459">
        <f t="shared" si="3"/>
        <v>2043259.5023202202</v>
      </c>
      <c r="P15" s="322">
        <v>-1.1174108564217076</v>
      </c>
      <c r="Q15" s="323">
        <f t="shared" si="4"/>
        <v>-2278907.7800320666</v>
      </c>
      <c r="R15" s="7">
        <f t="shared" si="7"/>
        <v>1168568.128</v>
      </c>
      <c r="S15" s="6">
        <f t="shared" si="5"/>
        <v>0.42808628729095144</v>
      </c>
      <c r="T15" s="6">
        <f t="shared" si="6"/>
        <v>0.56847257956271258</v>
      </c>
      <c r="V15" s="8">
        <f>(V10/0.95)*V8</f>
        <v>7.0780399274047182E-2</v>
      </c>
      <c r="W15" s="8">
        <f>(W10/0.95)*V8</f>
        <v>3.2667876588021776E-2</v>
      </c>
    </row>
    <row r="16" spans="2:27" ht="15.75" customHeight="1" x14ac:dyDescent="0.35">
      <c r="E16" s="311" t="s">
        <v>19</v>
      </c>
      <c r="F16" s="312">
        <v>1112142.2806507698</v>
      </c>
      <c r="G16" s="455">
        <v>-1.019791388669181</v>
      </c>
      <c r="H16" s="318">
        <f t="shared" si="0"/>
        <v>-1134153.1207825586</v>
      </c>
      <c r="I16" s="312">
        <v>938269</v>
      </c>
      <c r="J16" s="314">
        <v>-1.6057867790394227</v>
      </c>
      <c r="K16" s="318">
        <f t="shared" si="1"/>
        <v>-1506659.9553825401</v>
      </c>
      <c r="L16" s="456">
        <v>20308</v>
      </c>
      <c r="M16" s="457">
        <v>0</v>
      </c>
      <c r="N16" s="458">
        <f t="shared" si="2"/>
        <v>0</v>
      </c>
      <c r="O16" s="459">
        <f t="shared" si="3"/>
        <v>2070719.2806507698</v>
      </c>
      <c r="P16" s="322">
        <v>-1.2910603509488652</v>
      </c>
      <c r="Q16" s="323">
        <f t="shared" si="4"/>
        <v>-2640813.0761650987</v>
      </c>
      <c r="R16" s="7">
        <f t="shared" si="7"/>
        <v>958577</v>
      </c>
      <c r="S16" s="6">
        <f t="shared" si="5"/>
        <v>0.53708017839156563</v>
      </c>
      <c r="T16" s="6">
        <f t="shared" si="6"/>
        <v>0.45311260138802012</v>
      </c>
      <c r="AA16" s="2">
        <v>1742344</v>
      </c>
    </row>
    <row r="17" spans="5:27" ht="18" x14ac:dyDescent="0.35">
      <c r="E17" s="311" t="s">
        <v>20</v>
      </c>
      <c r="F17" s="312">
        <v>979553.0475637787</v>
      </c>
      <c r="G17" s="455">
        <v>-0.59617265019561738</v>
      </c>
      <c r="H17" s="318">
        <f t="shared" si="0"/>
        <v>-583982.73637329158</v>
      </c>
      <c r="I17" s="312">
        <v>1121741</v>
      </c>
      <c r="J17" s="314">
        <v>-0.68522889405368304</v>
      </c>
      <c r="K17" s="318">
        <f t="shared" si="1"/>
        <v>-768649.34484467248</v>
      </c>
      <c r="L17" s="456">
        <v>7805</v>
      </c>
      <c r="M17" s="457">
        <v>0</v>
      </c>
      <c r="N17" s="458">
        <f t="shared" si="2"/>
        <v>0</v>
      </c>
      <c r="O17" s="459">
        <f t="shared" si="3"/>
        <v>2109099.0475637787</v>
      </c>
      <c r="P17" s="322">
        <v>-0.64386748940444372</v>
      </c>
      <c r="Q17" s="323">
        <f t="shared" si="4"/>
        <v>-1352632.0812179642</v>
      </c>
      <c r="R17" s="7">
        <f t="shared" si="7"/>
        <v>1129546</v>
      </c>
      <c r="S17" s="6">
        <f t="shared" si="5"/>
        <v>0.46444146314288126</v>
      </c>
      <c r="T17" s="6">
        <f t="shared" si="6"/>
        <v>0.53185790458524151</v>
      </c>
      <c r="AA17" s="2">
        <f>O10+O11+AA16</f>
        <v>4771575.2549999999</v>
      </c>
    </row>
    <row r="18" spans="5:27" ht="18" x14ac:dyDescent="0.35">
      <c r="E18" s="311" t="s">
        <v>21</v>
      </c>
      <c r="F18" s="312">
        <v>1000387.2774858149</v>
      </c>
      <c r="G18" s="455">
        <v>-0.64839450712768087</v>
      </c>
      <c r="H18" s="318">
        <f t="shared" si="0"/>
        <v>-648645.61572221748</v>
      </c>
      <c r="I18" s="312">
        <v>950660</v>
      </c>
      <c r="J18" s="314">
        <v>-1.138331341819756</v>
      </c>
      <c r="K18" s="318">
        <f t="shared" si="1"/>
        <v>-1082166.0734143693</v>
      </c>
      <c r="L18" s="456">
        <v>0</v>
      </c>
      <c r="M18" s="457">
        <v>0</v>
      </c>
      <c r="N18" s="458">
        <f t="shared" si="2"/>
        <v>0</v>
      </c>
      <c r="O18" s="459">
        <f t="shared" si="3"/>
        <v>1951047.2774858149</v>
      </c>
      <c r="P18" s="322">
        <v>-0.88711929695879477</v>
      </c>
      <c r="Q18" s="323">
        <f t="shared" si="4"/>
        <v>-1730811.6891365866</v>
      </c>
      <c r="R18" s="1">
        <f t="shared" si="7"/>
        <v>950660</v>
      </c>
      <c r="S18" s="6">
        <f t="shared" si="5"/>
        <v>0.51274373974932452</v>
      </c>
      <c r="T18" s="6">
        <f t="shared" si="6"/>
        <v>0.48725626025067542</v>
      </c>
      <c r="AA18" s="2">
        <f>4500000-O10-O11</f>
        <v>1470768.7449999999</v>
      </c>
    </row>
    <row r="19" spans="5:27" ht="18" x14ac:dyDescent="0.35">
      <c r="E19" s="311" t="s">
        <v>22</v>
      </c>
      <c r="F19" s="312">
        <v>935548.53229994106</v>
      </c>
      <c r="G19" s="455">
        <v>-1.0590986712315891</v>
      </c>
      <c r="H19" s="318">
        <f t="shared" si="0"/>
        <v>-990838.20743153093</v>
      </c>
      <c r="I19" s="312">
        <v>1238499</v>
      </c>
      <c r="J19" s="314">
        <v>-0.46349624788350641</v>
      </c>
      <c r="K19" s="318">
        <f t="shared" si="1"/>
        <v>-574039.63950747484</v>
      </c>
      <c r="L19" s="456">
        <v>30009</v>
      </c>
      <c r="M19" s="457">
        <v>0</v>
      </c>
      <c r="N19" s="458">
        <f t="shared" si="2"/>
        <v>0</v>
      </c>
      <c r="O19" s="459">
        <f t="shared" si="3"/>
        <v>2204056.5322999409</v>
      </c>
      <c r="P19" s="322">
        <v>-0.71630966663131102</v>
      </c>
      <c r="Q19" s="323">
        <f t="shared" si="4"/>
        <v>-1564877.8469390059</v>
      </c>
      <c r="R19" s="1">
        <f t="shared" si="7"/>
        <v>1268508</v>
      </c>
      <c r="S19" s="6">
        <f t="shared" si="5"/>
        <v>0.4244666679777459</v>
      </c>
      <c r="T19" s="6">
        <f t="shared" si="6"/>
        <v>0.56191798252453251</v>
      </c>
      <c r="AA19" s="1">
        <v>1820000</v>
      </c>
    </row>
    <row r="20" spans="5:27" ht="18" x14ac:dyDescent="0.35">
      <c r="E20" s="460" t="s">
        <v>23</v>
      </c>
      <c r="F20" s="461">
        <v>955072.27193100413</v>
      </c>
      <c r="G20" s="464">
        <v>-0.84472889922506245</v>
      </c>
      <c r="H20" s="453">
        <f t="shared" si="0"/>
        <v>-806777.14894865663</v>
      </c>
      <c r="I20" s="461">
        <v>1138196</v>
      </c>
      <c r="J20" s="464">
        <v>-1.5187428606352016</v>
      </c>
      <c r="K20" s="453">
        <f t="shared" si="1"/>
        <v>-1728627.0490035438</v>
      </c>
      <c r="L20" s="461">
        <v>45007</v>
      </c>
      <c r="M20" s="465">
        <v>0</v>
      </c>
      <c r="N20" s="445">
        <f t="shared" si="2"/>
        <v>0</v>
      </c>
      <c r="O20" s="462">
        <f t="shared" si="3"/>
        <v>2138275.2719310042</v>
      </c>
      <c r="P20" s="463">
        <v>-1.2176908324402618</v>
      </c>
      <c r="Q20" s="454">
        <f t="shared" si="4"/>
        <v>-2535404.1979522007</v>
      </c>
      <c r="R20" s="1">
        <f t="shared" si="7"/>
        <v>1183203</v>
      </c>
      <c r="S20" s="6">
        <f t="shared" si="5"/>
        <v>0.44665543509209205</v>
      </c>
      <c r="T20" s="6">
        <f t="shared" si="6"/>
        <v>0.53229629269019862</v>
      </c>
      <c r="AA20" s="1">
        <f>AA19-30000</f>
        <v>1790000</v>
      </c>
    </row>
    <row r="21" spans="5:27" ht="20.85" customHeight="1" x14ac:dyDescent="0.35">
      <c r="E21" s="460" t="s">
        <v>24</v>
      </c>
      <c r="F21" s="461">
        <v>983000</v>
      </c>
      <c r="G21" s="464">
        <v>-1.2257690372473851</v>
      </c>
      <c r="H21" s="453">
        <f t="shared" si="0"/>
        <v>-1204930.9636141795</v>
      </c>
      <c r="I21" s="461">
        <v>1560210</v>
      </c>
      <c r="J21" s="464">
        <v>-1.2796592154939366</v>
      </c>
      <c r="K21" s="453">
        <f t="shared" si="1"/>
        <v>-1996537.1046057949</v>
      </c>
      <c r="L21" s="461">
        <v>90000</v>
      </c>
      <c r="M21" s="465">
        <v>0</v>
      </c>
      <c r="N21" s="445">
        <f t="shared" si="2"/>
        <v>0</v>
      </c>
      <c r="O21" s="462">
        <f t="shared" si="3"/>
        <v>2633210</v>
      </c>
      <c r="P21" s="463">
        <v>-1.2667587824879458</v>
      </c>
      <c r="Q21" s="454">
        <f t="shared" si="4"/>
        <v>-3201468.0682199746</v>
      </c>
      <c r="R21" s="1">
        <f t="shared" si="7"/>
        <v>1650210</v>
      </c>
      <c r="S21" s="6">
        <f t="shared" si="5"/>
        <v>0.37330862331526921</v>
      </c>
      <c r="T21" s="6">
        <f t="shared" si="6"/>
        <v>0.59251256071486891</v>
      </c>
    </row>
    <row r="22" spans="5:27" ht="6" customHeight="1" x14ac:dyDescent="0.35">
      <c r="E22" s="9"/>
      <c r="F22" s="10"/>
      <c r="G22" s="11"/>
      <c r="H22" s="12"/>
      <c r="I22" s="448"/>
      <c r="J22" s="11"/>
      <c r="K22" s="12"/>
      <c r="L22" s="14"/>
      <c r="M22" s="14"/>
      <c r="N22" s="15"/>
      <c r="O22" s="16"/>
      <c r="P22" s="17"/>
      <c r="Q22" s="18"/>
      <c r="R22" s="1">
        <v>-1</v>
      </c>
    </row>
    <row r="23" spans="5:27" ht="21" hidden="1" customHeight="1" x14ac:dyDescent="0.35">
      <c r="E23" s="199" t="s">
        <v>25</v>
      </c>
      <c r="F23" s="200">
        <f>SUM(F10:F12)</f>
        <v>2335344.1680000001</v>
      </c>
      <c r="G23" s="83">
        <f>SUMPRODUCT(F10:F12,G10:G12)/SUM(F10:F12)</f>
        <v>-1.1785051630884791</v>
      </c>
      <c r="H23" s="181">
        <f>SUM(H10:H12)</f>
        <v>-2752215.1595765688</v>
      </c>
      <c r="I23" s="200">
        <f>SUM(I10:I12)</f>
        <v>2646853</v>
      </c>
      <c r="J23" s="83">
        <f>SUMPRODUCT(I10:I12,J10:J12)/SUM(I10:I12)</f>
        <v>-1.4535013313584932</v>
      </c>
      <c r="K23" s="289">
        <f>SUM(K10:K12)</f>
        <v>-3847204.3594102222</v>
      </c>
      <c r="L23" s="80">
        <f>SUM(L10:L12)</f>
        <v>34396.676999999996</v>
      </c>
      <c r="M23" s="290">
        <f>SUMPRODUCT(L10:L12,M10:M12)/SUM(L10:L12)</f>
        <v>0</v>
      </c>
      <c r="N23" s="291">
        <f>SUM(N10:N12)</f>
        <v>0</v>
      </c>
      <c r="O23" s="200">
        <f>SUM(O10:O12)</f>
        <v>5016593.8449999997</v>
      </c>
      <c r="P23" s="29">
        <f>SUMPRODUCT(O10:O12,P10:P12)/SUM(O10:O12)</f>
        <v>-1.3250836649328954</v>
      </c>
      <c r="Q23" s="30">
        <f>SUM(Q10:Q12)</f>
        <v>-6599419.5189867904</v>
      </c>
    </row>
    <row r="24" spans="5:27" ht="18" hidden="1" x14ac:dyDescent="0.35">
      <c r="E24" s="199" t="s">
        <v>26</v>
      </c>
      <c r="F24" s="200">
        <f>SUM(F13:F15)</f>
        <v>2471283.5233202204</v>
      </c>
      <c r="G24" s="83">
        <f>SUMPRODUCT(F13:F15,G13:G15)/SUM(F13:F15)</f>
        <v>-1.3391588691674223</v>
      </c>
      <c r="H24" s="181">
        <f>SUM(H13:H15)</f>
        <v>-3309441.2484815894</v>
      </c>
      <c r="I24" s="180">
        <f>SUM(I13:I15)</f>
        <v>3267158</v>
      </c>
      <c r="J24" s="83">
        <f>SUMPRODUCT(I13:I15,J13:J15)/SUM(I13:I15)</f>
        <v>-1.109779105087042</v>
      </c>
      <c r="K24" s="289">
        <f>SUM(K13:K15)</f>
        <v>-3625823.68141797</v>
      </c>
      <c r="L24" s="292">
        <f>SUM(L13:L15)</f>
        <v>43828.127999999997</v>
      </c>
      <c r="M24" s="290">
        <f>SUMPRODUCT(L13:L15,M13:M15)/SUM(L13:L15)</f>
        <v>0</v>
      </c>
      <c r="N24" s="291">
        <f>SUM(N13:N15)</f>
        <v>0</v>
      </c>
      <c r="O24" s="200">
        <f>SUM(O13:O15)</f>
        <v>5782269.6513202209</v>
      </c>
      <c r="P24" s="29">
        <f>SUMPRODUCT(O13:O15,P13:P15)/SUM(O13:O15)</f>
        <v>-1.2110749597216828</v>
      </c>
      <c r="Q24" s="30">
        <f>SUM(Q13:Q15)</f>
        <v>-6935264.9298995594</v>
      </c>
      <c r="AA24" s="1">
        <f>0.61/1.1</f>
        <v>0.55454545454545445</v>
      </c>
    </row>
    <row r="25" spans="5:27" ht="18" x14ac:dyDescent="0.35">
      <c r="E25" s="19" t="s">
        <v>27</v>
      </c>
      <c r="F25" s="263">
        <f>SUM(F10:F15)</f>
        <v>4806627.69132022</v>
      </c>
      <c r="G25" s="20">
        <f>SUMPRODUCT(F10:F15,G10:G15)/SUM(F10:F15)</f>
        <v>-1.2611037919588117</v>
      </c>
      <c r="H25" s="293">
        <f>SUM(H10:H15)</f>
        <v>-6061656.4080581581</v>
      </c>
      <c r="I25" s="283">
        <f>SUM(I10:I15)</f>
        <v>5914011</v>
      </c>
      <c r="J25" s="20">
        <f>SUMPRODUCT(I10:I15,J10:J15)/SUM(I10:I15)</f>
        <v>-1.2636141598025759</v>
      </c>
      <c r="K25" s="22">
        <f>SUM(K10:K15)</f>
        <v>-7473028.0408281917</v>
      </c>
      <c r="L25" s="23">
        <f>SUM(L10:L15)</f>
        <v>78224.804999999993</v>
      </c>
      <c r="M25" s="294">
        <f>SUMPRODUCT(L10:L15,M10:M15)/SUM(L10:L15)</f>
        <v>0</v>
      </c>
      <c r="N25" s="295">
        <f>SUM(N10:N15)</f>
        <v>0</v>
      </c>
      <c r="O25" s="261">
        <f>SUM(O10:O15)</f>
        <v>10798863.49632022</v>
      </c>
      <c r="P25" s="20">
        <f>SUMPRODUCT(O10:O15,P10:P15)/SUM(O10:O15)</f>
        <v>-1.264037511663735</v>
      </c>
      <c r="Q25" s="22">
        <f>SUM(Q10:Q15)</f>
        <v>-13534684.448886352</v>
      </c>
    </row>
    <row r="26" spans="5:27" ht="18.75" customHeight="1" x14ac:dyDescent="0.35">
      <c r="E26" s="199" t="s">
        <v>28</v>
      </c>
      <c r="F26" s="200">
        <f>SUM(F16:F18)</f>
        <v>3092082.6057003634</v>
      </c>
      <c r="G26" s="83">
        <f>SUMPRODUCT(F16:F18,G16:G18)/SUM(F16:F18)</f>
        <v>-0.76543280846210981</v>
      </c>
      <c r="H26" s="181">
        <f>SUM(H16:H18)</f>
        <v>-2366781.4728780678</v>
      </c>
      <c r="I26" s="200">
        <f>SUM(I16:I18)</f>
        <v>3010670</v>
      </c>
      <c r="J26" s="83">
        <f>SUMPRODUCT(I16:I18,J16:J18)/SUM(I16:I18)</f>
        <v>-1.1151920913423199</v>
      </c>
      <c r="K26" s="181">
        <f>SUM(K16:K18)</f>
        <v>-3357475.3736415822</v>
      </c>
      <c r="L26" s="80">
        <f>SUM(L16:L18)</f>
        <v>28113</v>
      </c>
      <c r="M26" s="290">
        <f>SUMPRODUCT(L16:L18,M16:M18)/SUM(L16:L18)</f>
        <v>0</v>
      </c>
      <c r="N26" s="291">
        <f>SUM(N16:N18)</f>
        <v>0</v>
      </c>
      <c r="O26" s="200">
        <f>SUM(O16:O18)</f>
        <v>6130865.6057003634</v>
      </c>
      <c r="P26" s="29">
        <f>SUMPRODUCT(O16:O18,P16:P18)/SUM(O16:O18)</f>
        <v>-0.93986982093242177</v>
      </c>
      <c r="Q26" s="30">
        <f>SUM(Q16:Q18)</f>
        <v>-5724256.846519649</v>
      </c>
      <c r="AA26" s="1">
        <v>0.61</v>
      </c>
    </row>
    <row r="27" spans="5:27" ht="18.75" customHeight="1" x14ac:dyDescent="0.35">
      <c r="E27" s="199" t="s">
        <v>29</v>
      </c>
      <c r="F27" s="25">
        <f>SUM(F19:F21)</f>
        <v>2873620.8042309452</v>
      </c>
      <c r="G27" s="20">
        <f>SUMPRODUCT(F19:F21,G19:G21)/SUM(F19:F21)</f>
        <v>-1.0448651803931819</v>
      </c>
      <c r="H27" s="22">
        <f>SUM(H19:H21)</f>
        <v>-3002546.3199943667</v>
      </c>
      <c r="I27" s="283">
        <f>SUM(I19:I21)</f>
        <v>3936905</v>
      </c>
      <c r="J27" s="20">
        <f>SUMPRODUCT(I19:I21,J19:J21)/SUM(I19:I21)</f>
        <v>-1.09202629809884</v>
      </c>
      <c r="K27" s="22">
        <f>SUM(K19:K21)</f>
        <v>-4299203.7931168135</v>
      </c>
      <c r="L27" s="23">
        <f>SUM(L19:L21)</f>
        <v>165016</v>
      </c>
      <c r="M27" s="26">
        <f>SUMPRODUCT(L19:L21,M19:M21)/SUM(L19:L21)</f>
        <v>0</v>
      </c>
      <c r="N27" s="27">
        <f>SUM(N19:N21)</f>
        <v>0</v>
      </c>
      <c r="O27" s="28">
        <f>SUM(O19:O21)</f>
        <v>6975541.8042309452</v>
      </c>
      <c r="P27" s="29">
        <f>SUMPRODUCT(O19:O21,P19:P21)/SUM(O19:O21)</f>
        <v>-1.0777925644180684</v>
      </c>
      <c r="Q27" s="30">
        <f>SUM(Q19:Q21)</f>
        <v>-7301750.1131111812</v>
      </c>
      <c r="S27" s="1">
        <v>2000</v>
      </c>
      <c r="AA27" s="1">
        <v>1.1000000000000001</v>
      </c>
    </row>
    <row r="28" spans="5:27" ht="18.75" customHeight="1" x14ac:dyDescent="0.35">
      <c r="E28" s="24" t="s">
        <v>30</v>
      </c>
      <c r="F28" s="25">
        <f>SUM(F16:F21)</f>
        <v>5965703.4099313086</v>
      </c>
      <c r="G28" s="20">
        <f>SUMPRODUCT(F16:F21,G16:G21)/SUM(F16:F21)</f>
        <v>-0.90003264056572663</v>
      </c>
      <c r="H28" s="22">
        <f>SUM(H16:H21)</f>
        <v>-5369327.7928724354</v>
      </c>
      <c r="I28" s="283">
        <f>SUM(I16:I21)</f>
        <v>6947575</v>
      </c>
      <c r="J28" s="20">
        <f>SUMPRODUCT(I16:I21,J16:J21)/SUM(I16:I21)</f>
        <v>-1.1020649891161154</v>
      </c>
      <c r="K28" s="22">
        <f>SUM(K16:K21)</f>
        <v>-7656679.1667583957</v>
      </c>
      <c r="L28" s="25">
        <f>SUM(L16:L21)</f>
        <v>193129</v>
      </c>
      <c r="M28" s="26">
        <f>SUMPRODUCT(L16:L21,M16:M21)/SUM(L16:L21)</f>
        <v>0</v>
      </c>
      <c r="N28" s="27">
        <f>SUM(N16:N21)</f>
        <v>0</v>
      </c>
      <c r="O28" s="28">
        <f>SUM(O16:O21)</f>
        <v>13106407.409931308</v>
      </c>
      <c r="P28" s="29">
        <f>SUMPRODUCT(O16:O21,P16:P21)/SUM(O16:O21)</f>
        <v>-1.0132755859790152</v>
      </c>
      <c r="Q28" s="30">
        <f>SUM(Q16:Q21)</f>
        <v>-13026006.95963083</v>
      </c>
      <c r="S28" s="1">
        <v>29000000</v>
      </c>
    </row>
    <row r="29" spans="5:27" ht="6.75" customHeight="1" x14ac:dyDescent="0.3">
      <c r="G29" s="31"/>
      <c r="H29" s="32"/>
      <c r="I29" s="449"/>
      <c r="J29" s="31"/>
      <c r="K29" s="32"/>
      <c r="M29" s="34"/>
      <c r="N29" s="35"/>
      <c r="O29" s="36"/>
      <c r="P29" s="37"/>
      <c r="Q29" s="38"/>
      <c r="S29" s="39">
        <f>S27/S28</f>
        <v>6.8965517241379313E-5</v>
      </c>
    </row>
    <row r="30" spans="5:27" ht="18" hidden="1" x14ac:dyDescent="0.35">
      <c r="E30" s="40" t="s">
        <v>31</v>
      </c>
      <c r="F30" s="41">
        <f>SUM(F10:F16)</f>
        <v>5918769.9719709903</v>
      </c>
      <c r="G30" s="42">
        <f>SUMPRODUCT(F10:F16,G10:G16)/SUM(F10:F16)</f>
        <v>-1.2157609710999571</v>
      </c>
      <c r="H30" s="43">
        <f>SUM(H10:H16)</f>
        <v>-7195809.5288407169</v>
      </c>
      <c r="I30" s="450">
        <f>SUM(I10:I16)</f>
        <v>6852280</v>
      </c>
      <c r="J30" s="42">
        <f>SUMPRODUCT(I10:I16,J10:J16)/SUM(I10:I16)</f>
        <v>-1.3104671724171708</v>
      </c>
      <c r="K30" s="43">
        <f>SUM(K10:K16)</f>
        <v>-8979687.9962107316</v>
      </c>
      <c r="L30" s="41">
        <f>SUM(L10:L16)</f>
        <v>98532.804999999993</v>
      </c>
      <c r="M30" s="45">
        <f>SUMPRODUCT(L10:L16,M10:M16)/SUM(L10:L16)</f>
        <v>0</v>
      </c>
      <c r="N30" s="46">
        <f>SUM(N10:N16)</f>
        <v>0</v>
      </c>
      <c r="O30" s="41">
        <f>SUM(O10:O15)</f>
        <v>10798863.49632022</v>
      </c>
      <c r="P30" s="42">
        <f>SUMPRODUCT(O10:O16,P10:P16)/SUM(O10:O16)</f>
        <v>-1.2683854936686976</v>
      </c>
      <c r="Q30" s="43">
        <f>SUM(Q10:Q16)</f>
        <v>-16175497.52505145</v>
      </c>
    </row>
    <row r="31" spans="5:27" ht="18.75" customHeight="1" x14ac:dyDescent="0.35">
      <c r="E31" s="168" t="s">
        <v>32</v>
      </c>
      <c r="F31" s="169">
        <f>SUM(F10:F21)</f>
        <v>10772331.101251528</v>
      </c>
      <c r="G31" s="170">
        <f>SUMPRODUCT(F10:F21,G10:G21)/SUM(F10:F21)</f>
        <v>-1.0611430426235731</v>
      </c>
      <c r="H31" s="171">
        <f>SUM(H10:H21)</f>
        <v>-11430984.200930592</v>
      </c>
      <c r="I31" s="287">
        <f>SUM(I10:I21)</f>
        <v>12861586</v>
      </c>
      <c r="J31" s="170">
        <f>SUMPRODUCT(I10:I21,J10:J21)/SUM(I10:I21)</f>
        <v>-1.1763484851391257</v>
      </c>
      <c r="K31" s="171">
        <f>SUM(K10:K21)</f>
        <v>-15129707.207586586</v>
      </c>
      <c r="L31" s="169">
        <f>SUM(L10:L21)</f>
        <v>271353.80499999999</v>
      </c>
      <c r="M31" s="172">
        <f>SUMPRODUCT(L10:L21,M10:M21)/SUM(L10:L21)</f>
        <v>0</v>
      </c>
      <c r="N31" s="173">
        <f>SUM(N10:N21)</f>
        <v>0</v>
      </c>
      <c r="O31" s="169">
        <f>SUM(O10:O21)</f>
        <v>23905270.906251527</v>
      </c>
      <c r="P31" s="170">
        <f>SUMPRODUCT(O10:O21,P10:P21)/SUM(O10:O21)</f>
        <v>-1.1265536917224446</v>
      </c>
      <c r="Q31" s="171">
        <f>SUM(Q10:Q21)</f>
        <v>-26560691.408517182</v>
      </c>
    </row>
    <row r="32" spans="5:27" ht="18.75" customHeight="1" x14ac:dyDescent="0.35">
      <c r="E32" s="412" t="s">
        <v>33</v>
      </c>
      <c r="F32" s="413">
        <v>1000</v>
      </c>
      <c r="G32" s="442"/>
      <c r="H32" s="50"/>
      <c r="I32" s="451"/>
      <c r="J32" s="442"/>
      <c r="K32" s="48"/>
      <c r="L32" s="48"/>
      <c r="M32" s="52"/>
      <c r="N32" s="52"/>
      <c r="O32" s="48"/>
      <c r="P32" s="442"/>
      <c r="Q32" s="48"/>
      <c r="T32" s="53">
        <v>14163795.778999999</v>
      </c>
      <c r="U32" s="1">
        <v>0.59</v>
      </c>
    </row>
    <row r="33" spans="1:35" ht="18.75" customHeight="1" x14ac:dyDescent="0.35">
      <c r="E33" s="47"/>
      <c r="F33" s="48"/>
      <c r="H33" s="50"/>
      <c r="I33" s="451"/>
      <c r="J33" s="442">
        <f>SUMPRODUCT(I10:I19,J10:J19)/SUM(I10:I19)</f>
        <v>-1.1221431730990936</v>
      </c>
      <c r="K33" s="48" t="s">
        <v>34</v>
      </c>
      <c r="L33" s="48"/>
      <c r="M33" s="466">
        <f>O23/6719422</f>
        <v>0.7465811560875325</v>
      </c>
      <c r="N33" s="52"/>
      <c r="O33" s="48">
        <f>27000000-O31</f>
        <v>3094729.0937484726</v>
      </c>
      <c r="P33" s="442">
        <f>SUMPRODUCT(O10:O20,P10:P20)/SUM(O10:O20)</f>
        <v>-1.1091980885826414</v>
      </c>
      <c r="Q33" s="48">
        <v>-14985761.916771038</v>
      </c>
      <c r="T33" s="55">
        <v>15836204.221000001</v>
      </c>
      <c r="U33" s="1">
        <v>0.43</v>
      </c>
    </row>
    <row r="34" spans="1:35" ht="18.75" customHeight="1" x14ac:dyDescent="0.35">
      <c r="E34" s="47"/>
      <c r="F34" s="48"/>
      <c r="G34" s="467">
        <f>SUMPRODUCT(F10:F20,G10:G20)/SUM(F10:F20)</f>
        <v>-1.04461205076709</v>
      </c>
      <c r="H34" s="50"/>
      <c r="I34" s="451"/>
      <c r="J34" s="442">
        <f>SUMPRODUCT(I10:I20,J10:J20)/SUM(I10:I20)</f>
        <v>-1.1620859356401194</v>
      </c>
      <c r="K34" s="48"/>
      <c r="L34" s="48"/>
      <c r="M34" s="52"/>
      <c r="N34" s="52"/>
      <c r="O34" s="48">
        <f>O31-400000</f>
        <v>23505270.906251527</v>
      </c>
      <c r="P34" s="442"/>
      <c r="Q34" s="48">
        <f>12000000+29000000</f>
        <v>41000000</v>
      </c>
      <c r="S34" s="2">
        <f>Q34-Q33</f>
        <v>55985761.916771039</v>
      </c>
      <c r="U34" s="1">
        <f>SUMPRODUCT(T32:T33,U32:U33)/SUM(T32:T33)</f>
        <v>0.50554024415466658</v>
      </c>
      <c r="AI34" s="1" t="s">
        <v>34</v>
      </c>
    </row>
    <row r="35" spans="1:35" ht="18" x14ac:dyDescent="0.3">
      <c r="C35" s="1">
        <f>O33/70000</f>
        <v>44.210415624978182</v>
      </c>
      <c r="E35" s="57"/>
      <c r="F35" s="58">
        <f>SUM(F10:F17)</f>
        <v>6898323.0195347685</v>
      </c>
      <c r="G35" s="60">
        <f>SUMPRODUCT(F10:F17,G10:G17)/SUM(F10:F17)</f>
        <v>-1.1277802218282738</v>
      </c>
      <c r="H35" s="59">
        <f>SUM(H10:H17)</f>
        <v>-7779792.2652140083</v>
      </c>
      <c r="I35" s="446">
        <f>SUM(I10:I17)</f>
        <v>7974021</v>
      </c>
      <c r="J35" s="60">
        <f>SUMPRODUCT(I10:I17,J10:J17)/SUM(I10:I17)</f>
        <v>-1.2225121229371485</v>
      </c>
      <c r="K35" s="5">
        <f>SUM(K10:K17)</f>
        <v>-9748337.3410554044</v>
      </c>
      <c r="L35" s="5">
        <f>SUM(L10:L17)</f>
        <v>106337.80499999999</v>
      </c>
      <c r="M35" s="5">
        <f>SUMPRODUCT(L10:L17,M10:M17)/SUM(L10:L17)</f>
        <v>0</v>
      </c>
      <c r="N35" s="5">
        <f>SUM(N10:N17)</f>
        <v>0</v>
      </c>
      <c r="O35" s="2">
        <f>SUM(O10:O17)</f>
        <v>14978681.824534768</v>
      </c>
      <c r="P35" s="60">
        <f>SUMPRODUCT(O10:O17,P10:P17)/SUM(O10:O17)</f>
        <v>-1.1804491623272659</v>
      </c>
      <c r="Q35" s="8">
        <f>SUM(Q10:Q17)</f>
        <v>-17528129.606269415</v>
      </c>
    </row>
    <row r="36" spans="1:35" x14ac:dyDescent="0.3">
      <c r="A36" s="2"/>
      <c r="B36" s="2"/>
      <c r="K36" s="5"/>
      <c r="L36" s="5"/>
      <c r="M36" s="5"/>
      <c r="N36" s="5"/>
      <c r="O36" s="2"/>
    </row>
    <row r="37" spans="1:35" x14ac:dyDescent="0.3">
      <c r="C37" s="1">
        <f>177*2</f>
        <v>354</v>
      </c>
      <c r="F37" s="2">
        <f t="shared" ref="F37:F48" si="8">F10</f>
        <v>755824.28500000003</v>
      </c>
      <c r="G37" s="60">
        <f t="shared" ref="G37:G48" si="9">I10</f>
        <v>909711</v>
      </c>
      <c r="H37" s="2">
        <f t="shared" ref="H37:H48" si="10">L10</f>
        <v>12338</v>
      </c>
      <c r="I37" s="452">
        <f t="shared" ref="I37:I48" si="11">SUM(F37:H37)</f>
        <v>1677873.2850000001</v>
      </c>
      <c r="J37" s="60">
        <f t="shared" ref="J37:J48" si="12">G10</f>
        <v>-2.1013875672452453</v>
      </c>
      <c r="K37" s="61">
        <f t="shared" ref="K37:K48" si="13">J10</f>
        <v>-1.8616287339825517</v>
      </c>
      <c r="L37" s="61">
        <f t="shared" ref="L37:L48" si="14">M10</f>
        <v>0</v>
      </c>
      <c r="M37" s="5">
        <f t="shared" ref="M37:M48" si="15">SUMPRODUCT(F37:H37,J37:L37)/SUM(F37:H37)</f>
        <v>-1.9559426340952963</v>
      </c>
      <c r="N37" s="5"/>
      <c r="O37" s="5">
        <v>30000000</v>
      </c>
      <c r="Q37" s="1">
        <f t="shared" ref="Q37:Q48" si="16">SUMPRODUCT(F37:G37,J37:K37)/I37</f>
        <v>-1.9559426340952963</v>
      </c>
    </row>
    <row r="38" spans="1:35" x14ac:dyDescent="0.3">
      <c r="A38" s="53"/>
      <c r="B38" s="53"/>
      <c r="E38" s="2"/>
      <c r="F38" s="2">
        <f t="shared" si="8"/>
        <v>857042.29299999995</v>
      </c>
      <c r="G38" s="60">
        <f t="shared" si="9"/>
        <v>486985</v>
      </c>
      <c r="H38" s="2">
        <f t="shared" si="10"/>
        <v>7330.6769999999997</v>
      </c>
      <c r="I38" s="452">
        <f t="shared" si="11"/>
        <v>1351357.97</v>
      </c>
      <c r="J38" s="60">
        <f t="shared" si="12"/>
        <v>-0.42049509017358089</v>
      </c>
      <c r="K38" s="61">
        <f t="shared" si="13"/>
        <v>-2.2530057849010179</v>
      </c>
      <c r="L38" s="61">
        <f t="shared" si="14"/>
        <v>0</v>
      </c>
      <c r="M38" s="5">
        <f t="shared" si="15"/>
        <v>-1.0785906701224619</v>
      </c>
      <c r="N38" s="5"/>
      <c r="O38" s="5">
        <f>O37-O31</f>
        <v>6094729.0937484726</v>
      </c>
      <c r="Q38" s="1">
        <f t="shared" si="16"/>
        <v>-1.0785906701224619</v>
      </c>
    </row>
    <row r="39" spans="1:35" x14ac:dyDescent="0.3">
      <c r="F39" s="2">
        <f t="shared" si="8"/>
        <v>722477.59</v>
      </c>
      <c r="G39" s="60">
        <f t="shared" si="9"/>
        <v>1250157</v>
      </c>
      <c r="H39" s="2">
        <f t="shared" si="10"/>
        <v>14728</v>
      </c>
      <c r="I39" s="452">
        <f t="shared" si="11"/>
        <v>1987362.5899999999</v>
      </c>
      <c r="J39" s="60">
        <f t="shared" si="12"/>
        <v>-1.1122190347494849</v>
      </c>
      <c r="K39" s="61">
        <f t="shared" si="13"/>
        <v>-0.84507801822506989</v>
      </c>
      <c r="L39" s="61">
        <f t="shared" si="14"/>
        <v>0</v>
      </c>
      <c r="M39" s="5">
        <f t="shared" si="15"/>
        <v>-0.93593063347747374</v>
      </c>
      <c r="N39" s="5"/>
      <c r="O39" s="5"/>
      <c r="Q39" s="1">
        <f t="shared" si="16"/>
        <v>-0.93593063347747374</v>
      </c>
    </row>
    <row r="40" spans="1:35" x14ac:dyDescent="0.3">
      <c r="C40" s="1">
        <f>498.63/938500</f>
        <v>5.3130527437400109E-4</v>
      </c>
      <c r="F40" s="2">
        <f t="shared" si="8"/>
        <v>845558.14900000009</v>
      </c>
      <c r="G40" s="60">
        <f t="shared" si="9"/>
        <v>934063</v>
      </c>
      <c r="H40" s="2">
        <f t="shared" si="10"/>
        <v>21910</v>
      </c>
      <c r="I40" s="452">
        <f t="shared" si="11"/>
        <v>1801531.1490000002</v>
      </c>
      <c r="J40" s="60">
        <f t="shared" si="12"/>
        <v>-1.2413323199155675</v>
      </c>
      <c r="K40" s="61">
        <f t="shared" si="13"/>
        <v>-1.3486083820318435</v>
      </c>
      <c r="L40" s="61">
        <f t="shared" si="14"/>
        <v>0</v>
      </c>
      <c r="M40" s="5">
        <f t="shared" si="15"/>
        <v>-1.2818561872490235</v>
      </c>
      <c r="N40" s="5"/>
      <c r="O40" s="5">
        <f>O31-65000-80000</f>
        <v>23760270.906251527</v>
      </c>
      <c r="Q40" s="1">
        <f t="shared" si="16"/>
        <v>-1.2818561872490235</v>
      </c>
      <c r="R40" s="1">
        <v>29116933.085999999</v>
      </c>
    </row>
    <row r="41" spans="1:35" x14ac:dyDescent="0.3">
      <c r="F41" s="2">
        <f t="shared" si="8"/>
        <v>751034</v>
      </c>
      <c r="G41" s="60">
        <f t="shared" si="9"/>
        <v>1171558</v>
      </c>
      <c r="H41" s="2">
        <f t="shared" si="10"/>
        <v>14887</v>
      </c>
      <c r="I41" s="452">
        <f t="shared" si="11"/>
        <v>1937479</v>
      </c>
      <c r="J41" s="60">
        <f t="shared" si="12"/>
        <v>-0.91</v>
      </c>
      <c r="K41" s="61">
        <f t="shared" si="13"/>
        <v>-1.42</v>
      </c>
      <c r="L41" s="61">
        <f t="shared" si="14"/>
        <v>0</v>
      </c>
      <c r="M41" s="5">
        <f t="shared" si="15"/>
        <v>-1.211395478350991</v>
      </c>
      <c r="N41" s="5"/>
      <c r="O41" s="5"/>
      <c r="P41" s="60">
        <f>O31*P31</f>
        <v>-26930571.191062808</v>
      </c>
      <c r="Q41" s="1">
        <f t="shared" si="16"/>
        <v>-1.211395478350991</v>
      </c>
    </row>
    <row r="42" spans="1:35" x14ac:dyDescent="0.3">
      <c r="F42" s="2">
        <f t="shared" si="8"/>
        <v>874691.3743202202</v>
      </c>
      <c r="G42" s="60">
        <f t="shared" si="9"/>
        <v>1161537</v>
      </c>
      <c r="H42" s="2">
        <f t="shared" si="10"/>
        <v>7031.1279999999997</v>
      </c>
      <c r="I42" s="452">
        <f t="shared" si="11"/>
        <v>2043259.5023202202</v>
      </c>
      <c r="J42" s="60">
        <f t="shared" si="12"/>
        <v>-1.8022146965665637</v>
      </c>
      <c r="K42" s="61">
        <f t="shared" si="13"/>
        <v>-0.60482458180166487</v>
      </c>
      <c r="L42" s="61">
        <f t="shared" si="14"/>
        <v>0</v>
      </c>
      <c r="M42" s="5">
        <f t="shared" si="15"/>
        <v>-1.1153295885541001</v>
      </c>
      <c r="N42" s="5"/>
      <c r="O42" s="5"/>
      <c r="Q42" s="1">
        <f t="shared" si="16"/>
        <v>-1.1153295885541001</v>
      </c>
    </row>
    <row r="43" spans="1:35" x14ac:dyDescent="0.3">
      <c r="F43" s="2">
        <f t="shared" si="8"/>
        <v>1112142.2806507698</v>
      </c>
      <c r="G43" s="60">
        <f t="shared" si="9"/>
        <v>938269</v>
      </c>
      <c r="H43" s="2">
        <f t="shared" si="10"/>
        <v>20308</v>
      </c>
      <c r="I43" s="452">
        <f t="shared" si="11"/>
        <v>2070719.2806507698</v>
      </c>
      <c r="J43" s="60">
        <f t="shared" si="12"/>
        <v>-1.019791388669181</v>
      </c>
      <c r="K43" s="61">
        <f t="shared" si="13"/>
        <v>-1.6057867790394227</v>
      </c>
      <c r="L43" s="61">
        <f t="shared" si="14"/>
        <v>0</v>
      </c>
      <c r="M43" s="5">
        <f t="shared" si="15"/>
        <v>-1.2753119656736689</v>
      </c>
      <c r="N43" s="5"/>
      <c r="O43" s="8">
        <f>(F20+F21)/2</f>
        <v>969036.13596550212</v>
      </c>
      <c r="Q43" s="1">
        <f t="shared" si="16"/>
        <v>-1.2753119656736689</v>
      </c>
    </row>
    <row r="44" spans="1:35" x14ac:dyDescent="0.3">
      <c r="F44" s="2">
        <f t="shared" si="8"/>
        <v>979553.0475637787</v>
      </c>
      <c r="G44" s="60">
        <f t="shared" si="9"/>
        <v>1121741</v>
      </c>
      <c r="H44" s="2">
        <f t="shared" si="10"/>
        <v>7805</v>
      </c>
      <c r="I44" s="452">
        <f t="shared" si="11"/>
        <v>2109099.0475637787</v>
      </c>
      <c r="J44" s="60">
        <f t="shared" si="12"/>
        <v>-0.59617265019561738</v>
      </c>
      <c r="K44" s="61">
        <f t="shared" si="13"/>
        <v>-0.68522889405368304</v>
      </c>
      <c r="L44" s="61">
        <f t="shared" si="14"/>
        <v>0</v>
      </c>
      <c r="M44" s="5">
        <f t="shared" si="15"/>
        <v>-0.64133170169527609</v>
      </c>
      <c r="N44" s="5"/>
      <c r="O44" s="5"/>
      <c r="Q44" s="1">
        <f t="shared" si="16"/>
        <v>-0.64133170169527609</v>
      </c>
    </row>
    <row r="45" spans="1:35" x14ac:dyDescent="0.3">
      <c r="F45" s="2">
        <f t="shared" si="8"/>
        <v>1000387.2774858149</v>
      </c>
      <c r="G45" s="60">
        <f t="shared" si="9"/>
        <v>950660</v>
      </c>
      <c r="H45" s="2">
        <f t="shared" si="10"/>
        <v>0</v>
      </c>
      <c r="I45" s="452">
        <f t="shared" si="11"/>
        <v>1951047.2774858149</v>
      </c>
      <c r="J45" s="60">
        <f t="shared" si="12"/>
        <v>-0.64839450712768087</v>
      </c>
      <c r="K45" s="61">
        <f t="shared" si="13"/>
        <v>-1.138331341819756</v>
      </c>
      <c r="L45" s="61">
        <f t="shared" si="14"/>
        <v>0</v>
      </c>
      <c r="M45" s="5">
        <f t="shared" si="15"/>
        <v>-0.88711929695879477</v>
      </c>
      <c r="N45" s="5"/>
      <c r="O45" s="5"/>
      <c r="Q45" s="1">
        <f t="shared" si="16"/>
        <v>-0.88711929695879477</v>
      </c>
      <c r="R45" s="2"/>
      <c r="S45" s="2"/>
    </row>
    <row r="46" spans="1:35" x14ac:dyDescent="0.3">
      <c r="F46" s="2">
        <f t="shared" si="8"/>
        <v>935548.53229994106</v>
      </c>
      <c r="G46" s="60">
        <f t="shared" si="9"/>
        <v>1238499</v>
      </c>
      <c r="H46" s="2">
        <f t="shared" si="10"/>
        <v>30009</v>
      </c>
      <c r="I46" s="452">
        <f t="shared" si="11"/>
        <v>2204056.5322999409</v>
      </c>
      <c r="J46" s="60">
        <f t="shared" si="12"/>
        <v>-1.0590986712315891</v>
      </c>
      <c r="K46" s="61">
        <f t="shared" si="13"/>
        <v>-0.46349624788350641</v>
      </c>
      <c r="L46" s="61">
        <f t="shared" si="14"/>
        <v>0</v>
      </c>
      <c r="M46" s="5">
        <f t="shared" si="15"/>
        <v>-0.70999896055572143</v>
      </c>
      <c r="N46" s="5"/>
      <c r="O46" s="5"/>
      <c r="Q46" s="1">
        <f t="shared" si="16"/>
        <v>-0.70999896055572143</v>
      </c>
    </row>
    <row r="47" spans="1:35" x14ac:dyDescent="0.3">
      <c r="F47" s="2">
        <f t="shared" si="8"/>
        <v>955072.27193100413</v>
      </c>
      <c r="G47" s="60">
        <f t="shared" si="9"/>
        <v>1138196</v>
      </c>
      <c r="H47" s="2">
        <f t="shared" si="10"/>
        <v>45007</v>
      </c>
      <c r="I47" s="452">
        <f t="shared" si="11"/>
        <v>2138275.2719310042</v>
      </c>
      <c r="J47" s="60">
        <f t="shared" si="12"/>
        <v>-0.84472889922506245</v>
      </c>
      <c r="K47" s="61">
        <f t="shared" si="13"/>
        <v>-1.5187428606352016</v>
      </c>
      <c r="L47" s="61">
        <f t="shared" si="14"/>
        <v>0</v>
      </c>
      <c r="M47" s="5">
        <f t="shared" si="15"/>
        <v>-1.1857239482840591</v>
      </c>
      <c r="N47" s="5"/>
      <c r="O47" s="5"/>
      <c r="Q47" s="1">
        <f t="shared" si="16"/>
        <v>-1.1857239482840591</v>
      </c>
    </row>
    <row r="48" spans="1:35" x14ac:dyDescent="0.3">
      <c r="F48" s="2">
        <f t="shared" si="8"/>
        <v>983000</v>
      </c>
      <c r="G48" s="60">
        <f t="shared" si="9"/>
        <v>1560210</v>
      </c>
      <c r="H48" s="2">
        <f t="shared" si="10"/>
        <v>90000</v>
      </c>
      <c r="I48" s="452">
        <f t="shared" si="11"/>
        <v>2633210</v>
      </c>
      <c r="J48" s="60">
        <f t="shared" si="12"/>
        <v>-1.2257690372473851</v>
      </c>
      <c r="K48" s="61">
        <f t="shared" si="13"/>
        <v>-1.2796592154939366</v>
      </c>
      <c r="L48" s="61">
        <f t="shared" si="14"/>
        <v>0</v>
      </c>
      <c r="M48" s="5">
        <f t="shared" si="15"/>
        <v>-1.2158043104119971</v>
      </c>
      <c r="N48" s="5"/>
      <c r="O48" s="5"/>
      <c r="Q48" s="1">
        <f t="shared" si="16"/>
        <v>-1.2158043104119971</v>
      </c>
    </row>
    <row r="50" spans="8:15" x14ac:dyDescent="0.3">
      <c r="H50" s="1">
        <f>SUM(H37:H49)</f>
        <v>271353.80499999999</v>
      </c>
      <c r="O50" s="1">
        <f>SUMPRODUCT(I37:I42,Q37:Q42)/SUM(I37:I42)</f>
        <v>-1.2533434146564015</v>
      </c>
    </row>
    <row r="51" spans="8:15" x14ac:dyDescent="0.3">
      <c r="O51" s="1">
        <f>SUMPRODUCT(I37:I46,Q37:Q46)/SUM(I37:I46)</f>
        <v>-1.0883271894189641</v>
      </c>
    </row>
    <row r="74" spans="17:17" x14ac:dyDescent="0.3">
      <c r="Q74" s="1">
        <v>0.82565812076498268</v>
      </c>
    </row>
    <row r="75" spans="17:17" x14ac:dyDescent="0.3">
      <c r="Q75" s="1">
        <v>0.39171475159489683</v>
      </c>
    </row>
    <row r="76" spans="17:17" x14ac:dyDescent="0.3">
      <c r="Q76" s="1">
        <v>0.33133509304428244</v>
      </c>
    </row>
    <row r="77" spans="17:17" x14ac:dyDescent="0.3">
      <c r="Q77" s="1">
        <v>0.4</v>
      </c>
    </row>
    <row r="78" spans="17:17" x14ac:dyDescent="0.3">
      <c r="Q78" s="1">
        <f>AVERAGE(Q74:Q77)</f>
        <v>0.48717699135104053</v>
      </c>
    </row>
    <row r="167" spans="5:27" x14ac:dyDescent="0.3">
      <c r="E167" s="62"/>
    </row>
    <row r="172" spans="5:27" x14ac:dyDescent="0.3">
      <c r="R172" s="423" t="s">
        <v>15</v>
      </c>
      <c r="S172" s="423" t="s">
        <v>16</v>
      </c>
      <c r="T172" s="423" t="s">
        <v>17</v>
      </c>
      <c r="U172" s="423" t="s">
        <v>18</v>
      </c>
      <c r="V172" s="423" t="s">
        <v>19</v>
      </c>
      <c r="W172" s="423" t="s">
        <v>20</v>
      </c>
      <c r="X172" s="423" t="s">
        <v>21</v>
      </c>
      <c r="Y172" s="423" t="s">
        <v>22</v>
      </c>
      <c r="Z172" s="423" t="s">
        <v>23</v>
      </c>
      <c r="AA172" s="423" t="s">
        <v>24</v>
      </c>
    </row>
    <row r="173" spans="5:27" x14ac:dyDescent="0.3">
      <c r="R173" s="63">
        <v>2461</v>
      </c>
      <c r="S173" s="63">
        <v>2507</v>
      </c>
      <c r="T173" s="63">
        <v>2464</v>
      </c>
      <c r="U173" s="63">
        <v>2615</v>
      </c>
      <c r="V173" s="63">
        <v>2421</v>
      </c>
      <c r="W173" s="63">
        <v>2877</v>
      </c>
      <c r="X173" s="63">
        <v>2579</v>
      </c>
      <c r="Y173" s="63">
        <v>2313</v>
      </c>
      <c r="Z173" s="63">
        <v>2628.2752320354252</v>
      </c>
      <c r="AA173" s="63">
        <v>2476.2011236298968</v>
      </c>
    </row>
    <row r="183" spans="26:27" x14ac:dyDescent="0.3">
      <c r="Z183" s="1">
        <v>12279</v>
      </c>
    </row>
    <row r="186" spans="26:27" x14ac:dyDescent="0.3">
      <c r="Z186" s="1">
        <v>12272.83836516472</v>
      </c>
      <c r="AA186" s="1">
        <v>759138.08299999998</v>
      </c>
    </row>
    <row r="187" spans="26:27" x14ac:dyDescent="0.3">
      <c r="Z187" s="1">
        <v>12279</v>
      </c>
      <c r="AA187" s="1">
        <v>1895796</v>
      </c>
    </row>
    <row r="189" spans="26:27" x14ac:dyDescent="0.3">
      <c r="AA189" s="8">
        <f>SUMPRODUCT(Z186:Z187,AA186:AA187)/SUM(AA186:AA187)</f>
        <v>12277.238174089913</v>
      </c>
    </row>
    <row r="193" spans="18:27" x14ac:dyDescent="0.3">
      <c r="R193" s="423" t="s">
        <v>15</v>
      </c>
      <c r="S193" s="423" t="s">
        <v>16</v>
      </c>
      <c r="T193" s="423" t="s">
        <v>17</v>
      </c>
      <c r="U193" s="423" t="s">
        <v>18</v>
      </c>
      <c r="V193" s="423" t="s">
        <v>19</v>
      </c>
      <c r="W193" s="423" t="s">
        <v>20</v>
      </c>
      <c r="X193" s="423" t="s">
        <v>21</v>
      </c>
      <c r="Y193" s="423" t="s">
        <v>22</v>
      </c>
      <c r="Z193" s="423" t="s">
        <v>23</v>
      </c>
      <c r="AA193" s="423" t="s">
        <v>24</v>
      </c>
    </row>
    <row r="194" spans="18:27" x14ac:dyDescent="0.3">
      <c r="R194" s="63">
        <v>15401</v>
      </c>
      <c r="S194" s="63">
        <v>15984</v>
      </c>
      <c r="T194" s="63">
        <v>15615</v>
      </c>
      <c r="U194" s="63">
        <v>15489</v>
      </c>
      <c r="V194" s="63">
        <v>15789</v>
      </c>
      <c r="W194" s="63">
        <v>15291</v>
      </c>
      <c r="X194" s="63">
        <v>16742</v>
      </c>
      <c r="Y194" s="63">
        <v>16099</v>
      </c>
      <c r="Z194" s="63">
        <v>19190.767950603542</v>
      </c>
      <c r="AA194" s="63">
        <v>17094.711547981136</v>
      </c>
    </row>
    <row r="215" spans="18:27" x14ac:dyDescent="0.3">
      <c r="R215" s="423" t="s">
        <v>15</v>
      </c>
      <c r="S215" s="423" t="s">
        <v>16</v>
      </c>
      <c r="T215" s="423" t="s">
        <v>17</v>
      </c>
      <c r="U215" s="423" t="s">
        <v>18</v>
      </c>
      <c r="V215" s="423" t="s">
        <v>19</v>
      </c>
      <c r="W215" s="423" t="s">
        <v>20</v>
      </c>
      <c r="X215" s="423" t="s">
        <v>21</v>
      </c>
      <c r="Y215" s="423" t="s">
        <v>22</v>
      </c>
      <c r="Z215" s="423" t="s">
        <v>23</v>
      </c>
      <c r="AA215" s="423" t="s">
        <v>24</v>
      </c>
    </row>
    <row r="216" spans="18:27" x14ac:dyDescent="0.3">
      <c r="R216" s="63">
        <v>15401</v>
      </c>
      <c r="S216" s="63">
        <v>15984</v>
      </c>
      <c r="T216" s="63">
        <v>15615</v>
      </c>
      <c r="U216" s="63">
        <v>15489</v>
      </c>
      <c r="V216" s="63">
        <v>15789</v>
      </c>
      <c r="W216" s="63">
        <v>15291</v>
      </c>
      <c r="X216" s="63">
        <v>16742</v>
      </c>
      <c r="Y216" s="63">
        <v>16099</v>
      </c>
      <c r="Z216" s="63">
        <v>19190.767950603542</v>
      </c>
      <c r="AA216" s="63">
        <v>17094.711547981136</v>
      </c>
    </row>
  </sheetData>
  <mergeCells count="6">
    <mergeCell ref="R8:R9"/>
    <mergeCell ref="E8:E9"/>
    <mergeCell ref="F8:H8"/>
    <mergeCell ref="I8:K8"/>
    <mergeCell ref="L8:N8"/>
    <mergeCell ref="O8:Q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E15A8-E768-451D-97AA-3233B3AAAE99}">
  <sheetPr>
    <tabColor rgb="FF00B050"/>
  </sheetPr>
  <dimension ref="A2:AI214"/>
  <sheetViews>
    <sheetView topLeftCell="D5" zoomScale="93" zoomScaleNormal="70" workbookViewId="0">
      <selection activeCell="G33" sqref="G33"/>
    </sheetView>
  </sheetViews>
  <sheetFormatPr defaultColWidth="9.44140625" defaultRowHeight="14.4" x14ac:dyDescent="0.3"/>
  <cols>
    <col min="1" max="1" width="2.44140625" style="1" hidden="1" customWidth="1"/>
    <col min="2" max="2" width="25.44140625" style="1" hidden="1" customWidth="1"/>
    <col min="3" max="3" width="0" style="1" hidden="1" customWidth="1"/>
    <col min="4" max="4" width="9.44140625" style="1"/>
    <col min="5" max="5" width="21.44140625" style="1" customWidth="1"/>
    <col min="6" max="6" width="15.5546875" style="1" customWidth="1"/>
    <col min="7" max="7" width="13.44140625" style="60" customWidth="1"/>
    <col min="8" max="8" width="17.5546875" style="1" customWidth="1"/>
    <col min="9" max="9" width="14.44140625" style="446" customWidth="1"/>
    <col min="10" max="10" width="13.5546875" style="60" customWidth="1"/>
    <col min="11" max="11" width="15.44140625" style="1" customWidth="1"/>
    <col min="12" max="12" width="13" style="1" customWidth="1"/>
    <col min="13" max="13" width="13.5546875" style="1" customWidth="1"/>
    <col min="14" max="14" width="12" style="1" customWidth="1"/>
    <col min="15" max="15" width="15.5546875" style="1" customWidth="1"/>
    <col min="16" max="16" width="14.44140625" style="60" customWidth="1"/>
    <col min="17" max="17" width="15.5546875" style="1" customWidth="1"/>
    <col min="18" max="18" width="9.44140625" style="1" hidden="1" customWidth="1"/>
    <col min="19" max="19" width="12" style="1" customWidth="1"/>
    <col min="20" max="20" width="13.44140625" style="1" customWidth="1"/>
    <col min="21" max="25" width="9.44140625" style="1" customWidth="1"/>
    <col min="26" max="26" width="9.44140625" style="1"/>
    <col min="27" max="27" width="13.44140625" style="1" bestFit="1" customWidth="1"/>
    <col min="28" max="16384" width="9.44140625" style="1"/>
  </cols>
  <sheetData>
    <row r="2" spans="2:27" x14ac:dyDescent="0.3">
      <c r="M2" s="2"/>
    </row>
    <row r="3" spans="2:27" x14ac:dyDescent="0.3">
      <c r="B3" s="132" t="s">
        <v>0</v>
      </c>
      <c r="C3" s="444"/>
      <c r="D3" s="444"/>
    </row>
    <row r="4" spans="2:27" x14ac:dyDescent="0.3">
      <c r="B4" s="3" t="s">
        <v>1</v>
      </c>
    </row>
    <row r="5" spans="2:27" x14ac:dyDescent="0.3">
      <c r="B5" s="4" t="s">
        <v>2</v>
      </c>
      <c r="H5" s="5"/>
      <c r="K5" s="5"/>
    </row>
    <row r="6" spans="2:27" x14ac:dyDescent="0.3">
      <c r="B6" s="148"/>
      <c r="K6" s="2"/>
      <c r="L6" s="2"/>
      <c r="N6" s="2"/>
    </row>
    <row r="7" spans="2:27" x14ac:dyDescent="0.3">
      <c r="K7" s="2"/>
      <c r="L7" s="2"/>
      <c r="O7" s="2"/>
    </row>
    <row r="8" spans="2:27" ht="18" x14ac:dyDescent="0.3">
      <c r="E8" s="612" t="s">
        <v>3</v>
      </c>
      <c r="F8" s="614" t="s">
        <v>4</v>
      </c>
      <c r="G8" s="614"/>
      <c r="H8" s="614"/>
      <c r="I8" s="614" t="s">
        <v>5</v>
      </c>
      <c r="J8" s="614"/>
      <c r="K8" s="614"/>
      <c r="L8" s="615" t="s">
        <v>6</v>
      </c>
      <c r="M8" s="616"/>
      <c r="N8" s="616"/>
      <c r="O8" s="614" t="s">
        <v>7</v>
      </c>
      <c r="P8" s="614"/>
      <c r="Q8" s="614"/>
      <c r="R8" s="618" t="s">
        <v>8</v>
      </c>
    </row>
    <row r="9" spans="2:27" ht="18" x14ac:dyDescent="0.35">
      <c r="E9" s="613"/>
      <c r="F9" s="421" t="s">
        <v>9</v>
      </c>
      <c r="G9" s="441" t="s">
        <v>10</v>
      </c>
      <c r="H9" s="149" t="s">
        <v>11</v>
      </c>
      <c r="I9" s="421" t="s">
        <v>9</v>
      </c>
      <c r="J9" s="441" t="s">
        <v>12</v>
      </c>
      <c r="K9" s="421" t="s">
        <v>11</v>
      </c>
      <c r="L9" s="421" t="s">
        <v>9</v>
      </c>
      <c r="M9" s="421" t="s">
        <v>10</v>
      </c>
      <c r="N9" s="422" t="s">
        <v>11</v>
      </c>
      <c r="O9" s="421" t="s">
        <v>9</v>
      </c>
      <c r="P9" s="441" t="s">
        <v>10</v>
      </c>
      <c r="Q9" s="150" t="s">
        <v>11</v>
      </c>
      <c r="R9" s="619"/>
    </row>
    <row r="10" spans="2:27" ht="18" x14ac:dyDescent="0.35">
      <c r="E10" s="545" t="s">
        <v>13</v>
      </c>
      <c r="F10" s="546">
        <v>1049005.01</v>
      </c>
      <c r="G10" s="547">
        <v>-0.56999999999999995</v>
      </c>
      <c r="H10" s="238">
        <f t="shared" ref="H10:H19" si="0">F10*G10</f>
        <v>-597932.85569999996</v>
      </c>
      <c r="I10" s="546">
        <v>1092734.9080000001</v>
      </c>
      <c r="J10" s="496">
        <v>-0.19</v>
      </c>
      <c r="K10" s="238">
        <f>I10*J10</f>
        <v>-207619.63252000001</v>
      </c>
      <c r="L10" s="548">
        <v>42522</v>
      </c>
      <c r="M10" s="239">
        <v>0</v>
      </c>
      <c r="N10" s="549">
        <f t="shared" ref="N10:N14" si="1">L10*M10</f>
        <v>0</v>
      </c>
      <c r="O10" s="550">
        <f>F10+I10+L10</f>
        <v>2184261.9180000001</v>
      </c>
      <c r="P10" s="242">
        <v>-0.37</v>
      </c>
      <c r="Q10" s="243">
        <f>H10+K10+N10</f>
        <v>-805552.48821999994</v>
      </c>
      <c r="S10" s="6"/>
      <c r="T10" s="6"/>
    </row>
    <row r="11" spans="2:27" ht="18" x14ac:dyDescent="0.35">
      <c r="E11" s="545" t="s">
        <v>14</v>
      </c>
      <c r="F11" s="546">
        <v>865634</v>
      </c>
      <c r="G11" s="547">
        <v>-0.37</v>
      </c>
      <c r="H11" s="238">
        <f>F11*G11</f>
        <v>-320284.58</v>
      </c>
      <c r="I11" s="546">
        <v>1191839</v>
      </c>
      <c r="J11" s="496">
        <v>-0.24</v>
      </c>
      <c r="K11" s="238">
        <f>I11*J11</f>
        <v>-286041.36</v>
      </c>
      <c r="L11" s="548">
        <v>65133</v>
      </c>
      <c r="M11" s="239">
        <v>0</v>
      </c>
      <c r="N11" s="549">
        <f t="shared" si="1"/>
        <v>0</v>
      </c>
      <c r="O11" s="550">
        <f>F11+I11+L11</f>
        <v>2122606</v>
      </c>
      <c r="P11" s="242">
        <v>-0.28999999999999998</v>
      </c>
      <c r="Q11" s="243">
        <f t="shared" ref="Q11:Q19" si="2">H11+K11+N11</f>
        <v>-606325.93999999994</v>
      </c>
      <c r="S11" s="6"/>
      <c r="T11" s="6"/>
    </row>
    <row r="12" spans="2:27" ht="18" x14ac:dyDescent="0.35">
      <c r="E12" s="545" t="s">
        <v>15</v>
      </c>
      <c r="F12" s="546">
        <v>941705.85</v>
      </c>
      <c r="G12" s="547">
        <v>-0.86</v>
      </c>
      <c r="H12" s="238">
        <f t="shared" si="0"/>
        <v>-809867.03099999996</v>
      </c>
      <c r="I12" s="546">
        <v>949790.47599999991</v>
      </c>
      <c r="J12" s="496">
        <v>-0.37</v>
      </c>
      <c r="K12" s="238">
        <f>I12*J12</f>
        <v>-351422.47611999995</v>
      </c>
      <c r="L12" s="548">
        <v>60101</v>
      </c>
      <c r="M12" s="239">
        <v>0</v>
      </c>
      <c r="N12" s="549">
        <f t="shared" si="1"/>
        <v>0</v>
      </c>
      <c r="O12" s="550">
        <f t="shared" ref="O12:O18" si="3">F12+I12+L12</f>
        <v>1951597.3259999999</v>
      </c>
      <c r="P12" s="242">
        <v>-0.6</v>
      </c>
      <c r="Q12" s="243">
        <f t="shared" si="2"/>
        <v>-1161289.50712</v>
      </c>
      <c r="S12" s="6"/>
      <c r="T12" s="6"/>
    </row>
    <row r="13" spans="2:27" ht="18" x14ac:dyDescent="0.35">
      <c r="E13" s="545" t="s">
        <v>16</v>
      </c>
      <c r="F13" s="546">
        <v>948486.78000000014</v>
      </c>
      <c r="G13" s="547">
        <v>-0.42</v>
      </c>
      <c r="H13" s="238">
        <f t="shared" si="0"/>
        <v>-398364.44760000007</v>
      </c>
      <c r="I13" s="546">
        <v>923560</v>
      </c>
      <c r="J13" s="496">
        <v>-0.47</v>
      </c>
      <c r="K13" s="238">
        <f>I13*J13</f>
        <v>-434073.19999999995</v>
      </c>
      <c r="L13" s="548">
        <v>15008</v>
      </c>
      <c r="M13" s="239">
        <v>0</v>
      </c>
      <c r="N13" s="549">
        <f t="shared" si="1"/>
        <v>0</v>
      </c>
      <c r="O13" s="550">
        <f t="shared" si="3"/>
        <v>1887054.7800000003</v>
      </c>
      <c r="P13" s="242">
        <v>-0.44</v>
      </c>
      <c r="Q13" s="243">
        <f t="shared" si="2"/>
        <v>-832437.64760000003</v>
      </c>
      <c r="S13" s="6"/>
      <c r="T13" s="6"/>
    </row>
    <row r="14" spans="2:27" ht="18" x14ac:dyDescent="0.35">
      <c r="E14" s="545" t="s">
        <v>17</v>
      </c>
      <c r="F14" s="546">
        <v>755972.03999999992</v>
      </c>
      <c r="G14" s="547">
        <v>-0.19</v>
      </c>
      <c r="H14" s="238">
        <f>F14*G14</f>
        <v>-143634.68759999998</v>
      </c>
      <c r="I14" s="546">
        <v>1282215</v>
      </c>
      <c r="J14" s="496">
        <v>-0.38</v>
      </c>
      <c r="K14" s="238">
        <f>I14*J14</f>
        <v>-487241.7</v>
      </c>
      <c r="L14" s="548">
        <v>7544.0000000000009</v>
      </c>
      <c r="M14" s="239">
        <v>0</v>
      </c>
      <c r="N14" s="549">
        <f t="shared" si="1"/>
        <v>0</v>
      </c>
      <c r="O14" s="550">
        <f t="shared" si="3"/>
        <v>2045731.04</v>
      </c>
      <c r="P14" s="242">
        <v>-0.31</v>
      </c>
      <c r="Q14" s="243">
        <f t="shared" si="2"/>
        <v>-630876.38760000002</v>
      </c>
      <c r="R14" s="7">
        <f t="shared" ref="R14:R21" si="4">I14+L14</f>
        <v>1289759</v>
      </c>
      <c r="S14" s="6"/>
      <c r="T14" s="6"/>
    </row>
    <row r="15" spans="2:27" ht="18" x14ac:dyDescent="0.35">
      <c r="E15" s="545" t="s">
        <v>18</v>
      </c>
      <c r="F15" s="546">
        <v>1015599</v>
      </c>
      <c r="G15" s="547">
        <v>-0.72</v>
      </c>
      <c r="H15" s="238">
        <f>F15*G15</f>
        <v>-731231.28</v>
      </c>
      <c r="I15" s="546">
        <v>1087577</v>
      </c>
      <c r="J15" s="496">
        <v>-0.46</v>
      </c>
      <c r="K15" s="238">
        <f t="shared" ref="K15:K19" si="5">I15*J15</f>
        <v>-500285.42000000004</v>
      </c>
      <c r="L15" s="548">
        <v>37513</v>
      </c>
      <c r="M15" s="239">
        <v>0</v>
      </c>
      <c r="N15" s="549">
        <f>L15*M15</f>
        <v>0</v>
      </c>
      <c r="O15" s="550">
        <f>F15+I15+L15</f>
        <v>2140689</v>
      </c>
      <c r="P15" s="242">
        <v>-0.57999999999999996</v>
      </c>
      <c r="Q15" s="243">
        <f t="shared" si="2"/>
        <v>-1231516.7000000002</v>
      </c>
      <c r="R15" s="7">
        <f t="shared" si="4"/>
        <v>1125090</v>
      </c>
      <c r="S15" s="6"/>
      <c r="T15" s="6"/>
      <c r="V15" s="8"/>
      <c r="W15" s="8"/>
    </row>
    <row r="16" spans="2:27" ht="17.399999999999999" customHeight="1" x14ac:dyDescent="0.35">
      <c r="E16" s="545" t="s">
        <v>19</v>
      </c>
      <c r="F16" s="546">
        <v>1080333</v>
      </c>
      <c r="G16" s="547">
        <v>-0.26</v>
      </c>
      <c r="H16" s="238">
        <f>F16*G16</f>
        <v>-280886.58</v>
      </c>
      <c r="I16" s="546">
        <v>1344420</v>
      </c>
      <c r="J16" s="496">
        <v>-0.25</v>
      </c>
      <c r="K16" s="238">
        <f>I16*J16</f>
        <v>-336105</v>
      </c>
      <c r="L16" s="548">
        <v>7608</v>
      </c>
      <c r="M16" s="239">
        <v>0</v>
      </c>
      <c r="N16" s="549">
        <f t="shared" ref="N16:N21" si="6">L16*M16</f>
        <v>0</v>
      </c>
      <c r="O16" s="550">
        <f>F16+I16+L16</f>
        <v>2432361</v>
      </c>
      <c r="P16" s="242">
        <v>-0.25</v>
      </c>
      <c r="Q16" s="243">
        <f>H16+K16+N16</f>
        <v>-616991.58000000007</v>
      </c>
      <c r="R16" s="7">
        <f t="shared" si="4"/>
        <v>1352028</v>
      </c>
      <c r="S16" s="6"/>
      <c r="T16" s="6"/>
      <c r="AA16" s="2"/>
    </row>
    <row r="17" spans="5:35" ht="18" x14ac:dyDescent="0.35">
      <c r="E17" s="545" t="s">
        <v>20</v>
      </c>
      <c r="F17" s="546">
        <v>965853</v>
      </c>
      <c r="G17" s="547">
        <v>-0.25</v>
      </c>
      <c r="H17" s="238">
        <f>F17*G17</f>
        <v>-241463.25</v>
      </c>
      <c r="I17" s="546">
        <v>869059</v>
      </c>
      <c r="J17" s="496">
        <v>-0.11</v>
      </c>
      <c r="K17" s="238">
        <f>I17*J17</f>
        <v>-95596.49</v>
      </c>
      <c r="L17" s="548">
        <v>0</v>
      </c>
      <c r="M17" s="239">
        <v>0</v>
      </c>
      <c r="N17" s="549">
        <f t="shared" si="6"/>
        <v>0</v>
      </c>
      <c r="O17" s="550">
        <f>F17+I17+L17</f>
        <v>1834912</v>
      </c>
      <c r="P17" s="242">
        <v>-0.19</v>
      </c>
      <c r="Q17" s="243">
        <f>H17+K17+N17</f>
        <v>-337059.74</v>
      </c>
      <c r="R17" s="7">
        <f t="shared" si="4"/>
        <v>869059</v>
      </c>
      <c r="S17" s="6"/>
      <c r="T17" s="6"/>
      <c r="AA17" s="2"/>
    </row>
    <row r="18" spans="5:35" ht="18" x14ac:dyDescent="0.35">
      <c r="E18" s="526" t="s">
        <v>21</v>
      </c>
      <c r="F18" s="472">
        <v>1046262</v>
      </c>
      <c r="G18" s="473">
        <v>-1.03</v>
      </c>
      <c r="H18" s="474">
        <f t="shared" si="0"/>
        <v>-1077649.8600000001</v>
      </c>
      <c r="I18" s="472">
        <v>1029914.69</v>
      </c>
      <c r="J18" s="475">
        <v>-1.35</v>
      </c>
      <c r="K18" s="474">
        <f t="shared" si="5"/>
        <v>-1390384.8315000001</v>
      </c>
      <c r="L18" s="476">
        <v>7500</v>
      </c>
      <c r="M18" s="477">
        <v>0</v>
      </c>
      <c r="N18" s="445">
        <f t="shared" si="6"/>
        <v>0</v>
      </c>
      <c r="O18" s="478">
        <f t="shared" si="3"/>
        <v>2083676.69</v>
      </c>
      <c r="P18" s="479">
        <v>-1.19</v>
      </c>
      <c r="Q18" s="480">
        <f>H18+K18+N18</f>
        <v>-2468034.6915000002</v>
      </c>
      <c r="R18" s="1">
        <f t="shared" si="4"/>
        <v>1037414.69</v>
      </c>
      <c r="S18" s="6"/>
      <c r="T18" s="6"/>
      <c r="AA18" s="2"/>
    </row>
    <row r="19" spans="5:35" ht="17.399999999999999" customHeight="1" x14ac:dyDescent="0.35">
      <c r="E19" s="526" t="s">
        <v>22</v>
      </c>
      <c r="F19" s="472">
        <v>1177000</v>
      </c>
      <c r="G19" s="473">
        <v>-0.71</v>
      </c>
      <c r="H19" s="474">
        <f t="shared" si="0"/>
        <v>-835670</v>
      </c>
      <c r="I19" s="472">
        <v>1126000</v>
      </c>
      <c r="J19" s="475">
        <v>-0.53</v>
      </c>
      <c r="K19" s="474">
        <f t="shared" si="5"/>
        <v>-596780</v>
      </c>
      <c r="L19" s="476">
        <v>247500</v>
      </c>
      <c r="M19" s="477">
        <v>0</v>
      </c>
      <c r="N19" s="445">
        <f t="shared" si="6"/>
        <v>0</v>
      </c>
      <c r="O19" s="478">
        <f>F19+I19+L19</f>
        <v>2550500</v>
      </c>
      <c r="P19" s="479">
        <v>-0.61</v>
      </c>
      <c r="Q19" s="480">
        <f t="shared" si="2"/>
        <v>-1432450</v>
      </c>
      <c r="R19" s="1">
        <f t="shared" si="4"/>
        <v>1373500</v>
      </c>
      <c r="S19" s="6"/>
      <c r="T19" s="6"/>
    </row>
    <row r="20" spans="5:35" ht="17.399999999999999" customHeight="1" x14ac:dyDescent="0.35">
      <c r="E20" s="481" t="s">
        <v>23</v>
      </c>
      <c r="F20" s="472">
        <v>1185000</v>
      </c>
      <c r="G20" s="473">
        <v>-0.32</v>
      </c>
      <c r="H20" s="474">
        <f>F20*G20</f>
        <v>-379200</v>
      </c>
      <c r="I20" s="472">
        <v>1004000</v>
      </c>
      <c r="J20" s="475">
        <v>-0.31</v>
      </c>
      <c r="K20" s="474">
        <f>I20*J20</f>
        <v>-311240</v>
      </c>
      <c r="L20" s="476">
        <v>405000</v>
      </c>
      <c r="M20" s="477">
        <v>0</v>
      </c>
      <c r="N20" s="445">
        <f t="shared" si="6"/>
        <v>0</v>
      </c>
      <c r="O20" s="478">
        <f>F20+I20+L20</f>
        <v>2594000</v>
      </c>
      <c r="P20" s="479">
        <v>-0.31</v>
      </c>
      <c r="Q20" s="480">
        <f>H20+K20+N20</f>
        <v>-690440</v>
      </c>
      <c r="R20" s="1">
        <f t="shared" si="4"/>
        <v>1409000</v>
      </c>
      <c r="S20" s="6"/>
      <c r="T20" s="6"/>
    </row>
    <row r="21" spans="5:35" ht="17.399999999999999" customHeight="1" x14ac:dyDescent="0.35">
      <c r="E21" s="481" t="s">
        <v>24</v>
      </c>
      <c r="F21" s="472">
        <v>150000</v>
      </c>
      <c r="G21" s="473">
        <v>0</v>
      </c>
      <c r="H21" s="474">
        <f>F21*G21</f>
        <v>0</v>
      </c>
      <c r="I21" s="472">
        <v>220000</v>
      </c>
      <c r="J21" s="475">
        <v>0</v>
      </c>
      <c r="K21" s="474">
        <f>I21*J21</f>
        <v>0</v>
      </c>
      <c r="L21" s="476">
        <v>285000</v>
      </c>
      <c r="M21" s="477">
        <v>0</v>
      </c>
      <c r="N21" s="445">
        <f t="shared" si="6"/>
        <v>0</v>
      </c>
      <c r="O21" s="478">
        <f>F21+I21+L21</f>
        <v>655000</v>
      </c>
      <c r="P21" s="479">
        <v>0</v>
      </c>
      <c r="Q21" s="480">
        <f>H21+K21+N21</f>
        <v>0</v>
      </c>
      <c r="R21" s="1">
        <f t="shared" si="4"/>
        <v>505000</v>
      </c>
      <c r="S21" s="6"/>
      <c r="T21" s="6"/>
    </row>
    <row r="22" spans="5:35" ht="5.0999999999999996" customHeight="1" x14ac:dyDescent="0.35">
      <c r="E22" s="9"/>
      <c r="F22" s="10"/>
      <c r="G22" s="11"/>
      <c r="H22" s="12"/>
      <c r="I22" s="448"/>
      <c r="J22" s="11"/>
      <c r="K22" s="12"/>
      <c r="L22" s="14"/>
      <c r="M22" s="14"/>
      <c r="N22" s="15"/>
      <c r="O22" s="16"/>
      <c r="P22" s="17"/>
      <c r="Q22" s="18"/>
      <c r="R22" s="1">
        <v>-1</v>
      </c>
    </row>
    <row r="23" spans="5:35" ht="20.25" customHeight="1" x14ac:dyDescent="0.3">
      <c r="E23" s="573" t="s">
        <v>25</v>
      </c>
      <c r="F23" s="574">
        <f>SUM(F10:F12)</f>
        <v>2856344.86</v>
      </c>
      <c r="G23" s="496">
        <f>SUMPRODUCT(F10:F12,G10:G12)/SUM(F10:F12)</f>
        <v>-0.60499853883189725</v>
      </c>
      <c r="H23" s="238">
        <f>SUM(H10:H12)</f>
        <v>-1728084.4667</v>
      </c>
      <c r="I23" s="574">
        <f>SUM(I10:I12)</f>
        <v>3234364.3839999996</v>
      </c>
      <c r="J23" s="496">
        <f>SUMPRODUCT(I10:I12,J10:J12)/SUM(I10:I12)</f>
        <v>-0.26128270296956124</v>
      </c>
      <c r="K23" s="575">
        <f>SUM(K10:K12)</f>
        <v>-845083.46863999986</v>
      </c>
      <c r="L23" s="574">
        <f>SUM(L10:L12)</f>
        <v>167756</v>
      </c>
      <c r="M23" s="576">
        <f>SUMPRODUCT(L10:L12,M10:M12)/SUM(L10:L12)</f>
        <v>0</v>
      </c>
      <c r="N23" s="577">
        <f>SUM(N10:N12)</f>
        <v>0</v>
      </c>
      <c r="O23" s="574">
        <f>SUM(O10:O12)</f>
        <v>6258465.243999999</v>
      </c>
      <c r="P23" s="496">
        <f>SUMPRODUCT(O10:O12,P10:P12)/SUM(O10:O12)</f>
        <v>-0.41458903167154831</v>
      </c>
      <c r="Q23" s="575">
        <f>SUM(Q10:Q12)</f>
        <v>-2573167.9353399999</v>
      </c>
    </row>
    <row r="24" spans="5:35" ht="18" x14ac:dyDescent="0.3">
      <c r="E24" s="573" t="s">
        <v>26</v>
      </c>
      <c r="F24" s="574">
        <f>SUM(F13:F15)</f>
        <v>2720057.8200000003</v>
      </c>
      <c r="G24" s="496">
        <f>SUMPRODUCT(F13:F15,G13:G15)/SUM(F13:F15)</f>
        <v>-0.46808946700993292</v>
      </c>
      <c r="H24" s="238">
        <f>SUM(H13:H15)</f>
        <v>-1273230.4152000002</v>
      </c>
      <c r="I24" s="582">
        <f>SUM(I13:I15)</f>
        <v>3293352</v>
      </c>
      <c r="J24" s="496">
        <f>SUMPRODUCT(I13:I15,J13:J15)/SUM(I13:I15)</f>
        <v>-0.43165756955223733</v>
      </c>
      <c r="K24" s="575">
        <f>SUM(K13:K15)</f>
        <v>-1421600.3199999998</v>
      </c>
      <c r="L24" s="582">
        <f>SUM(L13:L15)</f>
        <v>60065</v>
      </c>
      <c r="M24" s="576">
        <f>SUMPRODUCT(L13:L15,M13:M15)/SUM(L13:L15)</f>
        <v>0</v>
      </c>
      <c r="N24" s="577">
        <f>SUM(N13:N15)</f>
        <v>0</v>
      </c>
      <c r="O24" s="574">
        <f>SUM(O13:O15)</f>
        <v>6073474.8200000003</v>
      </c>
      <c r="P24" s="496">
        <f>SUMPRODUCT(O13:O15,P13:P15)/SUM(O13:O15)</f>
        <v>-0.44555718526877824</v>
      </c>
      <c r="Q24" s="575">
        <f>SUM(Q13:Q15)</f>
        <v>-2694830.7352</v>
      </c>
    </row>
    <row r="25" spans="5:35" ht="18" x14ac:dyDescent="0.35">
      <c r="E25" s="583" t="s">
        <v>35</v>
      </c>
      <c r="F25" s="584">
        <f>SUM(F10:F15)</f>
        <v>5576402.6799999997</v>
      </c>
      <c r="G25" s="585">
        <f>SUMPRODUCT(F10:F15,G10:G15)/SUM(F10:F15)</f>
        <v>-0.53821702881399525</v>
      </c>
      <c r="H25" s="586">
        <f>SUM(H10:H15)</f>
        <v>-3001314.8819000004</v>
      </c>
      <c r="I25" s="587">
        <f>SUM(I10:I15)</f>
        <v>6527716.3839999996</v>
      </c>
      <c r="J25" s="585">
        <f>SUMPRODUCT(I10:I15,J10:J15)/SUM(I10:I15)</f>
        <v>-0.34723993128681863</v>
      </c>
      <c r="K25" s="588">
        <f>SUM(K10:K15)</f>
        <v>-2266683.7886399999</v>
      </c>
      <c r="L25" s="584">
        <f>SUM(L10:L15)</f>
        <v>227821</v>
      </c>
      <c r="M25" s="589">
        <f>SUMPRODUCT(L10:L15,M10:M15)/SUM(L10:L15)</f>
        <v>0</v>
      </c>
      <c r="N25" s="590">
        <f>SUM(N10:N15)</f>
        <v>0</v>
      </c>
      <c r="O25" s="579">
        <f>SUM(O10:O15)</f>
        <v>12331940.063999999</v>
      </c>
      <c r="P25" s="591">
        <f>SUMPRODUCT(O10:O15,P10:P15)/SUM(O10:O15)</f>
        <v>-0.42984083310088983</v>
      </c>
      <c r="Q25" s="592">
        <f>SUM(Q10:Q15)</f>
        <v>-5267998.6705400003</v>
      </c>
    </row>
    <row r="26" spans="5:35" ht="18.600000000000001" customHeight="1" x14ac:dyDescent="0.35">
      <c r="E26" s="199" t="s">
        <v>36</v>
      </c>
      <c r="F26" s="200">
        <f>SUM(F16:F18)</f>
        <v>3092448</v>
      </c>
      <c r="G26" s="83">
        <f>SUMPRODUCT(F16:F18,G16:G18)/SUM(F16:F18)</f>
        <v>-0.51738935949771836</v>
      </c>
      <c r="H26" s="293">
        <f>SUM(H16:H18)</f>
        <v>-1599999.6900000002</v>
      </c>
      <c r="I26" s="200">
        <f>SUM(I16:I18)</f>
        <v>3243393.69</v>
      </c>
      <c r="J26" s="83">
        <f>SUMPRODUCT(I16:I18,J16:J18)/SUM(I16:I18)</f>
        <v>-0.56178388923855871</v>
      </c>
      <c r="K26" s="22">
        <f>SUM(K16:K18)</f>
        <v>-1822086.3215000001</v>
      </c>
      <c r="L26" s="200">
        <f>SUM(L16:L18)</f>
        <v>15108</v>
      </c>
      <c r="M26" s="290">
        <f>SUMPRODUCT(L16:L18,M16:M18)/SUM(L16:L18)</f>
        <v>0</v>
      </c>
      <c r="N26" s="291">
        <f>SUM(N16:N18)</f>
        <v>0</v>
      </c>
      <c r="O26" s="200">
        <f>SUM(O16:O18)</f>
        <v>6350949.6899999995</v>
      </c>
      <c r="P26" s="83">
        <f>SUMPRODUCT(O16:O18,P16:P18)/SUM(O16:O18)</f>
        <v>-0.54106849508045785</v>
      </c>
      <c r="Q26" s="30">
        <f>SUM(Q16:Q18)</f>
        <v>-3422086.0115</v>
      </c>
    </row>
    <row r="27" spans="5:35" ht="18.75" customHeight="1" x14ac:dyDescent="0.35">
      <c r="E27" s="199" t="s">
        <v>29</v>
      </c>
      <c r="F27" s="25">
        <f>SUM(F19:F21)</f>
        <v>2512000</v>
      </c>
      <c r="G27" s="20">
        <f>SUMPRODUCT(F19:F21,G19:G21)/SUM(F19:F21)</f>
        <v>-0.48362659235668792</v>
      </c>
      <c r="H27" s="22">
        <f>SUM(H19:H21)</f>
        <v>-1214870</v>
      </c>
      <c r="I27" s="283">
        <f>SUM(I19:I21)</f>
        <v>2350000</v>
      </c>
      <c r="J27" s="20">
        <v>0</v>
      </c>
      <c r="K27" s="22">
        <f>SUM(K19:K21)</f>
        <v>-908020</v>
      </c>
      <c r="L27" s="263">
        <f>SUM(L19:L21)</f>
        <v>937500</v>
      </c>
      <c r="M27" s="290">
        <v>0</v>
      </c>
      <c r="N27" s="27">
        <f>SUM(N19:N21)</f>
        <v>0</v>
      </c>
      <c r="O27" s="28">
        <f>SUM(O19:O21)</f>
        <v>5799500</v>
      </c>
      <c r="P27" s="29">
        <f>SUMPRODUCT(O19:O21,P19:P21)/SUM(O19:O21)</f>
        <v>-0.40692214846107422</v>
      </c>
      <c r="Q27" s="30">
        <f>SUM(Q19:Q21)</f>
        <v>-2122890</v>
      </c>
    </row>
    <row r="28" spans="5:35" ht="18.75" customHeight="1" x14ac:dyDescent="0.35">
      <c r="E28" s="24" t="s">
        <v>37</v>
      </c>
      <c r="F28" s="25">
        <f>SUM(F16:F21)</f>
        <v>5604448</v>
      </c>
      <c r="G28" s="20">
        <f>SUMPRODUCT(F16:F21,G16:G21)/SUM(F16:F21)</f>
        <v>-0.50225636672871266</v>
      </c>
      <c r="H28" s="22">
        <f>SUM(H16:H21)</f>
        <v>-2814869.6900000004</v>
      </c>
      <c r="I28" s="283">
        <f>SUM(I16:I21)</f>
        <v>5593393.6899999995</v>
      </c>
      <c r="J28" s="20">
        <f>SUMPRODUCT(I16:I21,J16:J21)/SUM(I16:I21)</f>
        <v>-0.48809479053493915</v>
      </c>
      <c r="K28" s="22">
        <f>SUM(K16:K21)</f>
        <v>-2730106.3215000001</v>
      </c>
      <c r="L28" s="263">
        <f>SUM(L16:L21)</f>
        <v>952608</v>
      </c>
      <c r="M28" s="26">
        <f>SUMPRODUCT(L16:L21,M16:M21)/SUM(L16:L21)</f>
        <v>0</v>
      </c>
      <c r="N28" s="27">
        <f>SUM(N16:N21)</f>
        <v>0</v>
      </c>
      <c r="O28" s="28">
        <f>SUM(O16:O21)</f>
        <v>12150449.689999999</v>
      </c>
      <c r="P28" s="29">
        <f>SUMPRODUCT(O16:O21,P16:P21)/SUM(O16:O21)</f>
        <v>-0.47703944619188826</v>
      </c>
      <c r="Q28" s="30">
        <f>SUM(Q16:Q21)</f>
        <v>-5544976.0115</v>
      </c>
    </row>
    <row r="29" spans="5:35" ht="5.0999999999999996" customHeight="1" x14ac:dyDescent="0.3">
      <c r="G29" s="31"/>
      <c r="H29" s="32"/>
      <c r="I29" s="449"/>
      <c r="J29" s="31"/>
      <c r="K29" s="32"/>
      <c r="M29" s="34"/>
      <c r="N29" s="35"/>
      <c r="P29" s="485"/>
      <c r="Q29" s="32"/>
      <c r="S29" s="39"/>
    </row>
    <row r="30" spans="5:35" ht="18.75" customHeight="1" x14ac:dyDescent="0.35">
      <c r="E30" s="168" t="s">
        <v>38</v>
      </c>
      <c r="F30" s="169">
        <f>SUM(F10:F21)</f>
        <v>11180850.68</v>
      </c>
      <c r="G30" s="170">
        <f>SUMPRODUCT(F10:F21,G10:G21)/SUM(F10:F21)</f>
        <v>-0.52019159707622542</v>
      </c>
      <c r="H30" s="171">
        <f>SUM(H10:H21)</f>
        <v>-5816184.5719000008</v>
      </c>
      <c r="I30" s="169">
        <f>SUM(I10:I21)</f>
        <v>12121110.073999999</v>
      </c>
      <c r="J30" s="170">
        <f>SUMPRODUCT(I10:I21,J10:J21)/SUM(I10:I21)</f>
        <v>-0.41223865468049875</v>
      </c>
      <c r="K30" s="171">
        <f>SUM(K10:K21)</f>
        <v>-4996790.1101400005</v>
      </c>
      <c r="L30" s="169">
        <f>SUM(L10:L21)</f>
        <v>1180429</v>
      </c>
      <c r="M30" s="172">
        <f>SUMPRODUCT(L10:L21,M10:M21)/SUM(L10:L21)</f>
        <v>0</v>
      </c>
      <c r="N30" s="178">
        <f>SUM(N10:N21)</f>
        <v>0</v>
      </c>
      <c r="O30" s="169">
        <f>SUM(O10:O21)</f>
        <v>24482389.754000001</v>
      </c>
      <c r="P30" s="170">
        <f>SUMPRODUCT(O10:O21,P10:P21)/SUM(O10:O21)</f>
        <v>-0.45326519565545847</v>
      </c>
      <c r="Q30" s="171">
        <f>SUM(Q10:Q21)</f>
        <v>-10812974.68204</v>
      </c>
      <c r="T30" s="53"/>
    </row>
    <row r="31" spans="5:35" ht="18.75" customHeight="1" x14ac:dyDescent="0.35">
      <c r="E31" s="47"/>
      <c r="F31" s="48"/>
      <c r="H31" s="50"/>
      <c r="I31" s="451"/>
      <c r="J31" s="442"/>
      <c r="K31" s="48"/>
      <c r="L31" s="48"/>
      <c r="M31" s="54"/>
      <c r="N31" s="52"/>
      <c r="O31" s="48"/>
      <c r="P31" s="442"/>
      <c r="Q31" s="48"/>
      <c r="T31" s="55"/>
    </row>
    <row r="32" spans="5:35" ht="18.75" customHeight="1" x14ac:dyDescent="0.35">
      <c r="E32" s="47"/>
      <c r="F32" s="48"/>
      <c r="G32" s="443"/>
      <c r="H32" s="50"/>
      <c r="I32" s="451"/>
      <c r="J32" s="442"/>
      <c r="K32" s="48"/>
      <c r="L32" s="48"/>
      <c r="M32" s="52"/>
      <c r="N32" s="52"/>
      <c r="O32" s="48"/>
      <c r="P32" s="442"/>
      <c r="Q32" s="48"/>
      <c r="S32" s="2"/>
      <c r="AI32" s="1" t="s">
        <v>34</v>
      </c>
    </row>
    <row r="33" spans="1:19" ht="18" x14ac:dyDescent="0.3">
      <c r="C33" s="1">
        <f>O31/70000</f>
        <v>0</v>
      </c>
      <c r="E33" s="57"/>
      <c r="F33" s="58"/>
      <c r="H33" s="59"/>
      <c r="K33" s="5"/>
      <c r="L33" s="5"/>
      <c r="M33" s="5"/>
      <c r="N33" s="5"/>
      <c r="O33" s="2"/>
      <c r="Q33" s="8"/>
    </row>
    <row r="34" spans="1:19" x14ac:dyDescent="0.3">
      <c r="A34" s="2"/>
      <c r="B34" s="2"/>
      <c r="K34" s="5"/>
      <c r="L34" s="5"/>
      <c r="M34" s="5"/>
      <c r="N34" s="5"/>
      <c r="O34" s="2"/>
    </row>
    <row r="35" spans="1:19" x14ac:dyDescent="0.3">
      <c r="C35" s="1">
        <f>177*2</f>
        <v>354</v>
      </c>
      <c r="F35" s="2"/>
      <c r="H35" s="2"/>
      <c r="I35" s="452"/>
      <c r="K35" s="61"/>
      <c r="L35" s="61"/>
      <c r="M35" s="5"/>
      <c r="N35" s="5"/>
      <c r="O35" s="5"/>
    </row>
    <row r="36" spans="1:19" x14ac:dyDescent="0.3">
      <c r="A36" s="53"/>
      <c r="B36" s="53"/>
      <c r="E36" s="2"/>
      <c r="F36" s="2"/>
      <c r="H36" s="2"/>
      <c r="I36" s="452"/>
      <c r="K36" s="61"/>
      <c r="L36" s="61"/>
      <c r="M36" s="5"/>
      <c r="N36" s="5"/>
      <c r="O36" s="5"/>
    </row>
    <row r="37" spans="1:19" x14ac:dyDescent="0.3">
      <c r="F37" s="2"/>
      <c r="H37" s="2"/>
      <c r="I37" s="452"/>
      <c r="K37" s="61"/>
      <c r="L37" s="61"/>
      <c r="M37" s="5"/>
      <c r="N37" s="5"/>
      <c r="O37" s="5"/>
    </row>
    <row r="38" spans="1:19" x14ac:dyDescent="0.3">
      <c r="C38" s="1">
        <f>498.63/938500</f>
        <v>5.3130527437400109E-4</v>
      </c>
      <c r="F38" s="2"/>
      <c r="H38" s="2"/>
      <c r="I38" s="452"/>
      <c r="K38" s="61"/>
      <c r="L38" s="61"/>
      <c r="M38" s="5"/>
      <c r="N38" s="5"/>
      <c r="O38" s="5"/>
    </row>
    <row r="39" spans="1:19" x14ac:dyDescent="0.3">
      <c r="F39" s="2"/>
      <c r="H39" s="2"/>
      <c r="I39" s="452"/>
      <c r="K39" s="61"/>
      <c r="L39" s="61"/>
      <c r="M39" s="5"/>
      <c r="N39" s="5"/>
      <c r="O39" s="5"/>
    </row>
    <row r="40" spans="1:19" x14ac:dyDescent="0.3">
      <c r="F40" s="2"/>
      <c r="H40" s="2"/>
      <c r="I40" s="452"/>
      <c r="K40" s="61"/>
      <c r="L40" s="61"/>
      <c r="M40" s="5"/>
      <c r="N40" s="5"/>
      <c r="O40" s="5"/>
    </row>
    <row r="41" spans="1:19" x14ac:dyDescent="0.3">
      <c r="F41" s="2"/>
      <c r="H41" s="2"/>
      <c r="I41" s="452"/>
      <c r="K41" s="61"/>
      <c r="L41" s="61"/>
      <c r="M41" s="5"/>
      <c r="N41" s="5"/>
      <c r="O41" s="8"/>
    </row>
    <row r="42" spans="1:19" x14ac:dyDescent="0.3">
      <c r="F42" s="2"/>
      <c r="H42" s="2"/>
      <c r="I42" s="452"/>
      <c r="K42" s="61"/>
      <c r="L42" s="61"/>
      <c r="M42" s="5"/>
      <c r="N42" s="5"/>
      <c r="O42" s="5"/>
    </row>
    <row r="43" spans="1:19" x14ac:dyDescent="0.3">
      <c r="F43" s="2"/>
      <c r="H43" s="2"/>
      <c r="I43" s="452"/>
      <c r="K43" s="61"/>
      <c r="L43" s="61"/>
      <c r="M43" s="5"/>
      <c r="N43" s="5"/>
      <c r="O43" s="5"/>
      <c r="R43" s="2"/>
      <c r="S43" s="2"/>
    </row>
    <row r="44" spans="1:19" x14ac:dyDescent="0.3">
      <c r="F44" s="2"/>
      <c r="H44" s="2"/>
      <c r="I44" s="452"/>
      <c r="K44" s="61"/>
      <c r="L44" s="61"/>
      <c r="M44" s="5"/>
      <c r="N44" s="5"/>
      <c r="O44" s="5"/>
    </row>
    <row r="45" spans="1:19" x14ac:dyDescent="0.3">
      <c r="F45" s="2"/>
      <c r="H45" s="2"/>
      <c r="I45" s="452"/>
      <c r="K45" s="61"/>
      <c r="L45" s="61"/>
      <c r="M45" s="5"/>
      <c r="N45" s="5"/>
      <c r="O45" s="5"/>
    </row>
    <row r="46" spans="1:19" x14ac:dyDescent="0.3">
      <c r="F46" s="2"/>
      <c r="H46" s="2"/>
      <c r="I46" s="452"/>
      <c r="K46" s="61"/>
      <c r="L46" s="61"/>
      <c r="M46" s="5"/>
      <c r="N46" s="5"/>
      <c r="O46" s="5"/>
    </row>
    <row r="72" spans="17:17" x14ac:dyDescent="0.3">
      <c r="Q72" s="1">
        <v>0.82565812076498268</v>
      </c>
    </row>
    <row r="73" spans="17:17" x14ac:dyDescent="0.3">
      <c r="Q73" s="1">
        <v>0.39171475159489683</v>
      </c>
    </row>
    <row r="74" spans="17:17" x14ac:dyDescent="0.3">
      <c r="Q74" s="1">
        <v>0.33133509304428244</v>
      </c>
    </row>
    <row r="75" spans="17:17" x14ac:dyDescent="0.3">
      <c r="Q75" s="1">
        <v>0.4</v>
      </c>
    </row>
    <row r="76" spans="17:17" x14ac:dyDescent="0.3">
      <c r="Q76" s="1">
        <f>AVERAGE(Q72:Q75)</f>
        <v>0.48717699135104053</v>
      </c>
    </row>
    <row r="165" spans="5:27" x14ac:dyDescent="0.3">
      <c r="E165" s="62"/>
    </row>
    <row r="170" spans="5:27" x14ac:dyDescent="0.3">
      <c r="R170" s="423" t="s">
        <v>15</v>
      </c>
      <c r="S170" s="423" t="s">
        <v>16</v>
      </c>
      <c r="T170" s="423" t="s">
        <v>17</v>
      </c>
      <c r="U170" s="423" t="s">
        <v>18</v>
      </c>
      <c r="V170" s="423" t="s">
        <v>19</v>
      </c>
      <c r="W170" s="423" t="s">
        <v>20</v>
      </c>
      <c r="X170" s="423" t="s">
        <v>21</v>
      </c>
      <c r="Y170" s="423" t="s">
        <v>22</v>
      </c>
      <c r="Z170" s="423" t="s">
        <v>23</v>
      </c>
      <c r="AA170" s="423" t="s">
        <v>24</v>
      </c>
    </row>
    <row r="171" spans="5:27" x14ac:dyDescent="0.3">
      <c r="R171" s="63">
        <v>2461</v>
      </c>
      <c r="S171" s="63">
        <v>2507</v>
      </c>
      <c r="T171" s="63">
        <v>2464</v>
      </c>
      <c r="U171" s="63">
        <v>2615</v>
      </c>
      <c r="V171" s="63">
        <v>2421</v>
      </c>
      <c r="W171" s="63">
        <v>2877</v>
      </c>
      <c r="X171" s="63">
        <v>2579</v>
      </c>
      <c r="Y171" s="63">
        <v>2313</v>
      </c>
      <c r="Z171" s="63">
        <v>2628.2752320354252</v>
      </c>
      <c r="AA171" s="63">
        <v>2476.2011236298968</v>
      </c>
    </row>
    <row r="181" spans="18:27" x14ac:dyDescent="0.3">
      <c r="Z181" s="1">
        <v>12279</v>
      </c>
    </row>
    <row r="184" spans="18:27" x14ac:dyDescent="0.3">
      <c r="Z184" s="1">
        <v>12272.83836516472</v>
      </c>
      <c r="AA184" s="1">
        <v>759138.08299999998</v>
      </c>
    </row>
    <row r="185" spans="18:27" x14ac:dyDescent="0.3">
      <c r="Z185" s="1">
        <v>12279</v>
      </c>
      <c r="AA185" s="1">
        <v>1895796</v>
      </c>
    </row>
    <row r="187" spans="18:27" x14ac:dyDescent="0.3">
      <c r="AA187" s="8">
        <f>SUMPRODUCT(Z184:Z185,AA184:AA185)/SUM(AA184:AA185)</f>
        <v>12277.238174089913</v>
      </c>
    </row>
    <row r="191" spans="18:27" x14ac:dyDescent="0.3">
      <c r="R191" s="423" t="s">
        <v>15</v>
      </c>
      <c r="S191" s="423" t="s">
        <v>16</v>
      </c>
      <c r="T191" s="423" t="s">
        <v>17</v>
      </c>
      <c r="U191" s="423" t="s">
        <v>18</v>
      </c>
      <c r="V191" s="423" t="s">
        <v>19</v>
      </c>
      <c r="W191" s="423" t="s">
        <v>20</v>
      </c>
      <c r="X191" s="423" t="s">
        <v>21</v>
      </c>
      <c r="Y191" s="423" t="s">
        <v>22</v>
      </c>
      <c r="Z191" s="423" t="s">
        <v>23</v>
      </c>
      <c r="AA191" s="423" t="s">
        <v>24</v>
      </c>
    </row>
    <row r="192" spans="18:27" x14ac:dyDescent="0.3">
      <c r="R192" s="63">
        <v>15401</v>
      </c>
      <c r="S192" s="63">
        <v>15984</v>
      </c>
      <c r="T192" s="63">
        <v>15615</v>
      </c>
      <c r="U192" s="63">
        <v>15489</v>
      </c>
      <c r="V192" s="63">
        <v>15789</v>
      </c>
      <c r="W192" s="63">
        <v>15291</v>
      </c>
      <c r="X192" s="63">
        <v>16742</v>
      </c>
      <c r="Y192" s="63">
        <v>16099</v>
      </c>
      <c r="Z192" s="63">
        <v>19190.767950603542</v>
      </c>
      <c r="AA192" s="63">
        <v>17094.711547981136</v>
      </c>
    </row>
    <row r="213" spans="18:27" x14ac:dyDescent="0.3">
      <c r="R213" s="423" t="s">
        <v>15</v>
      </c>
      <c r="S213" s="423" t="s">
        <v>16</v>
      </c>
      <c r="T213" s="423" t="s">
        <v>17</v>
      </c>
      <c r="U213" s="423" t="s">
        <v>18</v>
      </c>
      <c r="V213" s="423" t="s">
        <v>19</v>
      </c>
      <c r="W213" s="423" t="s">
        <v>20</v>
      </c>
      <c r="X213" s="423" t="s">
        <v>21</v>
      </c>
      <c r="Y213" s="423" t="s">
        <v>22</v>
      </c>
      <c r="Z213" s="423" t="s">
        <v>23</v>
      </c>
      <c r="AA213" s="423" t="s">
        <v>24</v>
      </c>
    </row>
    <row r="214" spans="18:27" x14ac:dyDescent="0.3">
      <c r="R214" s="63">
        <v>15401</v>
      </c>
      <c r="S214" s="63">
        <v>15984</v>
      </c>
      <c r="T214" s="63">
        <v>15615</v>
      </c>
      <c r="U214" s="63">
        <v>15489</v>
      </c>
      <c r="V214" s="63">
        <v>15789</v>
      </c>
      <c r="W214" s="63">
        <v>15291</v>
      </c>
      <c r="X214" s="63">
        <v>16742</v>
      </c>
      <c r="Y214" s="63">
        <v>16099</v>
      </c>
      <c r="Z214" s="63">
        <v>19190.767950603542</v>
      </c>
      <c r="AA214" s="63">
        <v>17094.711547981136</v>
      </c>
    </row>
  </sheetData>
  <mergeCells count="6">
    <mergeCell ref="R8:R9"/>
    <mergeCell ref="E8:E9"/>
    <mergeCell ref="F8:H8"/>
    <mergeCell ref="I8:K8"/>
    <mergeCell ref="L8:N8"/>
    <mergeCell ref="O8:Q8"/>
  </mergeCells>
  <pageMargins left="0.7" right="0.7" top="0.75" bottom="0.75" header="0.3" footer="0.3"/>
  <pageSetup orientation="portrait" r:id="rId1"/>
  <ignoredErrors>
    <ignoredError sqref="F23 F24 H24:I24 F25 K24:L24 N24 F29 F26:F27 F28 H27:I27 H26:I26 H29:I29 H28:I28 N25:O25 K25:L25 H25:I25 K26:L26 K29:P29 O26" formulaRange="1"/>
    <ignoredError sqref="G23:O23 G24 J24 M24 P23:P24 M25:M26 J25 G25 G28 G29 G26 G27 J29 J26 P26 P25 J28:P28 K27:P27" formula="1" formulaRange="1"/>
    <ignoredError sqref="J27 G30:M30 P30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49081-69F0-429C-9167-20C6C09A9B8D}">
  <dimension ref="A2:Z216"/>
  <sheetViews>
    <sheetView zoomScale="90" zoomScaleNormal="90" workbookViewId="0">
      <selection activeCell="D8" sqref="D8:P32"/>
    </sheetView>
  </sheetViews>
  <sheetFormatPr defaultColWidth="9.44140625" defaultRowHeight="14.4" x14ac:dyDescent="0.3"/>
  <cols>
    <col min="1" max="1" width="2.44140625" style="1" customWidth="1"/>
    <col min="2" max="2" width="25.44140625" style="1" customWidth="1"/>
    <col min="3" max="3" width="9.44140625" style="1" bestFit="1"/>
    <col min="4" max="4" width="25" style="1" customWidth="1"/>
    <col min="5" max="5" width="10.5546875" style="1" customWidth="1"/>
    <col min="6" max="6" width="13.44140625" style="1" customWidth="1"/>
    <col min="7" max="7" width="11.44140625" style="1" bestFit="1" customWidth="1"/>
    <col min="8" max="8" width="10.5546875" style="1" customWidth="1"/>
    <col min="9" max="9" width="13.44140625" style="1" customWidth="1"/>
    <col min="10" max="10" width="11.5546875" style="1" customWidth="1"/>
    <col min="11" max="11" width="10.5546875" style="1" customWidth="1"/>
    <col min="12" max="12" width="13" style="1" customWidth="1"/>
    <col min="13" max="13" width="9.5546875" style="1" customWidth="1"/>
    <col min="14" max="14" width="11.5546875" style="1" customWidth="1"/>
    <col min="15" max="15" width="12.5546875" style="1" customWidth="1"/>
    <col min="16" max="16" width="12.44140625" style="1" customWidth="1"/>
    <col min="17" max="17" width="9.44140625" style="1" hidden="1" customWidth="1"/>
    <col min="18" max="18" width="12" style="1" hidden="1" customWidth="1"/>
    <col min="19" max="19" width="13.44140625" style="1" hidden="1" customWidth="1"/>
    <col min="20" max="24" width="0" style="1" hidden="1" customWidth="1"/>
    <col min="25" max="25" width="9.44140625" style="1" bestFit="1"/>
    <col min="26" max="26" width="13.44140625" style="1" bestFit="1" customWidth="1"/>
    <col min="27" max="16384" width="9.44140625" style="1"/>
  </cols>
  <sheetData>
    <row r="2" spans="2:23" x14ac:dyDescent="0.3">
      <c r="L2" s="2"/>
    </row>
    <row r="3" spans="2:23" x14ac:dyDescent="0.3">
      <c r="B3" s="132" t="s">
        <v>0</v>
      </c>
    </row>
    <row r="4" spans="2:23" x14ac:dyDescent="0.3">
      <c r="B4" s="3" t="s">
        <v>1</v>
      </c>
    </row>
    <row r="5" spans="2:23" x14ac:dyDescent="0.3">
      <c r="B5" s="4" t="s">
        <v>2</v>
      </c>
      <c r="G5" s="5"/>
      <c r="I5" s="2"/>
      <c r="J5" s="5"/>
    </row>
    <row r="6" spans="2:23" x14ac:dyDescent="0.3">
      <c r="B6" s="148"/>
      <c r="J6" s="2"/>
      <c r="K6" s="2"/>
      <c r="M6" s="2"/>
      <c r="R6" s="1">
        <f>P11/N11</f>
        <v>-0.28565166592386904</v>
      </c>
    </row>
    <row r="7" spans="2:23" x14ac:dyDescent="0.3">
      <c r="I7" s="2"/>
      <c r="J7" s="2"/>
      <c r="K7" s="2"/>
      <c r="N7" s="2"/>
    </row>
    <row r="8" spans="2:23" ht="18" x14ac:dyDescent="0.3">
      <c r="D8" s="612" t="s">
        <v>3</v>
      </c>
      <c r="E8" s="614" t="s">
        <v>4</v>
      </c>
      <c r="F8" s="614"/>
      <c r="G8" s="614"/>
      <c r="H8" s="614" t="s">
        <v>5</v>
      </c>
      <c r="I8" s="614"/>
      <c r="J8" s="614"/>
      <c r="K8" s="615" t="s">
        <v>6</v>
      </c>
      <c r="L8" s="616"/>
      <c r="M8" s="616"/>
      <c r="N8" s="614" t="s">
        <v>7</v>
      </c>
      <c r="O8" s="614"/>
      <c r="P8" s="614"/>
      <c r="Q8" s="618" t="s">
        <v>8</v>
      </c>
      <c r="U8" s="1">
        <f>3000000/29000000</f>
        <v>0.10344827586206896</v>
      </c>
    </row>
    <row r="9" spans="2:23" ht="18" x14ac:dyDescent="0.35">
      <c r="D9" s="613"/>
      <c r="E9" s="421" t="s">
        <v>9</v>
      </c>
      <c r="F9" s="421" t="s">
        <v>10</v>
      </c>
      <c r="G9" s="149" t="s">
        <v>11</v>
      </c>
      <c r="H9" s="421" t="s">
        <v>9</v>
      </c>
      <c r="I9" s="421" t="s">
        <v>12</v>
      </c>
      <c r="J9" s="421" t="s">
        <v>11</v>
      </c>
      <c r="K9" s="421" t="s">
        <v>9</v>
      </c>
      <c r="L9" s="421" t="s">
        <v>10</v>
      </c>
      <c r="M9" s="422" t="s">
        <v>11</v>
      </c>
      <c r="N9" s="421" t="s">
        <v>9</v>
      </c>
      <c r="O9" s="421" t="s">
        <v>10</v>
      </c>
      <c r="P9" s="150" t="s">
        <v>11</v>
      </c>
      <c r="Q9" s="619"/>
    </row>
    <row r="10" spans="2:23" ht="18" x14ac:dyDescent="0.35">
      <c r="D10" s="553" t="s">
        <v>13</v>
      </c>
      <c r="E10" s="554">
        <f>'Demurage 2026'!F10/$E$32</f>
        <v>1049.0050100000001</v>
      </c>
      <c r="F10" s="555">
        <f>'Demurage 2026'!G10</f>
        <v>-0.56999999999999995</v>
      </c>
      <c r="G10" s="556">
        <f t="shared" ref="G10:G21" si="0">E10*F10</f>
        <v>-597.9328557</v>
      </c>
      <c r="H10" s="554">
        <f>'Demurage 2026'!I10/$E$32</f>
        <v>1092.7349080000001</v>
      </c>
      <c r="I10" s="557">
        <f>'Demurage 2026'!J10</f>
        <v>-0.19</v>
      </c>
      <c r="J10" s="556">
        <f t="shared" ref="J10:J21" si="1">H10*I10</f>
        <v>-207.61963252000004</v>
      </c>
      <c r="K10" s="558">
        <f>'Demurage 2026'!L10/$E$32</f>
        <v>42.521999999999998</v>
      </c>
      <c r="L10" s="558">
        <f>'Demurage 2026'!M10</f>
        <v>0</v>
      </c>
      <c r="M10" s="559">
        <f t="shared" ref="M10:M21" si="2">K10*L10</f>
        <v>0</v>
      </c>
      <c r="N10" s="560">
        <f t="shared" ref="N10:N21" si="3">E10+H10+K10</f>
        <v>2184.2619180000002</v>
      </c>
      <c r="O10" s="561">
        <f>'Demurage 2026'!P10</f>
        <v>-0.37</v>
      </c>
      <c r="P10" s="562">
        <f t="shared" ref="P10:P21" si="4">G10+J10+M10</f>
        <v>-805.55248821999999</v>
      </c>
      <c r="R10" s="6">
        <f t="shared" ref="R10:R21" si="5">E10/N10</f>
        <v>0.48025605416428818</v>
      </c>
      <c r="S10" s="6">
        <f t="shared" ref="S10:S21" si="6">H10/N10</f>
        <v>0.50027650026538628</v>
      </c>
      <c r="U10" s="1">
        <v>0.65</v>
      </c>
      <c r="V10" s="1">
        <v>0.3</v>
      </c>
      <c r="W10" s="1">
        <v>4.9999999999999989E-2</v>
      </c>
    </row>
    <row r="11" spans="2:23" ht="18" x14ac:dyDescent="0.35">
      <c r="D11" s="553" t="s">
        <v>14</v>
      </c>
      <c r="E11" s="554">
        <f>'Demurage 2026'!F11/$E$32</f>
        <v>865.63400000000001</v>
      </c>
      <c r="F11" s="555">
        <f>'Demurage 2026'!G11</f>
        <v>-0.37</v>
      </c>
      <c r="G11" s="556">
        <f t="shared" si="0"/>
        <v>-320.28458000000001</v>
      </c>
      <c r="H11" s="554">
        <f>'Demurage 2026'!I11/$E$32</f>
        <v>1191.8389999999999</v>
      </c>
      <c r="I11" s="557">
        <f>'Demurage 2026'!J11</f>
        <v>-0.24</v>
      </c>
      <c r="J11" s="556">
        <f t="shared" si="1"/>
        <v>-286.04136</v>
      </c>
      <c r="K11" s="558">
        <f>'Demurage 2026'!L11/$E$32</f>
        <v>65.132999999999996</v>
      </c>
      <c r="L11" s="558">
        <f>'Demurage 2026'!M11</f>
        <v>0</v>
      </c>
      <c r="M11" s="559">
        <f t="shared" si="2"/>
        <v>0</v>
      </c>
      <c r="N11" s="560">
        <f t="shared" si="3"/>
        <v>2122.6059999999998</v>
      </c>
      <c r="O11" s="561">
        <f>'Demurage 2026'!P11</f>
        <v>-0.28999999999999998</v>
      </c>
      <c r="P11" s="562">
        <f t="shared" si="4"/>
        <v>-606.32593999999995</v>
      </c>
      <c r="R11" s="6">
        <f t="shared" si="5"/>
        <v>0.40781661787444307</v>
      </c>
      <c r="S11" s="6">
        <f t="shared" si="6"/>
        <v>0.56149798879302149</v>
      </c>
    </row>
    <row r="12" spans="2:23" ht="18" x14ac:dyDescent="0.35">
      <c r="D12" s="553" t="s">
        <v>15</v>
      </c>
      <c r="E12" s="554">
        <f>'Demurage 2026'!F12/$E$32</f>
        <v>941.70584999999994</v>
      </c>
      <c r="F12" s="555">
        <f>'Demurage 2026'!G12</f>
        <v>-0.86</v>
      </c>
      <c r="G12" s="556">
        <f t="shared" si="0"/>
        <v>-809.86703099999988</v>
      </c>
      <c r="H12" s="554">
        <f>'Demurage 2026'!I12/$E$32</f>
        <v>949.7904759999999</v>
      </c>
      <c r="I12" s="557">
        <f>'Demurage 2026'!J12</f>
        <v>-0.37</v>
      </c>
      <c r="J12" s="556">
        <f t="shared" si="1"/>
        <v>-351.42247611999994</v>
      </c>
      <c r="K12" s="558">
        <f>'Demurage 2026'!L12/$E$32</f>
        <v>60.100999999999999</v>
      </c>
      <c r="L12" s="558">
        <f>'Demurage 2026'!M12</f>
        <v>0</v>
      </c>
      <c r="M12" s="559">
        <f t="shared" si="2"/>
        <v>0</v>
      </c>
      <c r="N12" s="560">
        <f t="shared" si="3"/>
        <v>1951.5973260000001</v>
      </c>
      <c r="O12" s="561">
        <f>'Demurage 2026'!P12</f>
        <v>-0.6</v>
      </c>
      <c r="P12" s="562">
        <f t="shared" si="4"/>
        <v>-1161.2895071199998</v>
      </c>
      <c r="R12" s="6">
        <f t="shared" si="5"/>
        <v>0.48253081588819513</v>
      </c>
      <c r="S12" s="6">
        <f t="shared" si="6"/>
        <v>0.48667338458937809</v>
      </c>
      <c r="U12" s="1">
        <f>(U10/1)*$U$8</f>
        <v>6.7241379310344823E-2</v>
      </c>
      <c r="V12" s="1">
        <f>(V10/1)*$U$8</f>
        <v>3.1034482758620689E-2</v>
      </c>
      <c r="W12" s="1">
        <f>(W10/1)*$U$8</f>
        <v>5.1724137931034473E-3</v>
      </c>
    </row>
    <row r="13" spans="2:23" ht="18" x14ac:dyDescent="0.35">
      <c r="D13" s="553" t="s">
        <v>16</v>
      </c>
      <c r="E13" s="554">
        <f>'Demurage 2026'!F13/$E$32</f>
        <v>948.48678000000018</v>
      </c>
      <c r="F13" s="555">
        <f>'Demurage 2026'!G13</f>
        <v>-0.42</v>
      </c>
      <c r="G13" s="556">
        <f t="shared" si="0"/>
        <v>-398.36444760000006</v>
      </c>
      <c r="H13" s="554">
        <f>'Demurage 2026'!I13/$E$32</f>
        <v>923.56</v>
      </c>
      <c r="I13" s="557">
        <f>'Demurage 2026'!J13</f>
        <v>-0.47</v>
      </c>
      <c r="J13" s="556">
        <f t="shared" si="1"/>
        <v>-434.07319999999993</v>
      </c>
      <c r="K13" s="558">
        <f>'Demurage 2026'!L13/$E$32</f>
        <v>15.007999999999999</v>
      </c>
      <c r="L13" s="558">
        <f>'Demurage 2026'!M13</f>
        <v>0</v>
      </c>
      <c r="M13" s="559">
        <f t="shared" si="2"/>
        <v>0</v>
      </c>
      <c r="N13" s="560">
        <f t="shared" si="3"/>
        <v>1887.0547800000002</v>
      </c>
      <c r="O13" s="561">
        <f>'Demurage 2026'!P13</f>
        <v>-0.44</v>
      </c>
      <c r="P13" s="562">
        <f t="shared" si="4"/>
        <v>-832.43764759999999</v>
      </c>
      <c r="R13" s="6">
        <f t="shared" si="5"/>
        <v>0.50262811130474983</v>
      </c>
      <c r="S13" s="6">
        <f t="shared" si="6"/>
        <v>0.48941875444654548</v>
      </c>
    </row>
    <row r="14" spans="2:23" ht="18" x14ac:dyDescent="0.35">
      <c r="D14" s="553" t="s">
        <v>17</v>
      </c>
      <c r="E14" s="554">
        <f>'Demurage 2026'!F14/$E$32</f>
        <v>755.97203999999988</v>
      </c>
      <c r="F14" s="555">
        <f>'Demurage 2026'!G14</f>
        <v>-0.19</v>
      </c>
      <c r="G14" s="556">
        <f t="shared" si="0"/>
        <v>-143.63468759999998</v>
      </c>
      <c r="H14" s="554">
        <f>'Demurage 2026'!I14/$E$32</f>
        <v>1282.2149999999999</v>
      </c>
      <c r="I14" s="557">
        <f>'Demurage 2026'!J14</f>
        <v>-0.38</v>
      </c>
      <c r="J14" s="556">
        <f t="shared" si="1"/>
        <v>-487.24169999999998</v>
      </c>
      <c r="K14" s="558">
        <f>'Demurage 2026'!L14/$E$32</f>
        <v>7.5440000000000005</v>
      </c>
      <c r="L14" s="558">
        <f>'Demurage 2026'!M14</f>
        <v>0</v>
      </c>
      <c r="M14" s="559">
        <f t="shared" si="2"/>
        <v>0</v>
      </c>
      <c r="N14" s="560">
        <f t="shared" si="3"/>
        <v>2045.7310399999999</v>
      </c>
      <c r="O14" s="561">
        <f>'Demurage 2026'!P14</f>
        <v>-0.31</v>
      </c>
      <c r="P14" s="562">
        <f t="shared" si="4"/>
        <v>-630.87638759999993</v>
      </c>
      <c r="Q14" s="7">
        <f t="shared" ref="Q14:Q21" si="7">H14+K14</f>
        <v>1289.759</v>
      </c>
      <c r="R14" s="6">
        <f t="shared" si="5"/>
        <v>0.36953637854563715</v>
      </c>
      <c r="S14" s="6">
        <f t="shared" si="6"/>
        <v>0.62677594215904353</v>
      </c>
    </row>
    <row r="15" spans="2:23" ht="18" x14ac:dyDescent="0.35">
      <c r="D15" s="553" t="s">
        <v>18</v>
      </c>
      <c r="E15" s="554">
        <f>'Demurage 2026'!F15/$E$32</f>
        <v>1015.599</v>
      </c>
      <c r="F15" s="555">
        <f>'Demurage 2026'!G15</f>
        <v>-0.72</v>
      </c>
      <c r="G15" s="556">
        <f t="shared" si="0"/>
        <v>-731.23127999999997</v>
      </c>
      <c r="H15" s="554">
        <f>'Demurage 2026'!I15/$E$32</f>
        <v>1087.577</v>
      </c>
      <c r="I15" s="557">
        <f>'Demurage 2026'!J15</f>
        <v>-0.46</v>
      </c>
      <c r="J15" s="556">
        <f t="shared" si="1"/>
        <v>-500.28542000000004</v>
      </c>
      <c r="K15" s="558">
        <f>'Demurage 2026'!L15/$E$32</f>
        <v>37.512999999999998</v>
      </c>
      <c r="L15" s="558">
        <f>'Demurage 2026'!M15</f>
        <v>0</v>
      </c>
      <c r="M15" s="559">
        <f t="shared" si="2"/>
        <v>0</v>
      </c>
      <c r="N15" s="560">
        <f t="shared" si="3"/>
        <v>2140.6889999999999</v>
      </c>
      <c r="O15" s="561">
        <f>'Demurage 2026'!P15</f>
        <v>-0.57999999999999996</v>
      </c>
      <c r="P15" s="562">
        <f t="shared" si="4"/>
        <v>-1231.5167000000001</v>
      </c>
      <c r="Q15" s="7">
        <f t="shared" si="7"/>
        <v>1125.0899999999999</v>
      </c>
      <c r="R15" s="6">
        <f t="shared" si="5"/>
        <v>0.47442622445390253</v>
      </c>
      <c r="S15" s="6">
        <f t="shared" si="6"/>
        <v>0.50804997830137866</v>
      </c>
      <c r="U15" s="8">
        <f>(U10/0.95)*U8</f>
        <v>7.0780399274047182E-2</v>
      </c>
      <c r="V15" s="8">
        <f>(V10/0.95)*U8</f>
        <v>3.2667876588021776E-2</v>
      </c>
    </row>
    <row r="16" spans="2:23" ht="18" x14ac:dyDescent="0.35">
      <c r="D16" s="553" t="s">
        <v>19</v>
      </c>
      <c r="E16" s="554">
        <f>'Demurage 2026'!F16/$E$32</f>
        <v>1080.3330000000001</v>
      </c>
      <c r="F16" s="555">
        <f>'Demurage 2026'!G16</f>
        <v>-0.26</v>
      </c>
      <c r="G16" s="556">
        <f t="shared" si="0"/>
        <v>-280.88658000000004</v>
      </c>
      <c r="H16" s="554">
        <f>'Demurage 2026'!I16/$E$32</f>
        <v>1344.42</v>
      </c>
      <c r="I16" s="557">
        <f>'Demurage 2026'!J16</f>
        <v>-0.25</v>
      </c>
      <c r="J16" s="556">
        <f t="shared" si="1"/>
        <v>-336.10500000000002</v>
      </c>
      <c r="K16" s="558">
        <f>'Demurage 2026'!L16/$E$32</f>
        <v>7.6079999999999997</v>
      </c>
      <c r="L16" s="558">
        <f>'Demurage 2026'!M16</f>
        <v>0</v>
      </c>
      <c r="M16" s="559">
        <f t="shared" si="2"/>
        <v>0</v>
      </c>
      <c r="N16" s="560">
        <f t="shared" si="3"/>
        <v>2432.3610000000003</v>
      </c>
      <c r="O16" s="561">
        <f>'Demurage 2026'!P16</f>
        <v>-0.25</v>
      </c>
      <c r="P16" s="562">
        <f t="shared" si="4"/>
        <v>-616.99158000000011</v>
      </c>
      <c r="Q16" s="7">
        <f t="shared" si="7"/>
        <v>1352.028</v>
      </c>
      <c r="R16" s="6">
        <f t="shared" si="5"/>
        <v>0.44414994320333206</v>
      </c>
      <c r="S16" s="6">
        <f t="shared" si="6"/>
        <v>0.55272223160953493</v>
      </c>
    </row>
    <row r="17" spans="4:20" ht="18" x14ac:dyDescent="0.35">
      <c r="D17" s="529" t="s">
        <v>20</v>
      </c>
      <c r="E17" s="530">
        <f>'Demurage 2026'!F17/$E$32</f>
        <v>965.85299999999995</v>
      </c>
      <c r="F17" s="531">
        <f>'Demurage 2026'!G17</f>
        <v>-0.25</v>
      </c>
      <c r="G17" s="532">
        <f t="shared" si="0"/>
        <v>-241.46324999999999</v>
      </c>
      <c r="H17" s="530">
        <f>'Demurage 2026'!I17/$E$32</f>
        <v>869.05899999999997</v>
      </c>
      <c r="I17" s="533">
        <f>'Demurage 2026'!J17</f>
        <v>-0.11</v>
      </c>
      <c r="J17" s="532">
        <f t="shared" si="1"/>
        <v>-95.596490000000003</v>
      </c>
      <c r="K17" s="534">
        <f>'Demurage 2026'!L17/$E$32</f>
        <v>0</v>
      </c>
      <c r="L17" s="534">
        <f>'Demurage 2026'!M17</f>
        <v>0</v>
      </c>
      <c r="M17" s="535">
        <f t="shared" si="2"/>
        <v>0</v>
      </c>
      <c r="N17" s="536">
        <f t="shared" si="3"/>
        <v>1834.9119999999998</v>
      </c>
      <c r="O17" s="537">
        <f>'Demurage 2026'!P17</f>
        <v>-0.19</v>
      </c>
      <c r="P17" s="538">
        <f t="shared" si="4"/>
        <v>-337.05973999999998</v>
      </c>
      <c r="Q17" s="7">
        <f t="shared" si="7"/>
        <v>869.05899999999997</v>
      </c>
      <c r="R17" s="6">
        <f t="shared" si="5"/>
        <v>0.52637565180237533</v>
      </c>
      <c r="S17" s="6">
        <f t="shared" si="6"/>
        <v>0.47362434819762478</v>
      </c>
    </row>
    <row r="18" spans="4:20" ht="18" x14ac:dyDescent="0.35">
      <c r="D18" s="529" t="s">
        <v>21</v>
      </c>
      <c r="E18" s="530">
        <f>'Demurage 2026'!F18/$E$32</f>
        <v>1046.2619999999999</v>
      </c>
      <c r="F18" s="531">
        <f>'Demurage 2026'!G18</f>
        <v>-1.03</v>
      </c>
      <c r="G18" s="532">
        <f t="shared" si="0"/>
        <v>-1077.64986</v>
      </c>
      <c r="H18" s="530">
        <f>'Demurage 2026'!I18/$E$32</f>
        <v>1029.9146899999998</v>
      </c>
      <c r="I18" s="533">
        <f>'Demurage 2026'!J18</f>
        <v>-1.35</v>
      </c>
      <c r="J18" s="532">
        <f t="shared" si="1"/>
        <v>-1390.3848314999998</v>
      </c>
      <c r="K18" s="534">
        <f>'Demurage 2026'!L18/$E$32</f>
        <v>7.5</v>
      </c>
      <c r="L18" s="534">
        <f>'Demurage 2026'!M18</f>
        <v>0</v>
      </c>
      <c r="M18" s="535">
        <f t="shared" si="2"/>
        <v>0</v>
      </c>
      <c r="N18" s="536">
        <f t="shared" si="3"/>
        <v>2083.6766899999998</v>
      </c>
      <c r="O18" s="537">
        <f>'Demurage 2026'!P18</f>
        <v>-1.19</v>
      </c>
      <c r="P18" s="538">
        <f t="shared" si="4"/>
        <v>-2468.0346915</v>
      </c>
      <c r="Q18" s="1">
        <f t="shared" si="7"/>
        <v>1037.4146899999998</v>
      </c>
      <c r="R18" s="6">
        <f t="shared" si="5"/>
        <v>0.50212300450507996</v>
      </c>
      <c r="S18" s="6">
        <f t="shared" si="6"/>
        <v>0.49427758871747035</v>
      </c>
    </row>
    <row r="19" spans="4:20" ht="18" x14ac:dyDescent="0.35">
      <c r="D19" s="529" t="s">
        <v>22</v>
      </c>
      <c r="E19" s="530">
        <f>'Demurage 2026'!F19/$E$32</f>
        <v>1177</v>
      </c>
      <c r="F19" s="531">
        <f>'Demurage 2026'!G19</f>
        <v>-0.71</v>
      </c>
      <c r="G19" s="532">
        <f t="shared" si="0"/>
        <v>-835.67</v>
      </c>
      <c r="H19" s="530">
        <f>'Demurage 2026'!I19/$E$32</f>
        <v>1126</v>
      </c>
      <c r="I19" s="533">
        <f>'Demurage 2026'!J19</f>
        <v>-0.53</v>
      </c>
      <c r="J19" s="532">
        <f t="shared" si="1"/>
        <v>-596.78000000000009</v>
      </c>
      <c r="K19" s="534">
        <f>'Demurage 2026'!L19/$E$32</f>
        <v>247.5</v>
      </c>
      <c r="L19" s="534">
        <f>'Demurage 2026'!M19</f>
        <v>0</v>
      </c>
      <c r="M19" s="535">
        <f t="shared" si="2"/>
        <v>0</v>
      </c>
      <c r="N19" s="536">
        <f t="shared" si="3"/>
        <v>2550.5</v>
      </c>
      <c r="O19" s="537">
        <f>'Demurage 2026'!P19</f>
        <v>-0.61</v>
      </c>
      <c r="P19" s="538">
        <f t="shared" si="4"/>
        <v>-1432.45</v>
      </c>
      <c r="Q19" s="1">
        <f t="shared" si="7"/>
        <v>1373.5</v>
      </c>
      <c r="R19" s="6">
        <f t="shared" si="5"/>
        <v>0.46147814154087435</v>
      </c>
      <c r="S19" s="6">
        <f t="shared" si="6"/>
        <v>0.44148206234071752</v>
      </c>
    </row>
    <row r="20" spans="4:20" ht="18" hidden="1" x14ac:dyDescent="0.35">
      <c r="D20" s="529" t="s">
        <v>23</v>
      </c>
      <c r="E20" s="530">
        <f>'Demurage 2026'!F20/$E$32</f>
        <v>1185</v>
      </c>
      <c r="F20" s="531">
        <f>'Demurage 2026'!G20</f>
        <v>-0.32</v>
      </c>
      <c r="G20" s="532">
        <f t="shared" si="0"/>
        <v>-379.2</v>
      </c>
      <c r="H20" s="530">
        <f>'Demurage 2026'!I20/$E$32</f>
        <v>1004</v>
      </c>
      <c r="I20" s="533">
        <f>'Demurage 2026'!J20</f>
        <v>-0.31</v>
      </c>
      <c r="J20" s="532">
        <f t="shared" si="1"/>
        <v>-311.24</v>
      </c>
      <c r="K20" s="534">
        <f>'Demurage 2026'!L20/$E$32</f>
        <v>405</v>
      </c>
      <c r="L20" s="534">
        <f>'Demurage 2026'!M20</f>
        <v>0</v>
      </c>
      <c r="M20" s="535">
        <f t="shared" si="2"/>
        <v>0</v>
      </c>
      <c r="N20" s="536">
        <f t="shared" si="3"/>
        <v>2594</v>
      </c>
      <c r="O20" s="537">
        <f>'Demurage 2026'!P20</f>
        <v>-0.31</v>
      </c>
      <c r="P20" s="538">
        <f t="shared" si="4"/>
        <v>-690.44</v>
      </c>
      <c r="Q20" s="1">
        <f t="shared" si="7"/>
        <v>1409</v>
      </c>
      <c r="R20" s="6">
        <f t="shared" si="5"/>
        <v>0.45682343870470316</v>
      </c>
      <c r="S20" s="6">
        <f t="shared" si="6"/>
        <v>0.38704703161141096</v>
      </c>
    </row>
    <row r="21" spans="4:20" ht="18" hidden="1" x14ac:dyDescent="0.35">
      <c r="D21" s="500" t="s">
        <v>24</v>
      </c>
      <c r="E21" s="501">
        <f>'Demurage 2026'!F21/$E$32</f>
        <v>150</v>
      </c>
      <c r="F21" s="502">
        <f>'Demurage 2026'!G21</f>
        <v>0</v>
      </c>
      <c r="G21" s="503">
        <f t="shared" si="0"/>
        <v>0</v>
      </c>
      <c r="H21" s="501">
        <f>'Demurage 2026'!I21/$E$32</f>
        <v>220</v>
      </c>
      <c r="I21" s="502">
        <f>'Demurage 2026'!J21</f>
        <v>0</v>
      </c>
      <c r="J21" s="503">
        <f t="shared" si="1"/>
        <v>0</v>
      </c>
      <c r="K21" s="501">
        <f>'Demurage 2026'!L21/$E$32</f>
        <v>285</v>
      </c>
      <c r="L21" s="523">
        <f>'Demurage 2026'!M21</f>
        <v>0</v>
      </c>
      <c r="M21" s="524">
        <f t="shared" si="2"/>
        <v>0</v>
      </c>
      <c r="N21" s="504">
        <f t="shared" si="3"/>
        <v>655</v>
      </c>
      <c r="O21" s="502">
        <f>'Demurage 2026'!P21</f>
        <v>0</v>
      </c>
      <c r="P21" s="505">
        <f t="shared" si="4"/>
        <v>0</v>
      </c>
      <c r="Q21" s="1">
        <f t="shared" si="7"/>
        <v>505</v>
      </c>
      <c r="R21" s="6">
        <f t="shared" si="5"/>
        <v>0.22900763358778625</v>
      </c>
      <c r="S21" s="6">
        <f t="shared" si="6"/>
        <v>0.33587786259541985</v>
      </c>
    </row>
    <row r="22" spans="4:20" ht="2.4" customHeight="1" x14ac:dyDescent="0.35">
      <c r="D22" s="515"/>
      <c r="E22" s="10"/>
      <c r="F22" s="11"/>
      <c r="G22" s="12"/>
      <c r="H22" s="10"/>
      <c r="I22" s="13"/>
      <c r="J22" s="12"/>
      <c r="K22" s="14"/>
      <c r="L22" s="14"/>
      <c r="M22" s="15"/>
      <c r="N22" s="516"/>
      <c r="O22" s="517"/>
      <c r="P22" s="518"/>
      <c r="Q22" s="1">
        <v>-1</v>
      </c>
    </row>
    <row r="23" spans="4:20" ht="21" customHeight="1" x14ac:dyDescent="0.35">
      <c r="D23" s="539" t="str">
        <f>'Demurage 2026'!E23</f>
        <v>Actual Q1</v>
      </c>
      <c r="E23" s="80">
        <f>SUM(E10:E12)</f>
        <v>2856.3448600000002</v>
      </c>
      <c r="F23" s="29">
        <f>SUMPRODUCT(E10:E12,F10:F12)/SUM(E10:E12)</f>
        <v>-0.60499853883189714</v>
      </c>
      <c r="G23" s="79">
        <f>SUM(G10:G12)</f>
        <v>-1728.0844666999999</v>
      </c>
      <c r="H23" s="80">
        <f>SUM(H10:H12)</f>
        <v>3234.3643840000004</v>
      </c>
      <c r="I23" s="29">
        <f>SUMPRODUCT(H10:H12,I10:I12)/SUM(H10:H12)</f>
        <v>-0.26128270296956124</v>
      </c>
      <c r="J23" s="79">
        <f>SUM(J10:J12)</f>
        <v>-845.08346863999998</v>
      </c>
      <c r="K23" s="85">
        <f>SUM(K10:K12)</f>
        <v>167.756</v>
      </c>
      <c r="L23" s="540">
        <f>SUMPRODUCT(K10:K12,L10:L12)/SUM(K10:K12)</f>
        <v>0</v>
      </c>
      <c r="M23" s="290">
        <f>SUM(M10:M12)</f>
        <v>0</v>
      </c>
      <c r="N23" s="85">
        <f>SUM(N10:N12)</f>
        <v>6258.465244</v>
      </c>
      <c r="O23" s="29">
        <f>SUMPRODUCT(N10:N12,O10:O12)/SUM(N10:N12)</f>
        <v>-0.4145890316715482</v>
      </c>
      <c r="P23" s="79">
        <f>SUM(P10:P12)</f>
        <v>-2573.1679353399995</v>
      </c>
    </row>
    <row r="24" spans="4:20" ht="18" x14ac:dyDescent="0.35">
      <c r="D24" s="539" t="str">
        <f>'Demurage 2026'!E24</f>
        <v>Actual Q2</v>
      </c>
      <c r="E24" s="80">
        <f>SUM(E13:E15)</f>
        <v>2720.05782</v>
      </c>
      <c r="F24" s="29">
        <f>SUMPRODUCT(E13:E15,F13:F15)/SUM(E13:E15)</f>
        <v>-0.46808946700993298</v>
      </c>
      <c r="G24" s="79">
        <f>SUM(G13:G15)</f>
        <v>-1273.2304152000002</v>
      </c>
      <c r="H24" s="80">
        <f>SUM(H13:H15)</f>
        <v>3293.3519999999999</v>
      </c>
      <c r="I24" s="29">
        <f>SUMPRODUCT(H13:H15,I13:I15)/SUM(H13:H15)</f>
        <v>-0.43165756955223739</v>
      </c>
      <c r="J24" s="79">
        <f>SUM(J13:J15)</f>
        <v>-1421.60032</v>
      </c>
      <c r="K24" s="85">
        <f>SUM(K13:K15)</f>
        <v>60.064999999999998</v>
      </c>
      <c r="L24" s="540">
        <f>SUMPRODUCT(K13:K15,L13:L15)/SUM(K13:K15)</f>
        <v>0</v>
      </c>
      <c r="M24" s="290">
        <f>SUM(M13:M15)</f>
        <v>0</v>
      </c>
      <c r="N24" s="85">
        <f>SUM(N13:N15)</f>
        <v>6073.4748199999995</v>
      </c>
      <c r="O24" s="29">
        <f>SUMPRODUCT(N13:N15,O13:O15)/SUM(N13:N15)</f>
        <v>-0.44555718526877824</v>
      </c>
      <c r="P24" s="79">
        <f>SUM(P13:P15)</f>
        <v>-2694.8307352000002</v>
      </c>
    </row>
    <row r="25" spans="4:20" ht="18" x14ac:dyDescent="0.35">
      <c r="D25" s="539" t="str">
        <f>'Demurage 2026'!E25</f>
        <v>Actual S1</v>
      </c>
      <c r="E25" s="80">
        <f>SUM(E10:E15)</f>
        <v>5576.4026800000001</v>
      </c>
      <c r="F25" s="29">
        <f>SUMPRODUCT(E10:E15,F10:F15)/SUM(E10:E15)</f>
        <v>-0.53821702881399514</v>
      </c>
      <c r="G25" s="79">
        <f>SUM(G10:G15)</f>
        <v>-3001.3148818999998</v>
      </c>
      <c r="H25" s="80">
        <f>SUM(H10:H15)</f>
        <v>6527.7163840000003</v>
      </c>
      <c r="I25" s="29">
        <f>SUMPRODUCT(H10:H15,I10:I15)/SUM(H10:H15)</f>
        <v>-0.34723993128681857</v>
      </c>
      <c r="J25" s="79">
        <f>SUM(J10:J15)</f>
        <v>-2266.6837886399999</v>
      </c>
      <c r="K25" s="85">
        <f>SUM(K10:K15)</f>
        <v>227.82100000000003</v>
      </c>
      <c r="L25" s="540">
        <f>SUMPRODUCT(K10:K15,L10:L15)/SUM(K10:K15)</f>
        <v>0</v>
      </c>
      <c r="M25" s="290">
        <f>SUM(M10:M15)</f>
        <v>0</v>
      </c>
      <c r="N25" s="85">
        <f>SUM(N10:N15)</f>
        <v>12331.940064</v>
      </c>
      <c r="O25" s="29">
        <f>SUMPRODUCT(N10:N15,O10:O15)/SUM(N10:N15)</f>
        <v>-0.42984083310088966</v>
      </c>
      <c r="P25" s="79">
        <f>SUM(P10:P15)</f>
        <v>-5267.9986705399988</v>
      </c>
    </row>
    <row r="26" spans="4:20" ht="18.75" customHeight="1" x14ac:dyDescent="0.35">
      <c r="D26" s="539" t="str">
        <f>'Demurage 2026'!E26</f>
        <v>Prediction Q3</v>
      </c>
      <c r="E26" s="80">
        <f>SUM(E16:E18)</f>
        <v>3092.4480000000003</v>
      </c>
      <c r="F26" s="29">
        <f>SUMPRODUCT(E16:E18,F16:F18)/SUM(E16:E18)</f>
        <v>-0.51738935949771825</v>
      </c>
      <c r="G26" s="79">
        <f>SUM(G16:G18)</f>
        <v>-1599.9996900000001</v>
      </c>
      <c r="H26" s="80">
        <f>SUM(H16:H18)</f>
        <v>3243.3936899999999</v>
      </c>
      <c r="I26" s="29">
        <f>SUMPRODUCT(H16:H18,I16:I18)/SUM(H16:H18)</f>
        <v>-0.5617838892385586</v>
      </c>
      <c r="J26" s="79">
        <f>SUM(J16:J18)</f>
        <v>-1822.0863214999999</v>
      </c>
      <c r="K26" s="85">
        <f>SUM(K16:K18)</f>
        <v>15.108000000000001</v>
      </c>
      <c r="L26" s="540">
        <f>SUMPRODUCT(K16:K18,L16:L18)/SUM(K16:K18)</f>
        <v>0</v>
      </c>
      <c r="M26" s="290">
        <f>SUM(M16:M18)</f>
        <v>0</v>
      </c>
      <c r="N26" s="85">
        <f>SUM(N16:N18)</f>
        <v>6350.9496899999995</v>
      </c>
      <c r="O26" s="29">
        <f>SUMPRODUCT(N16:N18,O16:O18)/SUM(N16:N18)</f>
        <v>-0.54106849508045785</v>
      </c>
      <c r="P26" s="79">
        <f>SUM(P16:P18)</f>
        <v>-3422.0860115</v>
      </c>
    </row>
    <row r="27" spans="4:20" ht="18.75" hidden="1" customHeight="1" x14ac:dyDescent="0.35">
      <c r="D27" s="199" t="str">
        <f>'Demurage 2026'!E27</f>
        <v>Prediction Q4</v>
      </c>
      <c r="E27" s="85">
        <f>SUM(E19:E21)</f>
        <v>2512</v>
      </c>
      <c r="F27" s="29">
        <f>SUMPRODUCT(E19:E21,F19:F21)/SUM(E19:E21)</f>
        <v>-0.48362659235668787</v>
      </c>
      <c r="G27" s="79">
        <f>SUM(G19:G21)</f>
        <v>-1214.8699999999999</v>
      </c>
      <c r="H27" s="80">
        <f>SUM(H19:H21)</f>
        <v>2350</v>
      </c>
      <c r="I27" s="29">
        <f>SUMPRODUCT(H19:H21,I19:I21)/SUM(H19:H21)</f>
        <v>-0.38639148936170215</v>
      </c>
      <c r="J27" s="79">
        <f>SUM(J19:J21)</f>
        <v>-908.0200000000001</v>
      </c>
      <c r="K27" s="80">
        <f>SUM(K19:K21)</f>
        <v>937.5</v>
      </c>
      <c r="L27" s="519">
        <f>SUMPRODUCT(K19:K21,L19:L21)/SUM(K19:K21)</f>
        <v>0</v>
      </c>
      <c r="M27" s="519">
        <f>SUM(M19:M21)</f>
        <v>0</v>
      </c>
      <c r="N27" s="85">
        <f>SUM(N19:N21)</f>
        <v>5799.5</v>
      </c>
      <c r="O27" s="29">
        <f>SUMPRODUCT(N19:N21,O19:O21)/SUM(N19:N21)</f>
        <v>-0.40692214846107427</v>
      </c>
      <c r="P27" s="79">
        <f>SUM(P19:P21)</f>
        <v>-2122.8900000000003</v>
      </c>
      <c r="R27" s="1">
        <v>2000</v>
      </c>
    </row>
    <row r="28" spans="4:20" ht="18.75" hidden="1" customHeight="1" x14ac:dyDescent="0.35">
      <c r="D28" s="199" t="str">
        <f>'Demurage 2026'!E28</f>
        <v>Prediction S2</v>
      </c>
      <c r="E28" s="85">
        <f>SUM(E16:E21)</f>
        <v>5604.4480000000003</v>
      </c>
      <c r="F28" s="29">
        <f>SUMPRODUCT(E16:E21,F16:F21)/SUM(E16:E21)</f>
        <v>-0.50225636672871254</v>
      </c>
      <c r="G28" s="79">
        <f>SUM(G16:G21)</f>
        <v>-2814.86969</v>
      </c>
      <c r="H28" s="80">
        <f>SUM(H16:H21)</f>
        <v>5593.3936899999999</v>
      </c>
      <c r="I28" s="29">
        <f>SUMPRODUCT(H16:H21,I16:I21)/SUM(H16:H21)</f>
        <v>-0.48809479053493915</v>
      </c>
      <c r="J28" s="79">
        <f>SUM(J16:J21)</f>
        <v>-2730.1063215000004</v>
      </c>
      <c r="K28" s="80">
        <f>SUM(K16:K21)</f>
        <v>952.60799999999995</v>
      </c>
      <c r="L28" s="519">
        <f>SUMPRODUCT(K16:K21,L16:L21)/SUM(K16:K21)</f>
        <v>0</v>
      </c>
      <c r="M28" s="519">
        <f>SUM(M16:M21)</f>
        <v>0</v>
      </c>
      <c r="N28" s="85">
        <f>SUM(N16:N21)</f>
        <v>12150.449689999999</v>
      </c>
      <c r="O28" s="29">
        <f>SUMPRODUCT(N16:N21,O16:O21)/SUM(N16:N21)</f>
        <v>-0.47703944619188832</v>
      </c>
      <c r="P28" s="79">
        <f>SUM(P16:P21)</f>
        <v>-5544.9760115000008</v>
      </c>
      <c r="R28" s="1">
        <v>29000000</v>
      </c>
    </row>
    <row r="29" spans="4:20" ht="3" hidden="1" customHeight="1" x14ac:dyDescent="0.3">
      <c r="D29" s="36"/>
      <c r="E29" s="423"/>
      <c r="F29" s="37"/>
      <c r="G29" s="499"/>
      <c r="H29" s="520"/>
      <c r="I29" s="37"/>
      <c r="J29" s="499"/>
      <c r="K29" s="423"/>
      <c r="L29" s="521"/>
      <c r="M29" s="522"/>
      <c r="N29" s="423"/>
      <c r="O29" s="37"/>
      <c r="P29" s="499"/>
      <c r="R29" s="39">
        <f>R27/R28</f>
        <v>6.8965517241379313E-5</v>
      </c>
    </row>
    <row r="30" spans="4:20" ht="18" hidden="1" x14ac:dyDescent="0.35">
      <c r="D30" s="40" t="s">
        <v>31</v>
      </c>
      <c r="E30" s="492">
        <f>SUM(E10:E15)</f>
        <v>5576.4026800000001</v>
      </c>
      <c r="F30" s="42">
        <f>SUMPRODUCT(E10:E15,F10:F15)/SUM(E10:E15)</f>
        <v>-0.53821702881399514</v>
      </c>
      <c r="G30" s="108">
        <f>SUM(G10:G15)</f>
        <v>-3001.3148818999998</v>
      </c>
      <c r="H30" s="44">
        <f>SUM(H10:H15)</f>
        <v>6527.7163840000003</v>
      </c>
      <c r="I30" s="42">
        <f>SUMPRODUCT(H10:H15,I10:I15)/SUM(H10:H15)</f>
        <v>-0.34723993128681857</v>
      </c>
      <c r="J30" s="108">
        <f>SUM(J10:J15)</f>
        <v>-2266.6837886399999</v>
      </c>
      <c r="K30" s="492">
        <f>SUM(K10:K14)</f>
        <v>190.30800000000002</v>
      </c>
      <c r="L30" s="45">
        <f>SUMPRODUCT(K10:K15,L10:L15)/SUM(K10:K15)</f>
        <v>0</v>
      </c>
      <c r="M30" s="45">
        <f>SUM(M10:M15)</f>
        <v>0</v>
      </c>
      <c r="N30" s="492">
        <f>SUM(N10:N15)</f>
        <v>12331.940064</v>
      </c>
      <c r="O30" s="42">
        <f>SUMPRODUCT(N10:N15,O10:O15)/SUM(N10:N15)</f>
        <v>-0.42984083310088966</v>
      </c>
      <c r="P30" s="108">
        <f>SUM(P10:P15)</f>
        <v>-5267.9986705399988</v>
      </c>
    </row>
    <row r="31" spans="4:20" ht="18.75" hidden="1" customHeight="1" x14ac:dyDescent="0.35">
      <c r="D31" s="168" t="s">
        <v>39</v>
      </c>
      <c r="E31" s="495">
        <f>SUM(E10:E21)</f>
        <v>11180.85068</v>
      </c>
      <c r="F31" s="170">
        <f>SUMPRODUCT(E10:E21,F10:F21)/SUM(E10:E21)</f>
        <v>-0.52019159707622531</v>
      </c>
      <c r="G31" s="178">
        <f>SUM(G10:G21)</f>
        <v>-5816.1845718999994</v>
      </c>
      <c r="H31" s="495">
        <f>SUM(H10:H21)</f>
        <v>12121.110074</v>
      </c>
      <c r="I31" s="170">
        <f>SUMPRODUCT(H10:H21,I10:I21)/SUM(H10:H21)</f>
        <v>-0.41223865468049864</v>
      </c>
      <c r="J31" s="178">
        <f>SUM(J10:J21)</f>
        <v>-4996.7901101399993</v>
      </c>
      <c r="K31" s="495">
        <f>SUM(K10:K21)</f>
        <v>1180.4290000000001</v>
      </c>
      <c r="L31" s="172">
        <f>SUMPRODUCT(K10:K21,L10:L21)/SUM(K10:K21)</f>
        <v>0</v>
      </c>
      <c r="M31" s="173">
        <f>SUM(M10:M21)</f>
        <v>0</v>
      </c>
      <c r="N31" s="495">
        <f>SUM(N10:N21)</f>
        <v>24482.389754</v>
      </c>
      <c r="O31" s="170">
        <f>SUMPRODUCT(N10:N21,O10:O21)/SUM(N10:N21)</f>
        <v>-0.45326519565545836</v>
      </c>
      <c r="P31" s="178">
        <f>SUM(P10:P21)</f>
        <v>-10812.97468204</v>
      </c>
    </row>
    <row r="32" spans="4:20" ht="18.75" customHeight="1" x14ac:dyDescent="0.35">
      <c r="D32" s="497" t="s">
        <v>40</v>
      </c>
      <c r="E32" s="498">
        <v>1000</v>
      </c>
      <c r="F32" s="49"/>
      <c r="G32" s="50"/>
      <c r="H32" s="51"/>
      <c r="I32" s="49"/>
      <c r="J32" s="48"/>
      <c r="K32" s="48"/>
      <c r="L32" s="52"/>
      <c r="M32" s="52"/>
      <c r="N32" s="48"/>
      <c r="O32" s="49"/>
      <c r="P32" s="48"/>
      <c r="S32" s="53">
        <v>14163795.778999999</v>
      </c>
      <c r="T32" s="1">
        <v>0.59</v>
      </c>
    </row>
    <row r="33" spans="1:20" ht="18.75" customHeight="1" x14ac:dyDescent="0.35">
      <c r="D33" s="47"/>
      <c r="E33" s="48"/>
      <c r="G33" s="50"/>
      <c r="H33" s="51"/>
      <c r="I33" s="49"/>
      <c r="J33" s="48"/>
      <c r="K33" s="48"/>
      <c r="L33" s="466"/>
      <c r="M33" s="52"/>
      <c r="N33" s="48"/>
      <c r="O33" s="49"/>
      <c r="P33" s="48"/>
      <c r="S33" s="55">
        <v>15836204.221000001</v>
      </c>
      <c r="T33" s="1">
        <v>0.43</v>
      </c>
    </row>
    <row r="34" spans="1:20" ht="18.75" customHeight="1" x14ac:dyDescent="0.35">
      <c r="D34" s="47"/>
      <c r="E34" s="48"/>
      <c r="F34" s="528"/>
      <c r="G34" s="50"/>
      <c r="H34" s="51"/>
      <c r="I34" s="49"/>
      <c r="J34" s="48"/>
      <c r="K34" s="48"/>
      <c r="L34" s="52"/>
      <c r="M34" s="52"/>
      <c r="N34" s="48"/>
      <c r="O34" s="49"/>
      <c r="P34" s="48"/>
      <c r="R34" s="2">
        <f>P34-P33</f>
        <v>0</v>
      </c>
      <c r="T34" s="1">
        <f>SUMPRODUCT(S32:S33,T32:T33)/SUM(S32:S33)</f>
        <v>0.50554024415466658</v>
      </c>
    </row>
    <row r="35" spans="1:20" ht="18" x14ac:dyDescent="0.3">
      <c r="D35" s="57"/>
      <c r="E35" s="58"/>
      <c r="G35" s="59"/>
      <c r="J35" s="5"/>
      <c r="K35" s="5"/>
      <c r="L35" s="5"/>
      <c r="M35" s="5"/>
      <c r="N35" s="2"/>
      <c r="O35" s="5"/>
      <c r="P35" s="8"/>
    </row>
    <row r="36" spans="1:20" x14ac:dyDescent="0.3">
      <c r="A36" s="2"/>
      <c r="B36" s="2"/>
      <c r="J36" s="5"/>
      <c r="K36" s="5"/>
      <c r="L36" s="5"/>
      <c r="M36" s="5"/>
      <c r="N36" s="2"/>
    </row>
    <row r="37" spans="1:20" x14ac:dyDescent="0.3">
      <c r="E37" s="2"/>
      <c r="F37" s="2"/>
      <c r="G37" s="2"/>
      <c r="H37" s="2"/>
      <c r="I37" s="60"/>
      <c r="J37" s="61"/>
      <c r="K37" s="61"/>
      <c r="L37" s="5"/>
      <c r="M37" s="5"/>
      <c r="N37" s="5"/>
      <c r="O37" s="5"/>
    </row>
    <row r="38" spans="1:20" x14ac:dyDescent="0.3">
      <c r="A38" s="53"/>
      <c r="B38" s="53"/>
      <c r="D38" s="2"/>
      <c r="E38" s="2"/>
      <c r="F38" s="2"/>
      <c r="G38" s="2"/>
      <c r="H38" s="2"/>
      <c r="I38" s="60"/>
      <c r="J38" s="61"/>
      <c r="K38" s="61"/>
      <c r="L38" s="5"/>
      <c r="M38" s="5"/>
      <c r="N38" s="5"/>
      <c r="O38" s="5"/>
    </row>
    <row r="39" spans="1:20" x14ac:dyDescent="0.3">
      <c r="E39" s="2"/>
      <c r="F39" s="2"/>
      <c r="G39" s="2"/>
      <c r="H39" s="2"/>
      <c r="I39" s="60"/>
      <c r="J39" s="61"/>
      <c r="K39" s="61"/>
      <c r="L39" s="5"/>
      <c r="M39" s="5"/>
      <c r="N39" s="5"/>
      <c r="O39" s="5"/>
    </row>
    <row r="40" spans="1:20" x14ac:dyDescent="0.3">
      <c r="E40" s="2"/>
      <c r="F40" s="2"/>
      <c r="G40" s="2"/>
      <c r="H40" s="2"/>
      <c r="I40" s="60"/>
      <c r="J40" s="61"/>
      <c r="K40" s="61"/>
      <c r="L40" s="5"/>
      <c r="M40" s="5"/>
      <c r="N40" s="5"/>
      <c r="O40" s="5"/>
      <c r="Q40" s="1">
        <v>29116933.085999999</v>
      </c>
    </row>
    <row r="41" spans="1:20" x14ac:dyDescent="0.3">
      <c r="E41" s="2"/>
      <c r="F41" s="2"/>
      <c r="G41" s="2"/>
      <c r="H41" s="2"/>
      <c r="I41" s="60"/>
      <c r="J41" s="61"/>
      <c r="K41" s="61"/>
      <c r="L41" s="5"/>
      <c r="M41" s="5"/>
      <c r="N41" s="5"/>
      <c r="O41" s="5"/>
    </row>
    <row r="42" spans="1:20" x14ac:dyDescent="0.3">
      <c r="E42" s="2"/>
      <c r="F42" s="2"/>
      <c r="G42" s="2"/>
      <c r="H42" s="2"/>
      <c r="I42" s="60"/>
      <c r="J42" s="61"/>
      <c r="K42" s="61"/>
      <c r="L42" s="5"/>
      <c r="M42" s="5"/>
      <c r="N42" s="5"/>
      <c r="O42" s="5"/>
    </row>
    <row r="43" spans="1:20" x14ac:dyDescent="0.3">
      <c r="E43" s="2"/>
      <c r="F43" s="2"/>
      <c r="G43" s="2"/>
      <c r="H43" s="2"/>
      <c r="I43" s="60"/>
      <c r="J43" s="61"/>
      <c r="K43" s="61"/>
      <c r="L43" s="5"/>
      <c r="M43" s="5"/>
      <c r="N43" s="8"/>
      <c r="O43" s="5"/>
    </row>
    <row r="44" spans="1:20" x14ac:dyDescent="0.3">
      <c r="E44" s="2"/>
      <c r="F44" s="2"/>
      <c r="G44" s="2"/>
      <c r="H44" s="2"/>
      <c r="I44" s="60"/>
      <c r="J44" s="61"/>
      <c r="K44" s="61"/>
      <c r="L44" s="5"/>
      <c r="M44" s="5"/>
      <c r="N44" s="5"/>
      <c r="O44" s="5"/>
    </row>
    <row r="45" spans="1:20" x14ac:dyDescent="0.3">
      <c r="E45" s="2"/>
      <c r="F45" s="2"/>
      <c r="G45" s="2"/>
      <c r="H45" s="2"/>
      <c r="I45" s="60"/>
      <c r="J45" s="61"/>
      <c r="K45" s="61"/>
      <c r="L45" s="5"/>
      <c r="M45" s="5"/>
      <c r="N45" s="5"/>
      <c r="O45" s="5"/>
      <c r="Q45" s="2"/>
      <c r="R45" s="2"/>
    </row>
    <row r="46" spans="1:20" x14ac:dyDescent="0.3">
      <c r="E46" s="2"/>
      <c r="F46" s="2"/>
      <c r="G46" s="2"/>
      <c r="H46" s="2"/>
      <c r="I46" s="60"/>
      <c r="J46" s="61"/>
      <c r="K46" s="61"/>
      <c r="L46" s="5"/>
      <c r="M46" s="5"/>
      <c r="N46" s="5"/>
      <c r="O46" s="5"/>
    </row>
    <row r="47" spans="1:20" x14ac:dyDescent="0.3">
      <c r="E47" s="2"/>
      <c r="F47" s="2"/>
      <c r="G47" s="2"/>
      <c r="H47" s="2"/>
      <c r="I47" s="60"/>
      <c r="J47" s="61"/>
      <c r="K47" s="61"/>
      <c r="L47" s="5"/>
      <c r="M47" s="5"/>
      <c r="N47" s="5"/>
      <c r="O47" s="5"/>
    </row>
    <row r="48" spans="1:20" x14ac:dyDescent="0.3">
      <c r="E48" s="2"/>
      <c r="F48" s="2"/>
      <c r="G48" s="2"/>
      <c r="H48" s="2"/>
      <c r="I48" s="60"/>
      <c r="J48" s="61"/>
      <c r="K48" s="61"/>
      <c r="L48" s="5"/>
      <c r="M48" s="5"/>
      <c r="N48" s="5"/>
      <c r="O48" s="5"/>
    </row>
    <row r="74" spans="16:16" x14ac:dyDescent="0.3">
      <c r="P74" s="1">
        <v>0.82565812076498268</v>
      </c>
    </row>
    <row r="75" spans="16:16" x14ac:dyDescent="0.3">
      <c r="P75" s="1">
        <v>0.39171475159489683</v>
      </c>
    </row>
    <row r="76" spans="16:16" x14ac:dyDescent="0.3">
      <c r="P76" s="1">
        <v>0.33133509304428244</v>
      </c>
    </row>
    <row r="77" spans="16:16" x14ac:dyDescent="0.3">
      <c r="P77" s="1">
        <v>0.4</v>
      </c>
    </row>
    <row r="78" spans="16:16" x14ac:dyDescent="0.3">
      <c r="P78" s="1">
        <f>AVERAGE(P74:P77)</f>
        <v>0.48717699135104053</v>
      </c>
    </row>
    <row r="167" spans="4:26" x14ac:dyDescent="0.3">
      <c r="D167" s="62"/>
    </row>
    <row r="172" spans="4:26" x14ac:dyDescent="0.3">
      <c r="Q172" s="423" t="s">
        <v>15</v>
      </c>
      <c r="R172" s="423" t="s">
        <v>16</v>
      </c>
      <c r="S172" s="423" t="s">
        <v>17</v>
      </c>
      <c r="T172" s="423" t="s">
        <v>18</v>
      </c>
      <c r="U172" s="423" t="s">
        <v>19</v>
      </c>
      <c r="V172" s="423" t="s">
        <v>20</v>
      </c>
      <c r="W172" s="423" t="s">
        <v>21</v>
      </c>
      <c r="X172" s="423" t="s">
        <v>22</v>
      </c>
      <c r="Y172" s="423" t="s">
        <v>23</v>
      </c>
      <c r="Z172" s="423" t="s">
        <v>24</v>
      </c>
    </row>
    <row r="173" spans="4:26" x14ac:dyDescent="0.3">
      <c r="Q173" s="63">
        <v>2461</v>
      </c>
      <c r="R173" s="63">
        <v>2507</v>
      </c>
      <c r="S173" s="63">
        <v>2464</v>
      </c>
      <c r="T173" s="63">
        <v>2615</v>
      </c>
      <c r="U173" s="63">
        <v>2421</v>
      </c>
      <c r="V173" s="63">
        <v>2877</v>
      </c>
      <c r="W173" s="63">
        <v>2579</v>
      </c>
      <c r="X173" s="63">
        <v>2313</v>
      </c>
      <c r="Y173" s="63">
        <v>2628.2752320354252</v>
      </c>
      <c r="Z173" s="63">
        <v>2476.2011236298968</v>
      </c>
    </row>
    <row r="183" spans="25:26" x14ac:dyDescent="0.3">
      <c r="Y183" s="1">
        <v>12279</v>
      </c>
    </row>
    <row r="186" spans="25:26" x14ac:dyDescent="0.3">
      <c r="Y186" s="1">
        <v>12272.83836516472</v>
      </c>
      <c r="Z186" s="1">
        <v>759138.08299999998</v>
      </c>
    </row>
    <row r="187" spans="25:26" x14ac:dyDescent="0.3">
      <c r="Y187" s="1">
        <v>12279</v>
      </c>
      <c r="Z187" s="1">
        <v>1895796</v>
      </c>
    </row>
    <row r="189" spans="25:26" x14ac:dyDescent="0.3">
      <c r="Z189" s="8">
        <f>SUMPRODUCT(Y186:Y187,Z186:Z187)/SUM(Z186:Z187)</f>
        <v>12277.238174089913</v>
      </c>
    </row>
    <row r="193" spans="17:26" x14ac:dyDescent="0.3">
      <c r="Q193" s="423" t="s">
        <v>15</v>
      </c>
      <c r="R193" s="423" t="s">
        <v>16</v>
      </c>
      <c r="S193" s="423" t="s">
        <v>17</v>
      </c>
      <c r="T193" s="423" t="s">
        <v>18</v>
      </c>
      <c r="U193" s="423" t="s">
        <v>19</v>
      </c>
      <c r="V193" s="423" t="s">
        <v>20</v>
      </c>
      <c r="W193" s="423" t="s">
        <v>21</v>
      </c>
      <c r="X193" s="423" t="s">
        <v>22</v>
      </c>
      <c r="Y193" s="423" t="s">
        <v>23</v>
      </c>
      <c r="Z193" s="423" t="s">
        <v>24</v>
      </c>
    </row>
    <row r="194" spans="17:26" x14ac:dyDescent="0.3">
      <c r="Q194" s="63">
        <v>15401</v>
      </c>
      <c r="R194" s="63">
        <v>15984</v>
      </c>
      <c r="S194" s="63">
        <v>15615</v>
      </c>
      <c r="T194" s="63">
        <v>15489</v>
      </c>
      <c r="U194" s="63">
        <v>15789</v>
      </c>
      <c r="V194" s="63">
        <v>15291</v>
      </c>
      <c r="W194" s="63">
        <v>16742</v>
      </c>
      <c r="X194" s="63">
        <v>16099</v>
      </c>
      <c r="Y194" s="63">
        <v>19190.767950603542</v>
      </c>
      <c r="Z194" s="63">
        <v>17094.711547981136</v>
      </c>
    </row>
    <row r="215" spans="17:26" x14ac:dyDescent="0.3">
      <c r="Q215" s="423" t="s">
        <v>15</v>
      </c>
      <c r="R215" s="423" t="s">
        <v>16</v>
      </c>
      <c r="S215" s="423" t="s">
        <v>17</v>
      </c>
      <c r="T215" s="423" t="s">
        <v>18</v>
      </c>
      <c r="U215" s="423" t="s">
        <v>19</v>
      </c>
      <c r="V215" s="423" t="s">
        <v>20</v>
      </c>
      <c r="W215" s="423" t="s">
        <v>21</v>
      </c>
      <c r="X215" s="423" t="s">
        <v>22</v>
      </c>
      <c r="Y215" s="423" t="s">
        <v>23</v>
      </c>
      <c r="Z215" s="423" t="s">
        <v>24</v>
      </c>
    </row>
    <row r="216" spans="17:26" x14ac:dyDescent="0.3">
      <c r="Q216" s="63">
        <v>15401</v>
      </c>
      <c r="R216" s="63">
        <v>15984</v>
      </c>
      <c r="S216" s="63">
        <v>15615</v>
      </c>
      <c r="T216" s="63">
        <v>15489</v>
      </c>
      <c r="U216" s="63">
        <v>15789</v>
      </c>
      <c r="V216" s="63">
        <v>15291</v>
      </c>
      <c r="W216" s="63">
        <v>16742</v>
      </c>
      <c r="X216" s="63">
        <v>16099</v>
      </c>
      <c r="Y216" s="63">
        <v>19190.767950603542</v>
      </c>
      <c r="Z216" s="63">
        <v>17094.711547981136</v>
      </c>
    </row>
  </sheetData>
  <mergeCells count="6">
    <mergeCell ref="Q8:Q9"/>
    <mergeCell ref="D8:D9"/>
    <mergeCell ref="E8:G8"/>
    <mergeCell ref="H8:J8"/>
    <mergeCell ref="K8:M8"/>
    <mergeCell ref="N8:P8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B2:P58"/>
  <sheetViews>
    <sheetView workbookViewId="0">
      <selection activeCell="C4" sqref="C4"/>
    </sheetView>
  </sheetViews>
  <sheetFormatPr defaultColWidth="9.44140625" defaultRowHeight="14.4" x14ac:dyDescent="0.3"/>
  <cols>
    <col min="1" max="1" width="9.44140625" style="1"/>
    <col min="2" max="2" width="22.5546875" style="1" bestFit="1" customWidth="1"/>
    <col min="3" max="4" width="14.44140625" style="1" bestFit="1" customWidth="1"/>
    <col min="5" max="5" width="14.5546875" style="1" bestFit="1" customWidth="1"/>
    <col min="6" max="6" width="15.44140625" style="1" customWidth="1"/>
    <col min="7" max="7" width="14.44140625" style="1" bestFit="1" customWidth="1"/>
    <col min="8" max="8" width="14.5546875" style="1" bestFit="1" customWidth="1"/>
    <col min="9" max="10" width="14.44140625" style="1" bestFit="1" customWidth="1"/>
    <col min="11" max="11" width="13.44140625" style="1" customWidth="1"/>
    <col min="12" max="12" width="13.5546875" style="1" customWidth="1"/>
    <col min="13" max="13" width="11.5546875" style="1" bestFit="1" customWidth="1"/>
    <col min="14" max="14" width="10.5546875" style="1" customWidth="1"/>
    <col min="15" max="16" width="17.44140625" style="1" bestFit="1" customWidth="1"/>
    <col min="17" max="16384" width="9.44140625" style="1"/>
  </cols>
  <sheetData>
    <row r="2" spans="2:11" ht="18" x14ac:dyDescent="0.3">
      <c r="B2" s="612" t="s">
        <v>3</v>
      </c>
      <c r="C2" s="614" t="s">
        <v>4</v>
      </c>
      <c r="D2" s="614"/>
      <c r="E2" s="614"/>
      <c r="F2" s="614" t="s">
        <v>5</v>
      </c>
      <c r="G2" s="614"/>
      <c r="H2" s="614"/>
      <c r="I2" s="614" t="s">
        <v>7</v>
      </c>
      <c r="J2" s="614"/>
      <c r="K2" s="614"/>
    </row>
    <row r="3" spans="2:11" ht="18" x14ac:dyDescent="0.35">
      <c r="B3" s="613"/>
      <c r="C3" s="421" t="s">
        <v>9</v>
      </c>
      <c r="D3" s="421" t="s">
        <v>10</v>
      </c>
      <c r="E3" s="149" t="s">
        <v>41</v>
      </c>
      <c r="F3" s="421" t="s">
        <v>9</v>
      </c>
      <c r="G3" s="421" t="s">
        <v>12</v>
      </c>
      <c r="H3" s="149" t="s">
        <v>41</v>
      </c>
      <c r="I3" s="421" t="s">
        <v>9</v>
      </c>
      <c r="J3" s="421" t="s">
        <v>10</v>
      </c>
      <c r="K3" s="268" t="s">
        <v>41</v>
      </c>
    </row>
    <row r="4" spans="2:11" ht="18" x14ac:dyDescent="0.35">
      <c r="B4" s="151" t="s">
        <v>13</v>
      </c>
      <c r="C4" s="152" t="e">
        <f>#REF!</f>
        <v>#REF!</v>
      </c>
      <c r="D4" s="153" t="e">
        <f>#REF!</f>
        <v>#REF!</v>
      </c>
      <c r="E4" s="267" t="e">
        <f>#REF!</f>
        <v>#REF!</v>
      </c>
      <c r="F4" s="155" t="e">
        <f>#REF!+#REF!</f>
        <v>#REF!</v>
      </c>
      <c r="G4" s="156" t="e">
        <f>#REF!</f>
        <v>#REF!</v>
      </c>
      <c r="H4" s="267" t="e">
        <f>P31</f>
        <v>#REF!</v>
      </c>
      <c r="I4" s="160" t="e">
        <f>C4+F4</f>
        <v>#REF!</v>
      </c>
      <c r="J4" s="161" t="e">
        <f>O45</f>
        <v>#REF!</v>
      </c>
      <c r="K4" s="269" t="e">
        <f>O31</f>
        <v>#REF!</v>
      </c>
    </row>
    <row r="5" spans="2:11" ht="18" x14ac:dyDescent="0.35">
      <c r="B5" s="151" t="s">
        <v>14</v>
      </c>
      <c r="C5" s="152" t="e">
        <f>#REF!</f>
        <v>#REF!</v>
      </c>
      <c r="D5" s="153" t="e">
        <f>#REF!</f>
        <v>#REF!</v>
      </c>
      <c r="E5" s="267" t="e">
        <f>#REF!</f>
        <v>#REF!</v>
      </c>
      <c r="F5" s="155" t="e">
        <f>#REF!+#REF!</f>
        <v>#REF!</v>
      </c>
      <c r="G5" s="156" t="e">
        <f>#REF!</f>
        <v>#REF!</v>
      </c>
      <c r="H5" s="267" t="e">
        <f t="shared" ref="H5:H15" si="0">P32</f>
        <v>#REF!</v>
      </c>
      <c r="I5" s="160" t="e">
        <f t="shared" ref="I5:I15" si="1">C5+F5</f>
        <v>#REF!</v>
      </c>
      <c r="J5" s="161" t="e">
        <f t="shared" ref="J5:J15" si="2">O46</f>
        <v>#REF!</v>
      </c>
      <c r="K5" s="269" t="e">
        <f t="shared" ref="K5:K15" si="3">O32</f>
        <v>#REF!</v>
      </c>
    </row>
    <row r="6" spans="2:11" ht="18" x14ac:dyDescent="0.35">
      <c r="B6" s="151" t="s">
        <v>15</v>
      </c>
      <c r="C6" s="152" t="e">
        <f>#REF!</f>
        <v>#REF!</v>
      </c>
      <c r="D6" s="153" t="e">
        <f>#REF!</f>
        <v>#REF!</v>
      </c>
      <c r="E6" s="267" t="e">
        <f>#REF!</f>
        <v>#REF!</v>
      </c>
      <c r="F6" s="155" t="e">
        <f>#REF!+#REF!</f>
        <v>#REF!</v>
      </c>
      <c r="G6" s="156" t="e">
        <f>#REF!</f>
        <v>#REF!</v>
      </c>
      <c r="H6" s="267" t="e">
        <f t="shared" si="0"/>
        <v>#REF!</v>
      </c>
      <c r="I6" s="160" t="e">
        <f t="shared" si="1"/>
        <v>#REF!</v>
      </c>
      <c r="J6" s="161" t="e">
        <f t="shared" si="2"/>
        <v>#REF!</v>
      </c>
      <c r="K6" s="269" t="e">
        <f t="shared" si="3"/>
        <v>#REF!</v>
      </c>
    </row>
    <row r="7" spans="2:11" ht="18" x14ac:dyDescent="0.35">
      <c r="B7" s="151" t="s">
        <v>16</v>
      </c>
      <c r="C7" s="152" t="e">
        <f>#REF!</f>
        <v>#REF!</v>
      </c>
      <c r="D7" s="153" t="e">
        <f>#REF!</f>
        <v>#REF!</v>
      </c>
      <c r="E7" s="267" t="e">
        <f>#REF!</f>
        <v>#REF!</v>
      </c>
      <c r="F7" s="155" t="e">
        <f>#REF!+#REF!</f>
        <v>#REF!</v>
      </c>
      <c r="G7" s="156" t="e">
        <f>#REF!</f>
        <v>#REF!</v>
      </c>
      <c r="H7" s="267" t="e">
        <f t="shared" si="0"/>
        <v>#REF!</v>
      </c>
      <c r="I7" s="160" t="e">
        <f t="shared" si="1"/>
        <v>#REF!</v>
      </c>
      <c r="J7" s="161" t="e">
        <f t="shared" si="2"/>
        <v>#REF!</v>
      </c>
      <c r="K7" s="269" t="e">
        <f t="shared" si="3"/>
        <v>#REF!</v>
      </c>
    </row>
    <row r="8" spans="2:11" ht="18" x14ac:dyDescent="0.35">
      <c r="B8" s="151" t="s">
        <v>17</v>
      </c>
      <c r="C8" s="152" t="e">
        <f>#REF!</f>
        <v>#REF!</v>
      </c>
      <c r="D8" s="153" t="e">
        <f>#REF!</f>
        <v>#REF!</v>
      </c>
      <c r="E8" s="267" t="e">
        <f>#REF!</f>
        <v>#REF!</v>
      </c>
      <c r="F8" s="155" t="e">
        <f>#REF!+#REF!</f>
        <v>#REF!</v>
      </c>
      <c r="G8" s="156" t="e">
        <f>#REF!</f>
        <v>#REF!</v>
      </c>
      <c r="H8" s="267" t="e">
        <f t="shared" si="0"/>
        <v>#REF!</v>
      </c>
      <c r="I8" s="160" t="e">
        <f t="shared" si="1"/>
        <v>#REF!</v>
      </c>
      <c r="J8" s="161" t="e">
        <f t="shared" si="2"/>
        <v>#REF!</v>
      </c>
      <c r="K8" s="269" t="e">
        <f t="shared" si="3"/>
        <v>#REF!</v>
      </c>
    </row>
    <row r="9" spans="2:11" ht="18" x14ac:dyDescent="0.35">
      <c r="B9" s="164" t="s">
        <v>18</v>
      </c>
      <c r="C9" s="152" t="e">
        <f>#REF!</f>
        <v>#REF!</v>
      </c>
      <c r="D9" s="153" t="e">
        <f>#REF!</f>
        <v>#REF!</v>
      </c>
      <c r="E9" s="267" t="e">
        <f>#REF!</f>
        <v>#REF!</v>
      </c>
      <c r="F9" s="155" t="e">
        <f>#REF!+#REF!</f>
        <v>#REF!</v>
      </c>
      <c r="G9" s="156" t="e">
        <f>#REF!</f>
        <v>#REF!</v>
      </c>
      <c r="H9" s="267" t="e">
        <f t="shared" si="0"/>
        <v>#REF!</v>
      </c>
      <c r="I9" s="160" t="e">
        <f t="shared" si="1"/>
        <v>#REF!</v>
      </c>
      <c r="J9" s="161" t="e">
        <f t="shared" si="2"/>
        <v>#REF!</v>
      </c>
      <c r="K9" s="269" t="e">
        <f t="shared" si="3"/>
        <v>#REF!</v>
      </c>
    </row>
    <row r="10" spans="2:11" ht="18" x14ac:dyDescent="0.35">
      <c r="B10" s="151" t="s">
        <v>19</v>
      </c>
      <c r="C10" s="152" t="e">
        <f>#REF!</f>
        <v>#REF!</v>
      </c>
      <c r="D10" s="153" t="e">
        <f>#REF!</f>
        <v>#REF!</v>
      </c>
      <c r="E10" s="267" t="e">
        <f>#REF!</f>
        <v>#REF!</v>
      </c>
      <c r="F10" s="155" t="e">
        <f>#REF!+#REF!</f>
        <v>#REF!</v>
      </c>
      <c r="G10" s="156" t="e">
        <f>#REF!</f>
        <v>#REF!</v>
      </c>
      <c r="H10" s="267" t="e">
        <f t="shared" si="0"/>
        <v>#REF!</v>
      </c>
      <c r="I10" s="160" t="e">
        <f t="shared" si="1"/>
        <v>#REF!</v>
      </c>
      <c r="J10" s="161" t="e">
        <f t="shared" si="2"/>
        <v>#REF!</v>
      </c>
      <c r="K10" s="269" t="e">
        <f t="shared" si="3"/>
        <v>#REF!</v>
      </c>
    </row>
    <row r="11" spans="2:11" ht="18" x14ac:dyDescent="0.35">
      <c r="B11" s="164" t="s">
        <v>20</v>
      </c>
      <c r="C11" s="152" t="e">
        <f>#REF!</f>
        <v>#REF!</v>
      </c>
      <c r="D11" s="153" t="e">
        <f>#REF!</f>
        <v>#REF!</v>
      </c>
      <c r="E11" s="267" t="e">
        <f>#REF!</f>
        <v>#REF!</v>
      </c>
      <c r="F11" s="155" t="e">
        <f>#REF!+#REF!</f>
        <v>#REF!</v>
      </c>
      <c r="G11" s="156" t="e">
        <f>#REF!</f>
        <v>#REF!</v>
      </c>
      <c r="H11" s="267" t="e">
        <f t="shared" si="0"/>
        <v>#REF!</v>
      </c>
      <c r="I11" s="160" t="e">
        <f t="shared" si="1"/>
        <v>#REF!</v>
      </c>
      <c r="J11" s="161" t="e">
        <f t="shared" si="2"/>
        <v>#REF!</v>
      </c>
      <c r="K11" s="269" t="e">
        <f t="shared" si="3"/>
        <v>#REF!</v>
      </c>
    </row>
    <row r="12" spans="2:11" ht="18" x14ac:dyDescent="0.35">
      <c r="B12" s="237" t="s">
        <v>21</v>
      </c>
      <c r="C12" s="152" t="e">
        <f>#REF!</f>
        <v>#REF!</v>
      </c>
      <c r="D12" s="153" t="e">
        <f>#REF!</f>
        <v>#REF!</v>
      </c>
      <c r="E12" s="267" t="e">
        <f>#REF!</f>
        <v>#REF!</v>
      </c>
      <c r="F12" s="155" t="e">
        <f>#REF!+#REF!</f>
        <v>#REF!</v>
      </c>
      <c r="G12" s="156" t="e">
        <f>#REF!</f>
        <v>#REF!</v>
      </c>
      <c r="H12" s="267" t="e">
        <f t="shared" si="0"/>
        <v>#REF!</v>
      </c>
      <c r="I12" s="160" t="e">
        <f t="shared" si="1"/>
        <v>#REF!</v>
      </c>
      <c r="J12" s="161" t="e">
        <f t="shared" si="2"/>
        <v>#REF!</v>
      </c>
      <c r="K12" s="269" t="e">
        <f t="shared" si="3"/>
        <v>#REF!</v>
      </c>
    </row>
    <row r="13" spans="2:11" ht="18" x14ac:dyDescent="0.35">
      <c r="B13" s="237" t="s">
        <v>22</v>
      </c>
      <c r="C13" s="152" t="e">
        <f>#REF!</f>
        <v>#REF!</v>
      </c>
      <c r="D13" s="153" t="e">
        <f>#REF!</f>
        <v>#REF!</v>
      </c>
      <c r="E13" s="267" t="e">
        <f>#REF!</f>
        <v>#REF!</v>
      </c>
      <c r="F13" s="155" t="e">
        <f>#REF!+#REF!</f>
        <v>#REF!</v>
      </c>
      <c r="G13" s="156" t="e">
        <f>#REF!</f>
        <v>#REF!</v>
      </c>
      <c r="H13" s="267" t="e">
        <f t="shared" si="0"/>
        <v>#REF!</v>
      </c>
      <c r="I13" s="160" t="e">
        <f t="shared" si="1"/>
        <v>#REF!</v>
      </c>
      <c r="J13" s="161" t="e">
        <f t="shared" si="2"/>
        <v>#REF!</v>
      </c>
      <c r="K13" s="269" t="e">
        <f t="shared" si="3"/>
        <v>#REF!</v>
      </c>
    </row>
    <row r="14" spans="2:11" ht="18" x14ac:dyDescent="0.35">
      <c r="B14" s="189" t="s">
        <v>23</v>
      </c>
      <c r="C14" s="230" t="e">
        <f>#REF!</f>
        <v>#REF!</v>
      </c>
      <c r="D14" s="258" t="e">
        <f>#REF!</f>
        <v>#REF!</v>
      </c>
      <c r="E14" s="277" t="e">
        <f>#REF!</f>
        <v>#REF!</v>
      </c>
      <c r="F14" s="278" t="e">
        <f>#REF!+#REF!</f>
        <v>#REF!</v>
      </c>
      <c r="G14" s="259" t="e">
        <f>#REF!</f>
        <v>#REF!</v>
      </c>
      <c r="H14" s="277" t="e">
        <f t="shared" si="0"/>
        <v>#REF!</v>
      </c>
      <c r="I14" s="279" t="e">
        <f t="shared" si="1"/>
        <v>#REF!</v>
      </c>
      <c r="J14" s="280" t="e">
        <f t="shared" si="2"/>
        <v>#REF!</v>
      </c>
      <c r="K14" s="281" t="e">
        <f t="shared" si="3"/>
        <v>#REF!</v>
      </c>
    </row>
    <row r="15" spans="2:11" ht="18" x14ac:dyDescent="0.35">
      <c r="B15" s="189" t="s">
        <v>24</v>
      </c>
      <c r="C15" s="230" t="e">
        <f>#REF!</f>
        <v>#REF!</v>
      </c>
      <c r="D15" s="258" t="e">
        <f>#REF!</f>
        <v>#REF!</v>
      </c>
      <c r="E15" s="277" t="e">
        <f>#REF!</f>
        <v>#REF!</v>
      </c>
      <c r="F15" s="278" t="e">
        <f>#REF!+#REF!</f>
        <v>#REF!</v>
      </c>
      <c r="G15" s="259" t="e">
        <f>#REF!</f>
        <v>#REF!</v>
      </c>
      <c r="H15" s="277" t="e">
        <f t="shared" si="0"/>
        <v>#REF!</v>
      </c>
      <c r="I15" s="279" t="e">
        <f t="shared" si="1"/>
        <v>#REF!</v>
      </c>
      <c r="J15" s="280" t="e">
        <f t="shared" si="2"/>
        <v>#REF!</v>
      </c>
      <c r="K15" s="281" t="e">
        <f t="shared" si="3"/>
        <v>#REF!</v>
      </c>
    </row>
    <row r="16" spans="2:11" ht="18" x14ac:dyDescent="0.35">
      <c r="B16" s="9"/>
      <c r="C16" s="10"/>
      <c r="D16" s="11"/>
      <c r="E16" s="12"/>
      <c r="F16" s="10"/>
      <c r="G16" s="13"/>
      <c r="H16" s="12"/>
      <c r="I16" s="16"/>
      <c r="J16" s="17"/>
      <c r="K16" s="18"/>
    </row>
    <row r="17" spans="2:16" ht="18" x14ac:dyDescent="0.35">
      <c r="B17" s="201" t="s">
        <v>25</v>
      </c>
      <c r="C17" s="202" t="e">
        <f>SUM(C4:C6)</f>
        <v>#REF!</v>
      </c>
      <c r="D17" s="203" t="e">
        <f>SUMPRODUCT(C4:C6,D4:D6)/SUM(C4:C6)</f>
        <v>#REF!</v>
      </c>
      <c r="E17" s="270" t="e">
        <f>SUM(E4:E6)</f>
        <v>#REF!</v>
      </c>
      <c r="F17" s="205" t="e">
        <f>SUM(F4:F15)</f>
        <v>#REF!</v>
      </c>
      <c r="G17" s="206" t="e">
        <f>SUMPRODUCT(F4:F6,G4:G6)/SUM(F4:F6)</f>
        <v>#REF!</v>
      </c>
      <c r="H17" s="273" t="e">
        <f>SUM(H4:H6)</f>
        <v>#REF!</v>
      </c>
      <c r="I17" s="202" t="e">
        <f>SUM(I4:I6)</f>
        <v>#REF!</v>
      </c>
      <c r="J17" s="210" t="e">
        <f>SUMPRODUCT(I4:I6,J4:J6)/SUM(I4:I6)</f>
        <v>#REF!</v>
      </c>
      <c r="K17" s="275" t="e">
        <f>SUM(K4:K6)</f>
        <v>#REF!</v>
      </c>
    </row>
    <row r="18" spans="2:16" ht="18" x14ac:dyDescent="0.35">
      <c r="B18" s="201" t="s">
        <v>26</v>
      </c>
      <c r="C18" s="202" t="e">
        <f>SUM(C7:C9)</f>
        <v>#REF!</v>
      </c>
      <c r="D18" s="203" t="e">
        <f>SUMPRODUCT(C7:C9,D7:D9)/SUM(C7:C9)</f>
        <v>#REF!</v>
      </c>
      <c r="E18" s="270" t="e">
        <f>SUM(E7:E9)</f>
        <v>#REF!</v>
      </c>
      <c r="F18" s="212" t="e">
        <f>SUM(F7:F9)</f>
        <v>#REF!</v>
      </c>
      <c r="G18" s="206" t="e">
        <f>SUMPRODUCT(F7:F9,G7:G9)/SUM(F7:F9)</f>
        <v>#REF!</v>
      </c>
      <c r="H18" s="273" t="e">
        <f>SUM(H7:H9)</f>
        <v>#REF!</v>
      </c>
      <c r="I18" s="202" t="e">
        <f>SUM(I7:I9)</f>
        <v>#REF!</v>
      </c>
      <c r="J18" s="210" t="e">
        <f>SUMPRODUCT(I7:I9,J7:J9)/SUM(I7:I9)</f>
        <v>#REF!</v>
      </c>
      <c r="K18" s="275" t="e">
        <f>SUM(K7:K9)</f>
        <v>#REF!</v>
      </c>
    </row>
    <row r="19" spans="2:16" ht="18" x14ac:dyDescent="0.35">
      <c r="B19" s="190" t="s">
        <v>42</v>
      </c>
      <c r="C19" s="191" t="e">
        <f>SUM(C4:C9)</f>
        <v>#REF!</v>
      </c>
      <c r="D19" s="192" t="e">
        <f>SUMPRODUCT(C4:C9,D4:D9)/SUM(C4:C9)</f>
        <v>#REF!</v>
      </c>
      <c r="E19" s="271" t="e">
        <f>SUM(E4:E9)</f>
        <v>#REF!</v>
      </c>
      <c r="F19" s="194" t="e">
        <f>SUM(F4:F9)</f>
        <v>#REF!</v>
      </c>
      <c r="G19" s="192" t="e">
        <f>SUMPRODUCT(F4:F9,G4:G9)/SUM(F4:F9)</f>
        <v>#REF!</v>
      </c>
      <c r="H19" s="274" t="e">
        <f>SUM(H4:H9)</f>
        <v>#REF!</v>
      </c>
      <c r="I19" s="198" t="e">
        <f>SUM(I4:I9)</f>
        <v>#REF!</v>
      </c>
      <c r="J19" s="192" t="e">
        <f>SUMPRODUCT(I4:I9,J4:J9)/SUM(I4:I9)</f>
        <v>#REF!</v>
      </c>
      <c r="K19" s="274" t="e">
        <f>SUM(K4:K9)</f>
        <v>#REF!</v>
      </c>
    </row>
    <row r="20" spans="2:16" ht="18" x14ac:dyDescent="0.35">
      <c r="B20" s="201" t="s">
        <v>43</v>
      </c>
      <c r="C20" s="205" t="e">
        <f>SUM(C10:C12)</f>
        <v>#REF!</v>
      </c>
      <c r="D20" s="203" t="e">
        <f>SUMPRODUCT(C10:C12,D10:D12)/SUM(C10:C12)</f>
        <v>#REF!</v>
      </c>
      <c r="E20" s="270" t="e">
        <f>SUM(E10:E12)</f>
        <v>#REF!</v>
      </c>
      <c r="F20" s="205" t="e">
        <f>SUM(F10:F12)</f>
        <v>#REF!</v>
      </c>
      <c r="G20" s="203" t="e">
        <f>SUMPRODUCT(F10:F12,G10:G12)/SUM(F10:F12)</f>
        <v>#REF!</v>
      </c>
      <c r="H20" s="270" t="e">
        <f>SUM(H10:H12)</f>
        <v>#REF!</v>
      </c>
      <c r="I20" s="202" t="e">
        <f>SUM(I10:I12)</f>
        <v>#REF!</v>
      </c>
      <c r="J20" s="210" t="e">
        <f>SUMPRODUCT(I10:I12,J10:J12)/SUM(I10:I12)</f>
        <v>#REF!</v>
      </c>
      <c r="K20" s="275" t="e">
        <f>SUM(K10:K12)</f>
        <v>#REF!</v>
      </c>
    </row>
    <row r="21" spans="2:16" ht="18" x14ac:dyDescent="0.35">
      <c r="B21" s="199" t="s">
        <v>29</v>
      </c>
      <c r="C21" s="25" t="e">
        <f>SUM(C13:C15)</f>
        <v>#REF!</v>
      </c>
      <c r="D21" s="20" t="e">
        <f>SUMPRODUCT(C13:C15,D13:D15)/SUM(C13:C15)</f>
        <v>#REF!</v>
      </c>
      <c r="E21" s="272" t="e">
        <f>SUM(E13:E15)</f>
        <v>#REF!</v>
      </c>
      <c r="F21" s="21" t="e">
        <f>SUM(F13:F15)</f>
        <v>#REF!</v>
      </c>
      <c r="G21" s="20" t="e">
        <f>SUMPRODUCT(F13:F15,G13:G15)/SUM(F13:F15)</f>
        <v>#REF!</v>
      </c>
      <c r="H21" s="272" t="e">
        <f>SUM(H13:H15)</f>
        <v>#REF!</v>
      </c>
      <c r="I21" s="28" t="e">
        <f>SUM(I13:I15)</f>
        <v>#REF!</v>
      </c>
      <c r="J21" s="29" t="e">
        <f>SUMPRODUCT(I13:I15,J13:J15)/SUM(I13:I15)</f>
        <v>#REF!</v>
      </c>
      <c r="K21" s="276" t="e">
        <f>SUM(K13:K15)</f>
        <v>#REF!</v>
      </c>
    </row>
    <row r="22" spans="2:16" ht="18" x14ac:dyDescent="0.35">
      <c r="B22" s="24" t="s">
        <v>30</v>
      </c>
      <c r="C22" s="25" t="e">
        <f>SUM(C10:C15)</f>
        <v>#REF!</v>
      </c>
      <c r="D22" s="20" t="e">
        <f>SUMPRODUCT(C10:C15,D10:D15)/SUM(C10:C15)</f>
        <v>#REF!</v>
      </c>
      <c r="E22" s="272" t="e">
        <f>SUM(E10:E15)</f>
        <v>#REF!</v>
      </c>
      <c r="F22" s="21" t="e">
        <f>SUM(F10:F15)</f>
        <v>#REF!</v>
      </c>
      <c r="G22" s="20" t="e">
        <f>SUMPRODUCT(F10:F15,G10:G15)/SUM(F10:F15)</f>
        <v>#REF!</v>
      </c>
      <c r="H22" s="272" t="e">
        <f>SUM(H10:H15)</f>
        <v>#REF!</v>
      </c>
      <c r="I22" s="28" t="e">
        <f>SUM(I10:I15)</f>
        <v>#REF!</v>
      </c>
      <c r="J22" s="29" t="e">
        <f>SUMPRODUCT(I10:I15,J10:J15)/SUM(I10:I15)</f>
        <v>#REF!</v>
      </c>
      <c r="K22" s="276" t="e">
        <f>SUM(K10:K15)</f>
        <v>#REF!</v>
      </c>
    </row>
    <row r="23" spans="2:16" x14ac:dyDescent="0.3">
      <c r="D23" s="31"/>
      <c r="E23" s="32"/>
      <c r="F23" s="33"/>
      <c r="G23" s="31"/>
      <c r="H23" s="32"/>
      <c r="I23" s="36"/>
      <c r="J23" s="37"/>
      <c r="K23" s="38"/>
    </row>
    <row r="24" spans="2:16" ht="18" x14ac:dyDescent="0.35">
      <c r="B24" s="168" t="s">
        <v>44</v>
      </c>
      <c r="C24" s="169" t="e">
        <f>SUM(C4:C9)</f>
        <v>#REF!</v>
      </c>
      <c r="D24" s="170" t="e">
        <f>SUMPRODUCT(C4:C9,D4:D9)/SUM(C4:C9)</f>
        <v>#REF!</v>
      </c>
      <c r="E24" s="170" t="e">
        <f>SUMPRODUCT(C4:C9,E4:E9)/SUM(C4:C9)</f>
        <v>#REF!</v>
      </c>
      <c r="F24" s="282" t="e">
        <f>SUM(F4:F9)</f>
        <v>#REF!</v>
      </c>
      <c r="G24" s="170" t="e">
        <f>SUMPRODUCT(F4:F9,G4:G9)/SUM(F4:F9)</f>
        <v>#REF!</v>
      </c>
      <c r="H24" s="170" t="e">
        <f>SUMPRODUCT(F4:F9,H4:H9)/SUM(F4:F9)</f>
        <v>#REF!</v>
      </c>
      <c r="I24" s="169" t="e">
        <f>SUM(I4:I9)</f>
        <v>#REF!</v>
      </c>
      <c r="J24" s="170" t="e">
        <f>SUMPRODUCT(I4:I9,J4:J9)/SUM(I4:I9)</f>
        <v>#REF!</v>
      </c>
      <c r="K24" s="170" t="e">
        <f>SUMPRODUCT(I4:I9,K4:K9)/SUM(I4:I9)</f>
        <v>#REF!</v>
      </c>
    </row>
    <row r="25" spans="2:16" ht="18" x14ac:dyDescent="0.35">
      <c r="B25" s="168" t="s">
        <v>45</v>
      </c>
      <c r="C25" s="169" t="e">
        <f>SUM(C4:C15)</f>
        <v>#REF!</v>
      </c>
      <c r="D25" s="170" t="e">
        <f>SUMPRODUCT(C4:C15,D4:D15)/SUM(C4:C15)</f>
        <v>#REF!</v>
      </c>
      <c r="E25" s="170" t="e">
        <f>SUMPRODUCT(C4:C15,E4:E15)/SUM(C4:C15)</f>
        <v>#REF!</v>
      </c>
      <c r="F25" s="169" t="e">
        <f>SUM(F4:F15)</f>
        <v>#REF!</v>
      </c>
      <c r="G25" s="170" t="e">
        <f>SUMPRODUCT(F4:F15,G4:G15)/SUM(F4:F15)</f>
        <v>#REF!</v>
      </c>
      <c r="H25" s="170" t="e">
        <f>SUMPRODUCT(F4:F15,H4:H15)/SUM(F4:F15)</f>
        <v>#REF!</v>
      </c>
      <c r="I25" s="169" t="e">
        <f>SUM(I4:I15)</f>
        <v>#REF!</v>
      </c>
      <c r="J25" s="170" t="e">
        <f>SUMPRODUCT(I4:I15,J4:J15)/SUM(I4:I15)</f>
        <v>#REF!</v>
      </c>
      <c r="K25" s="170" t="e">
        <f>SUMPRODUCT(I4:I15,K4:K15)/SUM(I4:I15)</f>
        <v>#REF!</v>
      </c>
    </row>
    <row r="30" spans="2:16" x14ac:dyDescent="0.3">
      <c r="B30" s="620" t="s">
        <v>46</v>
      </c>
      <c r="C30" s="620"/>
      <c r="D30" s="620"/>
      <c r="E30" s="620"/>
      <c r="G30" s="611" t="s">
        <v>47</v>
      </c>
      <c r="H30" s="611"/>
      <c r="I30" s="611"/>
      <c r="J30" s="2" t="s">
        <v>48</v>
      </c>
      <c r="K30" s="2"/>
      <c r="L30" s="611" t="s">
        <v>49</v>
      </c>
      <c r="M30" s="611"/>
      <c r="N30" s="611"/>
      <c r="O30" s="2" t="s">
        <v>50</v>
      </c>
      <c r="P30" s="1" t="s">
        <v>51</v>
      </c>
    </row>
    <row r="31" spans="2:16" x14ac:dyDescent="0.3">
      <c r="B31" s="123" t="s">
        <v>13</v>
      </c>
      <c r="C31" s="123" t="e">
        <f>#REF!</f>
        <v>#REF!</v>
      </c>
      <c r="D31" s="123" t="e">
        <f>#REF!</f>
        <v>#REF!</v>
      </c>
      <c r="E31" s="123" t="e">
        <f>#REF!</f>
        <v>#REF!</v>
      </c>
      <c r="G31" s="60" t="e">
        <f>#REF!</f>
        <v>#REF!</v>
      </c>
      <c r="H31" s="5" t="e">
        <f>#REF!</f>
        <v>#REF!</v>
      </c>
      <c r="I31" s="61" t="e">
        <f>#REF!</f>
        <v>#REF!</v>
      </c>
      <c r="J31" s="5" t="e">
        <f>SUMPRODUCT($C$31:$E$31,G31:I31)/SUM($C$31:$E$31)</f>
        <v>#REF!</v>
      </c>
      <c r="K31" s="61"/>
      <c r="L31" s="60" t="e">
        <f>#REF!</f>
        <v>#REF!</v>
      </c>
      <c r="M31" s="61" t="e">
        <f>#REF!</f>
        <v>#REF!</v>
      </c>
      <c r="N31" s="61" t="e">
        <f>#REF!</f>
        <v>#REF!</v>
      </c>
      <c r="O31" s="60" t="e">
        <f>SUMPRODUCT(C31:E31,L31:N31)/SUM(C31:E31)</f>
        <v>#REF!</v>
      </c>
      <c r="P31" s="60" t="e">
        <f>SUMPRODUCT(D31:E31,M31:N31)/SUM(D31:E31)</f>
        <v>#REF!</v>
      </c>
    </row>
    <row r="32" spans="2:16" x14ac:dyDescent="0.3">
      <c r="B32" s="123" t="s">
        <v>14</v>
      </c>
      <c r="C32" s="123" t="e">
        <f>#REF!</f>
        <v>#REF!</v>
      </c>
      <c r="D32" s="123" t="e">
        <f>#REF!</f>
        <v>#REF!</v>
      </c>
      <c r="E32" s="123" t="e">
        <f>#REF!</f>
        <v>#REF!</v>
      </c>
      <c r="G32" s="60" t="e">
        <f>#REF!</f>
        <v>#REF!</v>
      </c>
      <c r="H32" s="5" t="e">
        <f>#REF!</f>
        <v>#REF!</v>
      </c>
      <c r="I32" s="61" t="e">
        <f>#REF!</f>
        <v>#REF!</v>
      </c>
      <c r="J32" s="5" t="e">
        <f t="shared" ref="J32:J42" si="4">SUMPRODUCT($C$31:$E$31,G32:I32)/SUM($C$31:$E$31)</f>
        <v>#REF!</v>
      </c>
      <c r="K32" s="61"/>
      <c r="L32" s="60" t="e">
        <f>#REF!</f>
        <v>#REF!</v>
      </c>
      <c r="M32" s="61" t="e">
        <f>#REF!</f>
        <v>#REF!</v>
      </c>
      <c r="N32" s="61" t="e">
        <f>#REF!</f>
        <v>#REF!</v>
      </c>
      <c r="O32" s="60" t="e">
        <f t="shared" ref="O32:O42" si="5">SUMPRODUCT(C32:E32,L32:N32)/SUM(C32:E32)</f>
        <v>#REF!</v>
      </c>
      <c r="P32" s="60" t="e">
        <f t="shared" ref="P32:P42" si="6">SUMPRODUCT(D32:E32,M32:N32)/SUM(D32:E32)</f>
        <v>#REF!</v>
      </c>
    </row>
    <row r="33" spans="2:16" x14ac:dyDescent="0.3">
      <c r="B33" s="123" t="s">
        <v>15</v>
      </c>
      <c r="C33" s="123" t="e">
        <f>#REF!</f>
        <v>#REF!</v>
      </c>
      <c r="D33" s="123" t="e">
        <f>#REF!</f>
        <v>#REF!</v>
      </c>
      <c r="E33" s="123" t="e">
        <f>#REF!</f>
        <v>#REF!</v>
      </c>
      <c r="G33" s="60" t="e">
        <f>#REF!</f>
        <v>#REF!</v>
      </c>
      <c r="H33" s="5" t="e">
        <f>#REF!</f>
        <v>#REF!</v>
      </c>
      <c r="I33" s="61" t="e">
        <f>#REF!</f>
        <v>#REF!</v>
      </c>
      <c r="J33" s="5" t="e">
        <f t="shared" si="4"/>
        <v>#REF!</v>
      </c>
      <c r="K33" s="61"/>
      <c r="L33" s="60" t="e">
        <f>#REF!</f>
        <v>#REF!</v>
      </c>
      <c r="M33" s="61" t="e">
        <f>#REF!</f>
        <v>#REF!</v>
      </c>
      <c r="N33" s="61" t="e">
        <f>#REF!</f>
        <v>#REF!</v>
      </c>
      <c r="O33" s="60" t="e">
        <f t="shared" si="5"/>
        <v>#REF!</v>
      </c>
      <c r="P33" s="60" t="e">
        <f t="shared" si="6"/>
        <v>#REF!</v>
      </c>
    </row>
    <row r="34" spans="2:16" x14ac:dyDescent="0.3">
      <c r="B34" s="123" t="s">
        <v>16</v>
      </c>
      <c r="C34" s="123" t="e">
        <f>#REF!</f>
        <v>#REF!</v>
      </c>
      <c r="D34" s="123" t="e">
        <f>#REF!</f>
        <v>#REF!</v>
      </c>
      <c r="E34" s="123" t="e">
        <f>#REF!</f>
        <v>#REF!</v>
      </c>
      <c r="G34" s="60" t="e">
        <f>#REF!</f>
        <v>#REF!</v>
      </c>
      <c r="H34" s="5" t="e">
        <f>#REF!</f>
        <v>#REF!</v>
      </c>
      <c r="I34" s="61" t="e">
        <f>#REF!</f>
        <v>#REF!</v>
      </c>
      <c r="J34" s="5" t="e">
        <f t="shared" si="4"/>
        <v>#REF!</v>
      </c>
      <c r="K34" s="61"/>
      <c r="L34" s="60" t="e">
        <f>#REF!</f>
        <v>#REF!</v>
      </c>
      <c r="M34" s="61" t="e">
        <f>#REF!</f>
        <v>#REF!</v>
      </c>
      <c r="N34" s="61" t="e">
        <f>#REF!</f>
        <v>#REF!</v>
      </c>
      <c r="O34" s="60" t="e">
        <f t="shared" si="5"/>
        <v>#REF!</v>
      </c>
      <c r="P34" s="60" t="e">
        <f t="shared" si="6"/>
        <v>#REF!</v>
      </c>
    </row>
    <row r="35" spans="2:16" x14ac:dyDescent="0.3">
      <c r="B35" s="123" t="s">
        <v>17</v>
      </c>
      <c r="C35" s="123" t="e">
        <f>#REF!</f>
        <v>#REF!</v>
      </c>
      <c r="D35" s="123" t="e">
        <f>#REF!</f>
        <v>#REF!</v>
      </c>
      <c r="E35" s="123" t="e">
        <f>#REF!</f>
        <v>#REF!</v>
      </c>
      <c r="G35" s="60" t="e">
        <f>#REF!</f>
        <v>#REF!</v>
      </c>
      <c r="H35" s="5" t="e">
        <f>#REF!</f>
        <v>#REF!</v>
      </c>
      <c r="I35" s="61" t="e">
        <f>#REF!</f>
        <v>#REF!</v>
      </c>
      <c r="J35" s="5" t="e">
        <f t="shared" si="4"/>
        <v>#REF!</v>
      </c>
      <c r="K35" s="61"/>
      <c r="L35" s="60" t="e">
        <f>#REF!</f>
        <v>#REF!</v>
      </c>
      <c r="M35" s="61" t="e">
        <f>#REF!</f>
        <v>#REF!</v>
      </c>
      <c r="N35" s="61" t="e">
        <f>#REF!</f>
        <v>#REF!</v>
      </c>
      <c r="O35" s="60" t="e">
        <f t="shared" si="5"/>
        <v>#REF!</v>
      </c>
      <c r="P35" s="60" t="e">
        <f t="shared" si="6"/>
        <v>#REF!</v>
      </c>
    </row>
    <row r="36" spans="2:16" x14ac:dyDescent="0.3">
      <c r="B36" s="123" t="s">
        <v>18</v>
      </c>
      <c r="C36" s="123" t="e">
        <f>#REF!</f>
        <v>#REF!</v>
      </c>
      <c r="D36" s="123" t="e">
        <f>#REF!</f>
        <v>#REF!</v>
      </c>
      <c r="E36" s="123" t="e">
        <f>#REF!</f>
        <v>#REF!</v>
      </c>
      <c r="G36" s="60" t="e">
        <f>#REF!</f>
        <v>#REF!</v>
      </c>
      <c r="H36" s="5" t="e">
        <f>#REF!</f>
        <v>#REF!</v>
      </c>
      <c r="I36" s="61" t="e">
        <f>#REF!</f>
        <v>#REF!</v>
      </c>
      <c r="J36" s="5" t="e">
        <f t="shared" si="4"/>
        <v>#REF!</v>
      </c>
      <c r="K36" s="61"/>
      <c r="L36" s="60" t="e">
        <f>#REF!</f>
        <v>#REF!</v>
      </c>
      <c r="M36" s="61" t="e">
        <f>#REF!</f>
        <v>#REF!</v>
      </c>
      <c r="N36" s="61" t="e">
        <f>#REF!</f>
        <v>#REF!</v>
      </c>
      <c r="O36" s="60" t="e">
        <f t="shared" si="5"/>
        <v>#REF!</v>
      </c>
      <c r="P36" s="60" t="e">
        <f t="shared" si="6"/>
        <v>#REF!</v>
      </c>
    </row>
    <row r="37" spans="2:16" x14ac:dyDescent="0.3">
      <c r="B37" s="123" t="s">
        <v>19</v>
      </c>
      <c r="C37" s="123" t="e">
        <f>#REF!</f>
        <v>#REF!</v>
      </c>
      <c r="D37" s="123" t="e">
        <f>#REF!</f>
        <v>#REF!</v>
      </c>
      <c r="E37" s="123" t="e">
        <f>#REF!</f>
        <v>#REF!</v>
      </c>
      <c r="G37" s="60" t="e">
        <f>#REF!</f>
        <v>#REF!</v>
      </c>
      <c r="H37" s="5" t="e">
        <f>#REF!</f>
        <v>#REF!</v>
      </c>
      <c r="I37" s="61" t="e">
        <f>#REF!</f>
        <v>#REF!</v>
      </c>
      <c r="J37" s="5" t="e">
        <f t="shared" si="4"/>
        <v>#REF!</v>
      </c>
      <c r="K37" s="61"/>
      <c r="L37" s="60" t="e">
        <f>#REF!</f>
        <v>#REF!</v>
      </c>
      <c r="M37" s="61" t="e">
        <f>#REF!</f>
        <v>#REF!</v>
      </c>
      <c r="N37" s="61" t="e">
        <f>#REF!</f>
        <v>#REF!</v>
      </c>
      <c r="O37" s="60" t="e">
        <f t="shared" si="5"/>
        <v>#REF!</v>
      </c>
      <c r="P37" s="60" t="e">
        <f t="shared" si="6"/>
        <v>#REF!</v>
      </c>
    </row>
    <row r="38" spans="2:16" x14ac:dyDescent="0.3">
      <c r="B38" s="123" t="s">
        <v>20</v>
      </c>
      <c r="C38" s="123" t="e">
        <f>#REF!</f>
        <v>#REF!</v>
      </c>
      <c r="D38" s="123" t="e">
        <f>#REF!</f>
        <v>#REF!</v>
      </c>
      <c r="E38" s="123" t="e">
        <f>#REF!</f>
        <v>#REF!</v>
      </c>
      <c r="G38" s="60" t="e">
        <f>#REF!</f>
        <v>#REF!</v>
      </c>
      <c r="H38" s="5" t="e">
        <f>#REF!</f>
        <v>#REF!</v>
      </c>
      <c r="I38" s="61" t="e">
        <f>#REF!</f>
        <v>#REF!</v>
      </c>
      <c r="J38" s="5" t="e">
        <f t="shared" si="4"/>
        <v>#REF!</v>
      </c>
      <c r="K38" s="61"/>
      <c r="L38" s="60" t="e">
        <f>#REF!</f>
        <v>#REF!</v>
      </c>
      <c r="M38" s="61" t="e">
        <f>#REF!</f>
        <v>#REF!</v>
      </c>
      <c r="N38" s="61" t="e">
        <f>#REF!</f>
        <v>#REF!</v>
      </c>
      <c r="O38" s="60" t="e">
        <f t="shared" si="5"/>
        <v>#REF!</v>
      </c>
      <c r="P38" s="60" t="e">
        <f t="shared" si="6"/>
        <v>#REF!</v>
      </c>
    </row>
    <row r="39" spans="2:16" x14ac:dyDescent="0.3">
      <c r="B39" s="123" t="s">
        <v>21</v>
      </c>
      <c r="C39" s="123" t="e">
        <f>#REF!</f>
        <v>#REF!</v>
      </c>
      <c r="D39" s="123" t="e">
        <f>#REF!</f>
        <v>#REF!</v>
      </c>
      <c r="E39" s="123" t="e">
        <f>#REF!</f>
        <v>#REF!</v>
      </c>
      <c r="G39" s="60" t="e">
        <f>#REF!</f>
        <v>#REF!</v>
      </c>
      <c r="H39" s="5" t="e">
        <f>#REF!</f>
        <v>#REF!</v>
      </c>
      <c r="I39" s="61" t="e">
        <f>#REF!</f>
        <v>#REF!</v>
      </c>
      <c r="J39" s="5" t="e">
        <f t="shared" si="4"/>
        <v>#REF!</v>
      </c>
      <c r="K39" s="61"/>
      <c r="L39" s="60" t="e">
        <f>#REF!</f>
        <v>#REF!</v>
      </c>
      <c r="M39" s="61" t="e">
        <f>#REF!</f>
        <v>#REF!</v>
      </c>
      <c r="N39" s="61" t="e">
        <f>#REF!</f>
        <v>#REF!</v>
      </c>
      <c r="O39" s="60" t="e">
        <f t="shared" si="5"/>
        <v>#REF!</v>
      </c>
      <c r="P39" s="60" t="e">
        <f t="shared" si="6"/>
        <v>#REF!</v>
      </c>
    </row>
    <row r="40" spans="2:16" x14ac:dyDescent="0.3">
      <c r="B40" s="123" t="s">
        <v>22</v>
      </c>
      <c r="C40" s="123" t="e">
        <f>#REF!</f>
        <v>#REF!</v>
      </c>
      <c r="D40" s="123" t="e">
        <f>#REF!</f>
        <v>#REF!</v>
      </c>
      <c r="E40" s="123" t="e">
        <f>#REF!</f>
        <v>#REF!</v>
      </c>
      <c r="G40" s="60" t="e">
        <f>#REF!</f>
        <v>#REF!</v>
      </c>
      <c r="H40" s="5" t="e">
        <f>#REF!</f>
        <v>#REF!</v>
      </c>
      <c r="I40" s="61" t="e">
        <f>#REF!</f>
        <v>#REF!</v>
      </c>
      <c r="J40" s="5" t="e">
        <f t="shared" si="4"/>
        <v>#REF!</v>
      </c>
      <c r="K40" s="61"/>
      <c r="L40" s="60" t="e">
        <f>#REF!</f>
        <v>#REF!</v>
      </c>
      <c r="M40" s="61" t="e">
        <f>#REF!</f>
        <v>#REF!</v>
      </c>
      <c r="N40" s="61" t="e">
        <f>#REF!</f>
        <v>#REF!</v>
      </c>
      <c r="O40" s="60" t="e">
        <f t="shared" si="5"/>
        <v>#REF!</v>
      </c>
      <c r="P40" s="60" t="e">
        <f t="shared" si="6"/>
        <v>#REF!</v>
      </c>
    </row>
    <row r="41" spans="2:16" x14ac:dyDescent="0.3">
      <c r="B41" s="123" t="s">
        <v>23</v>
      </c>
      <c r="C41" s="123" t="e">
        <f>#REF!</f>
        <v>#REF!</v>
      </c>
      <c r="D41" s="123" t="e">
        <f>#REF!</f>
        <v>#REF!</v>
      </c>
      <c r="E41" s="123" t="e">
        <f>#REF!</f>
        <v>#REF!</v>
      </c>
      <c r="G41" s="60" t="e">
        <f>#REF!</f>
        <v>#REF!</v>
      </c>
      <c r="H41" s="5" t="e">
        <f>#REF!</f>
        <v>#REF!</v>
      </c>
      <c r="I41" s="61" t="e">
        <f>#REF!</f>
        <v>#REF!</v>
      </c>
      <c r="J41" s="5" t="e">
        <f t="shared" si="4"/>
        <v>#REF!</v>
      </c>
      <c r="K41" s="61"/>
      <c r="L41" s="60" t="e">
        <f>#REF!</f>
        <v>#REF!</v>
      </c>
      <c r="M41" s="61" t="e">
        <f>#REF!</f>
        <v>#REF!</v>
      </c>
      <c r="N41" s="61" t="e">
        <f>#REF!</f>
        <v>#REF!</v>
      </c>
      <c r="O41" s="60" t="e">
        <f t="shared" si="5"/>
        <v>#REF!</v>
      </c>
      <c r="P41" s="60" t="e">
        <f t="shared" si="6"/>
        <v>#REF!</v>
      </c>
    </row>
    <row r="42" spans="2:16" x14ac:dyDescent="0.3">
      <c r="B42" s="123" t="s">
        <v>24</v>
      </c>
      <c r="C42" s="123" t="e">
        <f>#REF!</f>
        <v>#REF!</v>
      </c>
      <c r="D42" s="123" t="e">
        <f>#REF!</f>
        <v>#REF!</v>
      </c>
      <c r="E42" s="123" t="e">
        <f>#REF!</f>
        <v>#REF!</v>
      </c>
      <c r="G42" s="60" t="e">
        <f>#REF!</f>
        <v>#REF!</v>
      </c>
      <c r="H42" s="5" t="e">
        <f>#REF!</f>
        <v>#REF!</v>
      </c>
      <c r="I42" s="61" t="e">
        <f>#REF!</f>
        <v>#REF!</v>
      </c>
      <c r="J42" s="5" t="e">
        <f t="shared" si="4"/>
        <v>#REF!</v>
      </c>
      <c r="K42" s="61"/>
      <c r="L42" s="60" t="e">
        <f>#REF!</f>
        <v>#REF!</v>
      </c>
      <c r="M42" s="61" t="e">
        <f>#REF!</f>
        <v>#REF!</v>
      </c>
      <c r="N42" s="61" t="e">
        <f>#REF!</f>
        <v>#REF!</v>
      </c>
      <c r="O42" s="60" t="e">
        <f t="shared" si="5"/>
        <v>#REF!</v>
      </c>
      <c r="P42" s="60" t="e">
        <f t="shared" si="6"/>
        <v>#REF!</v>
      </c>
    </row>
    <row r="43" spans="2:16" x14ac:dyDescent="0.3">
      <c r="B43" s="1" t="s">
        <v>52</v>
      </c>
      <c r="C43" s="2" t="e">
        <f>SUM(C31:C42)</f>
        <v>#REF!</v>
      </c>
      <c r="D43" s="2" t="e">
        <f>SUM(D31:D42)</f>
        <v>#REF!</v>
      </c>
      <c r="E43" s="2" t="e">
        <f>SUM(E31:E42)</f>
        <v>#REF!</v>
      </c>
    </row>
    <row r="44" spans="2:16" x14ac:dyDescent="0.3">
      <c r="L44" s="611" t="s">
        <v>53</v>
      </c>
      <c r="M44" s="611"/>
      <c r="N44" s="611"/>
      <c r="O44" s="1" t="s">
        <v>54</v>
      </c>
    </row>
    <row r="45" spans="2:16" x14ac:dyDescent="0.3">
      <c r="L45" s="60" t="e">
        <f>D4</f>
        <v>#REF!</v>
      </c>
      <c r="M45" s="61" t="e">
        <f>G4</f>
        <v>#REF!</v>
      </c>
      <c r="O45" s="60" t="e">
        <f>SUMPRODUCT(C31:E31,L45:N45)/SUM(C31:E31)</f>
        <v>#REF!</v>
      </c>
    </row>
    <row r="46" spans="2:16" x14ac:dyDescent="0.3">
      <c r="L46" s="60" t="e">
        <f t="shared" ref="L46:L56" si="7">D5</f>
        <v>#REF!</v>
      </c>
      <c r="M46" s="61" t="e">
        <f t="shared" ref="M46:M56" si="8">G5</f>
        <v>#REF!</v>
      </c>
      <c r="O46" s="60" t="e">
        <f t="shared" ref="O46:O56" si="9">SUMPRODUCT(C32:E32,L46:N46)/SUM(C32:E32)</f>
        <v>#REF!</v>
      </c>
    </row>
    <row r="47" spans="2:16" x14ac:dyDescent="0.3">
      <c r="L47" s="60" t="e">
        <f t="shared" si="7"/>
        <v>#REF!</v>
      </c>
      <c r="M47" s="61" t="e">
        <f t="shared" si="8"/>
        <v>#REF!</v>
      </c>
      <c r="O47" s="60" t="e">
        <f t="shared" si="9"/>
        <v>#REF!</v>
      </c>
    </row>
    <row r="48" spans="2:16" x14ac:dyDescent="0.3">
      <c r="L48" s="60" t="e">
        <f t="shared" si="7"/>
        <v>#REF!</v>
      </c>
      <c r="M48" s="61" t="e">
        <f t="shared" si="8"/>
        <v>#REF!</v>
      </c>
      <c r="O48" s="60" t="e">
        <f t="shared" si="9"/>
        <v>#REF!</v>
      </c>
    </row>
    <row r="49" spans="12:15" x14ac:dyDescent="0.3">
      <c r="L49" s="60" t="e">
        <f t="shared" si="7"/>
        <v>#REF!</v>
      </c>
      <c r="M49" s="61" t="e">
        <f t="shared" si="8"/>
        <v>#REF!</v>
      </c>
      <c r="O49" s="60" t="e">
        <f t="shared" si="9"/>
        <v>#REF!</v>
      </c>
    </row>
    <row r="50" spans="12:15" x14ac:dyDescent="0.3">
      <c r="L50" s="60" t="e">
        <f t="shared" si="7"/>
        <v>#REF!</v>
      </c>
      <c r="M50" s="61" t="e">
        <f t="shared" si="8"/>
        <v>#REF!</v>
      </c>
      <c r="O50" s="60" t="e">
        <f t="shared" si="9"/>
        <v>#REF!</v>
      </c>
    </row>
    <row r="51" spans="12:15" x14ac:dyDescent="0.3">
      <c r="L51" s="60" t="e">
        <f t="shared" si="7"/>
        <v>#REF!</v>
      </c>
      <c r="M51" s="61" t="e">
        <f t="shared" si="8"/>
        <v>#REF!</v>
      </c>
      <c r="O51" s="60" t="e">
        <f t="shared" si="9"/>
        <v>#REF!</v>
      </c>
    </row>
    <row r="52" spans="12:15" x14ac:dyDescent="0.3">
      <c r="L52" s="60" t="e">
        <f t="shared" si="7"/>
        <v>#REF!</v>
      </c>
      <c r="M52" s="61" t="e">
        <f t="shared" si="8"/>
        <v>#REF!</v>
      </c>
      <c r="O52" s="60" t="e">
        <f t="shared" si="9"/>
        <v>#REF!</v>
      </c>
    </row>
    <row r="53" spans="12:15" x14ac:dyDescent="0.3">
      <c r="L53" s="60" t="e">
        <f t="shared" si="7"/>
        <v>#REF!</v>
      </c>
      <c r="M53" s="61" t="e">
        <f t="shared" si="8"/>
        <v>#REF!</v>
      </c>
      <c r="O53" s="60" t="e">
        <f t="shared" si="9"/>
        <v>#REF!</v>
      </c>
    </row>
    <row r="54" spans="12:15" x14ac:dyDescent="0.3">
      <c r="L54" s="60" t="e">
        <f t="shared" si="7"/>
        <v>#REF!</v>
      </c>
      <c r="M54" s="61" t="e">
        <f t="shared" si="8"/>
        <v>#REF!</v>
      </c>
      <c r="O54" s="60" t="e">
        <f t="shared" si="9"/>
        <v>#REF!</v>
      </c>
    </row>
    <row r="55" spans="12:15" x14ac:dyDescent="0.3">
      <c r="L55" s="60" t="e">
        <f t="shared" si="7"/>
        <v>#REF!</v>
      </c>
      <c r="M55" s="61" t="e">
        <f t="shared" si="8"/>
        <v>#REF!</v>
      </c>
      <c r="O55" s="60" t="e">
        <f t="shared" si="9"/>
        <v>#REF!</v>
      </c>
    </row>
    <row r="56" spans="12:15" x14ac:dyDescent="0.3">
      <c r="L56" s="60" t="e">
        <f t="shared" si="7"/>
        <v>#REF!</v>
      </c>
      <c r="M56" s="61" t="e">
        <f t="shared" si="8"/>
        <v>#REF!</v>
      </c>
      <c r="O56" s="60" t="e">
        <f t="shared" si="9"/>
        <v>#REF!</v>
      </c>
    </row>
    <row r="57" spans="12:15" x14ac:dyDescent="0.3">
      <c r="L57" s="60"/>
      <c r="M57" s="61"/>
    </row>
    <row r="58" spans="12:15" x14ac:dyDescent="0.3">
      <c r="L58" s="60"/>
      <c r="M58" s="61"/>
    </row>
  </sheetData>
  <mergeCells count="8">
    <mergeCell ref="L44:N44"/>
    <mergeCell ref="B30:E30"/>
    <mergeCell ref="G30:I30"/>
    <mergeCell ref="L30:N30"/>
    <mergeCell ref="B2:B3"/>
    <mergeCell ref="C2:E2"/>
    <mergeCell ref="F2:H2"/>
    <mergeCell ref="I2:K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2:P58"/>
  <sheetViews>
    <sheetView workbookViewId="0">
      <selection activeCell="M28" sqref="M28"/>
    </sheetView>
  </sheetViews>
  <sheetFormatPr defaultColWidth="9.44140625" defaultRowHeight="14.4" x14ac:dyDescent="0.3"/>
  <cols>
    <col min="1" max="1" width="9.44140625" style="1"/>
    <col min="2" max="2" width="22.5546875" style="1" bestFit="1" customWidth="1"/>
    <col min="3" max="4" width="14.44140625" style="1" bestFit="1" customWidth="1"/>
    <col min="5" max="5" width="14.5546875" style="1" bestFit="1" customWidth="1"/>
    <col min="6" max="6" width="12.5546875" style="1" bestFit="1" customWidth="1"/>
    <col min="7" max="7" width="14.44140625" style="1" bestFit="1" customWidth="1"/>
    <col min="8" max="8" width="14.5546875" style="1" bestFit="1" customWidth="1"/>
    <col min="9" max="10" width="14.44140625" style="1" bestFit="1" customWidth="1"/>
    <col min="11" max="11" width="13.44140625" style="1" customWidth="1"/>
    <col min="12" max="12" width="13.5546875" style="1" customWidth="1"/>
    <col min="13" max="13" width="11.5546875" style="1" bestFit="1" customWidth="1"/>
    <col min="14" max="14" width="10.5546875" style="1" customWidth="1"/>
    <col min="15" max="16" width="17.44140625" style="1" bestFit="1" customWidth="1"/>
    <col min="17" max="16384" width="9.44140625" style="1"/>
  </cols>
  <sheetData>
    <row r="2" spans="2:11" ht="18" x14ac:dyDescent="0.3">
      <c r="B2" s="612" t="s">
        <v>3</v>
      </c>
      <c r="C2" s="614" t="s">
        <v>4</v>
      </c>
      <c r="D2" s="614"/>
      <c r="E2" s="614"/>
      <c r="F2" s="614" t="s">
        <v>5</v>
      </c>
      <c r="G2" s="614"/>
      <c r="H2" s="614"/>
      <c r="I2" s="614" t="s">
        <v>7</v>
      </c>
      <c r="J2" s="614"/>
      <c r="K2" s="614"/>
    </row>
    <row r="3" spans="2:11" ht="18" x14ac:dyDescent="0.35">
      <c r="B3" s="613"/>
      <c r="C3" s="421" t="s">
        <v>9</v>
      </c>
      <c r="D3" s="421" t="s">
        <v>10</v>
      </c>
      <c r="E3" s="149" t="s">
        <v>41</v>
      </c>
      <c r="F3" s="421" t="s">
        <v>9</v>
      </c>
      <c r="G3" s="421" t="s">
        <v>12</v>
      </c>
      <c r="H3" s="149" t="s">
        <v>41</v>
      </c>
      <c r="I3" s="421" t="s">
        <v>9</v>
      </c>
      <c r="J3" s="421" t="s">
        <v>10</v>
      </c>
      <c r="K3" s="268" t="s">
        <v>41</v>
      </c>
    </row>
    <row r="4" spans="2:11" ht="18" x14ac:dyDescent="0.35">
      <c r="B4" s="343" t="s">
        <v>13</v>
      </c>
      <c r="C4" s="336" t="e">
        <f>'summary Demurage&amp;penalty'!C4/'summ present'!$C$26</f>
        <v>#REF!</v>
      </c>
      <c r="D4" s="337" t="e">
        <f>#REF!</f>
        <v>#REF!</v>
      </c>
      <c r="E4" s="338" t="e">
        <f>#REF!</f>
        <v>#REF!</v>
      </c>
      <c r="F4" s="336" t="e">
        <f>'summary Demurage&amp;penalty'!F4/'summ present'!$C$26</f>
        <v>#REF!</v>
      </c>
      <c r="G4" s="339" t="e">
        <f>#REF!</f>
        <v>#REF!</v>
      </c>
      <c r="H4" s="338" t="e">
        <f>P31</f>
        <v>#REF!</v>
      </c>
      <c r="I4" s="340" t="e">
        <f t="shared" ref="I4:I15" si="0">C4+F4</f>
        <v>#REF!</v>
      </c>
      <c r="J4" s="341" t="e">
        <f>O45</f>
        <v>#REF!</v>
      </c>
      <c r="K4" s="342" t="e">
        <f>O31</f>
        <v>#REF!</v>
      </c>
    </row>
    <row r="5" spans="2:11" ht="18" x14ac:dyDescent="0.35">
      <c r="B5" s="343" t="s">
        <v>14</v>
      </c>
      <c r="C5" s="336" t="e">
        <f>'summary Demurage&amp;penalty'!C5/'summ present'!$C$26</f>
        <v>#REF!</v>
      </c>
      <c r="D5" s="337" t="e">
        <f>#REF!</f>
        <v>#REF!</v>
      </c>
      <c r="E5" s="338" t="e">
        <f>#REF!</f>
        <v>#REF!</v>
      </c>
      <c r="F5" s="336" t="e">
        <f>'summary Demurage&amp;penalty'!F5/'summ present'!$C$26</f>
        <v>#REF!</v>
      </c>
      <c r="G5" s="339" t="e">
        <f>#REF!</f>
        <v>#REF!</v>
      </c>
      <c r="H5" s="338" t="e">
        <f t="shared" ref="H5:H15" si="1">P32</f>
        <v>#REF!</v>
      </c>
      <c r="I5" s="340" t="e">
        <f t="shared" si="0"/>
        <v>#REF!</v>
      </c>
      <c r="J5" s="341" t="e">
        <f t="shared" ref="J5:J15" si="2">O46</f>
        <v>#REF!</v>
      </c>
      <c r="K5" s="342" t="e">
        <f t="shared" ref="K5:K15" si="3">O32</f>
        <v>#REF!</v>
      </c>
    </row>
    <row r="6" spans="2:11" ht="18" x14ac:dyDescent="0.35">
      <c r="B6" s="302" t="s">
        <v>15</v>
      </c>
      <c r="C6" s="303" t="e">
        <f>'summary Demurage&amp;penalty'!C6/'summ present'!$C$26</f>
        <v>#REF!</v>
      </c>
      <c r="D6" s="346" t="e">
        <f>#REF!</f>
        <v>#REF!</v>
      </c>
      <c r="E6" s="347" t="e">
        <f>#REF!</f>
        <v>#REF!</v>
      </c>
      <c r="F6" s="303" t="e">
        <f>'summary Demurage&amp;penalty'!F6/'summ present'!$C$26</f>
        <v>#REF!</v>
      </c>
      <c r="G6" s="348" t="e">
        <f>#REF!</f>
        <v>#REF!</v>
      </c>
      <c r="H6" s="347" t="e">
        <f t="shared" si="1"/>
        <v>#REF!</v>
      </c>
      <c r="I6" s="304" t="e">
        <f t="shared" si="0"/>
        <v>#REF!</v>
      </c>
      <c r="J6" s="349" t="e">
        <f t="shared" si="2"/>
        <v>#REF!</v>
      </c>
      <c r="K6" s="350" t="e">
        <f t="shared" si="3"/>
        <v>#REF!</v>
      </c>
    </row>
    <row r="7" spans="2:11" ht="18" x14ac:dyDescent="0.35">
      <c r="B7" s="302" t="s">
        <v>16</v>
      </c>
      <c r="C7" s="303" t="e">
        <f>'summary Demurage&amp;penalty'!C7/'summ present'!$C$26</f>
        <v>#REF!</v>
      </c>
      <c r="D7" s="346" t="e">
        <f>#REF!</f>
        <v>#REF!</v>
      </c>
      <c r="E7" s="347" t="e">
        <f>#REF!</f>
        <v>#REF!</v>
      </c>
      <c r="F7" s="303" t="e">
        <f>'summary Demurage&amp;penalty'!F7/'summ present'!$C$26</f>
        <v>#REF!</v>
      </c>
      <c r="G7" s="348" t="e">
        <f>#REF!</f>
        <v>#REF!</v>
      </c>
      <c r="H7" s="347" t="e">
        <f t="shared" si="1"/>
        <v>#REF!</v>
      </c>
      <c r="I7" s="304" t="e">
        <f t="shared" si="0"/>
        <v>#REF!</v>
      </c>
      <c r="J7" s="349" t="e">
        <f t="shared" si="2"/>
        <v>#REF!</v>
      </c>
      <c r="K7" s="350" t="e">
        <f t="shared" si="3"/>
        <v>#REF!</v>
      </c>
    </row>
    <row r="8" spans="2:11" ht="18" x14ac:dyDescent="0.35">
      <c r="B8" s="302" t="s">
        <v>17</v>
      </c>
      <c r="C8" s="303" t="e">
        <f>'summary Demurage&amp;penalty'!C8/'summ present'!$C$26</f>
        <v>#REF!</v>
      </c>
      <c r="D8" s="346" t="e">
        <f>#REF!</f>
        <v>#REF!</v>
      </c>
      <c r="E8" s="347" t="e">
        <f>#REF!</f>
        <v>#REF!</v>
      </c>
      <c r="F8" s="303" t="e">
        <f>'summary Demurage&amp;penalty'!F8/'summ present'!$C$26</f>
        <v>#REF!</v>
      </c>
      <c r="G8" s="348" t="e">
        <f>#REF!</f>
        <v>#REF!</v>
      </c>
      <c r="H8" s="347" t="e">
        <f t="shared" si="1"/>
        <v>#REF!</v>
      </c>
      <c r="I8" s="304" t="e">
        <f t="shared" si="0"/>
        <v>#REF!</v>
      </c>
      <c r="J8" s="349" t="e">
        <f t="shared" si="2"/>
        <v>#REF!</v>
      </c>
      <c r="K8" s="350" t="e">
        <f t="shared" si="3"/>
        <v>#REF!</v>
      </c>
    </row>
    <row r="9" spans="2:11" ht="18" x14ac:dyDescent="0.35">
      <c r="B9" s="356" t="s">
        <v>18</v>
      </c>
      <c r="C9" s="303" t="e">
        <f>'summary Demurage&amp;penalty'!C9/'summ present'!$C$26</f>
        <v>#REF!</v>
      </c>
      <c r="D9" s="357" t="e">
        <f>#REF!</f>
        <v>#REF!</v>
      </c>
      <c r="E9" s="358" t="e">
        <f>#REF!</f>
        <v>#REF!</v>
      </c>
      <c r="F9" s="303" t="e">
        <f>'summary Demurage&amp;penalty'!F9/'summ present'!$C$26</f>
        <v>#REF!</v>
      </c>
      <c r="G9" s="359" t="e">
        <f>#REF!</f>
        <v>#REF!</v>
      </c>
      <c r="H9" s="358" t="e">
        <f t="shared" si="1"/>
        <v>#REF!</v>
      </c>
      <c r="I9" s="304" t="e">
        <f t="shared" si="0"/>
        <v>#REF!</v>
      </c>
      <c r="J9" s="360" t="e">
        <f t="shared" si="2"/>
        <v>#REF!</v>
      </c>
      <c r="K9" s="361" t="e">
        <f t="shared" si="3"/>
        <v>#REF!</v>
      </c>
    </row>
    <row r="10" spans="2:11" ht="18" x14ac:dyDescent="0.35">
      <c r="B10" s="305" t="s">
        <v>19</v>
      </c>
      <c r="C10" s="344" t="e">
        <f>'summary Demurage&amp;penalty'!C10/'summ present'!$C$26</f>
        <v>#REF!</v>
      </c>
      <c r="D10" s="351" t="e">
        <f>#REF!</f>
        <v>#REF!</v>
      </c>
      <c r="E10" s="352" t="e">
        <f>#REF!</f>
        <v>#REF!</v>
      </c>
      <c r="F10" s="344" t="e">
        <f>'summary Demurage&amp;penalty'!F10/'summ present'!$C$26</f>
        <v>#REF!</v>
      </c>
      <c r="G10" s="353" t="e">
        <f>#REF!</f>
        <v>#REF!</v>
      </c>
      <c r="H10" s="352" t="e">
        <f t="shared" si="1"/>
        <v>#REF!</v>
      </c>
      <c r="I10" s="345" t="e">
        <f t="shared" si="0"/>
        <v>#REF!</v>
      </c>
      <c r="J10" s="354" t="e">
        <f t="shared" si="2"/>
        <v>#REF!</v>
      </c>
      <c r="K10" s="355" t="e">
        <f t="shared" si="3"/>
        <v>#REF!</v>
      </c>
    </row>
    <row r="11" spans="2:11" ht="18" x14ac:dyDescent="0.35">
      <c r="B11" s="306" t="s">
        <v>20</v>
      </c>
      <c r="C11" s="344" t="e">
        <f>'summary Demurage&amp;penalty'!C11/'summ present'!$C$26</f>
        <v>#REF!</v>
      </c>
      <c r="D11" s="351" t="e">
        <f>#REF!</f>
        <v>#REF!</v>
      </c>
      <c r="E11" s="352" t="e">
        <f>#REF!</f>
        <v>#REF!</v>
      </c>
      <c r="F11" s="344" t="e">
        <f>'summary Demurage&amp;penalty'!F11/'summ present'!$C$26</f>
        <v>#REF!</v>
      </c>
      <c r="G11" s="353" t="e">
        <f>#REF!</f>
        <v>#REF!</v>
      </c>
      <c r="H11" s="352" t="e">
        <f t="shared" si="1"/>
        <v>#REF!</v>
      </c>
      <c r="I11" s="345" t="e">
        <f t="shared" si="0"/>
        <v>#REF!</v>
      </c>
      <c r="J11" s="354" t="e">
        <f t="shared" si="2"/>
        <v>#REF!</v>
      </c>
      <c r="K11" s="355" t="e">
        <f t="shared" si="3"/>
        <v>#REF!</v>
      </c>
    </row>
    <row r="12" spans="2:11" ht="18" x14ac:dyDescent="0.35">
      <c r="B12" s="307" t="s">
        <v>21</v>
      </c>
      <c r="C12" s="344" t="e">
        <f>'summary Demurage&amp;penalty'!C12/'summ present'!$C$26</f>
        <v>#REF!</v>
      </c>
      <c r="D12" s="351" t="e">
        <f>#REF!</f>
        <v>#REF!</v>
      </c>
      <c r="E12" s="352" t="e">
        <f>#REF!</f>
        <v>#REF!</v>
      </c>
      <c r="F12" s="344" t="e">
        <f>'summary Demurage&amp;penalty'!F12/'summ present'!$C$26</f>
        <v>#REF!</v>
      </c>
      <c r="G12" s="353" t="e">
        <f>#REF!</f>
        <v>#REF!</v>
      </c>
      <c r="H12" s="352" t="e">
        <f t="shared" si="1"/>
        <v>#REF!</v>
      </c>
      <c r="I12" s="345" t="e">
        <f t="shared" si="0"/>
        <v>#REF!</v>
      </c>
      <c r="J12" s="354" t="e">
        <f t="shared" si="2"/>
        <v>#REF!</v>
      </c>
      <c r="K12" s="355" t="e">
        <f t="shared" si="3"/>
        <v>#REF!</v>
      </c>
    </row>
    <row r="13" spans="2:11" ht="18" x14ac:dyDescent="0.35">
      <c r="B13" s="307" t="s">
        <v>22</v>
      </c>
      <c r="C13" s="344" t="e">
        <f>'summary Demurage&amp;penalty'!C13/'summ present'!$C$26</f>
        <v>#REF!</v>
      </c>
      <c r="D13" s="351" t="e">
        <f>#REF!</f>
        <v>#REF!</v>
      </c>
      <c r="E13" s="352" t="e">
        <f>#REF!</f>
        <v>#REF!</v>
      </c>
      <c r="F13" s="344" t="e">
        <f>'summary Demurage&amp;penalty'!F13/'summ present'!$C$26</f>
        <v>#REF!</v>
      </c>
      <c r="G13" s="353" t="e">
        <f>#REF!</f>
        <v>#REF!</v>
      </c>
      <c r="H13" s="352" t="e">
        <f t="shared" si="1"/>
        <v>#REF!</v>
      </c>
      <c r="I13" s="345" t="e">
        <f t="shared" si="0"/>
        <v>#REF!</v>
      </c>
      <c r="J13" s="354" t="e">
        <f t="shared" si="2"/>
        <v>#REF!</v>
      </c>
      <c r="K13" s="355" t="e">
        <f t="shared" si="3"/>
        <v>#REF!</v>
      </c>
    </row>
    <row r="14" spans="2:11" ht="18" x14ac:dyDescent="0.35">
      <c r="B14" s="308" t="s">
        <v>23</v>
      </c>
      <c r="C14" s="344" t="e">
        <f>'summary Demurage&amp;penalty'!C14/'summ present'!$C$26</f>
        <v>#REF!</v>
      </c>
      <c r="D14" s="351" t="e">
        <f>#REF!</f>
        <v>#REF!</v>
      </c>
      <c r="E14" s="352" t="e">
        <f>#REF!</f>
        <v>#REF!</v>
      </c>
      <c r="F14" s="344" t="e">
        <f>'summary Demurage&amp;penalty'!F14/'summ present'!$C$26</f>
        <v>#REF!</v>
      </c>
      <c r="G14" s="353" t="e">
        <f>#REF!</f>
        <v>#REF!</v>
      </c>
      <c r="H14" s="352" t="e">
        <f t="shared" si="1"/>
        <v>#REF!</v>
      </c>
      <c r="I14" s="345" t="e">
        <f t="shared" si="0"/>
        <v>#REF!</v>
      </c>
      <c r="J14" s="354" t="e">
        <f t="shared" si="2"/>
        <v>#REF!</v>
      </c>
      <c r="K14" s="355" t="e">
        <f t="shared" si="3"/>
        <v>#REF!</v>
      </c>
    </row>
    <row r="15" spans="2:11" ht="18" x14ac:dyDescent="0.35">
      <c r="B15" s="308" t="s">
        <v>24</v>
      </c>
      <c r="C15" s="344" t="e">
        <f>'summary Demurage&amp;penalty'!C15/'summ present'!$C$26</f>
        <v>#REF!</v>
      </c>
      <c r="D15" s="351" t="e">
        <f>#REF!</f>
        <v>#REF!</v>
      </c>
      <c r="E15" s="352" t="e">
        <f>#REF!</f>
        <v>#REF!</v>
      </c>
      <c r="F15" s="344" t="e">
        <f>'summary Demurage&amp;penalty'!F15/'summ present'!$C$26</f>
        <v>#REF!</v>
      </c>
      <c r="G15" s="353" t="e">
        <f>#REF!</f>
        <v>#REF!</v>
      </c>
      <c r="H15" s="352" t="e">
        <f t="shared" si="1"/>
        <v>#REF!</v>
      </c>
      <c r="I15" s="345" t="e">
        <f t="shared" si="0"/>
        <v>#REF!</v>
      </c>
      <c r="J15" s="354" t="e">
        <f t="shared" si="2"/>
        <v>#REF!</v>
      </c>
      <c r="K15" s="355" t="e">
        <f t="shared" si="3"/>
        <v>#REF!</v>
      </c>
    </row>
    <row r="16" spans="2:11" ht="18" x14ac:dyDescent="0.35">
      <c r="B16" s="9"/>
      <c r="C16" s="10"/>
      <c r="D16" s="11"/>
      <c r="E16" s="12"/>
      <c r="F16" s="10"/>
      <c r="G16" s="13"/>
      <c r="H16" s="12"/>
      <c r="I16" s="16"/>
      <c r="J16" s="17"/>
      <c r="K16" s="18"/>
    </row>
    <row r="17" spans="2:16" ht="18" x14ac:dyDescent="0.35">
      <c r="B17" s="199" t="s">
        <v>55</v>
      </c>
      <c r="C17" s="200" t="e">
        <f>SUM(C4:C6)</f>
        <v>#REF!</v>
      </c>
      <c r="D17" s="298" t="e">
        <f>SUMPRODUCT(C4:C6,D4:D6)/SUM(C4:C6)</f>
        <v>#REF!</v>
      </c>
      <c r="E17" s="299" t="e">
        <f>SUM(E4:E6)</f>
        <v>#REF!</v>
      </c>
      <c r="F17" s="200" t="e">
        <f>SUM(F4:F15)</f>
        <v>#REF!</v>
      </c>
      <c r="G17" s="299" t="e">
        <f>SUMPRODUCT(F4:F6,G4:G6)/SUM(F4:F6)</f>
        <v>#REF!</v>
      </c>
      <c r="H17" s="300" t="e">
        <f>SUM(H4:H6)</f>
        <v>#REF!</v>
      </c>
      <c r="I17" s="200" t="e">
        <f>SUM(I4:I6)</f>
        <v>#REF!</v>
      </c>
      <c r="J17" s="285" t="e">
        <f>SUMPRODUCT(I4:I6,J4:J6)/SUM(I4:I6)</f>
        <v>#REF!</v>
      </c>
      <c r="K17" s="276" t="e">
        <f>SUM(K4:K6)</f>
        <v>#REF!</v>
      </c>
    </row>
    <row r="18" spans="2:16" ht="18" x14ac:dyDescent="0.35">
      <c r="B18" s="199" t="s">
        <v>56</v>
      </c>
      <c r="C18" s="200" t="e">
        <f>SUM(C7:C9)</f>
        <v>#REF!</v>
      </c>
      <c r="D18" s="298" t="e">
        <f>SUMPRODUCT(C7:C9,D7:D9)/SUM(C7:C9)</f>
        <v>#REF!</v>
      </c>
      <c r="E18" s="299" t="e">
        <f>SUM(E7:E9)</f>
        <v>#REF!</v>
      </c>
      <c r="F18" s="180" t="e">
        <f>SUM(F7:F9)</f>
        <v>#REF!</v>
      </c>
      <c r="G18" s="299" t="e">
        <f>SUMPRODUCT(F7:F9,G7:G9)/SUM(F7:F9)</f>
        <v>#REF!</v>
      </c>
      <c r="H18" s="300" t="e">
        <f>SUM(H7:H9)</f>
        <v>#REF!</v>
      </c>
      <c r="I18" s="200" t="e">
        <f>SUM(I7:I9)</f>
        <v>#REF!</v>
      </c>
      <c r="J18" s="285" t="e">
        <f>SUMPRODUCT(I7:I9,J7:J9)/SUM(I7:I9)</f>
        <v>#REF!</v>
      </c>
      <c r="K18" s="276" t="e">
        <f>SUM(K7:K9)</f>
        <v>#REF!</v>
      </c>
    </row>
    <row r="19" spans="2:16" ht="18" hidden="1" x14ac:dyDescent="0.35">
      <c r="B19" s="19" t="s">
        <v>57</v>
      </c>
      <c r="C19" s="263" t="e">
        <f>SUM(C4:C9)</f>
        <v>#REF!</v>
      </c>
      <c r="D19" s="284" t="e">
        <f>SUMPRODUCT(C4:C9,D4:D9)/SUM(C4:C9)</f>
        <v>#REF!</v>
      </c>
      <c r="E19" s="301" t="e">
        <f>SUM(E4:E9)</f>
        <v>#REF!</v>
      </c>
      <c r="F19" s="283" t="e">
        <f>SUM(F4:F9)</f>
        <v>#REF!</v>
      </c>
      <c r="G19" s="284" t="e">
        <f>SUMPRODUCT(F4:F9,G4:G9)/SUM(F4:F9)</f>
        <v>#REF!</v>
      </c>
      <c r="H19" s="272" t="e">
        <f>SUM(H4:H9)</f>
        <v>#REF!</v>
      </c>
      <c r="I19" s="261" t="e">
        <f>SUM(I4:I9)</f>
        <v>#REF!</v>
      </c>
      <c r="J19" s="284" t="e">
        <f>SUMPRODUCT(I4:I9,J4:J9)/SUM(I4:I9)</f>
        <v>#REF!</v>
      </c>
      <c r="K19" s="272" t="e">
        <f>SUM(K4:K9)</f>
        <v>#REF!</v>
      </c>
    </row>
    <row r="20" spans="2:16" ht="18" hidden="1" x14ac:dyDescent="0.35">
      <c r="B20" s="199" t="s">
        <v>36</v>
      </c>
      <c r="C20" s="200" t="e">
        <f>SUM(C10:C12)</f>
        <v>#REF!</v>
      </c>
      <c r="D20" s="298" t="e">
        <f>SUMPRODUCT(C10:C12,D10:D12)/SUM(C10:C12)</f>
        <v>#REF!</v>
      </c>
      <c r="E20" s="299" t="e">
        <f>SUM(E10:E12)</f>
        <v>#REF!</v>
      </c>
      <c r="F20" s="200" t="e">
        <f>SUM(F10:F12)</f>
        <v>#REF!</v>
      </c>
      <c r="G20" s="298" t="e">
        <f>SUMPRODUCT(F10:F12,G10:G12)/SUM(F10:F12)</f>
        <v>#REF!</v>
      </c>
      <c r="H20" s="299" t="e">
        <f>SUM(H10:H12)</f>
        <v>#REF!</v>
      </c>
      <c r="I20" s="200" t="e">
        <f>SUM(I10:I12)</f>
        <v>#REF!</v>
      </c>
      <c r="J20" s="285" t="e">
        <f>SUMPRODUCT(I10:I12,J10:J12)/SUM(I10:I12)</f>
        <v>#REF!</v>
      </c>
      <c r="K20" s="276" t="e">
        <f>SUM(K10:K12)</f>
        <v>#REF!</v>
      </c>
    </row>
    <row r="21" spans="2:16" ht="18" hidden="1" x14ac:dyDescent="0.35">
      <c r="B21" s="199" t="s">
        <v>29</v>
      </c>
      <c r="C21" s="25" t="e">
        <f>SUM(C13:C15)</f>
        <v>#REF!</v>
      </c>
      <c r="D21" s="284" t="e">
        <f>SUMPRODUCT(C13:C15,D13:D15)/SUM(C13:C15)</f>
        <v>#REF!</v>
      </c>
      <c r="E21" s="272" t="e">
        <f>SUM(E13:E15)</f>
        <v>#REF!</v>
      </c>
      <c r="F21" s="283" t="e">
        <f>SUM(F13:F15)</f>
        <v>#REF!</v>
      </c>
      <c r="G21" s="284" t="e">
        <f>SUMPRODUCT(F13:F15,G13:G15)/SUM(F13:F15)</f>
        <v>#REF!</v>
      </c>
      <c r="H21" s="272" t="e">
        <f>SUM(H13:H15)</f>
        <v>#REF!</v>
      </c>
      <c r="I21" s="28" t="e">
        <f>SUM(I13:I15)</f>
        <v>#REF!</v>
      </c>
      <c r="J21" s="285" t="e">
        <f>SUMPRODUCT(I13:I15,J13:J15)/SUM(I13:I15)</f>
        <v>#REF!</v>
      </c>
      <c r="K21" s="276" t="e">
        <f>SUM(K13:K15)</f>
        <v>#REF!</v>
      </c>
    </row>
    <row r="22" spans="2:16" ht="18" hidden="1" x14ac:dyDescent="0.35">
      <c r="B22" s="24" t="s">
        <v>30</v>
      </c>
      <c r="C22" s="25" t="e">
        <f>SUM(C10:C15)</f>
        <v>#REF!</v>
      </c>
      <c r="D22" s="284" t="e">
        <f>SUMPRODUCT(C10:C15,D10:D15)/SUM(C10:C15)</f>
        <v>#REF!</v>
      </c>
      <c r="E22" s="272" t="e">
        <f>SUM(E10:E15)</f>
        <v>#REF!</v>
      </c>
      <c r="F22" s="283" t="e">
        <f>SUM(F10:F15)</f>
        <v>#REF!</v>
      </c>
      <c r="G22" s="284" t="e">
        <f>SUMPRODUCT(F10:F15,G10:G15)/SUM(F10:F15)</f>
        <v>#REF!</v>
      </c>
      <c r="H22" s="272" t="e">
        <f>SUM(H10:H15)</f>
        <v>#REF!</v>
      </c>
      <c r="I22" s="28" t="e">
        <f>SUM(I10:I15)</f>
        <v>#REF!</v>
      </c>
      <c r="J22" s="285" t="e">
        <f>SUMPRODUCT(I10:I15,J10:J15)/SUM(I10:I15)</f>
        <v>#REF!</v>
      </c>
      <c r="K22" s="276" t="e">
        <f>SUM(K10:K15)</f>
        <v>#REF!</v>
      </c>
    </row>
    <row r="23" spans="2:16" x14ac:dyDescent="0.3">
      <c r="D23" s="31"/>
      <c r="E23" s="32"/>
      <c r="F23" s="33"/>
      <c r="G23" s="31"/>
      <c r="H23" s="32"/>
      <c r="I23" s="36"/>
      <c r="J23" s="37"/>
      <c r="K23" s="38"/>
    </row>
    <row r="24" spans="2:16" ht="18" x14ac:dyDescent="0.35">
      <c r="B24" s="168" t="s">
        <v>58</v>
      </c>
      <c r="C24" s="169" t="e">
        <f>SUM(C4:C9)</f>
        <v>#REF!</v>
      </c>
      <c r="D24" s="286" t="e">
        <f>SUMPRODUCT(C4:C9,D4:D9)/SUM(C4:C9)</f>
        <v>#REF!</v>
      </c>
      <c r="E24" s="286" t="e">
        <f>SUMPRODUCT(C4:C9,E4:E9)/SUM(C4:C9)</f>
        <v>#REF!</v>
      </c>
      <c r="F24" s="288" t="e">
        <f>SUM(F4:F9)</f>
        <v>#REF!</v>
      </c>
      <c r="G24" s="286" t="e">
        <f>SUMPRODUCT(F4:F9,G4:G9)/SUM(F4:F9)</f>
        <v>#REF!</v>
      </c>
      <c r="H24" s="286" t="e">
        <f>SUMPRODUCT(F4:F9,H4:H9)/SUM(F4:F9)</f>
        <v>#REF!</v>
      </c>
      <c r="I24" s="287" t="e">
        <f>SUM(I4:I9)</f>
        <v>#REF!</v>
      </c>
      <c r="J24" s="286" t="e">
        <f>SUMPRODUCT(I4:I9,J4:J9)/SUM(I4:I9)</f>
        <v>#REF!</v>
      </c>
      <c r="K24" s="286" t="e">
        <f>SUMPRODUCT(I4:I9,K4:K9)/SUM(I4:I9)</f>
        <v>#REF!</v>
      </c>
    </row>
    <row r="25" spans="2:16" ht="18" x14ac:dyDescent="0.35">
      <c r="B25" s="168" t="s">
        <v>59</v>
      </c>
      <c r="C25" s="169" t="e">
        <f>SUM(C4:C15)</f>
        <v>#REF!</v>
      </c>
      <c r="D25" s="286" t="e">
        <f>SUMPRODUCT(C4:C15,D4:D15)/SUM(C4:C15)</f>
        <v>#REF!</v>
      </c>
      <c r="E25" s="286" t="e">
        <f>SUMPRODUCT(C4:C15,E4:E15)/SUM(C4:C15)</f>
        <v>#REF!</v>
      </c>
      <c r="F25" s="287" t="e">
        <f>SUM(F4:F15)</f>
        <v>#REF!</v>
      </c>
      <c r="G25" s="286" t="e">
        <f>SUMPRODUCT(F4:F15,G4:G15)/SUM(F4:F15)</f>
        <v>#REF!</v>
      </c>
      <c r="H25" s="286" t="e">
        <f>SUMPRODUCT(F4:F15,H4:H15)/SUM(F4:F15)</f>
        <v>#REF!</v>
      </c>
      <c r="I25" s="287" t="e">
        <f>SUM(I4:I15)</f>
        <v>#REF!</v>
      </c>
      <c r="J25" s="286" t="e">
        <f>SUMPRODUCT(I4:I15,J4:J15)/SUM(I4:I15)</f>
        <v>#REF!</v>
      </c>
      <c r="K25" s="286" t="e">
        <f>SUMPRODUCT(I4:I15,K4:K15)/SUM(I4:I15)</f>
        <v>#REF!</v>
      </c>
    </row>
    <row r="26" spans="2:16" ht="15.6" x14ac:dyDescent="0.3">
      <c r="B26" s="255" t="s">
        <v>40</v>
      </c>
      <c r="C26" s="248">
        <v>1000</v>
      </c>
    </row>
    <row r="30" spans="2:16" x14ac:dyDescent="0.3">
      <c r="B30" s="620" t="s">
        <v>46</v>
      </c>
      <c r="C30" s="620"/>
      <c r="D30" s="620"/>
      <c r="E30" s="620"/>
      <c r="G30" s="611" t="s">
        <v>47</v>
      </c>
      <c r="H30" s="611"/>
      <c r="I30" s="611"/>
      <c r="J30" s="2" t="s">
        <v>48</v>
      </c>
      <c r="K30" s="2"/>
      <c r="L30" s="611" t="s">
        <v>49</v>
      </c>
      <c r="M30" s="611"/>
      <c r="N30" s="611"/>
      <c r="O30" s="2" t="s">
        <v>50</v>
      </c>
      <c r="P30" s="1" t="s">
        <v>51</v>
      </c>
    </row>
    <row r="31" spans="2:16" x14ac:dyDescent="0.3">
      <c r="B31" s="123" t="s">
        <v>13</v>
      </c>
      <c r="C31" s="123" t="e">
        <f>#REF!</f>
        <v>#REF!</v>
      </c>
      <c r="D31" s="123" t="e">
        <f>#REF!</f>
        <v>#REF!</v>
      </c>
      <c r="E31" s="123" t="e">
        <f>#REF!</f>
        <v>#REF!</v>
      </c>
      <c r="G31" s="60" t="e">
        <f>#REF!</f>
        <v>#REF!</v>
      </c>
      <c r="H31" s="5" t="e">
        <f>#REF!</f>
        <v>#REF!</v>
      </c>
      <c r="I31" s="61" t="e">
        <f>#REF!</f>
        <v>#REF!</v>
      </c>
      <c r="J31" s="5" t="e">
        <f>SUMPRODUCT($C$31:$E$31,G31:I31)/SUM($C$31:$E$31)</f>
        <v>#REF!</v>
      </c>
      <c r="K31" s="61"/>
      <c r="L31" s="60" t="e">
        <f>#REF!</f>
        <v>#REF!</v>
      </c>
      <c r="M31" s="61" t="e">
        <f>#REF!</f>
        <v>#REF!</v>
      </c>
      <c r="N31" s="61" t="e">
        <f>#REF!</f>
        <v>#REF!</v>
      </c>
      <c r="O31" s="60" t="e">
        <f>SUMPRODUCT(C31:E31,L31:N31)/SUM(C31:E31)</f>
        <v>#REF!</v>
      </c>
      <c r="P31" s="60" t="e">
        <f>SUMPRODUCT(D31:E31,M31:N31)/SUM(D31:E31)</f>
        <v>#REF!</v>
      </c>
    </row>
    <row r="32" spans="2:16" x14ac:dyDescent="0.3">
      <c r="B32" s="123" t="s">
        <v>14</v>
      </c>
      <c r="C32" s="123" t="e">
        <f>#REF!</f>
        <v>#REF!</v>
      </c>
      <c r="D32" s="123" t="e">
        <f>#REF!</f>
        <v>#REF!</v>
      </c>
      <c r="E32" s="123" t="e">
        <f>#REF!</f>
        <v>#REF!</v>
      </c>
      <c r="G32" s="60" t="e">
        <f>#REF!</f>
        <v>#REF!</v>
      </c>
      <c r="H32" s="5" t="e">
        <f>#REF!</f>
        <v>#REF!</v>
      </c>
      <c r="I32" s="61" t="e">
        <f>#REF!</f>
        <v>#REF!</v>
      </c>
      <c r="J32" s="5" t="e">
        <f t="shared" ref="J32:J42" si="4">SUMPRODUCT($C$31:$E$31,G32:I32)/SUM($C$31:$E$31)</f>
        <v>#REF!</v>
      </c>
      <c r="K32" s="61"/>
      <c r="L32" s="60" t="e">
        <f>#REF!</f>
        <v>#REF!</v>
      </c>
      <c r="M32" s="61" t="e">
        <f>#REF!</f>
        <v>#REF!</v>
      </c>
      <c r="N32" s="61" t="e">
        <f>#REF!</f>
        <v>#REF!</v>
      </c>
      <c r="O32" s="60" t="e">
        <f t="shared" ref="O32:O42" si="5">SUMPRODUCT(C32:E32,L32:N32)/SUM(C32:E32)</f>
        <v>#REF!</v>
      </c>
      <c r="P32" s="60" t="e">
        <f t="shared" ref="P32:P42" si="6">SUMPRODUCT(D32:E32,M32:N32)/SUM(D32:E32)</f>
        <v>#REF!</v>
      </c>
    </row>
    <row r="33" spans="2:16" x14ac:dyDescent="0.3">
      <c r="B33" s="123" t="s">
        <v>15</v>
      </c>
      <c r="C33" s="123" t="e">
        <f>#REF!</f>
        <v>#REF!</v>
      </c>
      <c r="D33" s="123" t="e">
        <f>#REF!</f>
        <v>#REF!</v>
      </c>
      <c r="E33" s="123" t="e">
        <f>#REF!</f>
        <v>#REF!</v>
      </c>
      <c r="G33" s="60" t="e">
        <f>#REF!</f>
        <v>#REF!</v>
      </c>
      <c r="H33" s="5" t="e">
        <f>#REF!</f>
        <v>#REF!</v>
      </c>
      <c r="I33" s="61" t="e">
        <f>#REF!</f>
        <v>#REF!</v>
      </c>
      <c r="J33" s="5" t="e">
        <f t="shared" si="4"/>
        <v>#REF!</v>
      </c>
      <c r="K33" s="61"/>
      <c r="L33" s="60" t="e">
        <f>#REF!</f>
        <v>#REF!</v>
      </c>
      <c r="M33" s="61" t="e">
        <f>#REF!</f>
        <v>#REF!</v>
      </c>
      <c r="N33" s="61" t="e">
        <f>#REF!</f>
        <v>#REF!</v>
      </c>
      <c r="O33" s="60" t="e">
        <f t="shared" si="5"/>
        <v>#REF!</v>
      </c>
      <c r="P33" s="60" t="e">
        <f t="shared" si="6"/>
        <v>#REF!</v>
      </c>
    </row>
    <row r="34" spans="2:16" x14ac:dyDescent="0.3">
      <c r="B34" s="123" t="s">
        <v>16</v>
      </c>
      <c r="C34" s="123" t="e">
        <f>#REF!</f>
        <v>#REF!</v>
      </c>
      <c r="D34" s="123" t="e">
        <f>#REF!</f>
        <v>#REF!</v>
      </c>
      <c r="E34" s="123" t="e">
        <f>#REF!</f>
        <v>#REF!</v>
      </c>
      <c r="G34" s="60" t="e">
        <f>#REF!</f>
        <v>#REF!</v>
      </c>
      <c r="H34" s="5" t="e">
        <f>#REF!</f>
        <v>#REF!</v>
      </c>
      <c r="I34" s="61" t="e">
        <f>#REF!</f>
        <v>#REF!</v>
      </c>
      <c r="J34" s="5" t="e">
        <f t="shared" si="4"/>
        <v>#REF!</v>
      </c>
      <c r="K34" s="61"/>
      <c r="L34" s="60" t="e">
        <f>#REF!</f>
        <v>#REF!</v>
      </c>
      <c r="M34" s="61" t="e">
        <f>#REF!</f>
        <v>#REF!</v>
      </c>
      <c r="N34" s="61" t="e">
        <f>#REF!</f>
        <v>#REF!</v>
      </c>
      <c r="O34" s="60" t="e">
        <f t="shared" si="5"/>
        <v>#REF!</v>
      </c>
      <c r="P34" s="60" t="e">
        <f t="shared" si="6"/>
        <v>#REF!</v>
      </c>
    </row>
    <row r="35" spans="2:16" x14ac:dyDescent="0.3">
      <c r="B35" s="123" t="s">
        <v>17</v>
      </c>
      <c r="C35" s="123" t="e">
        <f>#REF!</f>
        <v>#REF!</v>
      </c>
      <c r="D35" s="123" t="e">
        <f>#REF!</f>
        <v>#REF!</v>
      </c>
      <c r="E35" s="123" t="e">
        <f>#REF!</f>
        <v>#REF!</v>
      </c>
      <c r="G35" s="60" t="e">
        <f>#REF!</f>
        <v>#REF!</v>
      </c>
      <c r="H35" s="5" t="e">
        <f>#REF!</f>
        <v>#REF!</v>
      </c>
      <c r="I35" s="61" t="e">
        <f>#REF!</f>
        <v>#REF!</v>
      </c>
      <c r="J35" s="5" t="e">
        <f t="shared" si="4"/>
        <v>#REF!</v>
      </c>
      <c r="K35" s="61"/>
      <c r="L35" s="60" t="e">
        <f>#REF!</f>
        <v>#REF!</v>
      </c>
      <c r="M35" s="61" t="e">
        <f>#REF!</f>
        <v>#REF!</v>
      </c>
      <c r="N35" s="61" t="e">
        <f>#REF!</f>
        <v>#REF!</v>
      </c>
      <c r="O35" s="60" t="e">
        <f t="shared" si="5"/>
        <v>#REF!</v>
      </c>
      <c r="P35" s="60" t="e">
        <f t="shared" si="6"/>
        <v>#REF!</v>
      </c>
    </row>
    <row r="36" spans="2:16" x14ac:dyDescent="0.3">
      <c r="B36" s="123" t="s">
        <v>18</v>
      </c>
      <c r="C36" s="123" t="e">
        <f>#REF!</f>
        <v>#REF!</v>
      </c>
      <c r="D36" s="123" t="e">
        <f>#REF!</f>
        <v>#REF!</v>
      </c>
      <c r="E36" s="123" t="e">
        <f>#REF!</f>
        <v>#REF!</v>
      </c>
      <c r="G36" s="60" t="e">
        <f>#REF!</f>
        <v>#REF!</v>
      </c>
      <c r="H36" s="5" t="e">
        <f>#REF!</f>
        <v>#REF!</v>
      </c>
      <c r="I36" s="61" t="e">
        <f>#REF!</f>
        <v>#REF!</v>
      </c>
      <c r="J36" s="5" t="e">
        <f t="shared" si="4"/>
        <v>#REF!</v>
      </c>
      <c r="K36" s="61"/>
      <c r="L36" s="60" t="e">
        <f>#REF!</f>
        <v>#REF!</v>
      </c>
      <c r="M36" s="61" t="e">
        <f>#REF!</f>
        <v>#REF!</v>
      </c>
      <c r="N36" s="61" t="e">
        <f>#REF!</f>
        <v>#REF!</v>
      </c>
      <c r="O36" s="60" t="e">
        <f t="shared" si="5"/>
        <v>#REF!</v>
      </c>
      <c r="P36" s="60" t="e">
        <f t="shared" si="6"/>
        <v>#REF!</v>
      </c>
    </row>
    <row r="37" spans="2:16" x14ac:dyDescent="0.3">
      <c r="B37" s="123" t="s">
        <v>19</v>
      </c>
      <c r="C37" s="123" t="e">
        <f>#REF!</f>
        <v>#REF!</v>
      </c>
      <c r="D37" s="123" t="e">
        <f>#REF!</f>
        <v>#REF!</v>
      </c>
      <c r="E37" s="123" t="e">
        <f>#REF!</f>
        <v>#REF!</v>
      </c>
      <c r="G37" s="60" t="e">
        <f>#REF!</f>
        <v>#REF!</v>
      </c>
      <c r="H37" s="5" t="e">
        <f>#REF!</f>
        <v>#REF!</v>
      </c>
      <c r="I37" s="61" t="e">
        <f>#REF!</f>
        <v>#REF!</v>
      </c>
      <c r="J37" s="5" t="e">
        <f t="shared" si="4"/>
        <v>#REF!</v>
      </c>
      <c r="K37" s="61"/>
      <c r="L37" s="60" t="e">
        <f>#REF!</f>
        <v>#REF!</v>
      </c>
      <c r="M37" s="61" t="e">
        <f>#REF!</f>
        <v>#REF!</v>
      </c>
      <c r="N37" s="61" t="e">
        <f>#REF!</f>
        <v>#REF!</v>
      </c>
      <c r="O37" s="60" t="e">
        <f t="shared" si="5"/>
        <v>#REF!</v>
      </c>
      <c r="P37" s="60" t="e">
        <f t="shared" si="6"/>
        <v>#REF!</v>
      </c>
    </row>
    <row r="38" spans="2:16" x14ac:dyDescent="0.3">
      <c r="B38" s="123" t="s">
        <v>20</v>
      </c>
      <c r="C38" s="123" t="e">
        <f>#REF!</f>
        <v>#REF!</v>
      </c>
      <c r="D38" s="123" t="e">
        <f>#REF!</f>
        <v>#REF!</v>
      </c>
      <c r="E38" s="123" t="e">
        <f>#REF!</f>
        <v>#REF!</v>
      </c>
      <c r="G38" s="60" t="e">
        <f>#REF!</f>
        <v>#REF!</v>
      </c>
      <c r="H38" s="5" t="e">
        <f>#REF!</f>
        <v>#REF!</v>
      </c>
      <c r="I38" s="61" t="e">
        <f>#REF!</f>
        <v>#REF!</v>
      </c>
      <c r="J38" s="5" t="e">
        <f t="shared" si="4"/>
        <v>#REF!</v>
      </c>
      <c r="K38" s="61"/>
      <c r="L38" s="60" t="e">
        <f>#REF!</f>
        <v>#REF!</v>
      </c>
      <c r="M38" s="61" t="e">
        <f>#REF!</f>
        <v>#REF!</v>
      </c>
      <c r="N38" s="61" t="e">
        <f>#REF!</f>
        <v>#REF!</v>
      </c>
      <c r="O38" s="60" t="e">
        <f t="shared" si="5"/>
        <v>#REF!</v>
      </c>
      <c r="P38" s="60" t="e">
        <f t="shared" si="6"/>
        <v>#REF!</v>
      </c>
    </row>
    <row r="39" spans="2:16" x14ac:dyDescent="0.3">
      <c r="B39" s="123" t="s">
        <v>21</v>
      </c>
      <c r="C39" s="123" t="e">
        <f>#REF!</f>
        <v>#REF!</v>
      </c>
      <c r="D39" s="123" t="e">
        <f>#REF!</f>
        <v>#REF!</v>
      </c>
      <c r="E39" s="123" t="e">
        <f>#REF!</f>
        <v>#REF!</v>
      </c>
      <c r="G39" s="60" t="e">
        <f>#REF!</f>
        <v>#REF!</v>
      </c>
      <c r="H39" s="5" t="e">
        <f>#REF!</f>
        <v>#REF!</v>
      </c>
      <c r="I39" s="61" t="e">
        <f>#REF!</f>
        <v>#REF!</v>
      </c>
      <c r="J39" s="5" t="e">
        <f t="shared" si="4"/>
        <v>#REF!</v>
      </c>
      <c r="K39" s="61"/>
      <c r="L39" s="60" t="e">
        <f>#REF!</f>
        <v>#REF!</v>
      </c>
      <c r="M39" s="61" t="e">
        <f>#REF!</f>
        <v>#REF!</v>
      </c>
      <c r="N39" s="61" t="e">
        <f>#REF!</f>
        <v>#REF!</v>
      </c>
      <c r="O39" s="60" t="e">
        <f t="shared" si="5"/>
        <v>#REF!</v>
      </c>
      <c r="P39" s="60" t="e">
        <f t="shared" si="6"/>
        <v>#REF!</v>
      </c>
    </row>
    <row r="40" spans="2:16" x14ac:dyDescent="0.3">
      <c r="B40" s="123" t="s">
        <v>22</v>
      </c>
      <c r="C40" s="123" t="e">
        <f>#REF!</f>
        <v>#REF!</v>
      </c>
      <c r="D40" s="123" t="e">
        <f>#REF!</f>
        <v>#REF!</v>
      </c>
      <c r="E40" s="123" t="e">
        <f>#REF!</f>
        <v>#REF!</v>
      </c>
      <c r="G40" s="60" t="e">
        <f>#REF!</f>
        <v>#REF!</v>
      </c>
      <c r="H40" s="5" t="e">
        <f>#REF!</f>
        <v>#REF!</v>
      </c>
      <c r="I40" s="61" t="e">
        <f>#REF!</f>
        <v>#REF!</v>
      </c>
      <c r="J40" s="5" t="e">
        <f t="shared" si="4"/>
        <v>#REF!</v>
      </c>
      <c r="K40" s="61"/>
      <c r="L40" s="60" t="e">
        <f>#REF!</f>
        <v>#REF!</v>
      </c>
      <c r="M40" s="61" t="e">
        <f>#REF!</f>
        <v>#REF!</v>
      </c>
      <c r="N40" s="61" t="e">
        <f>#REF!</f>
        <v>#REF!</v>
      </c>
      <c r="O40" s="60" t="e">
        <f t="shared" si="5"/>
        <v>#REF!</v>
      </c>
      <c r="P40" s="60" t="e">
        <f t="shared" si="6"/>
        <v>#REF!</v>
      </c>
    </row>
    <row r="41" spans="2:16" x14ac:dyDescent="0.3">
      <c r="B41" s="123" t="s">
        <v>23</v>
      </c>
      <c r="C41" s="123" t="e">
        <f>#REF!</f>
        <v>#REF!</v>
      </c>
      <c r="D41" s="123" t="e">
        <f>#REF!</f>
        <v>#REF!</v>
      </c>
      <c r="E41" s="123" t="e">
        <f>#REF!</f>
        <v>#REF!</v>
      </c>
      <c r="G41" s="60" t="e">
        <f>#REF!</f>
        <v>#REF!</v>
      </c>
      <c r="H41" s="5" t="e">
        <f>#REF!</f>
        <v>#REF!</v>
      </c>
      <c r="I41" s="61" t="e">
        <f>#REF!</f>
        <v>#REF!</v>
      </c>
      <c r="J41" s="5" t="e">
        <f t="shared" si="4"/>
        <v>#REF!</v>
      </c>
      <c r="K41" s="61"/>
      <c r="L41" s="60" t="e">
        <f>#REF!</f>
        <v>#REF!</v>
      </c>
      <c r="M41" s="61" t="e">
        <f>#REF!</f>
        <v>#REF!</v>
      </c>
      <c r="N41" s="61" t="e">
        <f>#REF!</f>
        <v>#REF!</v>
      </c>
      <c r="O41" s="60" t="e">
        <f t="shared" si="5"/>
        <v>#REF!</v>
      </c>
      <c r="P41" s="60" t="e">
        <f t="shared" si="6"/>
        <v>#REF!</v>
      </c>
    </row>
    <row r="42" spans="2:16" x14ac:dyDescent="0.3">
      <c r="B42" s="123" t="s">
        <v>24</v>
      </c>
      <c r="C42" s="123" t="e">
        <f>#REF!</f>
        <v>#REF!</v>
      </c>
      <c r="D42" s="123" t="e">
        <f>#REF!</f>
        <v>#REF!</v>
      </c>
      <c r="E42" s="123" t="e">
        <f>#REF!</f>
        <v>#REF!</v>
      </c>
      <c r="G42" s="60" t="e">
        <f>#REF!</f>
        <v>#REF!</v>
      </c>
      <c r="H42" s="5" t="e">
        <f>#REF!</f>
        <v>#REF!</v>
      </c>
      <c r="I42" s="61" t="e">
        <f>#REF!</f>
        <v>#REF!</v>
      </c>
      <c r="J42" s="5" t="e">
        <f t="shared" si="4"/>
        <v>#REF!</v>
      </c>
      <c r="K42" s="61"/>
      <c r="L42" s="60" t="e">
        <f>#REF!</f>
        <v>#REF!</v>
      </c>
      <c r="M42" s="61" t="e">
        <f>#REF!</f>
        <v>#REF!</v>
      </c>
      <c r="N42" s="61" t="e">
        <f>#REF!</f>
        <v>#REF!</v>
      </c>
      <c r="O42" s="60" t="e">
        <f t="shared" si="5"/>
        <v>#REF!</v>
      </c>
      <c r="P42" s="60" t="e">
        <f t="shared" si="6"/>
        <v>#REF!</v>
      </c>
    </row>
    <row r="43" spans="2:16" x14ac:dyDescent="0.3">
      <c r="B43" s="1" t="s">
        <v>52</v>
      </c>
      <c r="C43" s="2" t="e">
        <f>SUM(C31:C42)</f>
        <v>#REF!</v>
      </c>
      <c r="D43" s="2" t="e">
        <f>SUM(D31:D42)</f>
        <v>#REF!</v>
      </c>
      <c r="E43" s="2" t="e">
        <f>SUM(E31:E42)</f>
        <v>#REF!</v>
      </c>
    </row>
    <row r="44" spans="2:16" x14ac:dyDescent="0.3">
      <c r="L44" s="611" t="s">
        <v>53</v>
      </c>
      <c r="M44" s="611"/>
      <c r="N44" s="611"/>
      <c r="O44" s="1" t="s">
        <v>54</v>
      </c>
    </row>
    <row r="45" spans="2:16" x14ac:dyDescent="0.3">
      <c r="L45" s="60" t="e">
        <f>D4</f>
        <v>#REF!</v>
      </c>
      <c r="M45" s="61" t="e">
        <f>G4</f>
        <v>#REF!</v>
      </c>
      <c r="O45" s="60" t="e">
        <f>SUMPRODUCT(C31:E31,L45:N45)/SUM(C31:E31)</f>
        <v>#REF!</v>
      </c>
    </row>
    <row r="46" spans="2:16" x14ac:dyDescent="0.3">
      <c r="L46" s="60" t="e">
        <f t="shared" ref="L46:L56" si="7">D5</f>
        <v>#REF!</v>
      </c>
      <c r="M46" s="61" t="e">
        <f t="shared" ref="M46:M56" si="8">G5</f>
        <v>#REF!</v>
      </c>
      <c r="O46" s="60" t="e">
        <f t="shared" ref="O46:O56" si="9">SUMPRODUCT(C32:E32,L46:N46)/SUM(C32:E32)</f>
        <v>#REF!</v>
      </c>
    </row>
    <row r="47" spans="2:16" x14ac:dyDescent="0.3">
      <c r="L47" s="60" t="e">
        <f t="shared" si="7"/>
        <v>#REF!</v>
      </c>
      <c r="M47" s="61" t="e">
        <f t="shared" si="8"/>
        <v>#REF!</v>
      </c>
      <c r="O47" s="60" t="e">
        <f t="shared" si="9"/>
        <v>#REF!</v>
      </c>
    </row>
    <row r="48" spans="2:16" x14ac:dyDescent="0.3">
      <c r="L48" s="60" t="e">
        <f t="shared" si="7"/>
        <v>#REF!</v>
      </c>
      <c r="M48" s="61" t="e">
        <f t="shared" si="8"/>
        <v>#REF!</v>
      </c>
      <c r="O48" s="60" t="e">
        <f t="shared" si="9"/>
        <v>#REF!</v>
      </c>
    </row>
    <row r="49" spans="12:15" x14ac:dyDescent="0.3">
      <c r="L49" s="60" t="e">
        <f t="shared" si="7"/>
        <v>#REF!</v>
      </c>
      <c r="M49" s="61" t="e">
        <f t="shared" si="8"/>
        <v>#REF!</v>
      </c>
      <c r="O49" s="60" t="e">
        <f t="shared" si="9"/>
        <v>#REF!</v>
      </c>
    </row>
    <row r="50" spans="12:15" x14ac:dyDescent="0.3">
      <c r="L50" s="60" t="e">
        <f t="shared" si="7"/>
        <v>#REF!</v>
      </c>
      <c r="M50" s="61" t="e">
        <f t="shared" si="8"/>
        <v>#REF!</v>
      </c>
      <c r="O50" s="60" t="e">
        <f t="shared" si="9"/>
        <v>#REF!</v>
      </c>
    </row>
    <row r="51" spans="12:15" x14ac:dyDescent="0.3">
      <c r="L51" s="60" t="e">
        <f t="shared" si="7"/>
        <v>#REF!</v>
      </c>
      <c r="M51" s="61" t="e">
        <f t="shared" si="8"/>
        <v>#REF!</v>
      </c>
      <c r="O51" s="60" t="e">
        <f t="shared" si="9"/>
        <v>#REF!</v>
      </c>
    </row>
    <row r="52" spans="12:15" x14ac:dyDescent="0.3">
      <c r="L52" s="60" t="e">
        <f t="shared" si="7"/>
        <v>#REF!</v>
      </c>
      <c r="M52" s="61" t="e">
        <f t="shared" si="8"/>
        <v>#REF!</v>
      </c>
      <c r="O52" s="60" t="e">
        <f t="shared" si="9"/>
        <v>#REF!</v>
      </c>
    </row>
    <row r="53" spans="12:15" x14ac:dyDescent="0.3">
      <c r="L53" s="60" t="e">
        <f t="shared" si="7"/>
        <v>#REF!</v>
      </c>
      <c r="M53" s="61" t="e">
        <f t="shared" si="8"/>
        <v>#REF!</v>
      </c>
      <c r="O53" s="60" t="e">
        <f t="shared" si="9"/>
        <v>#REF!</v>
      </c>
    </row>
    <row r="54" spans="12:15" x14ac:dyDescent="0.3">
      <c r="L54" s="60" t="e">
        <f t="shared" si="7"/>
        <v>#REF!</v>
      </c>
      <c r="M54" s="61" t="e">
        <f t="shared" si="8"/>
        <v>#REF!</v>
      </c>
      <c r="O54" s="60" t="e">
        <f t="shared" si="9"/>
        <v>#REF!</v>
      </c>
    </row>
    <row r="55" spans="12:15" x14ac:dyDescent="0.3">
      <c r="L55" s="60" t="e">
        <f t="shared" si="7"/>
        <v>#REF!</v>
      </c>
      <c r="M55" s="61" t="e">
        <f t="shared" si="8"/>
        <v>#REF!</v>
      </c>
      <c r="O55" s="60" t="e">
        <f t="shared" si="9"/>
        <v>#REF!</v>
      </c>
    </row>
    <row r="56" spans="12:15" x14ac:dyDescent="0.3">
      <c r="L56" s="60" t="e">
        <f t="shared" si="7"/>
        <v>#REF!</v>
      </c>
      <c r="M56" s="61" t="e">
        <f t="shared" si="8"/>
        <v>#REF!</v>
      </c>
      <c r="O56" s="60" t="e">
        <f t="shared" si="9"/>
        <v>#REF!</v>
      </c>
    </row>
    <row r="57" spans="12:15" x14ac:dyDescent="0.3">
      <c r="L57" s="60"/>
      <c r="M57" s="61"/>
    </row>
    <row r="58" spans="12:15" x14ac:dyDescent="0.3">
      <c r="L58" s="60"/>
      <c r="M58" s="61"/>
    </row>
  </sheetData>
  <mergeCells count="8">
    <mergeCell ref="L30:N30"/>
    <mergeCell ref="L44:N44"/>
    <mergeCell ref="B2:B3"/>
    <mergeCell ref="C2:E2"/>
    <mergeCell ref="F2:H2"/>
    <mergeCell ref="I2:K2"/>
    <mergeCell ref="B30:E30"/>
    <mergeCell ref="G30:I3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2:Z216"/>
  <sheetViews>
    <sheetView topLeftCell="D7" workbookViewId="0">
      <selection activeCell="N10" sqref="N10"/>
    </sheetView>
  </sheetViews>
  <sheetFormatPr defaultColWidth="9.44140625" defaultRowHeight="14.4" x14ac:dyDescent="0.3"/>
  <cols>
    <col min="1" max="1" width="2.44140625" style="1" customWidth="1"/>
    <col min="2" max="2" width="25.44140625" style="1" customWidth="1"/>
    <col min="3" max="3" width="9.44140625" style="1"/>
    <col min="4" max="4" width="22.44140625" style="1" customWidth="1"/>
    <col min="5" max="5" width="15.5546875" style="1" customWidth="1"/>
    <col min="6" max="6" width="13.44140625" style="1" customWidth="1"/>
    <col min="7" max="7" width="17.5546875" style="1" customWidth="1"/>
    <col min="8" max="8" width="14.44140625" style="1" customWidth="1"/>
    <col min="9" max="9" width="13.5546875" style="1" customWidth="1"/>
    <col min="10" max="10" width="15.44140625" style="1" bestFit="1" customWidth="1"/>
    <col min="11" max="11" width="13" style="1" customWidth="1"/>
    <col min="12" max="12" width="13.5546875" style="1" customWidth="1"/>
    <col min="13" max="13" width="12" style="1" customWidth="1"/>
    <col min="14" max="14" width="15.5546875" style="1" customWidth="1"/>
    <col min="15" max="15" width="14.44140625" style="1" customWidth="1"/>
    <col min="16" max="16" width="15.5546875" style="1" customWidth="1"/>
    <col min="17" max="17" width="9.44140625" style="1" hidden="1" customWidth="1"/>
    <col min="18" max="18" width="12" style="1" hidden="1" customWidth="1"/>
    <col min="19" max="19" width="13.44140625" style="1" hidden="1" customWidth="1"/>
    <col min="20" max="23" width="0" style="1" hidden="1" customWidth="1"/>
    <col min="24" max="25" width="9.44140625" style="1"/>
    <col min="26" max="26" width="13.44140625" style="1" bestFit="1" customWidth="1"/>
    <col min="27" max="16384" width="9.44140625" style="1"/>
  </cols>
  <sheetData>
    <row r="2" spans="2:23" x14ac:dyDescent="0.3">
      <c r="L2" s="2"/>
    </row>
    <row r="3" spans="2:23" x14ac:dyDescent="0.3">
      <c r="B3" s="132" t="s">
        <v>0</v>
      </c>
    </row>
    <row r="4" spans="2:23" x14ac:dyDescent="0.3">
      <c r="B4" s="3" t="s">
        <v>1</v>
      </c>
    </row>
    <row r="5" spans="2:23" x14ac:dyDescent="0.3">
      <c r="B5" s="4" t="s">
        <v>2</v>
      </c>
      <c r="G5" s="5"/>
      <c r="I5" s="2"/>
      <c r="J5" s="5"/>
    </row>
    <row r="6" spans="2:23" x14ac:dyDescent="0.3">
      <c r="B6" s="148"/>
      <c r="J6" s="2"/>
      <c r="K6" s="2"/>
      <c r="M6" s="2"/>
      <c r="R6" s="1" t="e">
        <f>P11/N11</f>
        <v>#REF!</v>
      </c>
    </row>
    <row r="7" spans="2:23" x14ac:dyDescent="0.3">
      <c r="I7" s="2"/>
      <c r="J7" s="2"/>
      <c r="K7" s="2"/>
      <c r="N7" s="2"/>
    </row>
    <row r="8" spans="2:23" ht="18" x14ac:dyDescent="0.3">
      <c r="D8" s="612" t="s">
        <v>3</v>
      </c>
      <c r="E8" s="614" t="s">
        <v>4</v>
      </c>
      <c r="F8" s="614"/>
      <c r="G8" s="614"/>
      <c r="H8" s="614" t="s">
        <v>5</v>
      </c>
      <c r="I8" s="614"/>
      <c r="J8" s="614"/>
      <c r="K8" s="615" t="s">
        <v>6</v>
      </c>
      <c r="L8" s="616"/>
      <c r="M8" s="616"/>
      <c r="N8" s="614" t="s">
        <v>7</v>
      </c>
      <c r="O8" s="614"/>
      <c r="P8" s="614"/>
      <c r="Q8" s="618" t="s">
        <v>8</v>
      </c>
      <c r="U8" s="1">
        <f>3000000/29000000</f>
        <v>0.10344827586206896</v>
      </c>
    </row>
    <row r="9" spans="2:23" ht="18" x14ac:dyDescent="0.35">
      <c r="D9" s="613"/>
      <c r="E9" s="421" t="s">
        <v>9</v>
      </c>
      <c r="F9" s="421" t="s">
        <v>10</v>
      </c>
      <c r="G9" s="149" t="s">
        <v>11</v>
      </c>
      <c r="H9" s="421" t="s">
        <v>9</v>
      </c>
      <c r="I9" s="421" t="s">
        <v>12</v>
      </c>
      <c r="J9" s="421" t="s">
        <v>11</v>
      </c>
      <c r="K9" s="421" t="s">
        <v>9</v>
      </c>
      <c r="L9" s="421" t="s">
        <v>10</v>
      </c>
      <c r="M9" s="422" t="s">
        <v>11</v>
      </c>
      <c r="N9" s="421" t="s">
        <v>9</v>
      </c>
      <c r="O9" s="421" t="s">
        <v>10</v>
      </c>
      <c r="P9" s="150" t="s">
        <v>11</v>
      </c>
      <c r="Q9" s="619"/>
    </row>
    <row r="10" spans="2:23" ht="18" x14ac:dyDescent="0.35">
      <c r="D10" s="151" t="s">
        <v>13</v>
      </c>
      <c r="E10" s="152" t="e">
        <f>#REF!/present!$E$32</f>
        <v>#REF!</v>
      </c>
      <c r="F10" s="153" t="e">
        <f>#REF!</f>
        <v>#REF!</v>
      </c>
      <c r="G10" s="154" t="e">
        <f t="shared" ref="G10:G21" si="0">E10*F10</f>
        <v>#REF!</v>
      </c>
      <c r="H10" s="152" t="e">
        <f>#REF!/present!$E$32</f>
        <v>#REF!</v>
      </c>
      <c r="I10" s="156" t="e">
        <f>#REF!</f>
        <v>#REF!</v>
      </c>
      <c r="J10" s="154" t="e">
        <f>H10*I10</f>
        <v>#REF!</v>
      </c>
      <c r="K10" s="157" t="e">
        <f>#REF!/present!$E$32</f>
        <v>#REF!</v>
      </c>
      <c r="L10" s="158">
        <v>0</v>
      </c>
      <c r="M10" s="159" t="e">
        <f t="shared" ref="M10:M21" si="1">K10*L10</f>
        <v>#REF!</v>
      </c>
      <c r="N10" s="160" t="e">
        <f>E10+H10+K10</f>
        <v>#REF!</v>
      </c>
      <c r="O10" s="161" t="e">
        <f>L37</f>
        <v>#REF!</v>
      </c>
      <c r="P10" s="162" t="e">
        <f>G10+J10+M10</f>
        <v>#REF!</v>
      </c>
      <c r="R10" s="6" t="e">
        <f>E10/N10</f>
        <v>#REF!</v>
      </c>
      <c r="S10" s="6" t="e">
        <f>H10/N10</f>
        <v>#REF!</v>
      </c>
      <c r="U10" s="1">
        <v>0.65</v>
      </c>
      <c r="V10" s="1">
        <v>0.3</v>
      </c>
      <c r="W10" s="1">
        <v>4.9999999999999989E-2</v>
      </c>
    </row>
    <row r="11" spans="2:23" ht="18" x14ac:dyDescent="0.35">
      <c r="D11" s="151" t="s">
        <v>14</v>
      </c>
      <c r="E11" s="152" t="e">
        <f>#REF!/present!$E$32</f>
        <v>#REF!</v>
      </c>
      <c r="F11" s="153" t="e">
        <f>#REF!</f>
        <v>#REF!</v>
      </c>
      <c r="G11" s="154" t="e">
        <f>E11*F11</f>
        <v>#REF!</v>
      </c>
      <c r="H11" s="152" t="e">
        <f>#REF!/present!$E$32</f>
        <v>#REF!</v>
      </c>
      <c r="I11" s="156" t="e">
        <f>#REF!</f>
        <v>#REF!</v>
      </c>
      <c r="J11" s="154" t="e">
        <f>H11*I11</f>
        <v>#REF!</v>
      </c>
      <c r="K11" s="157" t="e">
        <f>#REF!/present!$E$32</f>
        <v>#REF!</v>
      </c>
      <c r="L11" s="158">
        <v>0</v>
      </c>
      <c r="M11" s="159" t="e">
        <f t="shared" si="1"/>
        <v>#REF!</v>
      </c>
      <c r="N11" s="160" t="e">
        <f t="shared" ref="N11:N21" si="2">E11+H11+K11</f>
        <v>#REF!</v>
      </c>
      <c r="O11" s="161" t="e">
        <f>L38</f>
        <v>#REF!</v>
      </c>
      <c r="P11" s="162" t="e">
        <f t="shared" ref="P11:P21" si="3">G11+J11+M11</f>
        <v>#REF!</v>
      </c>
      <c r="R11" s="6" t="e">
        <f t="shared" ref="R11:R21" si="4">E11/N11</f>
        <v>#REF!</v>
      </c>
      <c r="S11" s="6" t="e">
        <f>H11/N11</f>
        <v>#REF!</v>
      </c>
    </row>
    <row r="12" spans="2:23" ht="18" x14ac:dyDescent="0.35">
      <c r="D12" s="151" t="s">
        <v>15</v>
      </c>
      <c r="E12" s="152" t="e">
        <f>#REF!/present!$E$32</f>
        <v>#REF!</v>
      </c>
      <c r="F12" s="153" t="e">
        <f>#REF!</f>
        <v>#REF!</v>
      </c>
      <c r="G12" s="154" t="e">
        <f t="shared" si="0"/>
        <v>#REF!</v>
      </c>
      <c r="H12" s="152" t="e">
        <f>#REF!/present!$E$32</f>
        <v>#REF!</v>
      </c>
      <c r="I12" s="156" t="e">
        <f>#REF!</f>
        <v>#REF!</v>
      </c>
      <c r="J12" s="154" t="e">
        <f>H12*I12</f>
        <v>#REF!</v>
      </c>
      <c r="K12" s="157" t="e">
        <f>#REF!/present!$E$32</f>
        <v>#REF!</v>
      </c>
      <c r="L12" s="158">
        <v>0</v>
      </c>
      <c r="M12" s="159" t="e">
        <f t="shared" si="1"/>
        <v>#REF!</v>
      </c>
      <c r="N12" s="160" t="e">
        <f t="shared" si="2"/>
        <v>#REF!</v>
      </c>
      <c r="O12" s="161" t="e">
        <f>L39</f>
        <v>#REF!</v>
      </c>
      <c r="P12" s="162" t="e">
        <f t="shared" si="3"/>
        <v>#REF!</v>
      </c>
      <c r="R12" s="6" t="e">
        <f t="shared" si="4"/>
        <v>#REF!</v>
      </c>
      <c r="S12" s="6" t="e">
        <f>H12/N12</f>
        <v>#REF!</v>
      </c>
      <c r="U12" s="1">
        <f>(U10/1)*$U$8</f>
        <v>6.7241379310344823E-2</v>
      </c>
      <c r="V12" s="1">
        <f>(V10/1)*$U$8</f>
        <v>3.1034482758620689E-2</v>
      </c>
      <c r="W12" s="1">
        <f>(W10/1)*$U$8</f>
        <v>5.1724137931034473E-3</v>
      </c>
    </row>
    <row r="13" spans="2:23" ht="18" x14ac:dyDescent="0.35">
      <c r="D13" s="151" t="s">
        <v>16</v>
      </c>
      <c r="E13" s="152" t="e">
        <f>#REF!/present!$E$32</f>
        <v>#REF!</v>
      </c>
      <c r="F13" s="153" t="e">
        <f>#REF!</f>
        <v>#REF!</v>
      </c>
      <c r="G13" s="154" t="e">
        <f t="shared" si="0"/>
        <v>#REF!</v>
      </c>
      <c r="H13" s="152" t="e">
        <f>#REF!/present!$E$32</f>
        <v>#REF!</v>
      </c>
      <c r="I13" s="156" t="e">
        <f>#REF!</f>
        <v>#REF!</v>
      </c>
      <c r="J13" s="154" t="e">
        <f>H13*I13</f>
        <v>#REF!</v>
      </c>
      <c r="K13" s="157" t="e">
        <f>#REF!/present!$E$32</f>
        <v>#REF!</v>
      </c>
      <c r="L13" s="158">
        <v>0</v>
      </c>
      <c r="M13" s="159" t="e">
        <f t="shared" si="1"/>
        <v>#REF!</v>
      </c>
      <c r="N13" s="163" t="e">
        <f t="shared" si="2"/>
        <v>#REF!</v>
      </c>
      <c r="O13" s="161" t="e">
        <f t="shared" ref="O13:O21" si="5">L40</f>
        <v>#REF!</v>
      </c>
      <c r="P13" s="162" t="e">
        <f t="shared" si="3"/>
        <v>#REF!</v>
      </c>
      <c r="R13" s="6" t="e">
        <f t="shared" si="4"/>
        <v>#REF!</v>
      </c>
      <c r="S13" s="6" t="e">
        <f t="shared" ref="S13:S21" si="6">H13/N13</f>
        <v>#REF!</v>
      </c>
    </row>
    <row r="14" spans="2:23" ht="18" x14ac:dyDescent="0.35">
      <c r="D14" s="151" t="s">
        <v>17</v>
      </c>
      <c r="E14" s="152" t="e">
        <f>#REF!/present!$E$32</f>
        <v>#REF!</v>
      </c>
      <c r="F14" s="153" t="e">
        <f>#REF!</f>
        <v>#REF!</v>
      </c>
      <c r="G14" s="154" t="e">
        <f t="shared" si="0"/>
        <v>#REF!</v>
      </c>
      <c r="H14" s="152" t="e">
        <f>#REF!/present!$E$32</f>
        <v>#REF!</v>
      </c>
      <c r="I14" s="156" t="e">
        <f>#REF!</f>
        <v>#REF!</v>
      </c>
      <c r="J14" s="154" t="e">
        <f>H14*I14</f>
        <v>#REF!</v>
      </c>
      <c r="K14" s="157" t="e">
        <f>#REF!/present!$E$32</f>
        <v>#REF!</v>
      </c>
      <c r="L14" s="158">
        <v>0</v>
      </c>
      <c r="M14" s="159" t="e">
        <f>K14*L14</f>
        <v>#REF!</v>
      </c>
      <c r="N14" s="163" t="e">
        <f t="shared" si="2"/>
        <v>#REF!</v>
      </c>
      <c r="O14" s="161" t="e">
        <f t="shared" si="5"/>
        <v>#REF!</v>
      </c>
      <c r="P14" s="162" t="e">
        <f t="shared" si="3"/>
        <v>#REF!</v>
      </c>
      <c r="Q14" s="7" t="e">
        <f t="shared" ref="Q14:Q21" si="7">H14+K14</f>
        <v>#REF!</v>
      </c>
      <c r="R14" s="6" t="e">
        <f t="shared" si="4"/>
        <v>#REF!</v>
      </c>
      <c r="S14" s="6" t="e">
        <f t="shared" si="6"/>
        <v>#REF!</v>
      </c>
    </row>
    <row r="15" spans="2:23" ht="18" x14ac:dyDescent="0.35">
      <c r="D15" s="164" t="s">
        <v>18</v>
      </c>
      <c r="E15" s="152" t="e">
        <f>#REF!/present!$E$32</f>
        <v>#REF!</v>
      </c>
      <c r="F15" s="153" t="e">
        <f>#REF!</f>
        <v>#REF!</v>
      </c>
      <c r="G15" s="154" t="e">
        <f t="shared" si="0"/>
        <v>#REF!</v>
      </c>
      <c r="H15" s="152" t="e">
        <f>#REF!/present!$E$32</f>
        <v>#REF!</v>
      </c>
      <c r="I15" s="156" t="e">
        <f>#REF!</f>
        <v>#REF!</v>
      </c>
      <c r="J15" s="165" t="e">
        <f t="shared" ref="J15:J21" si="8">H15*I15</f>
        <v>#REF!</v>
      </c>
      <c r="K15" s="157" t="e">
        <f>#REF!/present!$E$32</f>
        <v>#REF!</v>
      </c>
      <c r="L15" s="158">
        <v>0</v>
      </c>
      <c r="M15" s="166" t="e">
        <f t="shared" si="1"/>
        <v>#REF!</v>
      </c>
      <c r="N15" s="163" t="e">
        <f t="shared" si="2"/>
        <v>#REF!</v>
      </c>
      <c r="O15" s="161" t="e">
        <f t="shared" si="5"/>
        <v>#REF!</v>
      </c>
      <c r="P15" s="162" t="e">
        <f t="shared" si="3"/>
        <v>#REF!</v>
      </c>
      <c r="Q15" s="7" t="e">
        <f t="shared" si="7"/>
        <v>#REF!</v>
      </c>
      <c r="R15" s="6" t="e">
        <f t="shared" si="4"/>
        <v>#REF!</v>
      </c>
      <c r="S15" s="6" t="e">
        <f t="shared" si="6"/>
        <v>#REF!</v>
      </c>
      <c r="U15" s="8">
        <f>(U10/0.95)*U8</f>
        <v>7.0780399274047182E-2</v>
      </c>
      <c r="V15" s="8">
        <f>(V10/0.95)*U8</f>
        <v>3.2667876588021776E-2</v>
      </c>
    </row>
    <row r="16" spans="2:23" ht="18" x14ac:dyDescent="0.35">
      <c r="D16" s="151" t="s">
        <v>19</v>
      </c>
      <c r="E16" s="152" t="e">
        <f>#REF!/present!$E$32</f>
        <v>#REF!</v>
      </c>
      <c r="F16" s="153" t="e">
        <f>#REF!</f>
        <v>#REF!</v>
      </c>
      <c r="G16" s="154" t="e">
        <f t="shared" si="0"/>
        <v>#REF!</v>
      </c>
      <c r="H16" s="152" t="e">
        <f>#REF!/present!$E$32</f>
        <v>#REF!</v>
      </c>
      <c r="I16" s="156" t="e">
        <f>#REF!</f>
        <v>#REF!</v>
      </c>
      <c r="J16" s="165" t="e">
        <f t="shared" si="8"/>
        <v>#REF!</v>
      </c>
      <c r="K16" s="157" t="e">
        <f>#REF!/present!$E$32</f>
        <v>#REF!</v>
      </c>
      <c r="L16" s="158">
        <v>0</v>
      </c>
      <c r="M16" s="167">
        <v>0</v>
      </c>
      <c r="N16" s="163" t="e">
        <f t="shared" si="2"/>
        <v>#REF!</v>
      </c>
      <c r="O16" s="161">
        <v>-0.21685353988665904</v>
      </c>
      <c r="P16" s="162" t="e">
        <f t="shared" si="3"/>
        <v>#REF!</v>
      </c>
      <c r="Q16" s="7" t="e">
        <f t="shared" si="7"/>
        <v>#REF!</v>
      </c>
      <c r="R16" s="6" t="e">
        <f t="shared" si="4"/>
        <v>#REF!</v>
      </c>
      <c r="S16" s="6" t="e">
        <f t="shared" si="6"/>
        <v>#REF!</v>
      </c>
    </row>
    <row r="17" spans="4:20" ht="18" x14ac:dyDescent="0.35">
      <c r="D17" s="164" t="s">
        <v>20</v>
      </c>
      <c r="E17" s="152" t="e">
        <f>#REF!/present!$E$32</f>
        <v>#REF!</v>
      </c>
      <c r="F17" s="153" t="e">
        <f>#REF!</f>
        <v>#REF!</v>
      </c>
      <c r="G17" s="154" t="e">
        <f t="shared" si="0"/>
        <v>#REF!</v>
      </c>
      <c r="H17" s="152" t="e">
        <f>#REF!/present!$E$32</f>
        <v>#REF!</v>
      </c>
      <c r="I17" s="156" t="e">
        <f>#REF!</f>
        <v>#REF!</v>
      </c>
      <c r="J17" s="154" t="e">
        <f t="shared" si="8"/>
        <v>#REF!</v>
      </c>
      <c r="K17" s="157" t="e">
        <f>#REF!/present!$E$32</f>
        <v>#REF!</v>
      </c>
      <c r="L17" s="158">
        <v>0</v>
      </c>
      <c r="M17" s="167" t="e">
        <f t="shared" si="1"/>
        <v>#REF!</v>
      </c>
      <c r="N17" s="163" t="e">
        <f t="shared" si="2"/>
        <v>#REF!</v>
      </c>
      <c r="O17" s="161" t="e">
        <f>L44</f>
        <v>#REF!</v>
      </c>
      <c r="P17" s="162" t="e">
        <f t="shared" si="3"/>
        <v>#REF!</v>
      </c>
      <c r="Q17" s="7" t="e">
        <f t="shared" si="7"/>
        <v>#REF!</v>
      </c>
      <c r="R17" s="6" t="e">
        <f t="shared" si="4"/>
        <v>#REF!</v>
      </c>
      <c r="S17" s="6" t="e">
        <f t="shared" si="6"/>
        <v>#REF!</v>
      </c>
    </row>
    <row r="18" spans="4:20" ht="18" x14ac:dyDescent="0.35">
      <c r="D18" s="237" t="s">
        <v>21</v>
      </c>
      <c r="E18" s="152" t="e">
        <f>#REF!/present!$E$32</f>
        <v>#REF!</v>
      </c>
      <c r="F18" s="153" t="e">
        <f>#REF!</f>
        <v>#REF!</v>
      </c>
      <c r="G18" s="238" t="e">
        <f t="shared" si="0"/>
        <v>#REF!</v>
      </c>
      <c r="H18" s="152" t="e">
        <f>#REF!/present!$E$32</f>
        <v>#REF!</v>
      </c>
      <c r="I18" s="156" t="e">
        <f>#REF!</f>
        <v>#REF!</v>
      </c>
      <c r="J18" s="238" t="e">
        <f t="shared" si="8"/>
        <v>#REF!</v>
      </c>
      <c r="K18" s="157" t="e">
        <f>#REF!/present!$E$32</f>
        <v>#REF!</v>
      </c>
      <c r="L18" s="239">
        <v>0</v>
      </c>
      <c r="M18" s="240" t="e">
        <f t="shared" si="1"/>
        <v>#REF!</v>
      </c>
      <c r="N18" s="241" t="e">
        <f t="shared" si="2"/>
        <v>#REF!</v>
      </c>
      <c r="O18" s="242" t="e">
        <f t="shared" si="5"/>
        <v>#REF!</v>
      </c>
      <c r="P18" s="243" t="e">
        <f t="shared" si="3"/>
        <v>#REF!</v>
      </c>
      <c r="Q18" s="1" t="e">
        <f t="shared" si="7"/>
        <v>#REF!</v>
      </c>
      <c r="R18" s="6" t="e">
        <f t="shared" si="4"/>
        <v>#REF!</v>
      </c>
      <c r="S18" s="6" t="e">
        <f>H18/N18</f>
        <v>#REF!</v>
      </c>
    </row>
    <row r="19" spans="4:20" ht="18" x14ac:dyDescent="0.35">
      <c r="D19" s="179" t="s">
        <v>22</v>
      </c>
      <c r="E19" s="230" t="e">
        <f>#REF!/present!$E$32</f>
        <v>#REF!</v>
      </c>
      <c r="F19" s="258" t="e">
        <f>#REF!</f>
        <v>#REF!</v>
      </c>
      <c r="G19" s="186" t="e">
        <f t="shared" si="0"/>
        <v>#REF!</v>
      </c>
      <c r="H19" s="230" t="e">
        <f>#REF!/present!$E$32</f>
        <v>#REF!</v>
      </c>
      <c r="I19" s="259" t="e">
        <f>#REF!</f>
        <v>#REF!</v>
      </c>
      <c r="J19" s="186" t="e">
        <f t="shared" si="8"/>
        <v>#REF!</v>
      </c>
      <c r="K19" s="231" t="e">
        <f>#REF!/present!$E$32</f>
        <v>#REF!</v>
      </c>
      <c r="L19" s="183">
        <v>0</v>
      </c>
      <c r="M19" s="184" t="e">
        <f t="shared" si="1"/>
        <v>#REF!</v>
      </c>
      <c r="N19" s="185" t="e">
        <f t="shared" si="2"/>
        <v>#REF!</v>
      </c>
      <c r="O19" s="187" t="e">
        <f t="shared" si="5"/>
        <v>#REF!</v>
      </c>
      <c r="P19" s="188" t="e">
        <f t="shared" si="3"/>
        <v>#REF!</v>
      </c>
      <c r="Q19" s="1" t="e">
        <f t="shared" si="7"/>
        <v>#REF!</v>
      </c>
      <c r="R19" s="6" t="e">
        <f t="shared" si="4"/>
        <v>#REF!</v>
      </c>
      <c r="S19" s="6" t="e">
        <f t="shared" si="6"/>
        <v>#REF!</v>
      </c>
    </row>
    <row r="20" spans="4:20" ht="18" x14ac:dyDescent="0.35">
      <c r="D20" s="189" t="s">
        <v>23</v>
      </c>
      <c r="E20" s="230" t="e">
        <f>#REF!/present!$E$32</f>
        <v>#REF!</v>
      </c>
      <c r="F20" s="258" t="e">
        <f>#REF!</f>
        <v>#REF!</v>
      </c>
      <c r="G20" s="186" t="e">
        <f t="shared" si="0"/>
        <v>#REF!</v>
      </c>
      <c r="H20" s="230" t="e">
        <f>#REF!/present!$E$32</f>
        <v>#REF!</v>
      </c>
      <c r="I20" s="259" t="e">
        <f>#REF!</f>
        <v>#REF!</v>
      </c>
      <c r="J20" s="186" t="e">
        <f t="shared" si="8"/>
        <v>#REF!</v>
      </c>
      <c r="K20" s="231" t="e">
        <f>#REF!/present!$E$32</f>
        <v>#REF!</v>
      </c>
      <c r="L20" s="183">
        <v>0</v>
      </c>
      <c r="M20" s="184" t="e">
        <f t="shared" si="1"/>
        <v>#REF!</v>
      </c>
      <c r="N20" s="185" t="e">
        <f t="shared" si="2"/>
        <v>#REF!</v>
      </c>
      <c r="O20" s="187" t="e">
        <f t="shared" si="5"/>
        <v>#REF!</v>
      </c>
      <c r="P20" s="188" t="e">
        <f t="shared" si="3"/>
        <v>#REF!</v>
      </c>
      <c r="Q20" s="1" t="e">
        <f t="shared" si="7"/>
        <v>#REF!</v>
      </c>
      <c r="R20" s="6" t="e">
        <f t="shared" si="4"/>
        <v>#REF!</v>
      </c>
      <c r="S20" s="6" t="e">
        <f t="shared" si="6"/>
        <v>#REF!</v>
      </c>
    </row>
    <row r="21" spans="4:20" ht="18" x14ac:dyDescent="0.35">
      <c r="D21" s="189" t="s">
        <v>24</v>
      </c>
      <c r="E21" s="230" t="e">
        <f>#REF!/present!$E$32</f>
        <v>#REF!</v>
      </c>
      <c r="F21" s="258" t="e">
        <f>#REF!</f>
        <v>#REF!</v>
      </c>
      <c r="G21" s="186" t="e">
        <f t="shared" si="0"/>
        <v>#REF!</v>
      </c>
      <c r="H21" s="230" t="e">
        <f>#REF!/present!$E$32</f>
        <v>#REF!</v>
      </c>
      <c r="I21" s="259" t="e">
        <f>#REF!</f>
        <v>#REF!</v>
      </c>
      <c r="J21" s="186" t="e">
        <f t="shared" si="8"/>
        <v>#REF!</v>
      </c>
      <c r="K21" s="231" t="e">
        <f>#REF!/present!$E$32</f>
        <v>#REF!</v>
      </c>
      <c r="L21" s="183">
        <v>0</v>
      </c>
      <c r="M21" s="184" t="e">
        <f t="shared" si="1"/>
        <v>#REF!</v>
      </c>
      <c r="N21" s="185" t="e">
        <f t="shared" si="2"/>
        <v>#REF!</v>
      </c>
      <c r="O21" s="187" t="e">
        <f t="shared" si="5"/>
        <v>#REF!</v>
      </c>
      <c r="P21" s="188" t="e">
        <f t="shared" si="3"/>
        <v>#REF!</v>
      </c>
      <c r="Q21" s="1" t="e">
        <f t="shared" si="7"/>
        <v>#REF!</v>
      </c>
      <c r="R21" s="6" t="e">
        <f t="shared" si="4"/>
        <v>#REF!</v>
      </c>
      <c r="S21" s="6" t="e">
        <f t="shared" si="6"/>
        <v>#REF!</v>
      </c>
    </row>
    <row r="22" spans="4:20" ht="11.25" customHeight="1" x14ac:dyDescent="0.35">
      <c r="D22" s="9"/>
      <c r="E22" s="10"/>
      <c r="F22" s="11"/>
      <c r="G22" s="12"/>
      <c r="H22" s="10"/>
      <c r="I22" s="13"/>
      <c r="J22" s="12"/>
      <c r="K22" s="14"/>
      <c r="L22" s="14"/>
      <c r="M22" s="15"/>
      <c r="N22" s="16"/>
      <c r="O22" s="17"/>
      <c r="P22" s="18"/>
      <c r="Q22" s="1">
        <v>-1</v>
      </c>
    </row>
    <row r="23" spans="4:20" ht="21" customHeight="1" x14ac:dyDescent="0.35">
      <c r="D23" s="201" t="s">
        <v>25</v>
      </c>
      <c r="E23" s="232" t="e">
        <f>SUM(E10:E12)</f>
        <v>#REF!</v>
      </c>
      <c r="F23" s="203" t="e">
        <f>SUMPRODUCT(E10:E12,F10:F12)/SUM(E10:E12)</f>
        <v>#REF!</v>
      </c>
      <c r="G23" s="204" t="e">
        <f>SUM(G10:G12)</f>
        <v>#REF!</v>
      </c>
      <c r="H23" s="232" t="e">
        <f>SUM(H10:H21)</f>
        <v>#REF!</v>
      </c>
      <c r="I23" s="206" t="e">
        <f>SUMPRODUCT(H10:H12,I10:I12)/SUM(H10:H12)</f>
        <v>#REF!</v>
      </c>
      <c r="J23" s="207" t="e">
        <f>SUM(J10:J12)</f>
        <v>#REF!</v>
      </c>
      <c r="K23" s="232" t="e">
        <f>SUM(K10:K12)</f>
        <v>#REF!</v>
      </c>
      <c r="L23" s="208" t="e">
        <f>SUMPRODUCT(K10:K12,L10:L12)/SUM(K10:K12)</f>
        <v>#REF!</v>
      </c>
      <c r="M23" s="209" t="e">
        <f>SUM(M10:M12)</f>
        <v>#REF!</v>
      </c>
      <c r="N23" s="202" t="e">
        <f>SUM(N10:N12)</f>
        <v>#REF!</v>
      </c>
      <c r="O23" s="210" t="e">
        <f>SUMPRODUCT(N10:N12,O10:O12)/SUM(N10:N12)</f>
        <v>#REF!</v>
      </c>
      <c r="P23" s="211" t="e">
        <f>SUM(P10:P12)</f>
        <v>#REF!</v>
      </c>
    </row>
    <row r="24" spans="4:20" ht="18" x14ac:dyDescent="0.35">
      <c r="D24" s="201" t="s">
        <v>26</v>
      </c>
      <c r="E24" s="232" t="e">
        <f>SUM(E13:E15)</f>
        <v>#REF!</v>
      </c>
      <c r="F24" s="203" t="e">
        <f>SUMPRODUCT(E13:E15,F13:F15)/SUM(E13:E15)</f>
        <v>#REF!</v>
      </c>
      <c r="G24" s="204" t="e">
        <f>SUM(G13:G15)</f>
        <v>#REF!</v>
      </c>
      <c r="H24" s="234" t="e">
        <f>SUM(H13:H15)</f>
        <v>#REF!</v>
      </c>
      <c r="I24" s="206" t="e">
        <f>SUMPRODUCT(H13:H15,I13:I15)/SUM(H13:H15)</f>
        <v>#REF!</v>
      </c>
      <c r="J24" s="207" t="e">
        <f>SUM(J13:J15)</f>
        <v>#REF!</v>
      </c>
      <c r="K24" s="234" t="e">
        <f>SUM(K13:K15)</f>
        <v>#REF!</v>
      </c>
      <c r="L24" s="208" t="e">
        <f>SUMPRODUCT(K13:K15,L13:L15)/SUM(K13:K15)</f>
        <v>#REF!</v>
      </c>
      <c r="M24" s="209" t="e">
        <f>SUM(M13:M15)</f>
        <v>#REF!</v>
      </c>
      <c r="N24" s="202" t="e">
        <f>SUM(N13:N15)</f>
        <v>#REF!</v>
      </c>
      <c r="O24" s="210" t="e">
        <f>SUMPRODUCT(N13:N15,O13:O15)/SUM(N13:N15)</f>
        <v>#REF!</v>
      </c>
      <c r="P24" s="211" t="e">
        <f>SUM(P13:P15)</f>
        <v>#REF!</v>
      </c>
    </row>
    <row r="25" spans="4:20" ht="18" x14ac:dyDescent="0.35">
      <c r="D25" s="190" t="s">
        <v>42</v>
      </c>
      <c r="E25" s="233" t="e">
        <f>SUM(E10:E15)</f>
        <v>#REF!</v>
      </c>
      <c r="F25" s="192" t="e">
        <f>SUMPRODUCT(E10:E15,F10:F15)/SUM(E10:E15)</f>
        <v>#REF!</v>
      </c>
      <c r="G25" s="193" t="e">
        <f>SUM(G10:G15)</f>
        <v>#REF!</v>
      </c>
      <c r="H25" s="235" t="e">
        <f>SUM(H10:H15)</f>
        <v>#REF!</v>
      </c>
      <c r="I25" s="192" t="e">
        <f>SUMPRODUCT(H10:H15,I10:I15)/SUM(H10:H15)</f>
        <v>#REF!</v>
      </c>
      <c r="J25" s="195" t="e">
        <f>SUM(J10:J15)</f>
        <v>#REF!</v>
      </c>
      <c r="K25" s="233" t="e">
        <f>SUM(K10:K15)</f>
        <v>#REF!</v>
      </c>
      <c r="L25" s="196" t="e">
        <f>SUMPRODUCT(K10:K15,L10:L15)/SUM(K10:K15)</f>
        <v>#REF!</v>
      </c>
      <c r="M25" s="197" t="e">
        <f>SUM(M10:M15)</f>
        <v>#REF!</v>
      </c>
      <c r="N25" s="198" t="e">
        <f>SUM(N10:N15)</f>
        <v>#REF!</v>
      </c>
      <c r="O25" s="192" t="e">
        <f>SUMPRODUCT(N10:N15,O10:O15)/SUM(N10:N15)</f>
        <v>#REF!</v>
      </c>
      <c r="P25" s="195" t="e">
        <f>SUM(P10:P15)</f>
        <v>#REF!</v>
      </c>
    </row>
    <row r="26" spans="4:20" ht="18.75" customHeight="1" x14ac:dyDescent="0.35">
      <c r="D26" s="201" t="s">
        <v>43</v>
      </c>
      <c r="E26" s="232" t="e">
        <f>SUM(E16:E18)</f>
        <v>#REF!</v>
      </c>
      <c r="F26" s="203" t="e">
        <f>SUMPRODUCT(E16:E18,F16:F18)/SUM(E16:E18)</f>
        <v>#REF!</v>
      </c>
      <c r="G26" s="204" t="e">
        <f>SUM(G16:G18)</f>
        <v>#REF!</v>
      </c>
      <c r="H26" s="232" t="e">
        <f>SUM(H16:H18)</f>
        <v>#REF!</v>
      </c>
      <c r="I26" s="203" t="e">
        <f>SUMPRODUCT(H16:H18,I16:I18)/SUM(H16:H18)</f>
        <v>#REF!</v>
      </c>
      <c r="J26" s="204" t="e">
        <f>SUM(J16:J18)</f>
        <v>#REF!</v>
      </c>
      <c r="K26" s="232" t="e">
        <f>SUM(K16:K18)</f>
        <v>#REF!</v>
      </c>
      <c r="L26" s="208" t="e">
        <f>SUMPRODUCT(K16:K18,L16:L18)/SUM(K16:K18)</f>
        <v>#REF!</v>
      </c>
      <c r="M26" s="209" t="e">
        <f>SUM(M16:M18)</f>
        <v>#REF!</v>
      </c>
      <c r="N26" s="202" t="e">
        <f>SUM(N16:N18)</f>
        <v>#REF!</v>
      </c>
      <c r="O26" s="210" t="e">
        <f>SUMPRODUCT(N16:N18,O16:O18)/SUM(N16:N18)</f>
        <v>#REF!</v>
      </c>
      <c r="P26" s="211" t="e">
        <f>SUM(P16:P18)</f>
        <v>#REF!</v>
      </c>
    </row>
    <row r="27" spans="4:20" ht="18.75" customHeight="1" x14ac:dyDescent="0.35">
      <c r="D27" s="199" t="s">
        <v>29</v>
      </c>
      <c r="E27" s="25" t="e">
        <f>SUM(E19:E21)</f>
        <v>#REF!</v>
      </c>
      <c r="F27" s="20" t="e">
        <f>SUMPRODUCT(E19:E21,F19:F21)/SUM(E19:E21)</f>
        <v>#REF!</v>
      </c>
      <c r="G27" s="22" t="e">
        <f>SUM(G19:G21)</f>
        <v>#REF!</v>
      </c>
      <c r="H27" s="236" t="e">
        <f>SUM(H19:H21)</f>
        <v>#REF!</v>
      </c>
      <c r="I27" s="20" t="e">
        <f>SUMPRODUCT(H19:H21,I19:I21)/SUM(H19:H21)</f>
        <v>#REF!</v>
      </c>
      <c r="J27" s="22" t="e">
        <f>SUM(J19:J21)</f>
        <v>#REF!</v>
      </c>
      <c r="K27" s="25" t="e">
        <f>SUM(K19:K21)</f>
        <v>#REF!</v>
      </c>
      <c r="L27" s="26" t="e">
        <f>SUMPRODUCT(K19:K21,L19:L21)/SUM(K19:K21)</f>
        <v>#REF!</v>
      </c>
      <c r="M27" s="27" t="e">
        <f>SUM(M19:M21)</f>
        <v>#REF!</v>
      </c>
      <c r="N27" s="28" t="e">
        <f>SUM(N19:N21)</f>
        <v>#REF!</v>
      </c>
      <c r="O27" s="29" t="e">
        <f>SUMPRODUCT(N19:N21,O19:O21)/SUM(N19:N21)</f>
        <v>#REF!</v>
      </c>
      <c r="P27" s="30" t="e">
        <f>SUM(P19:P21)</f>
        <v>#REF!</v>
      </c>
      <c r="R27" s="1">
        <v>2000</v>
      </c>
    </row>
    <row r="28" spans="4:20" ht="18.75" customHeight="1" x14ac:dyDescent="0.35">
      <c r="D28" s="24" t="s">
        <v>30</v>
      </c>
      <c r="E28" s="25" t="e">
        <f>SUM(E16:E21)</f>
        <v>#REF!</v>
      </c>
      <c r="F28" s="20" t="e">
        <f>SUMPRODUCT(E16:E21,F16:F21)/SUM(E16:E21)</f>
        <v>#REF!</v>
      </c>
      <c r="G28" s="22" t="e">
        <f>SUM(G16:G21)</f>
        <v>#REF!</v>
      </c>
      <c r="H28" s="236" t="e">
        <f>SUM(H16:H21)</f>
        <v>#REF!</v>
      </c>
      <c r="I28" s="20" t="e">
        <f>SUMPRODUCT(H16:H21,I16:I21)/SUM(H16:H21)</f>
        <v>#REF!</v>
      </c>
      <c r="J28" s="22" t="e">
        <f>SUM(J16:J21)</f>
        <v>#REF!</v>
      </c>
      <c r="K28" s="25" t="e">
        <f>SUM(K16:K21)</f>
        <v>#REF!</v>
      </c>
      <c r="L28" s="26" t="e">
        <f>SUMPRODUCT(K16:K21,L16:L21)/SUM(K16:K21)</f>
        <v>#REF!</v>
      </c>
      <c r="M28" s="27" t="e">
        <f>SUM(M16:M21)</f>
        <v>#REF!</v>
      </c>
      <c r="N28" s="28" t="e">
        <f>SUM(N16:N21)</f>
        <v>#REF!</v>
      </c>
      <c r="O28" s="29" t="e">
        <f>SUMPRODUCT(N16:N21,O16:O21)/SUM(N16:N21)</f>
        <v>#REF!</v>
      </c>
      <c r="P28" s="30" t="e">
        <f>SUM(P16:P21)</f>
        <v>#REF!</v>
      </c>
      <c r="R28" s="1">
        <v>29000000</v>
      </c>
    </row>
    <row r="29" spans="4:20" ht="6.75" customHeight="1" x14ac:dyDescent="0.3">
      <c r="F29" s="31"/>
      <c r="G29" s="32"/>
      <c r="H29" s="33"/>
      <c r="I29" s="31"/>
      <c r="J29" s="32"/>
      <c r="L29" s="34"/>
      <c r="M29" s="35"/>
      <c r="N29" s="36"/>
      <c r="O29" s="37"/>
      <c r="P29" s="38"/>
      <c r="R29" s="39">
        <f>R27/R28</f>
        <v>6.8965517241379313E-5</v>
      </c>
    </row>
    <row r="30" spans="4:20" ht="18" hidden="1" x14ac:dyDescent="0.35">
      <c r="D30" s="40" t="s">
        <v>60</v>
      </c>
      <c r="E30" s="41" t="e">
        <f>SUM(E10:E15)</f>
        <v>#REF!</v>
      </c>
      <c r="F30" s="42" t="e">
        <f>SUMPRODUCT(E10:E15,F10:F15)/SUM(E10:E15)</f>
        <v>#REF!</v>
      </c>
      <c r="G30" s="43" t="e">
        <f>SUM(G10:G15)</f>
        <v>#REF!</v>
      </c>
      <c r="H30" s="44" t="e">
        <f>SUM(H10:H15)</f>
        <v>#REF!</v>
      </c>
      <c r="I30" s="42" t="e">
        <f>SUMPRODUCT(H10:H15,I10:I15)/SUM(H10:H15)</f>
        <v>#REF!</v>
      </c>
      <c r="J30" s="43" t="e">
        <f>SUM(J10:J15)</f>
        <v>#REF!</v>
      </c>
      <c r="K30" s="41" t="e">
        <f>SUM(K10:K14)</f>
        <v>#REF!</v>
      </c>
      <c r="L30" s="45" t="e">
        <f>SUMPRODUCT(K10:K15,L10:L15)/SUM(K10:K15)</f>
        <v>#REF!</v>
      </c>
      <c r="M30" s="46" t="e">
        <f>SUM(M10:M15)</f>
        <v>#REF!</v>
      </c>
      <c r="N30" s="41" t="e">
        <f>SUM(N10:N15)</f>
        <v>#REF!</v>
      </c>
      <c r="O30" s="42" t="e">
        <f>SUMPRODUCT(N10:N15,O10:O15)/SUM(N10:N15)</f>
        <v>#REF!</v>
      </c>
      <c r="P30" s="43" t="e">
        <f>SUM(P10:P15)</f>
        <v>#REF!</v>
      </c>
    </row>
    <row r="31" spans="4:20" ht="18.75" customHeight="1" x14ac:dyDescent="0.35">
      <c r="D31" s="168" t="s">
        <v>45</v>
      </c>
      <c r="E31" s="169" t="e">
        <f>SUM(E10:E21)</f>
        <v>#REF!</v>
      </c>
      <c r="F31" s="170" t="e">
        <f>SUMPRODUCT(E10:E21,F10:F21)/SUM(E10:E21)</f>
        <v>#REF!</v>
      </c>
      <c r="G31" s="171" t="e">
        <f>SUM(G10:G21)</f>
        <v>#REF!</v>
      </c>
      <c r="H31" s="169" t="e">
        <f>SUM(H10:H21)</f>
        <v>#REF!</v>
      </c>
      <c r="I31" s="170" t="e">
        <f>SUMPRODUCT(H10:H21,I10:I21)/SUM(H10:H21)</f>
        <v>#REF!</v>
      </c>
      <c r="J31" s="171" t="e">
        <f>SUM(J10:J21)</f>
        <v>#REF!</v>
      </c>
      <c r="K31" s="169" t="e">
        <f>SUM(K10:K21)</f>
        <v>#REF!</v>
      </c>
      <c r="L31" s="172" t="e">
        <f>SUMPRODUCT(K10:K21,L10:L21)/SUM(K10:K21)</f>
        <v>#REF!</v>
      </c>
      <c r="M31" s="173" t="e">
        <f>SUM(M10:M21)</f>
        <v>#REF!</v>
      </c>
      <c r="N31" s="169" t="e">
        <f>SUM(N10:N21)</f>
        <v>#REF!</v>
      </c>
      <c r="O31" s="170" t="e">
        <f>SUMPRODUCT(N10:N21,O10:O21)/SUM(N10:N21)</f>
        <v>#REF!</v>
      </c>
      <c r="P31" s="171" t="e">
        <f>SUM(P10:P21)</f>
        <v>#REF!</v>
      </c>
    </row>
    <row r="32" spans="4:20" ht="18.75" customHeight="1" x14ac:dyDescent="0.35">
      <c r="D32" s="255" t="s">
        <v>40</v>
      </c>
      <c r="E32" s="256">
        <v>1000</v>
      </c>
      <c r="F32" s="49"/>
      <c r="G32" s="50"/>
      <c r="H32" s="51"/>
      <c r="I32" s="49"/>
      <c r="J32" s="48"/>
      <c r="K32" s="48"/>
      <c r="L32" s="52"/>
      <c r="M32" s="52"/>
      <c r="N32" s="48"/>
      <c r="O32" s="49"/>
      <c r="P32" s="48"/>
      <c r="S32" s="53">
        <v>14163795.778999999</v>
      </c>
      <c r="T32" s="1">
        <v>0.59</v>
      </c>
    </row>
    <row r="33" spans="1:20" ht="18.75" hidden="1" customHeight="1" x14ac:dyDescent="0.35">
      <c r="D33" s="47"/>
      <c r="E33" s="48"/>
      <c r="G33" s="50"/>
      <c r="H33" s="51"/>
      <c r="I33" s="49" t="e">
        <f>SUMPRODUCT(H10:H19,I10:I19)/SUM(H10:H19)</f>
        <v>#REF!</v>
      </c>
      <c r="J33" s="48"/>
      <c r="K33" s="48"/>
      <c r="L33" s="54" t="e">
        <f>N23/6719422</f>
        <v>#REF!</v>
      </c>
      <c r="M33" s="52"/>
      <c r="N33" s="48" t="e">
        <f>27000000-N31</f>
        <v>#REF!</v>
      </c>
      <c r="O33" s="49" t="e">
        <f>SUMPRODUCT(N10:N18,O10:O18)/SUM(N10:N18)</f>
        <v>#REF!</v>
      </c>
      <c r="P33" s="48" t="e">
        <v>#REF!</v>
      </c>
      <c r="S33" s="55">
        <v>15836204.221000001</v>
      </c>
      <c r="T33" s="1">
        <v>0.43</v>
      </c>
    </row>
    <row r="34" spans="1:20" ht="18.75" hidden="1" customHeight="1" x14ac:dyDescent="0.35">
      <c r="D34" s="47"/>
      <c r="E34" s="48"/>
      <c r="F34" s="56" t="e">
        <f>SUMPRODUCT(E10:E20,F10:F20)/SUM(E10:E20)</f>
        <v>#REF!</v>
      </c>
      <c r="G34" s="50"/>
      <c r="H34" s="51"/>
      <c r="I34" s="49" t="e">
        <f>SUMPRODUCT(H10:H20,I10:I20)/SUM(H10:H20)</f>
        <v>#REF!</v>
      </c>
      <c r="J34" s="48"/>
      <c r="K34" s="48"/>
      <c r="L34" s="52"/>
      <c r="M34" s="52"/>
      <c r="N34" s="48" t="e">
        <f>N31-400000</f>
        <v>#REF!</v>
      </c>
      <c r="O34" s="49"/>
      <c r="P34" s="48">
        <f>12000000+29000000</f>
        <v>41000000</v>
      </c>
      <c r="R34" s="2" t="e">
        <f>P34-P33</f>
        <v>#REF!</v>
      </c>
      <c r="T34" s="1">
        <f>SUMPRODUCT(S32:S33,T32:T33)/SUM(S32:S33)</f>
        <v>0.50554024415466658</v>
      </c>
    </row>
    <row r="35" spans="1:20" ht="18" hidden="1" x14ac:dyDescent="0.3">
      <c r="C35" s="1" t="e">
        <f>N33/70000</f>
        <v>#REF!</v>
      </c>
      <c r="D35" s="57"/>
      <c r="E35" s="58" t="e">
        <f>SUM(E10:E17)</f>
        <v>#REF!</v>
      </c>
      <c r="F35" s="1" t="e">
        <f>SUMPRODUCT(E10:E17,F10:F17)/SUM(E10:E17)</f>
        <v>#REF!</v>
      </c>
      <c r="G35" s="59" t="e">
        <f>SUM(G10:G17)</f>
        <v>#REF!</v>
      </c>
      <c r="H35" s="1" t="e">
        <f>SUM(H10:H17)</f>
        <v>#REF!</v>
      </c>
      <c r="I35" s="1" t="e">
        <f>SUMPRODUCT(H10:H17,I10:I17)/SUM(H10:H17)</f>
        <v>#REF!</v>
      </c>
      <c r="J35" s="5" t="e">
        <f>SUM(J10:J17)</f>
        <v>#REF!</v>
      </c>
      <c r="K35" s="5" t="e">
        <f>SUM(K10:K17)</f>
        <v>#REF!</v>
      </c>
      <c r="L35" s="5" t="e">
        <f>SUMPRODUCT(K10:K17,L10:L17)/SUM(K10:K17)</f>
        <v>#REF!</v>
      </c>
      <c r="M35" s="5" t="e">
        <f>SUM(M10:M17)</f>
        <v>#REF!</v>
      </c>
      <c r="N35" s="2" t="e">
        <f>SUM(N10:N17)</f>
        <v>#REF!</v>
      </c>
      <c r="O35" s="5" t="e">
        <f>SUMPRODUCT(N10:N17,O10:O17)/SUM(N10:N17)</f>
        <v>#REF!</v>
      </c>
      <c r="P35" s="8" t="e">
        <f>SUM(P10:P17)</f>
        <v>#REF!</v>
      </c>
    </row>
    <row r="36" spans="1:20" hidden="1" x14ac:dyDescent="0.3">
      <c r="A36" s="2"/>
      <c r="B36" s="2"/>
      <c r="J36" s="5"/>
      <c r="K36" s="5"/>
      <c r="L36" s="5"/>
      <c r="M36" s="5"/>
      <c r="N36" s="2"/>
    </row>
    <row r="37" spans="1:20" hidden="1" x14ac:dyDescent="0.3">
      <c r="C37" s="1">
        <f>177*2</f>
        <v>354</v>
      </c>
      <c r="E37" s="2" t="e">
        <f t="shared" ref="E37:E48" si="9">E10</f>
        <v>#REF!</v>
      </c>
      <c r="F37" s="2" t="e">
        <f t="shared" ref="F37:F48" si="10">H10</f>
        <v>#REF!</v>
      </c>
      <c r="G37" s="2" t="e">
        <f t="shared" ref="G37:G48" si="11">K10</f>
        <v>#REF!</v>
      </c>
      <c r="H37" s="2" t="e">
        <f>SUM(E37:G37)</f>
        <v>#REF!</v>
      </c>
      <c r="I37" s="60" t="e">
        <f t="shared" ref="I37:I48" si="12">F10</f>
        <v>#REF!</v>
      </c>
      <c r="J37" s="61" t="e">
        <f t="shared" ref="J37:J48" si="13">I10</f>
        <v>#REF!</v>
      </c>
      <c r="K37" s="61">
        <f t="shared" ref="K37:K48" si="14">L10</f>
        <v>0</v>
      </c>
      <c r="L37" s="5" t="e">
        <f>SUMPRODUCT(E37:G37,I37:K37)/SUM(E37:G37)</f>
        <v>#REF!</v>
      </c>
      <c r="M37" s="5"/>
      <c r="N37" s="5">
        <v>30000000</v>
      </c>
      <c r="O37" s="5"/>
      <c r="P37" s="1" t="e">
        <f t="shared" ref="P37:P48" si="15">SUMPRODUCT(E37:F37,I37:J37)/H37</f>
        <v>#REF!</v>
      </c>
    </row>
    <row r="38" spans="1:20" hidden="1" x14ac:dyDescent="0.3">
      <c r="A38" s="53"/>
      <c r="B38" s="53"/>
      <c r="D38" s="2"/>
      <c r="E38" s="2" t="e">
        <f t="shared" si="9"/>
        <v>#REF!</v>
      </c>
      <c r="F38" s="2" t="e">
        <f>H11</f>
        <v>#REF!</v>
      </c>
      <c r="G38" s="2" t="e">
        <f t="shared" si="11"/>
        <v>#REF!</v>
      </c>
      <c r="H38" s="2" t="e">
        <f t="shared" ref="H38:H47" si="16">SUM(E38:G38)</f>
        <v>#REF!</v>
      </c>
      <c r="I38" s="60" t="e">
        <f t="shared" si="12"/>
        <v>#REF!</v>
      </c>
      <c r="J38" s="61" t="e">
        <f t="shared" si="13"/>
        <v>#REF!</v>
      </c>
      <c r="K38" s="61">
        <f t="shared" si="14"/>
        <v>0</v>
      </c>
      <c r="L38" s="5" t="e">
        <f t="shared" ref="L38:L48" si="17">SUMPRODUCT(E38:G38,I38:K38)/SUM(E38:G38)</f>
        <v>#REF!</v>
      </c>
      <c r="M38" s="5"/>
      <c r="N38" s="5" t="e">
        <f>N37-N31</f>
        <v>#REF!</v>
      </c>
      <c r="O38" s="5"/>
      <c r="P38" s="1" t="e">
        <f t="shared" si="15"/>
        <v>#REF!</v>
      </c>
    </row>
    <row r="39" spans="1:20" hidden="1" x14ac:dyDescent="0.3">
      <c r="E39" s="2" t="e">
        <f t="shared" si="9"/>
        <v>#REF!</v>
      </c>
      <c r="F39" s="2" t="e">
        <f>H12</f>
        <v>#REF!</v>
      </c>
      <c r="G39" s="2" t="e">
        <f t="shared" si="11"/>
        <v>#REF!</v>
      </c>
      <c r="H39" s="2" t="e">
        <f t="shared" si="16"/>
        <v>#REF!</v>
      </c>
      <c r="I39" s="60" t="e">
        <f t="shared" si="12"/>
        <v>#REF!</v>
      </c>
      <c r="J39" s="61" t="e">
        <f t="shared" si="13"/>
        <v>#REF!</v>
      </c>
      <c r="K39" s="61">
        <f t="shared" si="14"/>
        <v>0</v>
      </c>
      <c r="L39" s="5" t="e">
        <f t="shared" si="17"/>
        <v>#REF!</v>
      </c>
      <c r="M39" s="5"/>
      <c r="N39" s="5"/>
      <c r="O39" s="5"/>
      <c r="P39" s="1" t="e">
        <f t="shared" si="15"/>
        <v>#REF!</v>
      </c>
    </row>
    <row r="40" spans="1:20" hidden="1" x14ac:dyDescent="0.3">
      <c r="C40" s="1">
        <f>498.63/938500</f>
        <v>5.3130527437400109E-4</v>
      </c>
      <c r="E40" s="2" t="e">
        <f t="shared" si="9"/>
        <v>#REF!</v>
      </c>
      <c r="F40" s="2" t="e">
        <f t="shared" si="10"/>
        <v>#REF!</v>
      </c>
      <c r="G40" s="2" t="e">
        <f t="shared" si="11"/>
        <v>#REF!</v>
      </c>
      <c r="H40" s="2" t="e">
        <f t="shared" si="16"/>
        <v>#REF!</v>
      </c>
      <c r="I40" s="60" t="e">
        <f t="shared" si="12"/>
        <v>#REF!</v>
      </c>
      <c r="J40" s="61" t="e">
        <f t="shared" si="13"/>
        <v>#REF!</v>
      </c>
      <c r="K40" s="61">
        <f t="shared" si="14"/>
        <v>0</v>
      </c>
      <c r="L40" s="5" t="e">
        <f t="shared" si="17"/>
        <v>#REF!</v>
      </c>
      <c r="M40" s="5"/>
      <c r="N40" s="5" t="e">
        <f>N31-65000-80000</f>
        <v>#REF!</v>
      </c>
      <c r="O40" s="5"/>
      <c r="P40" s="1" t="e">
        <f t="shared" si="15"/>
        <v>#REF!</v>
      </c>
      <c r="Q40" s="1">
        <v>29116933.085999999</v>
      </c>
    </row>
    <row r="41" spans="1:20" hidden="1" x14ac:dyDescent="0.3">
      <c r="E41" s="2" t="e">
        <f t="shared" si="9"/>
        <v>#REF!</v>
      </c>
      <c r="F41" s="2" t="e">
        <f t="shared" si="10"/>
        <v>#REF!</v>
      </c>
      <c r="G41" s="2" t="e">
        <f t="shared" si="11"/>
        <v>#REF!</v>
      </c>
      <c r="H41" s="2" t="e">
        <f t="shared" si="16"/>
        <v>#REF!</v>
      </c>
      <c r="I41" s="60" t="e">
        <f t="shared" si="12"/>
        <v>#REF!</v>
      </c>
      <c r="J41" s="61" t="e">
        <f t="shared" si="13"/>
        <v>#REF!</v>
      </c>
      <c r="K41" s="61">
        <f t="shared" si="14"/>
        <v>0</v>
      </c>
      <c r="L41" s="5" t="e">
        <f t="shared" si="17"/>
        <v>#REF!</v>
      </c>
      <c r="M41" s="5"/>
      <c r="N41" s="5"/>
      <c r="O41" s="5" t="e">
        <f>N31*O31</f>
        <v>#REF!</v>
      </c>
      <c r="P41" s="1" t="e">
        <f t="shared" si="15"/>
        <v>#REF!</v>
      </c>
    </row>
    <row r="42" spans="1:20" hidden="1" x14ac:dyDescent="0.3">
      <c r="E42" s="2" t="e">
        <f t="shared" si="9"/>
        <v>#REF!</v>
      </c>
      <c r="F42" s="2" t="e">
        <f t="shared" si="10"/>
        <v>#REF!</v>
      </c>
      <c r="G42" s="2" t="e">
        <f t="shared" si="11"/>
        <v>#REF!</v>
      </c>
      <c r="H42" s="2" t="e">
        <f t="shared" si="16"/>
        <v>#REF!</v>
      </c>
      <c r="I42" s="60" t="e">
        <f t="shared" si="12"/>
        <v>#REF!</v>
      </c>
      <c r="J42" s="61" t="e">
        <f t="shared" si="13"/>
        <v>#REF!</v>
      </c>
      <c r="K42" s="61">
        <f t="shared" si="14"/>
        <v>0</v>
      </c>
      <c r="L42" s="5" t="e">
        <f t="shared" si="17"/>
        <v>#REF!</v>
      </c>
      <c r="M42" s="5"/>
      <c r="N42" s="5"/>
      <c r="O42" s="5"/>
      <c r="P42" s="1" t="e">
        <f t="shared" si="15"/>
        <v>#REF!</v>
      </c>
    </row>
    <row r="43" spans="1:20" hidden="1" x14ac:dyDescent="0.3">
      <c r="E43" s="2" t="e">
        <f t="shared" si="9"/>
        <v>#REF!</v>
      </c>
      <c r="F43" s="2" t="e">
        <f t="shared" si="10"/>
        <v>#REF!</v>
      </c>
      <c r="G43" s="2" t="e">
        <f t="shared" si="11"/>
        <v>#REF!</v>
      </c>
      <c r="H43" s="2" t="e">
        <f t="shared" si="16"/>
        <v>#REF!</v>
      </c>
      <c r="I43" s="60" t="e">
        <f t="shared" si="12"/>
        <v>#REF!</v>
      </c>
      <c r="J43" s="61" t="e">
        <f t="shared" si="13"/>
        <v>#REF!</v>
      </c>
      <c r="K43" s="61">
        <f t="shared" si="14"/>
        <v>0</v>
      </c>
      <c r="L43" s="5" t="e">
        <f t="shared" si="17"/>
        <v>#REF!</v>
      </c>
      <c r="M43" s="5"/>
      <c r="N43" s="8" t="e">
        <f>(E20+E21)/2</f>
        <v>#REF!</v>
      </c>
      <c r="O43" s="5"/>
      <c r="P43" s="1" t="e">
        <f t="shared" si="15"/>
        <v>#REF!</v>
      </c>
    </row>
    <row r="44" spans="1:20" hidden="1" x14ac:dyDescent="0.3">
      <c r="E44" s="2" t="e">
        <f t="shared" si="9"/>
        <v>#REF!</v>
      </c>
      <c r="F44" s="2" t="e">
        <f t="shared" si="10"/>
        <v>#REF!</v>
      </c>
      <c r="G44" s="2" t="e">
        <f t="shared" si="11"/>
        <v>#REF!</v>
      </c>
      <c r="H44" s="2" t="e">
        <f t="shared" si="16"/>
        <v>#REF!</v>
      </c>
      <c r="I44" s="60" t="e">
        <f t="shared" si="12"/>
        <v>#REF!</v>
      </c>
      <c r="J44" s="61" t="e">
        <f t="shared" si="13"/>
        <v>#REF!</v>
      </c>
      <c r="K44" s="61">
        <f t="shared" si="14"/>
        <v>0</v>
      </c>
      <c r="L44" s="5" t="e">
        <f t="shared" si="17"/>
        <v>#REF!</v>
      </c>
      <c r="M44" s="5"/>
      <c r="N44" s="5"/>
      <c r="O44" s="5"/>
      <c r="P44" s="1" t="e">
        <f t="shared" si="15"/>
        <v>#REF!</v>
      </c>
    </row>
    <row r="45" spans="1:20" hidden="1" x14ac:dyDescent="0.3">
      <c r="E45" s="2" t="e">
        <f t="shared" si="9"/>
        <v>#REF!</v>
      </c>
      <c r="F45" s="2" t="e">
        <f>H18</f>
        <v>#REF!</v>
      </c>
      <c r="G45" s="2" t="e">
        <f t="shared" si="11"/>
        <v>#REF!</v>
      </c>
      <c r="H45" s="2" t="e">
        <f t="shared" si="16"/>
        <v>#REF!</v>
      </c>
      <c r="I45" s="60" t="e">
        <f t="shared" si="12"/>
        <v>#REF!</v>
      </c>
      <c r="J45" s="61" t="e">
        <f t="shared" si="13"/>
        <v>#REF!</v>
      </c>
      <c r="K45" s="61">
        <f t="shared" si="14"/>
        <v>0</v>
      </c>
      <c r="L45" s="5" t="e">
        <f t="shared" si="17"/>
        <v>#REF!</v>
      </c>
      <c r="M45" s="5"/>
      <c r="N45" s="5"/>
      <c r="O45" s="5"/>
      <c r="P45" s="1" t="e">
        <f t="shared" si="15"/>
        <v>#REF!</v>
      </c>
      <c r="Q45" s="2"/>
      <c r="R45" s="2"/>
    </row>
    <row r="46" spans="1:20" hidden="1" x14ac:dyDescent="0.3">
      <c r="E46" s="2" t="e">
        <f t="shared" si="9"/>
        <v>#REF!</v>
      </c>
      <c r="F46" s="2" t="e">
        <f t="shared" si="10"/>
        <v>#REF!</v>
      </c>
      <c r="G46" s="2" t="e">
        <f t="shared" si="11"/>
        <v>#REF!</v>
      </c>
      <c r="H46" s="2" t="e">
        <f t="shared" si="16"/>
        <v>#REF!</v>
      </c>
      <c r="I46" s="60" t="e">
        <f t="shared" si="12"/>
        <v>#REF!</v>
      </c>
      <c r="J46" s="61" t="e">
        <f>I19</f>
        <v>#REF!</v>
      </c>
      <c r="K46" s="61">
        <f t="shared" si="14"/>
        <v>0</v>
      </c>
      <c r="L46" s="5" t="e">
        <f t="shared" si="17"/>
        <v>#REF!</v>
      </c>
      <c r="M46" s="5"/>
      <c r="N46" s="5"/>
      <c r="O46" s="5"/>
      <c r="P46" s="1" t="e">
        <f t="shared" si="15"/>
        <v>#REF!</v>
      </c>
    </row>
    <row r="47" spans="1:20" hidden="1" x14ac:dyDescent="0.3">
      <c r="E47" s="2" t="e">
        <f t="shared" si="9"/>
        <v>#REF!</v>
      </c>
      <c r="F47" s="2" t="e">
        <f t="shared" si="10"/>
        <v>#REF!</v>
      </c>
      <c r="G47" s="2" t="e">
        <f t="shared" si="11"/>
        <v>#REF!</v>
      </c>
      <c r="H47" s="2" t="e">
        <f t="shared" si="16"/>
        <v>#REF!</v>
      </c>
      <c r="I47" s="60" t="e">
        <f t="shared" si="12"/>
        <v>#REF!</v>
      </c>
      <c r="J47" s="61" t="e">
        <f>I20</f>
        <v>#REF!</v>
      </c>
      <c r="K47" s="61">
        <f t="shared" si="14"/>
        <v>0</v>
      </c>
      <c r="L47" s="5" t="e">
        <f>SUMPRODUCT(E47:G47,I47:K47)/SUM(E47:G47)</f>
        <v>#REF!</v>
      </c>
      <c r="M47" s="5"/>
      <c r="N47" s="5"/>
      <c r="O47" s="5"/>
      <c r="P47" s="1" t="e">
        <f t="shared" si="15"/>
        <v>#REF!</v>
      </c>
    </row>
    <row r="48" spans="1:20" hidden="1" x14ac:dyDescent="0.3">
      <c r="E48" s="2" t="e">
        <f t="shared" si="9"/>
        <v>#REF!</v>
      </c>
      <c r="F48" s="2" t="e">
        <f t="shared" si="10"/>
        <v>#REF!</v>
      </c>
      <c r="G48" s="2" t="e">
        <f t="shared" si="11"/>
        <v>#REF!</v>
      </c>
      <c r="H48" s="2" t="e">
        <f>SUM(E48:G48)</f>
        <v>#REF!</v>
      </c>
      <c r="I48" s="60" t="e">
        <f t="shared" si="12"/>
        <v>#REF!</v>
      </c>
      <c r="J48" s="61" t="e">
        <f t="shared" si="13"/>
        <v>#REF!</v>
      </c>
      <c r="K48" s="61">
        <f t="shared" si="14"/>
        <v>0</v>
      </c>
      <c r="L48" s="5" t="e">
        <f t="shared" si="17"/>
        <v>#REF!</v>
      </c>
      <c r="M48" s="5"/>
      <c r="N48" s="5"/>
      <c r="O48" s="5"/>
      <c r="P48" s="1" t="e">
        <f t="shared" si="15"/>
        <v>#REF!</v>
      </c>
    </row>
    <row r="49" spans="7:14" hidden="1" x14ac:dyDescent="0.3"/>
    <row r="50" spans="7:14" hidden="1" x14ac:dyDescent="0.3">
      <c r="G50" s="1" t="e">
        <f>SUM(G37:G49)</f>
        <v>#REF!</v>
      </c>
      <c r="N50" s="1" t="e">
        <f>SUMPRODUCT(H37:H42,P37:P42)/SUM(H37:H42)</f>
        <v>#REF!</v>
      </c>
    </row>
    <row r="51" spans="7:14" hidden="1" x14ac:dyDescent="0.3">
      <c r="N51" s="1" t="e">
        <f>SUMPRODUCT(H37:H46,P37:P46)/SUM(H37:H46)</f>
        <v>#REF!</v>
      </c>
    </row>
    <row r="52" spans="7:14" hidden="1" x14ac:dyDescent="0.3"/>
    <row r="53" spans="7:14" hidden="1" x14ac:dyDescent="0.3"/>
    <row r="74" spans="16:16" x14ac:dyDescent="0.3">
      <c r="P74" s="1">
        <v>0.82565812076498268</v>
      </c>
    </row>
    <row r="75" spans="16:16" x14ac:dyDescent="0.3">
      <c r="P75" s="1">
        <v>0.39171475159489683</v>
      </c>
    </row>
    <row r="76" spans="16:16" x14ac:dyDescent="0.3">
      <c r="P76" s="1">
        <v>0.33133509304428244</v>
      </c>
    </row>
    <row r="77" spans="16:16" x14ac:dyDescent="0.3">
      <c r="P77" s="1">
        <v>0.4</v>
      </c>
    </row>
    <row r="78" spans="16:16" x14ac:dyDescent="0.3">
      <c r="P78" s="1">
        <f>AVERAGE(P74:P77)</f>
        <v>0.48717699135104053</v>
      </c>
    </row>
    <row r="167" spans="4:26" x14ac:dyDescent="0.3">
      <c r="D167" s="62"/>
    </row>
    <row r="172" spans="4:26" x14ac:dyDescent="0.3">
      <c r="Q172" s="423" t="s">
        <v>15</v>
      </c>
      <c r="R172" s="423" t="s">
        <v>16</v>
      </c>
      <c r="S172" s="423" t="s">
        <v>17</v>
      </c>
      <c r="T172" s="423" t="s">
        <v>18</v>
      </c>
      <c r="U172" s="423" t="s">
        <v>19</v>
      </c>
      <c r="V172" s="423" t="s">
        <v>20</v>
      </c>
      <c r="W172" s="423" t="s">
        <v>21</v>
      </c>
      <c r="X172" s="423" t="s">
        <v>22</v>
      </c>
      <c r="Y172" s="423" t="s">
        <v>23</v>
      </c>
      <c r="Z172" s="423" t="s">
        <v>24</v>
      </c>
    </row>
    <row r="173" spans="4:26" x14ac:dyDescent="0.3">
      <c r="Q173" s="63">
        <v>2461</v>
      </c>
      <c r="R173" s="63">
        <v>2507</v>
      </c>
      <c r="S173" s="63">
        <v>2464</v>
      </c>
      <c r="T173" s="63">
        <v>2615</v>
      </c>
      <c r="U173" s="63">
        <v>2421</v>
      </c>
      <c r="V173" s="63">
        <v>2877</v>
      </c>
      <c r="W173" s="63">
        <v>2579</v>
      </c>
      <c r="X173" s="63">
        <v>2313</v>
      </c>
      <c r="Y173" s="63">
        <v>2628.2752320354252</v>
      </c>
      <c r="Z173" s="63">
        <v>2476.2011236298968</v>
      </c>
    </row>
    <row r="183" spans="25:26" x14ac:dyDescent="0.3">
      <c r="Y183" s="1">
        <v>12279</v>
      </c>
    </row>
    <row r="186" spans="25:26" x14ac:dyDescent="0.3">
      <c r="Y186" s="1">
        <v>12272.83836516472</v>
      </c>
      <c r="Z186" s="1">
        <v>759138.08299999998</v>
      </c>
    </row>
    <row r="187" spans="25:26" x14ac:dyDescent="0.3">
      <c r="Y187" s="1">
        <v>12279</v>
      </c>
      <c r="Z187" s="1">
        <v>1895796</v>
      </c>
    </row>
    <row r="189" spans="25:26" x14ac:dyDescent="0.3">
      <c r="Z189" s="8">
        <f>SUMPRODUCT(Y186:Y187,Z186:Z187)/SUM(Z186:Z187)</f>
        <v>12277.238174089913</v>
      </c>
    </row>
    <row r="193" spans="17:26" x14ac:dyDescent="0.3">
      <c r="Q193" s="423" t="s">
        <v>15</v>
      </c>
      <c r="R193" s="423" t="s">
        <v>16</v>
      </c>
      <c r="S193" s="423" t="s">
        <v>17</v>
      </c>
      <c r="T193" s="423" t="s">
        <v>18</v>
      </c>
      <c r="U193" s="423" t="s">
        <v>19</v>
      </c>
      <c r="V193" s="423" t="s">
        <v>20</v>
      </c>
      <c r="W193" s="423" t="s">
        <v>21</v>
      </c>
      <c r="X193" s="423" t="s">
        <v>22</v>
      </c>
      <c r="Y193" s="423" t="s">
        <v>23</v>
      </c>
      <c r="Z193" s="423" t="s">
        <v>24</v>
      </c>
    </row>
    <row r="194" spans="17:26" x14ac:dyDescent="0.3">
      <c r="Q194" s="63">
        <v>15401</v>
      </c>
      <c r="R194" s="63">
        <v>15984</v>
      </c>
      <c r="S194" s="63">
        <v>15615</v>
      </c>
      <c r="T194" s="63">
        <v>15489</v>
      </c>
      <c r="U194" s="63">
        <v>15789</v>
      </c>
      <c r="V194" s="63">
        <v>15291</v>
      </c>
      <c r="W194" s="63">
        <v>16742</v>
      </c>
      <c r="X194" s="63">
        <v>16099</v>
      </c>
      <c r="Y194" s="63">
        <v>19190.767950603542</v>
      </c>
      <c r="Z194" s="63">
        <v>17094.711547981136</v>
      </c>
    </row>
    <row r="215" spans="17:26" x14ac:dyDescent="0.3">
      <c r="Q215" s="423" t="s">
        <v>15</v>
      </c>
      <c r="R215" s="423" t="s">
        <v>16</v>
      </c>
      <c r="S215" s="423" t="s">
        <v>17</v>
      </c>
      <c r="T215" s="423" t="s">
        <v>18</v>
      </c>
      <c r="U215" s="423" t="s">
        <v>19</v>
      </c>
      <c r="V215" s="423" t="s">
        <v>20</v>
      </c>
      <c r="W215" s="423" t="s">
        <v>21</v>
      </c>
      <c r="X215" s="423" t="s">
        <v>22</v>
      </c>
      <c r="Y215" s="423" t="s">
        <v>23</v>
      </c>
      <c r="Z215" s="423" t="s">
        <v>24</v>
      </c>
    </row>
    <row r="216" spans="17:26" x14ac:dyDescent="0.3">
      <c r="Q216" s="63">
        <v>15401</v>
      </c>
      <c r="R216" s="63">
        <v>15984</v>
      </c>
      <c r="S216" s="63">
        <v>15615</v>
      </c>
      <c r="T216" s="63">
        <v>15489</v>
      </c>
      <c r="U216" s="63">
        <v>15789</v>
      </c>
      <c r="V216" s="63">
        <v>15291</v>
      </c>
      <c r="W216" s="63">
        <v>16742</v>
      </c>
      <c r="X216" s="63">
        <v>16099</v>
      </c>
      <c r="Y216" s="63">
        <v>19190.767950603542</v>
      </c>
      <c r="Z216" s="63">
        <v>17094.711547981136</v>
      </c>
    </row>
  </sheetData>
  <mergeCells count="6">
    <mergeCell ref="Q8:Q9"/>
    <mergeCell ref="D8:D9"/>
    <mergeCell ref="E8:G8"/>
    <mergeCell ref="H8:J8"/>
    <mergeCell ref="K8:M8"/>
    <mergeCell ref="N8:P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4:AV138"/>
  <sheetViews>
    <sheetView topLeftCell="A19" workbookViewId="0">
      <selection activeCell="L59" sqref="L59"/>
    </sheetView>
  </sheetViews>
  <sheetFormatPr defaultColWidth="9.44140625" defaultRowHeight="14.4" x14ac:dyDescent="0.3"/>
  <cols>
    <col min="1" max="1" width="6.5546875" style="1" bestFit="1" customWidth="1"/>
    <col min="2" max="2" width="6.5546875" style="1" customWidth="1"/>
    <col min="3" max="3" width="11.5546875" style="1" customWidth="1"/>
    <col min="4" max="4" width="6.5546875" style="1" bestFit="1" customWidth="1"/>
    <col min="5" max="5" width="21.5546875" style="1" customWidth="1"/>
    <col min="6" max="6" width="15.5546875" style="1" customWidth="1"/>
    <col min="7" max="8" width="10.5546875" style="1" customWidth="1"/>
    <col min="9" max="9" width="16.44140625" style="1" customWidth="1"/>
    <col min="10" max="10" width="14.44140625" style="1" customWidth="1"/>
    <col min="11" max="11" width="10.5546875" style="64" customWidth="1"/>
    <col min="12" max="12" width="10.5546875" style="5" customWidth="1"/>
    <col min="13" max="13" width="17.44140625" style="62" bestFit="1" customWidth="1"/>
    <col min="14" max="14" width="13" style="1" customWidth="1"/>
    <col min="15" max="16" width="10.5546875" style="1" customWidth="1"/>
    <col min="17" max="17" width="17.44140625" style="62" bestFit="1" customWidth="1"/>
    <col min="18" max="18" width="15.5546875" style="1" customWidth="1"/>
    <col min="19" max="19" width="10.5546875" style="1" customWidth="1"/>
    <col min="20" max="20" width="10.5546875" style="65" customWidth="1"/>
    <col min="21" max="21" width="14.5546875" style="1" customWidth="1"/>
    <col min="22" max="22" width="20" style="1" hidden="1" customWidth="1"/>
    <col min="23" max="23" width="9.5546875" style="1" hidden="1" customWidth="1"/>
    <col min="24" max="27" width="0" style="1" hidden="1" customWidth="1"/>
    <col min="28" max="47" width="9.44140625" style="1"/>
    <col min="48" max="48" width="25.5546875" style="1" bestFit="1" customWidth="1"/>
    <col min="49" max="16384" width="9.44140625" style="1"/>
  </cols>
  <sheetData>
    <row r="4" spans="1:27" x14ac:dyDescent="0.3">
      <c r="M4" s="61"/>
      <c r="Q4" s="61"/>
    </row>
    <row r="5" spans="1:27" x14ac:dyDescent="0.3">
      <c r="M5" s="61"/>
      <c r="Q5" s="61"/>
    </row>
    <row r="6" spans="1:27" x14ac:dyDescent="0.3">
      <c r="M6" s="61"/>
    </row>
    <row r="7" spans="1:27" x14ac:dyDescent="0.3">
      <c r="N7" s="61"/>
      <c r="O7" s="61"/>
      <c r="Y7" s="1" t="s">
        <v>14</v>
      </c>
      <c r="Z7" s="1">
        <v>-1.0659461451873453</v>
      </c>
      <c r="AA7" s="1">
        <v>-1.572704471396049</v>
      </c>
    </row>
    <row r="8" spans="1:27" ht="18" x14ac:dyDescent="0.3">
      <c r="E8" s="612" t="s">
        <v>3</v>
      </c>
      <c r="F8" s="614" t="s">
        <v>4</v>
      </c>
      <c r="G8" s="614"/>
      <c r="H8" s="614"/>
      <c r="I8" s="614"/>
      <c r="J8" s="614" t="s">
        <v>5</v>
      </c>
      <c r="K8" s="614"/>
      <c r="L8" s="614"/>
      <c r="M8" s="614"/>
      <c r="N8" s="615" t="s">
        <v>61</v>
      </c>
      <c r="O8" s="616"/>
      <c r="P8" s="616"/>
      <c r="Q8" s="617"/>
      <c r="R8" s="615" t="s">
        <v>62</v>
      </c>
      <c r="S8" s="616"/>
      <c r="T8" s="616"/>
      <c r="U8" s="617"/>
      <c r="V8" s="618" t="s">
        <v>8</v>
      </c>
      <c r="W8" s="1" t="e">
        <f>SUMPRODUCT(F10,H10)</f>
        <v>#REF!</v>
      </c>
      <c r="X8" s="1">
        <v>-1.7284208755452815</v>
      </c>
      <c r="Y8" s="1" t="s">
        <v>15</v>
      </c>
      <c r="Z8" s="1">
        <v>-1.0860747589305504</v>
      </c>
      <c r="AA8" s="1">
        <v>-1.7099455423629082</v>
      </c>
    </row>
    <row r="9" spans="1:27" ht="18" x14ac:dyDescent="0.35">
      <c r="E9" s="613"/>
      <c r="F9" s="421" t="s">
        <v>9</v>
      </c>
      <c r="G9" s="421" t="s">
        <v>2</v>
      </c>
      <c r="H9" s="421" t="s">
        <v>63</v>
      </c>
      <c r="I9" s="421" t="s">
        <v>64</v>
      </c>
      <c r="J9" s="421" t="s">
        <v>9</v>
      </c>
      <c r="K9" s="174" t="s">
        <v>2</v>
      </c>
      <c r="L9" s="174" t="s">
        <v>63</v>
      </c>
      <c r="M9" s="175" t="s">
        <v>64</v>
      </c>
      <c r="N9" s="150" t="s">
        <v>9</v>
      </c>
      <c r="O9" s="150" t="s">
        <v>2</v>
      </c>
      <c r="P9" s="174" t="s">
        <v>63</v>
      </c>
      <c r="Q9" s="176" t="s">
        <v>64</v>
      </c>
      <c r="R9" s="421" t="s">
        <v>9</v>
      </c>
      <c r="S9" s="421" t="s">
        <v>2</v>
      </c>
      <c r="T9" s="150" t="s">
        <v>63</v>
      </c>
      <c r="U9" s="150" t="s">
        <v>64</v>
      </c>
      <c r="V9" s="619"/>
    </row>
    <row r="10" spans="1:27" ht="18" x14ac:dyDescent="0.35">
      <c r="A10" s="66"/>
      <c r="B10" s="66"/>
      <c r="C10" s="66"/>
      <c r="D10" s="66"/>
      <c r="E10" s="126" t="s">
        <v>13</v>
      </c>
      <c r="F10" s="127" t="e">
        <f>present!E10</f>
        <v>#REF!</v>
      </c>
      <c r="G10" s="182">
        <v>-0.3</v>
      </c>
      <c r="H10" s="129" t="e">
        <f>#REF!</f>
        <v>#REF!</v>
      </c>
      <c r="I10" s="133" t="e">
        <f t="shared" ref="I10:I21" si="0">F10*H10</f>
        <v>#REF!</v>
      </c>
      <c r="J10" s="127" t="e">
        <f>present!H10</f>
        <v>#REF!</v>
      </c>
      <c r="K10" s="214">
        <v>-0.3</v>
      </c>
      <c r="L10" s="134" t="e">
        <f>#REF!</f>
        <v>#REF!</v>
      </c>
      <c r="M10" s="128" t="e">
        <f>J10*L10</f>
        <v>#REF!</v>
      </c>
      <c r="N10" s="260" t="e">
        <f>present!K10</f>
        <v>#REF!</v>
      </c>
      <c r="O10" s="214">
        <v>-0.3</v>
      </c>
      <c r="P10" s="134" t="e">
        <f>#REF!</f>
        <v>#REF!</v>
      </c>
      <c r="Q10" s="135" t="e">
        <f t="shared" ref="Q10:Q21" si="1">N10*P10</f>
        <v>#REF!</v>
      </c>
      <c r="R10" s="262" t="e">
        <f>F10+J10+N10</f>
        <v>#REF!</v>
      </c>
      <c r="S10" s="214">
        <v>-0.3</v>
      </c>
      <c r="T10" s="137" t="e">
        <f>S36</f>
        <v>#REF!</v>
      </c>
      <c r="U10" s="131" t="e">
        <f>I10+M10+Q10</f>
        <v>#REF!</v>
      </c>
      <c r="V10" s="1">
        <v>-1</v>
      </c>
      <c r="W10" s="1" t="e">
        <f>T10*R10</f>
        <v>#REF!</v>
      </c>
    </row>
    <row r="11" spans="1:27" ht="18" x14ac:dyDescent="0.35">
      <c r="A11" s="66"/>
      <c r="B11" s="66"/>
      <c r="D11" s="66"/>
      <c r="E11" s="126" t="s">
        <v>14</v>
      </c>
      <c r="F11" s="127" t="e">
        <f>present!E11</f>
        <v>#REF!</v>
      </c>
      <c r="G11" s="182">
        <v>-0.3</v>
      </c>
      <c r="H11" s="129" t="e">
        <f>#REF!</f>
        <v>#REF!</v>
      </c>
      <c r="I11" s="133" t="e">
        <f t="shared" si="0"/>
        <v>#REF!</v>
      </c>
      <c r="J11" s="127" t="e">
        <f>present!H11</f>
        <v>#REF!</v>
      </c>
      <c r="K11" s="214">
        <v>-0.3</v>
      </c>
      <c r="L11" s="134" t="e">
        <f>#REF!</f>
        <v>#REF!</v>
      </c>
      <c r="M11" s="128" t="e">
        <f>J11*L11</f>
        <v>#REF!</v>
      </c>
      <c r="N11" s="260" t="e">
        <f>present!K11</f>
        <v>#REF!</v>
      </c>
      <c r="O11" s="214">
        <v>-0.3</v>
      </c>
      <c r="P11" s="134" t="e">
        <f>#REF!</f>
        <v>#REF!</v>
      </c>
      <c r="Q11" s="135" t="e">
        <f t="shared" si="1"/>
        <v>#REF!</v>
      </c>
      <c r="R11" s="262" t="e">
        <f t="shared" ref="R11:R21" si="2">F11+J11+N11</f>
        <v>#REF!</v>
      </c>
      <c r="S11" s="214">
        <v>-0.3</v>
      </c>
      <c r="T11" s="137" t="e">
        <f t="shared" ref="T11:T21" si="3">S37</f>
        <v>#REF!</v>
      </c>
      <c r="U11" s="131" t="e">
        <f t="shared" ref="U11:U20" si="4">I11+M11+Q11</f>
        <v>#REF!</v>
      </c>
      <c r="V11" s="67">
        <v>-1</v>
      </c>
    </row>
    <row r="12" spans="1:27" ht="18" x14ac:dyDescent="0.35">
      <c r="A12" s="66"/>
      <c r="B12" s="66"/>
      <c r="C12" s="66"/>
      <c r="E12" s="126" t="s">
        <v>15</v>
      </c>
      <c r="F12" s="127" t="e">
        <f>present!E12</f>
        <v>#REF!</v>
      </c>
      <c r="G12" s="182">
        <v>-0.3</v>
      </c>
      <c r="H12" s="129" t="e">
        <f>#REF!</f>
        <v>#REF!</v>
      </c>
      <c r="I12" s="133" t="e">
        <f t="shared" si="0"/>
        <v>#REF!</v>
      </c>
      <c r="J12" s="127" t="e">
        <f>present!H12</f>
        <v>#REF!</v>
      </c>
      <c r="K12" s="214">
        <v>-0.3</v>
      </c>
      <c r="L12" s="134" t="e">
        <f>#REF!</f>
        <v>#REF!</v>
      </c>
      <c r="M12" s="128" t="e">
        <f>J12*L12</f>
        <v>#REF!</v>
      </c>
      <c r="N12" s="260" t="e">
        <f>present!K12</f>
        <v>#REF!</v>
      </c>
      <c r="O12" s="214">
        <v>-0.3</v>
      </c>
      <c r="P12" s="134" t="e">
        <f>#REF!</f>
        <v>#REF!</v>
      </c>
      <c r="Q12" s="135" t="e">
        <f t="shared" si="1"/>
        <v>#REF!</v>
      </c>
      <c r="R12" s="262" t="e">
        <f t="shared" si="2"/>
        <v>#REF!</v>
      </c>
      <c r="S12" s="214">
        <v>-0.3</v>
      </c>
      <c r="T12" s="138" t="e">
        <f t="shared" si="3"/>
        <v>#REF!</v>
      </c>
      <c r="U12" s="131" t="e">
        <f t="shared" si="4"/>
        <v>#REF!</v>
      </c>
      <c r="V12" s="1">
        <v>-1</v>
      </c>
    </row>
    <row r="13" spans="1:27" ht="18" x14ac:dyDescent="0.35">
      <c r="A13" s="66"/>
      <c r="B13" s="66"/>
      <c r="C13" s="66"/>
      <c r="D13" s="66"/>
      <c r="E13" s="136" t="s">
        <v>16</v>
      </c>
      <c r="F13" s="127" t="e">
        <f>present!E13</f>
        <v>#REF!</v>
      </c>
      <c r="G13" s="182">
        <v>-0.3</v>
      </c>
      <c r="H13" s="129" t="e">
        <f>#REF!</f>
        <v>#REF!</v>
      </c>
      <c r="I13" s="133" t="e">
        <f t="shared" si="0"/>
        <v>#REF!</v>
      </c>
      <c r="J13" s="127" t="e">
        <f>present!H13</f>
        <v>#REF!</v>
      </c>
      <c r="K13" s="214">
        <v>-0.3</v>
      </c>
      <c r="L13" s="134" t="e">
        <f>#REF!</f>
        <v>#REF!</v>
      </c>
      <c r="M13" s="128" t="e">
        <f>J13*L13</f>
        <v>#REF!</v>
      </c>
      <c r="N13" s="260" t="e">
        <f>present!K13</f>
        <v>#REF!</v>
      </c>
      <c r="O13" s="214">
        <v>-0.3</v>
      </c>
      <c r="P13" s="134" t="e">
        <f>#REF!</f>
        <v>#REF!</v>
      </c>
      <c r="Q13" s="144" t="e">
        <f t="shared" si="1"/>
        <v>#REF!</v>
      </c>
      <c r="R13" s="262" t="e">
        <f t="shared" si="2"/>
        <v>#REF!</v>
      </c>
      <c r="S13" s="214">
        <v>-0.3</v>
      </c>
      <c r="T13" s="130" t="e">
        <f t="shared" si="3"/>
        <v>#REF!</v>
      </c>
      <c r="U13" s="131" t="e">
        <f t="shared" si="4"/>
        <v>#REF!</v>
      </c>
      <c r="V13" s="1">
        <v>-1</v>
      </c>
    </row>
    <row r="14" spans="1:27" ht="18" x14ac:dyDescent="0.35">
      <c r="A14" s="66"/>
      <c r="B14" s="66"/>
      <c r="C14" s="66"/>
      <c r="D14" s="66"/>
      <c r="E14" s="136" t="s">
        <v>17</v>
      </c>
      <c r="F14" s="127" t="e">
        <f>present!E14</f>
        <v>#REF!</v>
      </c>
      <c r="G14" s="182">
        <v>-0.3</v>
      </c>
      <c r="H14" s="129" t="e">
        <f>#REF!</f>
        <v>#REF!</v>
      </c>
      <c r="I14" s="133" t="e">
        <f t="shared" si="0"/>
        <v>#REF!</v>
      </c>
      <c r="J14" s="127" t="e">
        <f>present!H14</f>
        <v>#REF!</v>
      </c>
      <c r="K14" s="214">
        <v>-0.3</v>
      </c>
      <c r="L14" s="134" t="e">
        <f>#REF!</f>
        <v>#REF!</v>
      </c>
      <c r="M14" s="128" t="e">
        <f t="shared" ref="M14:M21" si="5">J14*L14</f>
        <v>#REF!</v>
      </c>
      <c r="N14" s="260" t="e">
        <f>present!K14</f>
        <v>#REF!</v>
      </c>
      <c r="O14" s="214">
        <v>-0.3</v>
      </c>
      <c r="P14" s="134" t="e">
        <f>#REF!</f>
        <v>#REF!</v>
      </c>
      <c r="Q14" s="143" t="e">
        <f t="shared" si="1"/>
        <v>#REF!</v>
      </c>
      <c r="R14" s="262" t="e">
        <f t="shared" si="2"/>
        <v>#REF!</v>
      </c>
      <c r="S14" s="214">
        <v>-0.3</v>
      </c>
      <c r="T14" s="130" t="e">
        <f t="shared" si="3"/>
        <v>#REF!</v>
      </c>
      <c r="U14" s="131" t="e">
        <f t="shared" si="4"/>
        <v>#REF!</v>
      </c>
      <c r="V14" s="1">
        <v>-1</v>
      </c>
      <c r="X14" s="1">
        <v>1.7284208755452815</v>
      </c>
    </row>
    <row r="15" spans="1:27" ht="18" x14ac:dyDescent="0.35">
      <c r="C15" s="66"/>
      <c r="E15" s="145" t="s">
        <v>18</v>
      </c>
      <c r="F15" s="127" t="e">
        <f>present!E15</f>
        <v>#REF!</v>
      </c>
      <c r="G15" s="216">
        <v>-0.3</v>
      </c>
      <c r="H15" s="129" t="e">
        <f>#REF!</f>
        <v>#REF!</v>
      </c>
      <c r="I15" s="146" t="e">
        <f t="shared" si="0"/>
        <v>#REF!</v>
      </c>
      <c r="J15" s="127" t="e">
        <f>present!H15</f>
        <v>#REF!</v>
      </c>
      <c r="K15" s="214">
        <v>-0.3</v>
      </c>
      <c r="L15" s="134" t="e">
        <f>#REF!</f>
        <v>#REF!</v>
      </c>
      <c r="M15" s="147" t="e">
        <f t="shared" si="5"/>
        <v>#REF!</v>
      </c>
      <c r="N15" s="260" t="e">
        <f>present!K15</f>
        <v>#REF!</v>
      </c>
      <c r="O15" s="214">
        <v>-0.3</v>
      </c>
      <c r="P15" s="134" t="e">
        <f>#REF!</f>
        <v>#REF!</v>
      </c>
      <c r="Q15" s="143" t="e">
        <f t="shared" si="1"/>
        <v>#REF!</v>
      </c>
      <c r="R15" s="262" t="e">
        <f t="shared" si="2"/>
        <v>#REF!</v>
      </c>
      <c r="S15" s="214">
        <v>-0.3</v>
      </c>
      <c r="T15" s="130" t="e">
        <f t="shared" si="3"/>
        <v>#REF!</v>
      </c>
      <c r="U15" s="131" t="e">
        <f t="shared" si="4"/>
        <v>#REF!</v>
      </c>
      <c r="V15" s="1">
        <v>-1</v>
      </c>
      <c r="X15" s="1">
        <v>1.0659461451873453</v>
      </c>
    </row>
    <row r="16" spans="1:27" ht="18" x14ac:dyDescent="0.35">
      <c r="E16" s="126" t="s">
        <v>19</v>
      </c>
      <c r="F16" s="127" t="e">
        <f>present!E16</f>
        <v>#REF!</v>
      </c>
      <c r="G16" s="216">
        <v>-0.3</v>
      </c>
      <c r="H16" s="129" t="e">
        <f>#REF!</f>
        <v>#REF!</v>
      </c>
      <c r="I16" s="133" t="e">
        <f t="shared" si="0"/>
        <v>#REF!</v>
      </c>
      <c r="J16" s="127" t="e">
        <f>present!H16</f>
        <v>#REF!</v>
      </c>
      <c r="K16" s="214">
        <v>-0.3</v>
      </c>
      <c r="L16" s="134" t="e">
        <f>#REF!</f>
        <v>#REF!</v>
      </c>
      <c r="M16" s="147" t="e">
        <f t="shared" si="5"/>
        <v>#REF!</v>
      </c>
      <c r="N16" s="260" t="e">
        <f>present!K16</f>
        <v>#REF!</v>
      </c>
      <c r="O16" s="214">
        <v>-0.3</v>
      </c>
      <c r="P16" s="134" t="e">
        <f>#REF!</f>
        <v>#REF!</v>
      </c>
      <c r="Q16" s="143" t="e">
        <f t="shared" si="1"/>
        <v>#REF!</v>
      </c>
      <c r="R16" s="262" t="e">
        <f t="shared" si="2"/>
        <v>#REF!</v>
      </c>
      <c r="S16" s="214">
        <v>-0.3</v>
      </c>
      <c r="T16" s="130" t="e">
        <f t="shared" si="3"/>
        <v>#REF!</v>
      </c>
      <c r="U16" s="131" t="e">
        <f t="shared" si="4"/>
        <v>#REF!</v>
      </c>
      <c r="X16" s="1">
        <v>1.0860747589305504</v>
      </c>
    </row>
    <row r="17" spans="1:23" ht="18" x14ac:dyDescent="0.35">
      <c r="E17" s="145" t="s">
        <v>20</v>
      </c>
      <c r="F17" s="127" t="e">
        <f>present!E17</f>
        <v>#REF!</v>
      </c>
      <c r="G17" s="182">
        <v>-0.3</v>
      </c>
      <c r="H17" s="129" t="e">
        <f>#REF!</f>
        <v>#REF!</v>
      </c>
      <c r="I17" s="133" t="e">
        <f t="shared" si="0"/>
        <v>#REF!</v>
      </c>
      <c r="J17" s="127" t="e">
        <f>present!H17</f>
        <v>#REF!</v>
      </c>
      <c r="K17" s="214">
        <v>-0.3</v>
      </c>
      <c r="L17" s="134" t="e">
        <f>#REF!</f>
        <v>#REF!</v>
      </c>
      <c r="M17" s="128" t="e">
        <f t="shared" si="5"/>
        <v>#REF!</v>
      </c>
      <c r="N17" s="260" t="e">
        <f>present!K17</f>
        <v>#REF!</v>
      </c>
      <c r="O17" s="214">
        <v>-0.3</v>
      </c>
      <c r="P17" s="134" t="e">
        <f>#REF!</f>
        <v>#REF!</v>
      </c>
      <c r="Q17" s="143" t="e">
        <f t="shared" si="1"/>
        <v>#REF!</v>
      </c>
      <c r="R17" s="262" t="e">
        <f t="shared" si="2"/>
        <v>#REF!</v>
      </c>
      <c r="S17" s="214">
        <v>-0.3</v>
      </c>
      <c r="T17" s="130" t="e">
        <f t="shared" si="3"/>
        <v>#REF!</v>
      </c>
      <c r="U17" s="131" t="e">
        <f t="shared" si="4"/>
        <v>#REF!</v>
      </c>
    </row>
    <row r="18" spans="1:23" ht="18" x14ac:dyDescent="0.35">
      <c r="E18" s="179" t="s">
        <v>21</v>
      </c>
      <c r="F18" s="200" t="e">
        <f>present!E18</f>
        <v>#REF!</v>
      </c>
      <c r="G18" s="182">
        <v>-0.3</v>
      </c>
      <c r="H18" s="182" t="e">
        <f>#REF!</f>
        <v>#REF!</v>
      </c>
      <c r="I18" s="213" t="e">
        <f t="shared" si="0"/>
        <v>#REF!</v>
      </c>
      <c r="J18" s="200" t="e">
        <f>present!H18</f>
        <v>#REF!</v>
      </c>
      <c r="K18" s="214">
        <v>-0.3</v>
      </c>
      <c r="L18" s="83" t="e">
        <f>#REF!</f>
        <v>#REF!</v>
      </c>
      <c r="M18" s="181" t="e">
        <f t="shared" si="5"/>
        <v>#REF!</v>
      </c>
      <c r="N18" s="261" t="e">
        <f>present!K18</f>
        <v>#REF!</v>
      </c>
      <c r="O18" s="214">
        <v>-0.3</v>
      </c>
      <c r="P18" s="83" t="e">
        <f>#REF!</f>
        <v>#REF!</v>
      </c>
      <c r="Q18" s="79" t="e">
        <f>N18*P18</f>
        <v>#REF!</v>
      </c>
      <c r="R18" s="263" t="e">
        <f t="shared" si="2"/>
        <v>#REF!</v>
      </c>
      <c r="S18" s="214">
        <v>-0.3</v>
      </c>
      <c r="T18" s="29" t="e">
        <f t="shared" si="3"/>
        <v>#REF!</v>
      </c>
      <c r="U18" s="82" t="e">
        <f t="shared" si="4"/>
        <v>#REF!</v>
      </c>
      <c r="V18" s="1">
        <v>1.109046999544349</v>
      </c>
      <c r="W18" s="1" t="e">
        <f>U14/R14</f>
        <v>#REF!</v>
      </c>
    </row>
    <row r="19" spans="1:23" ht="18" x14ac:dyDescent="0.35">
      <c r="E19" s="179" t="s">
        <v>22</v>
      </c>
      <c r="F19" s="200" t="e">
        <f>present!E19</f>
        <v>#REF!</v>
      </c>
      <c r="G19" s="182">
        <v>-0.3</v>
      </c>
      <c r="H19" s="182" t="e">
        <f>#REF!</f>
        <v>#REF!</v>
      </c>
      <c r="I19" s="213" t="e">
        <f t="shared" si="0"/>
        <v>#REF!</v>
      </c>
      <c r="J19" s="200" t="e">
        <f>present!H19</f>
        <v>#REF!</v>
      </c>
      <c r="K19" s="214">
        <v>-0.3</v>
      </c>
      <c r="L19" s="83" t="e">
        <f>#REF!</f>
        <v>#REF!</v>
      </c>
      <c r="M19" s="181" t="e">
        <f t="shared" si="5"/>
        <v>#REF!</v>
      </c>
      <c r="N19" s="261" t="e">
        <f>present!K19</f>
        <v>#REF!</v>
      </c>
      <c r="O19" s="214">
        <v>-0.3</v>
      </c>
      <c r="P19" s="83" t="e">
        <f>#REF!</f>
        <v>#REF!</v>
      </c>
      <c r="Q19" s="79" t="e">
        <f>N19*P19</f>
        <v>#REF!</v>
      </c>
      <c r="R19" s="263" t="e">
        <f t="shared" si="2"/>
        <v>#REF!</v>
      </c>
      <c r="S19" s="214">
        <v>-0.3</v>
      </c>
      <c r="T19" s="29" t="e">
        <f t="shared" si="3"/>
        <v>#REF!</v>
      </c>
      <c r="U19" s="82" t="e">
        <f t="shared" si="4"/>
        <v>#REF!</v>
      </c>
    </row>
    <row r="20" spans="1:23" ht="18" x14ac:dyDescent="0.35">
      <c r="A20" s="68"/>
      <c r="B20" s="69"/>
      <c r="C20" s="6"/>
      <c r="E20" s="179" t="s">
        <v>23</v>
      </c>
      <c r="F20" s="200" t="e">
        <f>present!E20</f>
        <v>#REF!</v>
      </c>
      <c r="G20" s="182">
        <v>-0.3</v>
      </c>
      <c r="H20" s="182" t="e">
        <f>#REF!</f>
        <v>#REF!</v>
      </c>
      <c r="I20" s="213" t="e">
        <f t="shared" si="0"/>
        <v>#REF!</v>
      </c>
      <c r="J20" s="200" t="e">
        <f>present!H20</f>
        <v>#REF!</v>
      </c>
      <c r="K20" s="214">
        <v>-0.3</v>
      </c>
      <c r="L20" s="83" t="e">
        <f>#REF!</f>
        <v>#REF!</v>
      </c>
      <c r="M20" s="181" t="e">
        <f t="shared" si="5"/>
        <v>#REF!</v>
      </c>
      <c r="N20" s="261" t="e">
        <f>present!K20</f>
        <v>#REF!</v>
      </c>
      <c r="O20" s="214">
        <v>-0.3</v>
      </c>
      <c r="P20" s="83" t="e">
        <f>#REF!</f>
        <v>#REF!</v>
      </c>
      <c r="Q20" s="79" t="e">
        <f>N20*P20</f>
        <v>#REF!</v>
      </c>
      <c r="R20" s="263" t="e">
        <f t="shared" si="2"/>
        <v>#REF!</v>
      </c>
      <c r="S20" s="214">
        <v>-0.3</v>
      </c>
      <c r="T20" s="29" t="e">
        <f t="shared" si="3"/>
        <v>#REF!</v>
      </c>
      <c r="U20" s="82" t="e">
        <f t="shared" si="4"/>
        <v>#REF!</v>
      </c>
    </row>
    <row r="21" spans="1:23" ht="18" x14ac:dyDescent="0.35">
      <c r="E21" s="179" t="s">
        <v>24</v>
      </c>
      <c r="F21" s="200" t="e">
        <f>present!E21</f>
        <v>#REF!</v>
      </c>
      <c r="G21" s="182">
        <v>-0.3</v>
      </c>
      <c r="H21" s="182" t="e">
        <f>#REF!</f>
        <v>#REF!</v>
      </c>
      <c r="I21" s="215" t="e">
        <f t="shared" si="0"/>
        <v>#REF!</v>
      </c>
      <c r="J21" s="200" t="e">
        <f>present!H21</f>
        <v>#REF!</v>
      </c>
      <c r="K21" s="214">
        <v>-0.3</v>
      </c>
      <c r="L21" s="83" t="e">
        <f>#REF!</f>
        <v>#REF!</v>
      </c>
      <c r="M21" s="181" t="e">
        <f t="shared" si="5"/>
        <v>#REF!</v>
      </c>
      <c r="N21" s="261" t="e">
        <f>present!K21</f>
        <v>#REF!</v>
      </c>
      <c r="O21" s="214">
        <v>-0.3</v>
      </c>
      <c r="P21" s="83" t="e">
        <f>#REF!</f>
        <v>#REF!</v>
      </c>
      <c r="Q21" s="79" t="e">
        <f t="shared" si="1"/>
        <v>#REF!</v>
      </c>
      <c r="R21" s="263" t="e">
        <f t="shared" si="2"/>
        <v>#REF!</v>
      </c>
      <c r="S21" s="214">
        <v>-0.3</v>
      </c>
      <c r="T21" s="29" t="e">
        <f t="shared" si="3"/>
        <v>#REF!</v>
      </c>
      <c r="U21" s="82" t="e">
        <f>I21+M21</f>
        <v>#REF!</v>
      </c>
    </row>
    <row r="22" spans="1:23" ht="7.5" customHeight="1" x14ac:dyDescent="0.35">
      <c r="E22" s="9"/>
      <c r="F22" s="10"/>
      <c r="G22" s="13"/>
      <c r="H22" s="13"/>
      <c r="I22" s="12"/>
      <c r="J22" s="10"/>
      <c r="K22" s="70"/>
      <c r="L22" s="71"/>
      <c r="M22" s="72"/>
      <c r="N22" s="73"/>
      <c r="O22" s="74"/>
      <c r="P22" s="11"/>
      <c r="Q22" s="75"/>
      <c r="R22" s="264"/>
      <c r="S22" s="76"/>
      <c r="T22" s="73"/>
      <c r="U22" s="77"/>
      <c r="V22" s="1">
        <v>-1</v>
      </c>
    </row>
    <row r="23" spans="1:23" ht="18" x14ac:dyDescent="0.35">
      <c r="E23" s="201" t="s">
        <v>25</v>
      </c>
      <c r="F23" s="232" t="e">
        <f>SUM(F10:F12)</f>
        <v>#REF!</v>
      </c>
      <c r="G23" s="206" t="e">
        <f>SUMPRODUCT(F10:F12,G10:G12)/SUM(F10:F12)</f>
        <v>#REF!</v>
      </c>
      <c r="H23" s="206" t="e">
        <f>SUMPRODUCT(F10:F12,H10:H12)/SUM(F10:F12)</f>
        <v>#REF!</v>
      </c>
      <c r="I23" s="217" t="e">
        <f>SUM(I10:I12)</f>
        <v>#REF!</v>
      </c>
      <c r="J23" s="202" t="e">
        <f>SUM(J10:J12)</f>
        <v>#REF!</v>
      </c>
      <c r="K23" s="203" t="e">
        <f>SUMPRODUCT(J10:J12,K10:K12)/SUM(J10:J12)</f>
        <v>#REF!</v>
      </c>
      <c r="L23" s="218" t="e">
        <f>SUMPRODUCT(J10:J12,L10:L12)/SUM(J10:J12)</f>
        <v>#REF!</v>
      </c>
      <c r="M23" s="204" t="e">
        <f>SUM(M10:M12)</f>
        <v>#REF!</v>
      </c>
      <c r="N23" s="219" t="e">
        <f>SUM(N10:N12)</f>
        <v>#REF!</v>
      </c>
      <c r="O23" s="203" t="e">
        <f>SUMPRODUCT(N10:N12,O10:O12)/SUM(N10:N12)</f>
        <v>#REF!</v>
      </c>
      <c r="P23" s="203" t="e">
        <f>SUMPRODUCT(N10:N12,P10:P12)/SUM(N10:N12)</f>
        <v>#REF!</v>
      </c>
      <c r="Q23" s="220" t="e">
        <f>SUM(Q10:Q12)</f>
        <v>#REF!</v>
      </c>
      <c r="R23" s="202" t="e">
        <f>SUM(R10:R12)</f>
        <v>#REF!</v>
      </c>
      <c r="S23" s="221" t="e">
        <f>SUMPRODUCT(Q10:Q12,S10:S12)/SUM(Q10:Q12)</f>
        <v>#REF!</v>
      </c>
      <c r="T23" s="227" t="e">
        <f>SUMPRODUCT(R10:R12,T10:T12)/SUM(R10:R12)</f>
        <v>#REF!</v>
      </c>
      <c r="U23" s="228" t="e">
        <f>SUM(U10:U12)</f>
        <v>#REF!</v>
      </c>
    </row>
    <row r="24" spans="1:23" ht="18" x14ac:dyDescent="0.35">
      <c r="E24" s="201" t="s">
        <v>26</v>
      </c>
      <c r="F24" s="232" t="e">
        <f>SUM(F13:F15)</f>
        <v>#REF!</v>
      </c>
      <c r="G24" s="206" t="e">
        <f>SUMPRODUCT(F13:F15,G13:G15)/SUM(F13:F15)</f>
        <v>#REF!</v>
      </c>
      <c r="H24" s="206" t="e">
        <f>SUMPRODUCT(F13:F15,H13:H15)/SUM(F13:F15)</f>
        <v>#REF!</v>
      </c>
      <c r="I24" s="217" t="e">
        <f>SUM(I13:I15)</f>
        <v>#REF!</v>
      </c>
      <c r="J24" s="202" t="e">
        <f>SUM(J13:J15)</f>
        <v>#REF!</v>
      </c>
      <c r="K24" s="203" t="e">
        <f>SUMPRODUCT(J13:J15,K13:K15)/SUM(J13:J15)</f>
        <v>#REF!</v>
      </c>
      <c r="L24" s="203" t="e">
        <f>SUMPRODUCT(J13:J15,L13:L15)/SUM(J13:J15)</f>
        <v>#REF!</v>
      </c>
      <c r="M24" s="204" t="e">
        <f>SUM(M13:M15)</f>
        <v>#REF!</v>
      </c>
      <c r="N24" s="219" t="e">
        <f>SUM(N13:N15)</f>
        <v>#REF!</v>
      </c>
      <c r="O24" s="210" t="e">
        <f>SUMPRODUCT(M13:M15,O13:O15)/SUM(M13:M15)</f>
        <v>#REF!</v>
      </c>
      <c r="P24" s="203" t="e">
        <f>SUMPRODUCT(N13:N15,P13:P15)/SUM(N13:N15)</f>
        <v>#REF!</v>
      </c>
      <c r="Q24" s="217" t="e">
        <f>SUM(Q13:Q15)</f>
        <v>#REF!</v>
      </c>
      <c r="R24" s="202" t="e">
        <f>SUM(R13:R15)</f>
        <v>#REF!</v>
      </c>
      <c r="S24" s="223" t="e">
        <f>SUMPRODUCT(Q13:Q15,S13:S15)/SUM(Q13:Q15)</f>
        <v>#REF!</v>
      </c>
      <c r="T24" s="224" t="e">
        <f>SUMPRODUCT(R13:R15,T13:T15)/SUM(R13:R15)</f>
        <v>#REF!</v>
      </c>
      <c r="U24" s="222" t="e">
        <f>SUM(U13:U15)</f>
        <v>#REF!</v>
      </c>
    </row>
    <row r="25" spans="1:23" ht="18" x14ac:dyDescent="0.35">
      <c r="E25" s="190" t="s">
        <v>42</v>
      </c>
      <c r="F25" s="219" t="e">
        <f>SUM(F10:F15)</f>
        <v>#REF!</v>
      </c>
      <c r="G25" s="225" t="e">
        <f>SUMPRODUCT(F10:F15,G10:G15)/SUM(F10:F15)</f>
        <v>#REF!</v>
      </c>
      <c r="H25" s="225" t="e">
        <f>SUMPRODUCT(F10:F15,H10:H15)/SUM(F10:F15)</f>
        <v>#REF!</v>
      </c>
      <c r="I25" s="226" t="e">
        <f>SUM(I10:I15)</f>
        <v>#REF!</v>
      </c>
      <c r="J25" s="202" t="e">
        <f>SUM(J10:J15)</f>
        <v>#REF!</v>
      </c>
      <c r="K25" s="203" t="e">
        <f>SUMPRODUCT(J10:J15,K10:K15)/SUM(J10:J15)</f>
        <v>#REF!</v>
      </c>
      <c r="L25" s="227" t="e">
        <f>SUMPRODUCT(J10:J15,L10:L15)/SUM(J10:J15)</f>
        <v>#REF!</v>
      </c>
      <c r="M25" s="228" t="e">
        <f>SUM(M10:M15)</f>
        <v>#REF!</v>
      </c>
      <c r="N25" s="219" t="e">
        <f>SUM(N10:N15)</f>
        <v>#REF!</v>
      </c>
      <c r="O25" s="210" t="e">
        <f>SUMPRODUCT(M10:M15,O10:O15)/SUM(M10:M15)</f>
        <v>#REF!</v>
      </c>
      <c r="P25" s="203" t="e">
        <f>SUMPRODUCT(N10:N15,P10:P15)/SUM(N10:N15)</f>
        <v>#REF!</v>
      </c>
      <c r="Q25" s="217" t="e">
        <f>SUM(Q10:Q15)</f>
        <v>#REF!</v>
      </c>
      <c r="R25" s="265" t="e">
        <f>SUM(R10:R15)</f>
        <v>#REF!</v>
      </c>
      <c r="S25" s="223">
        <v>0</v>
      </c>
      <c r="T25" s="227" t="e">
        <f>SUMPRODUCT(R10:R15,T10:T15)/SUM(R10:R15)</f>
        <v>#REF!</v>
      </c>
      <c r="U25" s="228" t="e">
        <f>SUM(U10:U15)</f>
        <v>#REF!</v>
      </c>
    </row>
    <row r="26" spans="1:23" ht="19.5" customHeight="1" x14ac:dyDescent="0.35">
      <c r="E26" s="19" t="s">
        <v>36</v>
      </c>
      <c r="F26" s="28" t="e">
        <f>SUM(F16:F18)</f>
        <v>#REF!</v>
      </c>
      <c r="G26" s="78" t="e">
        <f>SUMPRODUCT(F16:F18,G16:G18)/SUM(F16:F18)</f>
        <v>#REF!</v>
      </c>
      <c r="H26" s="78" t="e">
        <f>SUMPRODUCT(F16:F18,H16:H18)/SUM(F16:F18)</f>
        <v>#REF!</v>
      </c>
      <c r="I26" s="79" t="e">
        <f>SUM(I16:I18)</f>
        <v>#REF!</v>
      </c>
      <c r="J26" s="200" t="e">
        <f>SUM(J16:J18)</f>
        <v>#REF!</v>
      </c>
      <c r="K26" s="83" t="e">
        <f>SUMPRODUCT(J16:J18,K16:K18)/SUM(J16:J18)</f>
        <v>#REF!</v>
      </c>
      <c r="L26" s="81" t="e">
        <f>SUMPRODUCT(J16:J18,L16:L18)/SUM(J16:J18)</f>
        <v>#REF!</v>
      </c>
      <c r="M26" s="82" t="e">
        <f>SUM(M16:M18)</f>
        <v>#REF!</v>
      </c>
      <c r="N26" s="28" t="e">
        <f>SUM(N16:N18)</f>
        <v>#REF!</v>
      </c>
      <c r="O26" s="83" t="e">
        <f>SUMPRODUCT(N16:N18,O16:O18)/SUM(N16:N18)</f>
        <v>#REF!</v>
      </c>
      <c r="P26" s="83" t="e">
        <f>SUM(P16:P18)</f>
        <v>#REF!</v>
      </c>
      <c r="Q26" s="213" t="e">
        <f>SUM(Q16:Q18)</f>
        <v>#REF!</v>
      </c>
      <c r="R26" s="261" t="e">
        <f>SUM(R16:R18)</f>
        <v>#REF!</v>
      </c>
      <c r="S26" s="214" t="e">
        <f>SUMPRODUCT(R16:R18,S16:S18)/SUM(R16:R18)</f>
        <v>#REF!</v>
      </c>
      <c r="T26" s="229" t="e">
        <f>SUMPRODUCT(R16:R18,T16:T18)/SUM(R16:R18)</f>
        <v>#REF!</v>
      </c>
      <c r="U26" s="84" t="e">
        <f>SUM(U16:U18)</f>
        <v>#REF!</v>
      </c>
    </row>
    <row r="27" spans="1:23" ht="18" x14ac:dyDescent="0.35">
      <c r="E27" s="24" t="s">
        <v>29</v>
      </c>
      <c r="F27" s="28" t="e">
        <f>SUM(F19:F21)</f>
        <v>#REF!</v>
      </c>
      <c r="G27" s="78" t="e">
        <f>SUMPRODUCT(F19:F21,G19:G21)/SUM(F19:F21)</f>
        <v>#REF!</v>
      </c>
      <c r="H27" s="78" t="e">
        <f>SUMPRODUCT(F19:F21,H19:H21)/SUM(F19:F21)</f>
        <v>#REF!</v>
      </c>
      <c r="I27" s="79" t="e">
        <f>SUM(I19:I21)</f>
        <v>#REF!</v>
      </c>
      <c r="J27" s="200" t="e">
        <f>SUM(J19:J21)</f>
        <v>#REF!</v>
      </c>
      <c r="K27" s="83" t="e">
        <f>SUMPRODUCT(J19:J21,K19:K21)/SUM(J19:J21)</f>
        <v>#REF!</v>
      </c>
      <c r="L27" s="81" t="e">
        <f>SUMPRODUCT(J19:J21,L19:L21)/SUM(J19:J21)</f>
        <v>#REF!</v>
      </c>
      <c r="M27" s="30" t="e">
        <f>SUM(M19:M21)</f>
        <v>#REF!</v>
      </c>
      <c r="N27" s="28" t="e">
        <f>SUM(N19:N21)</f>
        <v>#REF!</v>
      </c>
      <c r="O27" s="83" t="e">
        <f>SUMPRODUCT(N19:N21,O19:O21)/SUM(N19:N21)</f>
        <v>#REF!</v>
      </c>
      <c r="P27" s="83" t="e">
        <f>SUMPRODUCT(N19:N21,P19:P21)/SUM(N19:N21)</f>
        <v>#REF!</v>
      </c>
      <c r="Q27" s="213" t="e">
        <f>SUM(Q19:Q21)</f>
        <v>#REF!</v>
      </c>
      <c r="R27" s="261" t="e">
        <f>SUM(R19:R21)</f>
        <v>#REF!</v>
      </c>
      <c r="S27" s="139" t="e">
        <f>SUMPRODUCT(Q19:Q21,S19:S21)/SUM(Q19:Q21)</f>
        <v>#REF!</v>
      </c>
      <c r="T27" s="229" t="e">
        <f>SUMPRODUCT(R19:R21,T19:T21)/SUM(R19:R21)</f>
        <v>#REF!</v>
      </c>
      <c r="U27" s="86" t="e">
        <f>SUM(U19:U21)</f>
        <v>#REF!</v>
      </c>
    </row>
    <row r="28" spans="1:23" ht="21.75" customHeight="1" x14ac:dyDescent="0.35">
      <c r="E28" s="24" t="s">
        <v>65</v>
      </c>
      <c r="F28" s="28" t="e">
        <f>SUM(F16:F21)</f>
        <v>#REF!</v>
      </c>
      <c r="G28" s="78" t="e">
        <f>SUMPRODUCT(F16:F21,G16:G21)/SUM(F16:F21)</f>
        <v>#REF!</v>
      </c>
      <c r="H28" s="78" t="e">
        <f>SUMPRODUCT(F16:F21,H16:H21)/SUM(F16:F21)</f>
        <v>#REF!</v>
      </c>
      <c r="I28" s="79" t="e">
        <f>SUM(I16:I21)</f>
        <v>#REF!</v>
      </c>
      <c r="J28" s="200" t="e">
        <f>SUM(J16:J21)</f>
        <v>#REF!</v>
      </c>
      <c r="K28" s="83" t="e">
        <f>SUMPRODUCT(J16:J21,K16:K21)/SUM(J16:J21)</f>
        <v>#REF!</v>
      </c>
      <c r="L28" s="81" t="e">
        <f>SUMPRODUCT(J16:J21,L16:L21)/SUM(J16:J21)</f>
        <v>#REF!</v>
      </c>
      <c r="M28" s="30" t="e">
        <f>SUM(M16:M21)</f>
        <v>#REF!</v>
      </c>
      <c r="N28" s="28" t="e">
        <f>SUM(N16:N21)</f>
        <v>#REF!</v>
      </c>
      <c r="O28" s="83" t="e">
        <f>SUMPRODUCT(N16:N21,O16:O21)/SUM(N16:N21)</f>
        <v>#REF!</v>
      </c>
      <c r="P28" s="83" t="e">
        <f>SUM(P16:P21)</f>
        <v>#REF!</v>
      </c>
      <c r="Q28" s="213" t="e">
        <f>SUM(Q16:Q21)</f>
        <v>#REF!</v>
      </c>
      <c r="R28" s="261" t="e">
        <f>SUM(R16:R21)</f>
        <v>#REF!</v>
      </c>
      <c r="S28" s="139" t="e">
        <f>SUMPRODUCT(Q16:Q21,S16:S21)/SUM(Q16:Q21)</f>
        <v>#REF!</v>
      </c>
      <c r="T28" s="229" t="e">
        <f>SUMPRODUCT(R16:R21,T16:T21)/SUM(R16:R21)</f>
        <v>#REF!</v>
      </c>
      <c r="U28" s="86" t="e">
        <f>SUM(U16:U21)</f>
        <v>#REF!</v>
      </c>
    </row>
    <row r="29" spans="1:23" ht="9" customHeight="1" x14ac:dyDescent="0.3">
      <c r="G29" s="87"/>
      <c r="H29" s="87"/>
      <c r="I29" s="88"/>
      <c r="J29" s="33"/>
      <c r="K29" s="90"/>
      <c r="L29" s="89"/>
      <c r="M29" s="32"/>
      <c r="O29" s="31"/>
      <c r="P29" s="90"/>
      <c r="Q29" s="91"/>
      <c r="S29" s="60"/>
      <c r="T29" s="92"/>
      <c r="U29" s="93"/>
    </row>
    <row r="30" spans="1:23" ht="18" hidden="1" x14ac:dyDescent="0.35">
      <c r="E30" s="94" t="s">
        <v>66</v>
      </c>
      <c r="F30" s="95" t="e">
        <f>SUM(F10:F13)</f>
        <v>#REF!</v>
      </c>
      <c r="G30" s="96"/>
      <c r="H30" s="97" t="e">
        <f>SUMPRODUCT(F10:F13,H10:H13)/SUM(F10:F13)</f>
        <v>#REF!</v>
      </c>
      <c r="I30" s="98" t="e">
        <f>SUM(I10:I13)</f>
        <v>#REF!</v>
      </c>
      <c r="J30" s="99" t="e">
        <f>SUM(J10:J13)</f>
        <v>#REF!</v>
      </c>
      <c r="K30" s="103"/>
      <c r="L30" s="100" t="e">
        <f>SUMPRODUCT(J10:J13,L10:L13)/SUM(J10:J13)</f>
        <v>#REF!</v>
      </c>
      <c r="M30" s="101" t="e">
        <f>SUM(M10:M13)</f>
        <v>#REF!</v>
      </c>
      <c r="N30" s="95" t="e">
        <f>SUM(N10:N13)</f>
        <v>#REF!</v>
      </c>
      <c r="O30" s="102"/>
      <c r="P30" s="103" t="e">
        <f>SUMPRODUCT(N10:N13,P10:P13)/SUM(N10:N13)</f>
        <v>#REF!</v>
      </c>
      <c r="Q30" s="104" t="e">
        <f>SUM(Q10:Q13)</f>
        <v>#REF!</v>
      </c>
      <c r="R30" s="95" t="e">
        <f>SUM(R10:R13)</f>
        <v>#REF!</v>
      </c>
      <c r="S30" s="140"/>
      <c r="T30" s="105" t="e">
        <f>SUMPRODUCT(R10:R13,T10:T13)/SUM(R10:R13)</f>
        <v>#REF!</v>
      </c>
      <c r="U30" s="104" t="e">
        <f>SUM(U10:U13)</f>
        <v>#REF!</v>
      </c>
    </row>
    <row r="31" spans="1:23" ht="18" hidden="1" x14ac:dyDescent="0.35">
      <c r="E31" s="40" t="s">
        <v>67</v>
      </c>
      <c r="F31" s="41" t="e">
        <f>SUM(F10:F19)</f>
        <v>#REF!</v>
      </c>
      <c r="G31" s="106"/>
      <c r="H31" s="107" t="e">
        <f>SUMPRODUCT(F10:F19,H10:H19)/SUM(F10:F19)</f>
        <v>#REF!</v>
      </c>
      <c r="I31" s="108" t="e">
        <f>SUM(I10:I13)</f>
        <v>#REF!</v>
      </c>
      <c r="J31" s="44" t="e">
        <f>SUM(J10:J19)</f>
        <v>#REF!</v>
      </c>
      <c r="K31" s="111"/>
      <c r="L31" s="109" t="e">
        <f>SUMPRODUCT(J10:J19,L10:L19)/SUM(J10:J19)</f>
        <v>#REF!</v>
      </c>
      <c r="M31" s="43" t="e">
        <f>SUM(M10:M19)</f>
        <v>#REF!</v>
      </c>
      <c r="N31" s="41" t="e">
        <f>SUM(N10:N19)</f>
        <v>#REF!</v>
      </c>
      <c r="O31" s="110"/>
      <c r="P31" s="111" t="e">
        <f>SUMPRODUCT(N10:N19,P10:P19)/SUM(N10:N19)</f>
        <v>#REF!</v>
      </c>
      <c r="Q31" s="112" t="e">
        <f>SUM(Q10:Q19)</f>
        <v>#REF!</v>
      </c>
      <c r="R31" s="113" t="e">
        <f>SUMPRODUCT(#REF!,#REF!)/SUM(#REF!)</f>
        <v>#REF!</v>
      </c>
      <c r="S31" s="141"/>
      <c r="T31" s="114" t="e">
        <f>SUMPRODUCT(R10:R19,T10:T19)/SUM(R10:R19)</f>
        <v>#REF!</v>
      </c>
      <c r="U31" s="112" t="e">
        <f>SUM(U10:U19)</f>
        <v>#REF!</v>
      </c>
    </row>
    <row r="32" spans="1:23" ht="18" hidden="1" x14ac:dyDescent="0.35">
      <c r="E32" s="40" t="s">
        <v>68</v>
      </c>
      <c r="F32" s="41" t="e">
        <f>SUM(F10:F15)</f>
        <v>#REF!</v>
      </c>
      <c r="G32" s="115" t="e">
        <f>SUMPRODUCT(F10:F15,G10:G15)/SUM(F10:F15)</f>
        <v>#REF!</v>
      </c>
      <c r="H32" s="115" t="e">
        <f>SUMPRODUCT(F10:F15,H10:H15)/SUM(F10:F15)</f>
        <v>#REF!</v>
      </c>
      <c r="I32" s="116" t="e">
        <f>SUM(I10:I15)</f>
        <v>#REF!</v>
      </c>
      <c r="J32" s="44" t="e">
        <f>SUM(J10:J15)</f>
        <v>#REF!</v>
      </c>
      <c r="K32" s="119" t="e">
        <f>SUMPRODUCT(J10:J15,K10:K15)/SUM(J10:J15)</f>
        <v>#REF!</v>
      </c>
      <c r="L32" s="117" t="e">
        <f>SUMPRODUCT(J10:J15,L10:L15)/SUM(J10:J15)</f>
        <v>#REF!</v>
      </c>
      <c r="M32" s="118" t="e">
        <f>SUM(M10:M15)</f>
        <v>#REF!</v>
      </c>
      <c r="N32" s="41" t="e">
        <f>SUM(N10:N15)</f>
        <v>#REF!</v>
      </c>
      <c r="O32" s="119" t="e">
        <f>SUMPRODUCT(N10:N15,O10:O15)/SUM(N10:N15)</f>
        <v>#REF!</v>
      </c>
      <c r="P32" s="119" t="e">
        <f>SUMPRODUCT(N10:N15,P10:P15)/SUM(N10:N15)</f>
        <v>#REF!</v>
      </c>
      <c r="Q32" s="120" t="e">
        <f>SUM(Q10:Q15)</f>
        <v>#REF!</v>
      </c>
      <c r="R32" s="121" t="e">
        <f>SUM(R10:R15)</f>
        <v>#REF!</v>
      </c>
      <c r="S32" s="142" t="e">
        <f>SUMPRODUCT(R10:R15,S10:S15)/SUM(R10:R15)</f>
        <v>#REF!</v>
      </c>
      <c r="T32" s="114" t="e">
        <f>SUMPRODUCT(R10:R15,T10:T15)/SUM(R10:R15)</f>
        <v>#REF!</v>
      </c>
      <c r="U32" s="112" t="e">
        <f>SUM(U10:U15)</f>
        <v>#REF!</v>
      </c>
    </row>
    <row r="33" spans="1:22" ht="18" x14ac:dyDescent="0.35">
      <c r="E33" s="168" t="s">
        <v>45</v>
      </c>
      <c r="F33" s="169" t="e">
        <f>SUM(F10:F21)</f>
        <v>#REF!</v>
      </c>
      <c r="G33" s="177" t="e">
        <f>SUMPRODUCT(F10:F20,G10:G20)/SUM(F10:F20)</f>
        <v>#REF!</v>
      </c>
      <c r="H33" s="177" t="e">
        <f>SUMPRODUCT(F10:F21,H10:H21)/SUM(F10:F21)</f>
        <v>#REF!</v>
      </c>
      <c r="I33" s="178" t="e">
        <f>SUM(I10:I21)</f>
        <v>#REF!</v>
      </c>
      <c r="J33" s="169" t="e">
        <f>SUM(J10:J21)</f>
        <v>#REF!</v>
      </c>
      <c r="K33" s="177" t="e">
        <f>SUMPRODUCT(J10:J20,K10:K20)/SUM(J10:J20)</f>
        <v>#REF!</v>
      </c>
      <c r="L33" s="177" t="e">
        <f>SUMPRODUCT(J10:J21,L10:L21)/SUM(J10:J21)</f>
        <v>#REF!</v>
      </c>
      <c r="M33" s="266" t="e">
        <f>SUM(M10:M21)</f>
        <v>#REF!</v>
      </c>
      <c r="N33" s="169" t="e">
        <f>SUM(N10:N21)</f>
        <v>#REF!</v>
      </c>
      <c r="O33" s="177" t="e">
        <f>SUMPRODUCT(N10:N20,O10:O20)/SUM(N10:N20)</f>
        <v>#REF!</v>
      </c>
      <c r="P33" s="177" t="e">
        <f>SUMPRODUCT(N10:N21,P10:P21)/SUM(N10:N21)</f>
        <v>#REF!</v>
      </c>
      <c r="Q33" s="178" t="e">
        <f>SUM(Q10:Q21)</f>
        <v>#REF!</v>
      </c>
      <c r="R33" s="169" t="e">
        <f>SUM(R10:R21)</f>
        <v>#REF!</v>
      </c>
      <c r="S33" s="177" t="e">
        <f>SUMPRODUCT(R10:R20,S10:S20)/SUM(R10:R20)</f>
        <v>#REF!</v>
      </c>
      <c r="T33" s="177" t="e">
        <f>SUMPRODUCT(R10:R21,T10:T21)/SUM(R10:R21)</f>
        <v>#REF!</v>
      </c>
      <c r="U33" s="266" t="e">
        <f>SUM(U10:U21)</f>
        <v>#REF!</v>
      </c>
    </row>
    <row r="34" spans="1:22" s="248" customFormat="1" ht="15.6" x14ac:dyDescent="0.3">
      <c r="E34" s="257" t="s">
        <v>40</v>
      </c>
      <c r="F34" s="249"/>
      <c r="G34" s="249"/>
      <c r="K34" s="250"/>
      <c r="L34" s="251"/>
      <c r="M34" s="252"/>
      <c r="N34" s="253" t="e">
        <f>SUM(R10:R18)</f>
        <v>#REF!</v>
      </c>
      <c r="O34" s="253"/>
      <c r="P34" s="251" t="e">
        <f>SUMPRODUCT(R10:R18,T10:T18)/SUM(R10:R18)</f>
        <v>#REF!</v>
      </c>
      <c r="Q34" s="252"/>
      <c r="T34" s="254"/>
      <c r="U34" s="251" t="e">
        <f>SUMPRODUCT(R10:R18,T10:T18)/SUM(R10:R18)</f>
        <v>#REF!</v>
      </c>
    </row>
    <row r="35" spans="1:22" hidden="1" x14ac:dyDescent="0.3">
      <c r="A35" s="2"/>
      <c r="B35" s="2"/>
      <c r="D35" s="2"/>
      <c r="F35" s="620" t="s">
        <v>69</v>
      </c>
      <c r="G35" s="620"/>
      <c r="H35" s="620"/>
      <c r="I35" s="620"/>
      <c r="K35" s="611" t="s">
        <v>47</v>
      </c>
      <c r="L35" s="611"/>
      <c r="M35" s="611"/>
      <c r="N35" s="2" t="s">
        <v>48</v>
      </c>
      <c r="O35" s="2"/>
      <c r="P35" s="611" t="s">
        <v>49</v>
      </c>
      <c r="Q35" s="611"/>
      <c r="R35" s="611"/>
      <c r="S35" s="2" t="s">
        <v>70</v>
      </c>
    </row>
    <row r="36" spans="1:22" hidden="1" x14ac:dyDescent="0.3">
      <c r="E36" s="2"/>
      <c r="F36" s="123" t="e">
        <f t="shared" ref="F36:F47" si="6">F10</f>
        <v>#REF!</v>
      </c>
      <c r="G36" s="123" t="e">
        <f t="shared" ref="G36:G47" si="7">J10</f>
        <v>#REF!</v>
      </c>
      <c r="H36" s="123" t="e">
        <f t="shared" ref="H36:H47" si="8">N10</f>
        <v>#REF!</v>
      </c>
      <c r="I36" s="123" t="e">
        <f t="shared" ref="I36:I47" si="9">SUM(F36:H36)</f>
        <v>#REF!</v>
      </c>
      <c r="K36" s="60">
        <f t="shared" ref="K36:K47" si="10">G10</f>
        <v>-0.3</v>
      </c>
      <c r="L36" s="5">
        <f t="shared" ref="L36:L47" si="11">K10</f>
        <v>-0.3</v>
      </c>
      <c r="M36" s="61">
        <f t="shared" ref="M36:M47" si="12">O10</f>
        <v>-0.3</v>
      </c>
      <c r="N36" s="5" t="e">
        <f>SUMPRODUCT($F$36:$H$36,K36:M36)/SUM($F$36:$H$36)</f>
        <v>#REF!</v>
      </c>
      <c r="O36" s="61"/>
      <c r="P36" s="60" t="e">
        <f t="shared" ref="P36:P47" si="13">H10</f>
        <v>#REF!</v>
      </c>
      <c r="Q36" s="61" t="e">
        <f t="shared" ref="Q36:Q47" si="14">L10</f>
        <v>#REF!</v>
      </c>
      <c r="R36" s="61" t="e">
        <f t="shared" ref="R36:R47" si="15">P10</f>
        <v>#REF!</v>
      </c>
      <c r="S36" s="5" t="e">
        <f>SUMPRODUCT(F36:H36,P36:R36)/SUM(F36:H36)</f>
        <v>#REF!</v>
      </c>
      <c r="T36" s="1"/>
      <c r="V36" s="65"/>
    </row>
    <row r="37" spans="1:22" hidden="1" x14ac:dyDescent="0.3">
      <c r="A37" s="53"/>
      <c r="B37" s="53"/>
      <c r="D37" s="53"/>
      <c r="E37" s="2"/>
      <c r="F37" s="123" t="e">
        <f t="shared" si="6"/>
        <v>#REF!</v>
      </c>
      <c r="G37" s="123" t="e">
        <f t="shared" si="7"/>
        <v>#REF!</v>
      </c>
      <c r="H37" s="123" t="e">
        <f t="shared" si="8"/>
        <v>#REF!</v>
      </c>
      <c r="I37" s="123" t="e">
        <f t="shared" si="9"/>
        <v>#REF!</v>
      </c>
      <c r="K37" s="60">
        <f t="shared" si="10"/>
        <v>-0.3</v>
      </c>
      <c r="L37" s="5">
        <f t="shared" si="11"/>
        <v>-0.3</v>
      </c>
      <c r="M37" s="61">
        <f t="shared" si="12"/>
        <v>-0.3</v>
      </c>
      <c r="N37" s="5" t="e">
        <f t="shared" ref="N37:N47" si="16">SUMPRODUCT($F$36:$H$36,K37:M37)/SUM($F$36:$H$36)</f>
        <v>#REF!</v>
      </c>
      <c r="O37" s="61"/>
      <c r="P37" s="60" t="e">
        <f t="shared" si="13"/>
        <v>#REF!</v>
      </c>
      <c r="Q37" s="61" t="e">
        <f t="shared" si="14"/>
        <v>#REF!</v>
      </c>
      <c r="R37" s="61" t="e">
        <f t="shared" si="15"/>
        <v>#REF!</v>
      </c>
      <c r="S37" s="5" t="e">
        <f t="shared" ref="S37:S47" si="17">SUMPRODUCT(F37:H37,P37:R37)/SUM(F37:H37)</f>
        <v>#REF!</v>
      </c>
      <c r="T37" s="1"/>
      <c r="V37" s="65"/>
    </row>
    <row r="38" spans="1:22" hidden="1" x14ac:dyDescent="0.3">
      <c r="C38" s="61"/>
      <c r="F38" s="123" t="e">
        <f t="shared" si="6"/>
        <v>#REF!</v>
      </c>
      <c r="G38" s="123" t="e">
        <f t="shared" si="7"/>
        <v>#REF!</v>
      </c>
      <c r="H38" s="123" t="e">
        <f t="shared" si="8"/>
        <v>#REF!</v>
      </c>
      <c r="I38" s="123" t="e">
        <f t="shared" si="9"/>
        <v>#REF!</v>
      </c>
      <c r="K38" s="60">
        <f t="shared" si="10"/>
        <v>-0.3</v>
      </c>
      <c r="L38" s="5">
        <f t="shared" si="11"/>
        <v>-0.3</v>
      </c>
      <c r="M38" s="61">
        <f t="shared" si="12"/>
        <v>-0.3</v>
      </c>
      <c r="N38" s="5" t="e">
        <f t="shared" si="16"/>
        <v>#REF!</v>
      </c>
      <c r="O38" s="61"/>
      <c r="P38" s="60" t="e">
        <f t="shared" si="13"/>
        <v>#REF!</v>
      </c>
      <c r="Q38" s="61" t="e">
        <f t="shared" si="14"/>
        <v>#REF!</v>
      </c>
      <c r="R38" s="61" t="e">
        <f t="shared" si="15"/>
        <v>#REF!</v>
      </c>
      <c r="S38" s="5" t="e">
        <f t="shared" si="17"/>
        <v>#REF!</v>
      </c>
      <c r="T38" s="1"/>
      <c r="V38" s="65"/>
    </row>
    <row r="39" spans="1:22" hidden="1" x14ac:dyDescent="0.3">
      <c r="F39" s="123" t="e">
        <f t="shared" si="6"/>
        <v>#REF!</v>
      </c>
      <c r="G39" s="123" t="e">
        <f t="shared" si="7"/>
        <v>#REF!</v>
      </c>
      <c r="H39" s="123" t="e">
        <f t="shared" si="8"/>
        <v>#REF!</v>
      </c>
      <c r="I39" s="123" t="e">
        <f t="shared" si="9"/>
        <v>#REF!</v>
      </c>
      <c r="K39" s="60">
        <f t="shared" si="10"/>
        <v>-0.3</v>
      </c>
      <c r="L39" s="5">
        <f t="shared" si="11"/>
        <v>-0.3</v>
      </c>
      <c r="M39" s="61">
        <f t="shared" si="12"/>
        <v>-0.3</v>
      </c>
      <c r="N39" s="5" t="e">
        <f t="shared" si="16"/>
        <v>#REF!</v>
      </c>
      <c r="O39" s="61"/>
      <c r="P39" s="60" t="e">
        <f t="shared" si="13"/>
        <v>#REF!</v>
      </c>
      <c r="Q39" s="61" t="e">
        <f t="shared" si="14"/>
        <v>#REF!</v>
      </c>
      <c r="R39" s="61" t="e">
        <f t="shared" si="15"/>
        <v>#REF!</v>
      </c>
      <c r="S39" s="5" t="e">
        <f t="shared" si="17"/>
        <v>#REF!</v>
      </c>
      <c r="T39" s="1"/>
      <c r="V39" s="65"/>
    </row>
    <row r="40" spans="1:22" hidden="1" x14ac:dyDescent="0.3">
      <c r="F40" s="123" t="e">
        <f t="shared" si="6"/>
        <v>#REF!</v>
      </c>
      <c r="G40" s="123" t="e">
        <f t="shared" si="7"/>
        <v>#REF!</v>
      </c>
      <c r="H40" s="123" t="e">
        <f t="shared" si="8"/>
        <v>#REF!</v>
      </c>
      <c r="I40" s="123" t="e">
        <f t="shared" si="9"/>
        <v>#REF!</v>
      </c>
      <c r="K40" s="60">
        <f t="shared" si="10"/>
        <v>-0.3</v>
      </c>
      <c r="L40" s="5">
        <f t="shared" si="11"/>
        <v>-0.3</v>
      </c>
      <c r="M40" s="61">
        <f t="shared" si="12"/>
        <v>-0.3</v>
      </c>
      <c r="N40" s="5" t="e">
        <f t="shared" si="16"/>
        <v>#REF!</v>
      </c>
      <c r="O40" s="61"/>
      <c r="P40" s="60" t="e">
        <f t="shared" si="13"/>
        <v>#REF!</v>
      </c>
      <c r="Q40" s="61" t="e">
        <f t="shared" si="14"/>
        <v>#REF!</v>
      </c>
      <c r="R40" s="61" t="e">
        <f t="shared" si="15"/>
        <v>#REF!</v>
      </c>
      <c r="S40" s="5" t="e">
        <f>SUMPRODUCT(F40:H40,P40:R40)/SUM(F40:H40)</f>
        <v>#REF!</v>
      </c>
      <c r="T40" s="1"/>
      <c r="V40" s="65"/>
    </row>
    <row r="41" spans="1:22" hidden="1" x14ac:dyDescent="0.3">
      <c r="F41" s="123" t="e">
        <f t="shared" si="6"/>
        <v>#REF!</v>
      </c>
      <c r="G41" s="123" t="e">
        <f t="shared" si="7"/>
        <v>#REF!</v>
      </c>
      <c r="H41" s="123" t="e">
        <f t="shared" si="8"/>
        <v>#REF!</v>
      </c>
      <c r="I41" s="123" t="e">
        <f t="shared" si="9"/>
        <v>#REF!</v>
      </c>
      <c r="K41" s="60">
        <f t="shared" si="10"/>
        <v>-0.3</v>
      </c>
      <c r="L41" s="5">
        <f t="shared" si="11"/>
        <v>-0.3</v>
      </c>
      <c r="M41" s="61">
        <f t="shared" si="12"/>
        <v>-0.3</v>
      </c>
      <c r="N41" s="5" t="e">
        <f t="shared" si="16"/>
        <v>#REF!</v>
      </c>
      <c r="O41" s="61"/>
      <c r="P41" s="60" t="e">
        <f t="shared" si="13"/>
        <v>#REF!</v>
      </c>
      <c r="Q41" s="61" t="e">
        <f t="shared" si="14"/>
        <v>#REF!</v>
      </c>
      <c r="R41" s="61" t="e">
        <f t="shared" si="15"/>
        <v>#REF!</v>
      </c>
      <c r="S41" s="5" t="e">
        <f t="shared" si="17"/>
        <v>#REF!</v>
      </c>
      <c r="T41" s="1"/>
      <c r="V41" s="65"/>
    </row>
    <row r="42" spans="1:22" hidden="1" x14ac:dyDescent="0.3">
      <c r="F42" s="123" t="e">
        <f t="shared" si="6"/>
        <v>#REF!</v>
      </c>
      <c r="G42" s="123" t="e">
        <f t="shared" si="7"/>
        <v>#REF!</v>
      </c>
      <c r="H42" s="123" t="e">
        <f t="shared" si="8"/>
        <v>#REF!</v>
      </c>
      <c r="I42" s="123" t="e">
        <f t="shared" si="9"/>
        <v>#REF!</v>
      </c>
      <c r="K42" s="60">
        <f t="shared" si="10"/>
        <v>-0.3</v>
      </c>
      <c r="L42" s="5">
        <f t="shared" si="11"/>
        <v>-0.3</v>
      </c>
      <c r="M42" s="61">
        <f t="shared" si="12"/>
        <v>-0.3</v>
      </c>
      <c r="N42" s="5" t="e">
        <f t="shared" si="16"/>
        <v>#REF!</v>
      </c>
      <c r="O42" s="61"/>
      <c r="P42" s="60" t="e">
        <f t="shared" si="13"/>
        <v>#REF!</v>
      </c>
      <c r="Q42" s="61" t="e">
        <f t="shared" si="14"/>
        <v>#REF!</v>
      </c>
      <c r="R42" s="61" t="e">
        <f t="shared" si="15"/>
        <v>#REF!</v>
      </c>
      <c r="S42" s="5" t="e">
        <f t="shared" si="17"/>
        <v>#REF!</v>
      </c>
      <c r="T42" s="1"/>
      <c r="V42" s="65"/>
    </row>
    <row r="43" spans="1:22" hidden="1" x14ac:dyDescent="0.3">
      <c r="F43" s="123" t="e">
        <f t="shared" si="6"/>
        <v>#REF!</v>
      </c>
      <c r="G43" s="123" t="e">
        <f t="shared" si="7"/>
        <v>#REF!</v>
      </c>
      <c r="H43" s="123" t="e">
        <f t="shared" si="8"/>
        <v>#REF!</v>
      </c>
      <c r="I43" s="123" t="e">
        <f t="shared" si="9"/>
        <v>#REF!</v>
      </c>
      <c r="K43" s="60">
        <f t="shared" si="10"/>
        <v>-0.3</v>
      </c>
      <c r="L43" s="5">
        <f t="shared" si="11"/>
        <v>-0.3</v>
      </c>
      <c r="M43" s="61">
        <f t="shared" si="12"/>
        <v>-0.3</v>
      </c>
      <c r="N43" s="5" t="e">
        <f t="shared" si="16"/>
        <v>#REF!</v>
      </c>
      <c r="O43" s="61"/>
      <c r="P43" s="60" t="e">
        <f t="shared" si="13"/>
        <v>#REF!</v>
      </c>
      <c r="Q43" s="61" t="e">
        <f t="shared" si="14"/>
        <v>#REF!</v>
      </c>
      <c r="R43" s="61" t="e">
        <f t="shared" si="15"/>
        <v>#REF!</v>
      </c>
      <c r="S43" s="5" t="e">
        <f t="shared" si="17"/>
        <v>#REF!</v>
      </c>
      <c r="T43" s="1"/>
      <c r="V43" s="65"/>
    </row>
    <row r="44" spans="1:22" hidden="1" x14ac:dyDescent="0.3">
      <c r="F44" s="123" t="e">
        <f t="shared" si="6"/>
        <v>#REF!</v>
      </c>
      <c r="G44" s="123" t="e">
        <f t="shared" si="7"/>
        <v>#REF!</v>
      </c>
      <c r="H44" s="123" t="e">
        <f t="shared" si="8"/>
        <v>#REF!</v>
      </c>
      <c r="I44" s="123" t="e">
        <f t="shared" si="9"/>
        <v>#REF!</v>
      </c>
      <c r="K44" s="60">
        <f t="shared" si="10"/>
        <v>-0.3</v>
      </c>
      <c r="L44" s="5">
        <f t="shared" si="11"/>
        <v>-0.3</v>
      </c>
      <c r="M44" s="61">
        <f t="shared" si="12"/>
        <v>-0.3</v>
      </c>
      <c r="N44" s="5" t="e">
        <f t="shared" si="16"/>
        <v>#REF!</v>
      </c>
      <c r="O44" s="61"/>
      <c r="P44" s="60" t="e">
        <f t="shared" si="13"/>
        <v>#REF!</v>
      </c>
      <c r="Q44" s="61" t="e">
        <f t="shared" si="14"/>
        <v>#REF!</v>
      </c>
      <c r="R44" s="61" t="e">
        <f t="shared" si="15"/>
        <v>#REF!</v>
      </c>
      <c r="S44" s="5" t="e">
        <f t="shared" si="17"/>
        <v>#REF!</v>
      </c>
      <c r="T44" s="1"/>
      <c r="V44" s="65"/>
    </row>
    <row r="45" spans="1:22" hidden="1" x14ac:dyDescent="0.3">
      <c r="F45" s="123" t="e">
        <f t="shared" si="6"/>
        <v>#REF!</v>
      </c>
      <c r="G45" s="123" t="e">
        <f t="shared" si="7"/>
        <v>#REF!</v>
      </c>
      <c r="H45" s="123" t="e">
        <f t="shared" si="8"/>
        <v>#REF!</v>
      </c>
      <c r="I45" s="123" t="e">
        <f t="shared" si="9"/>
        <v>#REF!</v>
      </c>
      <c r="K45" s="60">
        <f t="shared" si="10"/>
        <v>-0.3</v>
      </c>
      <c r="L45" s="5">
        <f t="shared" si="11"/>
        <v>-0.3</v>
      </c>
      <c r="M45" s="61">
        <f t="shared" si="12"/>
        <v>-0.3</v>
      </c>
      <c r="N45" s="5" t="e">
        <f t="shared" si="16"/>
        <v>#REF!</v>
      </c>
      <c r="O45" s="61"/>
      <c r="P45" s="60" t="e">
        <f t="shared" si="13"/>
        <v>#REF!</v>
      </c>
      <c r="Q45" s="61" t="e">
        <f t="shared" si="14"/>
        <v>#REF!</v>
      </c>
      <c r="R45" s="61" t="e">
        <f t="shared" si="15"/>
        <v>#REF!</v>
      </c>
      <c r="S45" s="5" t="e">
        <f t="shared" si="17"/>
        <v>#REF!</v>
      </c>
      <c r="T45" s="1"/>
      <c r="V45" s="65"/>
    </row>
    <row r="46" spans="1:22" hidden="1" x14ac:dyDescent="0.3">
      <c r="F46" s="123" t="e">
        <f t="shared" si="6"/>
        <v>#REF!</v>
      </c>
      <c r="G46" s="123" t="e">
        <f t="shared" si="7"/>
        <v>#REF!</v>
      </c>
      <c r="H46" s="123" t="e">
        <f t="shared" si="8"/>
        <v>#REF!</v>
      </c>
      <c r="I46" s="123" t="e">
        <f t="shared" si="9"/>
        <v>#REF!</v>
      </c>
      <c r="K46" s="60">
        <f t="shared" si="10"/>
        <v>-0.3</v>
      </c>
      <c r="L46" s="5">
        <f t="shared" si="11"/>
        <v>-0.3</v>
      </c>
      <c r="M46" s="61">
        <f t="shared" si="12"/>
        <v>-0.3</v>
      </c>
      <c r="N46" s="5" t="e">
        <f t="shared" si="16"/>
        <v>#REF!</v>
      </c>
      <c r="O46" s="61"/>
      <c r="P46" s="60" t="e">
        <f t="shared" si="13"/>
        <v>#REF!</v>
      </c>
      <c r="Q46" s="61" t="e">
        <f t="shared" si="14"/>
        <v>#REF!</v>
      </c>
      <c r="R46" s="61" t="e">
        <f t="shared" si="15"/>
        <v>#REF!</v>
      </c>
      <c r="S46" s="5" t="e">
        <f t="shared" si="17"/>
        <v>#REF!</v>
      </c>
      <c r="T46" s="1"/>
      <c r="V46" s="65"/>
    </row>
    <row r="47" spans="1:22" hidden="1" x14ac:dyDescent="0.3">
      <c r="F47" s="123" t="e">
        <f t="shared" si="6"/>
        <v>#REF!</v>
      </c>
      <c r="G47" s="123" t="e">
        <f t="shared" si="7"/>
        <v>#REF!</v>
      </c>
      <c r="H47" s="123" t="e">
        <f t="shared" si="8"/>
        <v>#REF!</v>
      </c>
      <c r="I47" s="123" t="e">
        <f t="shared" si="9"/>
        <v>#REF!</v>
      </c>
      <c r="K47" s="60">
        <f t="shared" si="10"/>
        <v>-0.3</v>
      </c>
      <c r="L47" s="5">
        <f t="shared" si="11"/>
        <v>-0.3</v>
      </c>
      <c r="M47" s="61">
        <f t="shared" si="12"/>
        <v>-0.3</v>
      </c>
      <c r="N47" s="5" t="e">
        <f t="shared" si="16"/>
        <v>#REF!</v>
      </c>
      <c r="O47" s="61"/>
      <c r="P47" s="60" t="e">
        <f t="shared" si="13"/>
        <v>#REF!</v>
      </c>
      <c r="Q47" s="61" t="e">
        <f t="shared" si="14"/>
        <v>#REF!</v>
      </c>
      <c r="R47" s="61" t="e">
        <f t="shared" si="15"/>
        <v>#REF!</v>
      </c>
      <c r="S47" s="5" t="e">
        <f t="shared" si="17"/>
        <v>#REF!</v>
      </c>
      <c r="T47" s="1"/>
      <c r="V47" s="65"/>
    </row>
    <row r="48" spans="1:22" hidden="1" x14ac:dyDescent="0.3"/>
    <row r="49" spans="9:14" hidden="1" x14ac:dyDescent="0.3">
      <c r="I49" s="1" t="e">
        <f>SUM(I36:I48)</f>
        <v>#REF!</v>
      </c>
      <c r="N49" s="1" t="e">
        <f>SUMPRODUCT(I36:I41,Q36:Q41)/SUM(I36:I41)</f>
        <v>#REF!</v>
      </c>
    </row>
    <row r="50" spans="9:14" hidden="1" x14ac:dyDescent="0.3">
      <c r="N50" s="1" t="e">
        <f>SUMPRODUCT(I36:I45,Q36:Q45)/SUM(I36:I45)</f>
        <v>#REF!</v>
      </c>
    </row>
    <row r="51" spans="9:14" hidden="1" x14ac:dyDescent="0.3"/>
    <row r="110" spans="31:43" x14ac:dyDescent="0.3">
      <c r="AF110" s="423" t="s">
        <v>13</v>
      </c>
      <c r="AG110" s="423" t="s">
        <v>14</v>
      </c>
      <c r="AH110" s="423" t="s">
        <v>15</v>
      </c>
      <c r="AI110" s="423" t="s">
        <v>16</v>
      </c>
      <c r="AJ110" s="423" t="s">
        <v>17</v>
      </c>
      <c r="AK110" s="423" t="s">
        <v>18</v>
      </c>
      <c r="AL110" s="423" t="s">
        <v>19</v>
      </c>
      <c r="AM110" s="423" t="s">
        <v>20</v>
      </c>
      <c r="AN110" s="423" t="s">
        <v>21</v>
      </c>
      <c r="AO110" s="423" t="s">
        <v>22</v>
      </c>
      <c r="AP110" s="423" t="s">
        <v>23</v>
      </c>
      <c r="AQ110" s="423" t="s">
        <v>24</v>
      </c>
    </row>
    <row r="111" spans="31:43" x14ac:dyDescent="0.3">
      <c r="AE111" s="36" t="s">
        <v>71</v>
      </c>
      <c r="AF111" s="124">
        <v>0.90666645174022875</v>
      </c>
      <c r="AG111" s="124">
        <v>0.77203645659455267</v>
      </c>
      <c r="AH111" s="124">
        <v>0.61065862033916507</v>
      </c>
      <c r="AI111" s="124">
        <v>1.262938115605968</v>
      </c>
      <c r="AJ111" s="124">
        <v>0.82579795560443892</v>
      </c>
      <c r="AK111" s="124">
        <v>0.18004726373826782</v>
      </c>
      <c r="AL111" s="124">
        <v>0.18421161358688642</v>
      </c>
      <c r="AM111" s="124">
        <v>0.71187249117893303</v>
      </c>
      <c r="AN111" s="124">
        <v>1.3579993461462254</v>
      </c>
      <c r="AO111" s="124">
        <v>0.71953682974824762</v>
      </c>
      <c r="AP111" s="124">
        <v>0.79567434132037773</v>
      </c>
      <c r="AQ111" s="124">
        <v>1.4588933471785837</v>
      </c>
    </row>
    <row r="117" spans="27:48" x14ac:dyDescent="0.3">
      <c r="AV117" s="67" t="s">
        <v>72</v>
      </c>
    </row>
    <row r="118" spans="27:48" x14ac:dyDescent="0.3">
      <c r="AV118" s="125" t="s">
        <v>73</v>
      </c>
    </row>
    <row r="127" spans="27:48" x14ac:dyDescent="0.3">
      <c r="AA127" s="1">
        <v>0.90666645174022875</v>
      </c>
    </row>
    <row r="128" spans="27:48" x14ac:dyDescent="0.3">
      <c r="AA128" s="1">
        <v>0.77203645659455267</v>
      </c>
    </row>
    <row r="129" spans="27:27" x14ac:dyDescent="0.3">
      <c r="AA129" s="1">
        <v>0.61065862033916507</v>
      </c>
    </row>
    <row r="130" spans="27:27" x14ac:dyDescent="0.3">
      <c r="AA130" s="1">
        <v>1.262938115605968</v>
      </c>
    </row>
    <row r="131" spans="27:27" x14ac:dyDescent="0.3">
      <c r="AA131" s="1">
        <v>0.82579795560443892</v>
      </c>
    </row>
    <row r="132" spans="27:27" x14ac:dyDescent="0.3">
      <c r="AA132" s="1">
        <v>0.18004726373826782</v>
      </c>
    </row>
    <row r="133" spans="27:27" x14ac:dyDescent="0.3">
      <c r="AA133" s="1">
        <v>0.18421161358688642</v>
      </c>
    </row>
    <row r="134" spans="27:27" x14ac:dyDescent="0.3">
      <c r="AA134" s="1">
        <v>0.71187249117893303</v>
      </c>
    </row>
    <row r="135" spans="27:27" x14ac:dyDescent="0.3">
      <c r="AA135" s="1">
        <v>1.3579993461462254</v>
      </c>
    </row>
    <row r="136" spans="27:27" x14ac:dyDescent="0.3">
      <c r="AA136" s="1">
        <v>0.71953682974824762</v>
      </c>
    </row>
    <row r="137" spans="27:27" x14ac:dyDescent="0.3">
      <c r="AA137" s="1">
        <v>0.79567434132037773</v>
      </c>
    </row>
    <row r="138" spans="27:27" x14ac:dyDescent="0.3">
      <c r="AA138" s="1">
        <v>1.4588933471785837</v>
      </c>
    </row>
  </sheetData>
  <mergeCells count="9">
    <mergeCell ref="V8:V9"/>
    <mergeCell ref="F35:I35"/>
    <mergeCell ref="K35:M35"/>
    <mergeCell ref="P35:R35"/>
    <mergeCell ref="E8:E9"/>
    <mergeCell ref="F8:I8"/>
    <mergeCell ref="J8:M8"/>
    <mergeCell ref="N8:Q8"/>
    <mergeCell ref="R8:U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D59B-F694-4927-B66F-F08AF565970B}">
  <sheetPr>
    <tabColor rgb="FFFFC000"/>
  </sheetPr>
  <dimension ref="A4:AT136"/>
  <sheetViews>
    <sheetView tabSelected="1" topLeftCell="E5" zoomScale="96" zoomScaleNormal="80" workbookViewId="0">
      <selection activeCell="K26" sqref="K26"/>
    </sheetView>
  </sheetViews>
  <sheetFormatPr defaultColWidth="9.44140625" defaultRowHeight="15" customHeight="1" x14ac:dyDescent="0.3"/>
  <cols>
    <col min="1" max="2" width="6.5546875" style="1" hidden="1" customWidth="1"/>
    <col min="3" max="3" width="11.5546875" style="1" hidden="1" customWidth="1"/>
    <col min="4" max="4" width="6.5546875" style="1" hidden="1" customWidth="1"/>
    <col min="5" max="5" width="6.5546875" style="1" customWidth="1"/>
    <col min="6" max="6" width="21.44140625" style="1" customWidth="1"/>
    <col min="7" max="7" width="15.5546875" style="1" customWidth="1"/>
    <col min="8" max="8" width="10.5546875" style="1" customWidth="1"/>
    <col min="9" max="9" width="16.44140625" style="1" customWidth="1"/>
    <col min="10" max="10" width="14.44140625" style="1" customWidth="1"/>
    <col min="11" max="11" width="10.5546875" style="5" customWidth="1"/>
    <col min="12" max="12" width="17.44140625" style="62" customWidth="1"/>
    <col min="13" max="13" width="13" style="1" customWidth="1"/>
    <col min="14" max="14" width="10.5546875" style="1" customWidth="1"/>
    <col min="15" max="15" width="17.44140625" style="62" customWidth="1"/>
    <col min="16" max="16" width="15.5546875" style="1" customWidth="1"/>
    <col min="17" max="17" width="10.5546875" style="65" customWidth="1"/>
    <col min="18" max="19" width="17.5546875" style="1" customWidth="1"/>
    <col min="20" max="20" width="20" style="1" customWidth="1"/>
    <col min="21" max="21" width="9.5546875" style="1" customWidth="1"/>
    <col min="22" max="25" width="9.44140625" style="1" customWidth="1"/>
    <col min="26" max="45" width="9.44140625" style="1"/>
    <col min="46" max="46" width="25.5546875" style="1" bestFit="1" customWidth="1"/>
    <col min="47" max="16384" width="9.44140625" style="1"/>
  </cols>
  <sheetData>
    <row r="4" spans="1:20" ht="14.4" x14ac:dyDescent="0.3">
      <c r="L4" s="61"/>
      <c r="O4" s="61"/>
    </row>
    <row r="5" spans="1:20" ht="14.4" x14ac:dyDescent="0.3">
      <c r="L5" s="61"/>
      <c r="O5" s="61"/>
    </row>
    <row r="6" spans="1:20" ht="14.4" x14ac:dyDescent="0.3">
      <c r="L6" s="61"/>
    </row>
    <row r="7" spans="1:20" ht="14.4" x14ac:dyDescent="0.3">
      <c r="M7" s="61"/>
    </row>
    <row r="8" spans="1:20" ht="18" x14ac:dyDescent="0.3">
      <c r="F8" s="612" t="s">
        <v>3</v>
      </c>
      <c r="G8" s="614" t="s">
        <v>4</v>
      </c>
      <c r="H8" s="614"/>
      <c r="I8" s="614"/>
      <c r="J8" s="614" t="s">
        <v>5</v>
      </c>
      <c r="K8" s="614"/>
      <c r="L8" s="614"/>
      <c r="M8" s="615" t="s">
        <v>61</v>
      </c>
      <c r="N8" s="616"/>
      <c r="O8" s="617"/>
      <c r="P8" s="615" t="s">
        <v>62</v>
      </c>
      <c r="Q8" s="616"/>
      <c r="R8" s="617"/>
      <c r="T8" s="609"/>
    </row>
    <row r="9" spans="1:20" ht="18" x14ac:dyDescent="0.35">
      <c r="F9" s="613"/>
      <c r="G9" s="421" t="s">
        <v>9</v>
      </c>
      <c r="H9" s="421" t="s">
        <v>63</v>
      </c>
      <c r="I9" s="421" t="s">
        <v>64</v>
      </c>
      <c r="J9" s="421" t="s">
        <v>9</v>
      </c>
      <c r="K9" s="174" t="s">
        <v>63</v>
      </c>
      <c r="L9" s="175" t="s">
        <v>64</v>
      </c>
      <c r="M9" s="150" t="s">
        <v>9</v>
      </c>
      <c r="N9" s="174" t="s">
        <v>63</v>
      </c>
      <c r="O9" s="176" t="s">
        <v>64</v>
      </c>
      <c r="P9" s="421" t="s">
        <v>9</v>
      </c>
      <c r="Q9" s="150" t="s">
        <v>63</v>
      </c>
      <c r="R9" s="150" t="s">
        <v>64</v>
      </c>
      <c r="T9" s="609"/>
    </row>
    <row r="10" spans="1:20" ht="18" x14ac:dyDescent="0.35">
      <c r="A10" s="66"/>
      <c r="B10" s="66"/>
      <c r="C10" s="66"/>
      <c r="D10" s="66"/>
      <c r="E10" s="66"/>
      <c r="F10" s="545" t="s">
        <v>13</v>
      </c>
      <c r="G10" s="546">
        <f>'Demurage 2026'!F10</f>
        <v>1049005.01</v>
      </c>
      <c r="H10" s="496">
        <v>-0.54</v>
      </c>
      <c r="I10" s="238">
        <f t="shared" ref="I10:I21" si="0">G10*H10</f>
        <v>-566462.70540000009</v>
      </c>
      <c r="J10" s="551">
        <f>'Demurage 2026'!I10</f>
        <v>1092734.9080000001</v>
      </c>
      <c r="K10" s="496">
        <v>1.21</v>
      </c>
      <c r="L10" s="238">
        <f t="shared" ref="L10:L21" si="1">J10*K10</f>
        <v>1322209.23868</v>
      </c>
      <c r="M10" s="550">
        <f>'Demurage 2026'!L10</f>
        <v>42522</v>
      </c>
      <c r="N10" s="496">
        <v>-1.1299999999999999</v>
      </c>
      <c r="O10" s="243">
        <f t="shared" ref="O10:O21" si="2">M10*N10</f>
        <v>-48049.859999999993</v>
      </c>
      <c r="P10" s="552">
        <f t="shared" ref="P10:P21" si="3">G10+J10+M10</f>
        <v>2184261.9180000001</v>
      </c>
      <c r="Q10" s="242">
        <f t="shared" ref="Q10:Q15" si="4">R10/P10</f>
        <v>0.32399808257793372</v>
      </c>
      <c r="R10" s="243">
        <f t="shared" ref="R10:R21" si="5">I10+L10+O10</f>
        <v>707696.67327999987</v>
      </c>
    </row>
    <row r="11" spans="1:20" ht="18" x14ac:dyDescent="0.35">
      <c r="A11" s="66"/>
      <c r="B11" s="66"/>
      <c r="D11" s="66"/>
      <c r="E11" s="66"/>
      <c r="F11" s="545" t="s">
        <v>14</v>
      </c>
      <c r="G11" s="546">
        <f>'Demurage 2026'!F11</f>
        <v>865634</v>
      </c>
      <c r="H11" s="496">
        <v>-0.6</v>
      </c>
      <c r="I11" s="238">
        <f t="shared" si="0"/>
        <v>-519380.39999999997</v>
      </c>
      <c r="J11" s="551">
        <f>'Demurage 2026'!I11</f>
        <v>1191839</v>
      </c>
      <c r="K11" s="496">
        <v>0.21</v>
      </c>
      <c r="L11" s="238">
        <f t="shared" si="1"/>
        <v>250286.19</v>
      </c>
      <c r="M11" s="550">
        <f>'Demurage 2026'!L11</f>
        <v>65133</v>
      </c>
      <c r="N11" s="496">
        <v>-1.5</v>
      </c>
      <c r="O11" s="243">
        <f t="shared" si="2"/>
        <v>-97699.5</v>
      </c>
      <c r="P11" s="552">
        <f t="shared" si="3"/>
        <v>2122606</v>
      </c>
      <c r="Q11" s="242">
        <f t="shared" si="4"/>
        <v>-0.17280348307693466</v>
      </c>
      <c r="R11" s="243">
        <f t="shared" si="5"/>
        <v>-366793.70999999996</v>
      </c>
    </row>
    <row r="12" spans="1:20" ht="18" x14ac:dyDescent="0.35">
      <c r="A12" s="66"/>
      <c r="B12" s="66"/>
      <c r="C12" s="66"/>
      <c r="F12" s="545" t="s">
        <v>15</v>
      </c>
      <c r="G12" s="546">
        <f>'Demurage 2026'!F12</f>
        <v>941705.85</v>
      </c>
      <c r="H12" s="496">
        <v>0.79</v>
      </c>
      <c r="I12" s="238">
        <f t="shared" si="0"/>
        <v>743947.62150000001</v>
      </c>
      <c r="J12" s="551">
        <f>'Demurage 2026'!I12</f>
        <v>949790.47599999991</v>
      </c>
      <c r="K12" s="496">
        <v>1.04</v>
      </c>
      <c r="L12" s="238">
        <f t="shared" si="1"/>
        <v>987782.09503999993</v>
      </c>
      <c r="M12" s="550">
        <f>'Demurage 2026'!L12</f>
        <v>60101</v>
      </c>
      <c r="N12" s="496">
        <v>-0.43</v>
      </c>
      <c r="O12" s="243">
        <f t="shared" si="2"/>
        <v>-25843.43</v>
      </c>
      <c r="P12" s="552">
        <f t="shared" si="3"/>
        <v>1951597.3259999999</v>
      </c>
      <c r="Q12" s="242">
        <f t="shared" si="4"/>
        <v>0.87409747072998401</v>
      </c>
      <c r="R12" s="243">
        <f t="shared" si="5"/>
        <v>1705886.28654</v>
      </c>
    </row>
    <row r="13" spans="1:20" ht="18" x14ac:dyDescent="0.35">
      <c r="A13" s="66"/>
      <c r="B13" s="66"/>
      <c r="C13" s="66"/>
      <c r="D13" s="66"/>
      <c r="E13" s="66"/>
      <c r="F13" s="545" t="s">
        <v>16</v>
      </c>
      <c r="G13" s="546">
        <f>'Demurage 2026'!F13</f>
        <v>948486.78000000014</v>
      </c>
      <c r="H13" s="496">
        <v>0.85</v>
      </c>
      <c r="I13" s="238">
        <f t="shared" si="0"/>
        <v>806213.76300000015</v>
      </c>
      <c r="J13" s="551">
        <f>'Demurage 2026'!I13</f>
        <v>923560</v>
      </c>
      <c r="K13" s="496">
        <v>2.74</v>
      </c>
      <c r="L13" s="238">
        <f t="shared" si="1"/>
        <v>2530554.4000000004</v>
      </c>
      <c r="M13" s="550">
        <f>'Demurage 2026'!L13</f>
        <v>15008</v>
      </c>
      <c r="N13" s="496">
        <v>0.56000000000000005</v>
      </c>
      <c r="O13" s="243">
        <f t="shared" si="2"/>
        <v>8404.4800000000014</v>
      </c>
      <c r="P13" s="552">
        <f t="shared" si="3"/>
        <v>1887054.7800000003</v>
      </c>
      <c r="Q13" s="242">
        <f>R13/P13+0.01</f>
        <v>1.7826950369718468</v>
      </c>
      <c r="R13" s="243">
        <f t="shared" si="5"/>
        <v>3345172.6430000006</v>
      </c>
    </row>
    <row r="14" spans="1:20" ht="18" x14ac:dyDescent="0.35">
      <c r="A14" s="66"/>
      <c r="B14" s="66"/>
      <c r="C14" s="66"/>
      <c r="D14" s="66"/>
      <c r="E14" s="66"/>
      <c r="F14" s="545" t="s">
        <v>17</v>
      </c>
      <c r="G14" s="546">
        <f>'Demurage 2026'!F14</f>
        <v>755972.03999999992</v>
      </c>
      <c r="H14" s="496">
        <v>-1.76</v>
      </c>
      <c r="I14" s="238">
        <f t="shared" si="0"/>
        <v>-1330510.7903999998</v>
      </c>
      <c r="J14" s="551">
        <f>'Demurage 2026'!I14</f>
        <v>1282215</v>
      </c>
      <c r="K14" s="496">
        <v>0.99</v>
      </c>
      <c r="L14" s="238">
        <f t="shared" si="1"/>
        <v>1269392.8500000001</v>
      </c>
      <c r="M14" s="550">
        <f>'Demurage 2026'!L14</f>
        <v>7544.0000000000009</v>
      </c>
      <c r="N14" s="496">
        <v>0</v>
      </c>
      <c r="O14" s="243">
        <f t="shared" si="2"/>
        <v>0</v>
      </c>
      <c r="P14" s="552">
        <f t="shared" si="3"/>
        <v>2045731.04</v>
      </c>
      <c r="Q14" s="242">
        <f t="shared" si="4"/>
        <v>-2.9875843502868163E-2</v>
      </c>
      <c r="R14" s="243">
        <f t="shared" si="5"/>
        <v>-61117.94039999973</v>
      </c>
    </row>
    <row r="15" spans="1:20" ht="18" x14ac:dyDescent="0.35">
      <c r="C15" s="66"/>
      <c r="F15" s="545" t="s">
        <v>18</v>
      </c>
      <c r="G15" s="546">
        <f>'Demurage 2026'!F15</f>
        <v>1015599</v>
      </c>
      <c r="H15" s="496">
        <v>-1.01</v>
      </c>
      <c r="I15" s="238">
        <f t="shared" si="0"/>
        <v>-1025754.99</v>
      </c>
      <c r="J15" s="551">
        <f>'Demurage 2026'!I15</f>
        <v>1087577</v>
      </c>
      <c r="K15" s="496">
        <v>-0.23</v>
      </c>
      <c r="L15" s="238">
        <f t="shared" si="1"/>
        <v>-250142.71000000002</v>
      </c>
      <c r="M15" s="550">
        <f>'Demurage 2026'!L15</f>
        <v>37513</v>
      </c>
      <c r="N15" s="496">
        <v>0.82</v>
      </c>
      <c r="O15" s="243">
        <f t="shared" si="2"/>
        <v>30760.66</v>
      </c>
      <c r="P15" s="552">
        <f t="shared" si="3"/>
        <v>2140689</v>
      </c>
      <c r="Q15" s="242">
        <f t="shared" si="4"/>
        <v>-0.58165246796708914</v>
      </c>
      <c r="R15" s="243">
        <f t="shared" si="5"/>
        <v>-1245137.04</v>
      </c>
    </row>
    <row r="16" spans="1:20" ht="18" x14ac:dyDescent="0.35">
      <c r="F16" s="545" t="s">
        <v>19</v>
      </c>
      <c r="G16" s="546">
        <f>'Demurage 2026'!F16</f>
        <v>1080333</v>
      </c>
      <c r="H16" s="496">
        <v>-0.17</v>
      </c>
      <c r="I16" s="238">
        <f t="shared" si="0"/>
        <v>-183656.61000000002</v>
      </c>
      <c r="J16" s="551">
        <f>'Demurage 2026'!I16</f>
        <v>1344420</v>
      </c>
      <c r="K16" s="496">
        <v>2.11</v>
      </c>
      <c r="L16" s="238">
        <f t="shared" si="1"/>
        <v>2836726.1999999997</v>
      </c>
      <c r="M16" s="550">
        <f>'Demurage 2026'!L16</f>
        <v>7608</v>
      </c>
      <c r="N16" s="496">
        <v>0</v>
      </c>
      <c r="O16" s="243">
        <f t="shared" si="2"/>
        <v>0</v>
      </c>
      <c r="P16" s="552">
        <f t="shared" si="3"/>
        <v>2432361</v>
      </c>
      <c r="Q16" s="242">
        <f t="shared" ref="Q16:Q18" si="6">R16/P16</f>
        <v>1.0907384183515523</v>
      </c>
      <c r="R16" s="243">
        <f t="shared" si="5"/>
        <v>2653069.59</v>
      </c>
    </row>
    <row r="17" spans="1:22" ht="18" x14ac:dyDescent="0.35">
      <c r="F17" s="545" t="s">
        <v>20</v>
      </c>
      <c r="G17" s="546">
        <f>'Demurage 2026'!F17</f>
        <v>965853</v>
      </c>
      <c r="H17" s="496">
        <v>1.1499999999999999</v>
      </c>
      <c r="I17" s="238">
        <f t="shared" si="0"/>
        <v>1110730.95</v>
      </c>
      <c r="J17" s="551">
        <f>'Demurage 2026'!I17</f>
        <v>869059</v>
      </c>
      <c r="K17" s="496">
        <v>2.16</v>
      </c>
      <c r="L17" s="238">
        <f t="shared" si="1"/>
        <v>1877167.4400000002</v>
      </c>
      <c r="M17" s="550">
        <f>'Demurage 2026'!L17</f>
        <v>0</v>
      </c>
      <c r="N17" s="496">
        <v>0</v>
      </c>
      <c r="O17" s="243">
        <f t="shared" si="2"/>
        <v>0</v>
      </c>
      <c r="P17" s="552">
        <f t="shared" si="3"/>
        <v>1834912</v>
      </c>
      <c r="Q17" s="242">
        <f t="shared" si="6"/>
        <v>1.6283605916796011</v>
      </c>
      <c r="R17" s="243">
        <f t="shared" si="5"/>
        <v>2987898.39</v>
      </c>
    </row>
    <row r="18" spans="1:22" ht="18" x14ac:dyDescent="0.35">
      <c r="F18" s="526" t="s">
        <v>21</v>
      </c>
      <c r="G18" s="472">
        <f>'Demurage 2026'!F18</f>
        <v>1046262</v>
      </c>
      <c r="H18" s="475">
        <v>0.31</v>
      </c>
      <c r="I18" s="474">
        <f t="shared" si="0"/>
        <v>324341.21999999997</v>
      </c>
      <c r="J18" s="472">
        <f>'Demurage 2026'!I18</f>
        <v>1029914.69</v>
      </c>
      <c r="K18" s="475">
        <v>1.9039999999999999</v>
      </c>
      <c r="L18" s="474">
        <f t="shared" si="1"/>
        <v>1960957.5697599999</v>
      </c>
      <c r="M18" s="478">
        <f>'Demurage 2026'!L18</f>
        <v>7500</v>
      </c>
      <c r="N18" s="475">
        <v>0</v>
      </c>
      <c r="O18" s="480">
        <f t="shared" si="2"/>
        <v>0</v>
      </c>
      <c r="P18" s="512">
        <f t="shared" si="3"/>
        <v>2083676.69</v>
      </c>
      <c r="Q18" s="479">
        <f t="shared" si="6"/>
        <v>1.0967626603146383</v>
      </c>
      <c r="R18" s="480">
        <f t="shared" si="5"/>
        <v>2285298.7897600001</v>
      </c>
    </row>
    <row r="19" spans="1:22" ht="18" x14ac:dyDescent="0.35">
      <c r="F19" s="526" t="s">
        <v>22</v>
      </c>
      <c r="G19" s="472">
        <f>'Demurage 2026'!F19</f>
        <v>1177000</v>
      </c>
      <c r="H19" s="475">
        <v>-0.05</v>
      </c>
      <c r="I19" s="474">
        <f t="shared" si="0"/>
        <v>-58850</v>
      </c>
      <c r="J19" s="511">
        <f>'Demurage 2026'!I19</f>
        <v>1126000</v>
      </c>
      <c r="K19" s="475">
        <v>0.69</v>
      </c>
      <c r="L19" s="474">
        <f t="shared" si="1"/>
        <v>776939.99999999988</v>
      </c>
      <c r="M19" s="478">
        <f>'Demurage 2026'!L19</f>
        <v>247500</v>
      </c>
      <c r="N19" s="475">
        <v>0</v>
      </c>
      <c r="O19" s="480">
        <f t="shared" si="2"/>
        <v>0</v>
      </c>
      <c r="P19" s="512">
        <f t="shared" si="3"/>
        <v>2550500</v>
      </c>
      <c r="Q19" s="479">
        <f>R19/P19</f>
        <v>0.28154871593805131</v>
      </c>
      <c r="R19" s="480">
        <f t="shared" si="5"/>
        <v>718089.99999999988</v>
      </c>
    </row>
    <row r="20" spans="1:22" ht="18" x14ac:dyDescent="0.35">
      <c r="A20" s="68"/>
      <c r="B20" s="69"/>
      <c r="C20" s="6"/>
      <c r="F20" s="481" t="s">
        <v>23</v>
      </c>
      <c r="G20" s="472">
        <f>'Demurage 2026'!F20</f>
        <v>1185000</v>
      </c>
      <c r="H20" s="475">
        <v>-0.13</v>
      </c>
      <c r="I20" s="513">
        <f t="shared" si="0"/>
        <v>-154050</v>
      </c>
      <c r="J20" s="511">
        <f>'Demurage 2026'!I20</f>
        <v>1004000</v>
      </c>
      <c r="K20" s="475">
        <v>0.7</v>
      </c>
      <c r="L20" s="474">
        <f t="shared" si="1"/>
        <v>702800</v>
      </c>
      <c r="M20" s="478">
        <f>'Demurage 2026'!L20</f>
        <v>405000</v>
      </c>
      <c r="N20" s="475">
        <v>0</v>
      </c>
      <c r="O20" s="480">
        <f t="shared" si="2"/>
        <v>0</v>
      </c>
      <c r="P20" s="512">
        <f t="shared" si="3"/>
        <v>2594000</v>
      </c>
      <c r="Q20" s="479">
        <f>R20/P20</f>
        <v>0.21154587509637626</v>
      </c>
      <c r="R20" s="480">
        <f t="shared" si="5"/>
        <v>548750</v>
      </c>
    </row>
    <row r="21" spans="1:22" ht="16.5" customHeight="1" x14ac:dyDescent="0.35">
      <c r="F21" s="481" t="s">
        <v>24</v>
      </c>
      <c r="G21" s="472">
        <f>'Demurage 2026'!F21</f>
        <v>150000</v>
      </c>
      <c r="H21" s="475">
        <v>0</v>
      </c>
      <c r="I21" s="513">
        <f t="shared" si="0"/>
        <v>0</v>
      </c>
      <c r="J21" s="511">
        <f>'Demurage 2026'!I21</f>
        <v>220000</v>
      </c>
      <c r="K21" s="475">
        <v>0</v>
      </c>
      <c r="L21" s="474">
        <f t="shared" si="1"/>
        <v>0</v>
      </c>
      <c r="M21" s="478">
        <f>'Demurage 2026'!L21</f>
        <v>285000</v>
      </c>
      <c r="N21" s="475">
        <v>0</v>
      </c>
      <c r="O21" s="480">
        <f t="shared" si="2"/>
        <v>0</v>
      </c>
      <c r="P21" s="512">
        <f t="shared" si="3"/>
        <v>655000</v>
      </c>
      <c r="Q21" s="479">
        <v>0</v>
      </c>
      <c r="R21" s="480">
        <f t="shared" si="5"/>
        <v>0</v>
      </c>
    </row>
    <row r="22" spans="1:22" customFormat="1" ht="5.0999999999999996" customHeight="1" x14ac:dyDescent="0.35">
      <c r="A22" s="1"/>
      <c r="B22" s="1"/>
      <c r="C22" s="1"/>
      <c r="D22" s="1"/>
      <c r="E22" s="1"/>
      <c r="F22" s="597"/>
      <c r="G22" s="598"/>
      <c r="H22" s="599"/>
      <c r="I22" s="600"/>
      <c r="J22" s="601"/>
      <c r="K22" s="602"/>
      <c r="L22" s="603"/>
      <c r="M22" s="604"/>
      <c r="N22" s="599"/>
      <c r="O22" s="605"/>
      <c r="P22" s="606"/>
      <c r="Q22" s="607"/>
      <c r="R22" s="608"/>
    </row>
    <row r="23" spans="1:22" ht="18" x14ac:dyDescent="0.35">
      <c r="F23" s="573" t="str">
        <f>'Demurage 2026'!E23</f>
        <v>Actual Q1</v>
      </c>
      <c r="G23" s="574">
        <f>SUM(G10:G12)</f>
        <v>2856344.86</v>
      </c>
      <c r="H23" s="496">
        <f>SUMPRODUCT(G10:G12,H10:H12)/SUM(G10:G12)</f>
        <v>-0.11969685057566894</v>
      </c>
      <c r="I23" s="238">
        <f>SUM(I10:I12)</f>
        <v>-341895.48389999999</v>
      </c>
      <c r="J23" s="578">
        <f>SUM(J10:J12)</f>
        <v>3234364.3839999996</v>
      </c>
      <c r="K23" s="496">
        <f>SUMPRODUCT(J10:J12,K10:K12)/SUM(J10:J12)</f>
        <v>0.79158598715264616</v>
      </c>
      <c r="L23" s="238">
        <f>SUM(L10:L12)</f>
        <v>2560277.5237199999</v>
      </c>
      <c r="M23" s="579">
        <f>SUM(M10:M12)</f>
        <v>167756</v>
      </c>
      <c r="N23" s="496">
        <f>SUMPRODUCT(M10:M12,N10:N12)/SUM(M10:M12)</f>
        <v>-1.0228712534872075</v>
      </c>
      <c r="O23" s="238">
        <f>SUM(O10:O12)</f>
        <v>-171592.78999999998</v>
      </c>
      <c r="P23" s="574">
        <f>SUM(P10:P12)</f>
        <v>6258465.243999999</v>
      </c>
      <c r="Q23" s="580">
        <f>SUMPRODUCT(P10:P12,Q10:Q12)/SUM(P10:P12)</f>
        <v>0.32704331973118494</v>
      </c>
      <c r="R23" s="581">
        <f>SUM(R10:R12)</f>
        <v>2046789.24982</v>
      </c>
    </row>
    <row r="24" spans="1:22" ht="18" x14ac:dyDescent="0.35">
      <c r="F24" s="573" t="str">
        <f>'Demurage 2026'!E24</f>
        <v>Actual Q2</v>
      </c>
      <c r="G24" s="574">
        <f>SUM(G13:G15)</f>
        <v>2720057.8200000003</v>
      </c>
      <c r="H24" s="593">
        <f>SUMPRODUCT(G13:G15,H13:H15)/SUM(G13:G15)</f>
        <v>-0.56985995150647184</v>
      </c>
      <c r="I24" s="238">
        <f>SUM(I13:I15)</f>
        <v>-1550052.0173999998</v>
      </c>
      <c r="J24" s="578">
        <f>SUM(J13:J15)</f>
        <v>3293352</v>
      </c>
      <c r="K24" s="496">
        <f>SUMPRODUCT(J13:J15,K13:K15)/SUM(J13:J15)</f>
        <v>1.0778697630863632</v>
      </c>
      <c r="L24" s="238">
        <f>SUM(L13:L15)</f>
        <v>3549804.5400000005</v>
      </c>
      <c r="M24" s="579">
        <f>SUM(M13:M15)</f>
        <v>60065</v>
      </c>
      <c r="N24" s="496">
        <f>SUMPRODUCT(M13:M15,N13:N15)/SUM(M13:M15)</f>
        <v>0.65204595022059431</v>
      </c>
      <c r="O24" s="238">
        <f>SUM(O13:O15)</f>
        <v>39165.14</v>
      </c>
      <c r="P24" s="574">
        <f>SUM(P13:P15)</f>
        <v>6073474.8200000003</v>
      </c>
      <c r="Q24" s="594">
        <f>SUMPRODUCT(P13:P15,Q13:Q15)/SUM(P13:P15)</f>
        <v>0.33881563213593779</v>
      </c>
      <c r="R24" s="595">
        <f>SUM(R13:R15)</f>
        <v>2038917.6626000009</v>
      </c>
    </row>
    <row r="25" spans="1:22" ht="18" x14ac:dyDescent="0.35">
      <c r="F25" s="573" t="str">
        <f>'Demurage 2026'!E25</f>
        <v>Actual S1</v>
      </c>
      <c r="G25" s="579">
        <f>SUM(G10:G15)</f>
        <v>5576402.6799999997</v>
      </c>
      <c r="H25" s="596">
        <f>SUMPRODUCT(G10:G15,H10:H15)/SUM(G10:G15)</f>
        <v>-0.33927741769538061</v>
      </c>
      <c r="I25" s="243">
        <f>SUM(I10:I15)</f>
        <v>-1891947.5012999997</v>
      </c>
      <c r="J25" s="574">
        <f>SUM(J10:J15)</f>
        <v>6527716.3839999996</v>
      </c>
      <c r="K25" s="242">
        <f>SUMPRODUCT(J10:J15,K10:K15)/SUM(J10:J15)</f>
        <v>0.936021374748502</v>
      </c>
      <c r="L25" s="243">
        <f>SUM(L10:L15)</f>
        <v>6110082.06372</v>
      </c>
      <c r="M25" s="579">
        <f>SUM(M10:M15)</f>
        <v>227821</v>
      </c>
      <c r="N25" s="496">
        <f>SUMPRODUCT(M10:M15,N10:N15)/SUM(M10:M15)</f>
        <v>-0.58127938161978032</v>
      </c>
      <c r="O25" s="238">
        <f>SUM(O10:O15)</f>
        <v>-132427.64999999997</v>
      </c>
      <c r="P25" s="241">
        <f>SUM(P10:P15)</f>
        <v>12331940.063999999</v>
      </c>
      <c r="Q25" s="594">
        <f>SUMPRODUCT(P10:P15,Q10:Q15)/SUM(P10:P15)</f>
        <v>0.33284117818592746</v>
      </c>
      <c r="R25" s="595">
        <f>SUM(R10:R15)</f>
        <v>4085706.9124200009</v>
      </c>
    </row>
    <row r="26" spans="1:22" ht="18" x14ac:dyDescent="0.35">
      <c r="F26" s="24" t="str">
        <f>'Demurage 2026'!E26</f>
        <v>Prediction Q3</v>
      </c>
      <c r="G26" s="261">
        <f>SUM(G16:G18)</f>
        <v>3092448</v>
      </c>
      <c r="H26" s="78">
        <f>SUMPRODUCT(G16:G18,H16:H18)/SUM(G16:G18)</f>
        <v>0.40466826281314999</v>
      </c>
      <c r="I26" s="82">
        <f>SUM(I16:I18)</f>
        <v>1251415.56</v>
      </c>
      <c r="J26" s="527">
        <f>SUM(J16:J18)</f>
        <v>3243393.69</v>
      </c>
      <c r="K26" s="29">
        <f>SUMPRODUCT(J16:J18,K16:K18)/SUM(J16:J18)</f>
        <v>2.0579836577779118</v>
      </c>
      <c r="L26" s="82">
        <f>SUM(L16:L18)</f>
        <v>6674851.2097599991</v>
      </c>
      <c r="M26" s="28">
        <f>SUM(M16:M18)</f>
        <v>15108</v>
      </c>
      <c r="N26" s="83">
        <f>SUMPRODUCT(M16:M18,N16:N18)/SUM(M16:M18)</f>
        <v>0</v>
      </c>
      <c r="O26" s="289">
        <f>SUM(O16:O18)</f>
        <v>0</v>
      </c>
      <c r="P26" s="28">
        <f>SUM(P16:P18)</f>
        <v>6350949.6899999995</v>
      </c>
      <c r="Q26" s="229">
        <f>SUMPRODUCT(P16:P18,Q16:Q18)/SUM(P16:P18)</f>
        <v>1.2480443329980151</v>
      </c>
      <c r="R26" s="86">
        <f>SUM(R16:R18)</f>
        <v>7926266.7697600005</v>
      </c>
    </row>
    <row r="27" spans="1:22" ht="18" x14ac:dyDescent="0.35">
      <c r="F27" s="24" t="str">
        <f>'Demurage 2026'!E27</f>
        <v>Prediction Q4</v>
      </c>
      <c r="G27" s="261">
        <f>SUM(G19:G21)</f>
        <v>2512000</v>
      </c>
      <c r="H27" s="78">
        <f>SUMPRODUCT(G19:G21,H19:H21)/SUM(G19:G21)</f>
        <v>-8.4753184713375798E-2</v>
      </c>
      <c r="I27" s="82">
        <f>SUM(I19:I21)</f>
        <v>-212900</v>
      </c>
      <c r="J27" s="200">
        <f>SUMPRODUCT(I19:I21,J19:J21)/SUM(I19:I21)</f>
        <v>1037723.3442930954</v>
      </c>
      <c r="K27" s="29">
        <v>0</v>
      </c>
      <c r="L27" s="82">
        <f>SUM(L17:L19)</f>
        <v>4615065.0097599998</v>
      </c>
      <c r="M27" s="28">
        <f>SUM(M19:M21)</f>
        <v>937500</v>
      </c>
      <c r="N27" s="83">
        <v>0</v>
      </c>
      <c r="O27" s="289">
        <f>SUM(O19:O21)</f>
        <v>0</v>
      </c>
      <c r="P27" s="28">
        <f>SUM(P19:P21)</f>
        <v>5799500</v>
      </c>
      <c r="Q27" s="229">
        <f>SUMPRODUCT(P19:P21,Q19:Q21)/SUM(P19:P21)</f>
        <v>0.21843952064833175</v>
      </c>
      <c r="R27" s="86">
        <f>SUM(R19:R21)</f>
        <v>1266840</v>
      </c>
    </row>
    <row r="28" spans="1:22" ht="18" x14ac:dyDescent="0.35">
      <c r="F28" s="24" t="str">
        <f>'Demurage 2026'!E28</f>
        <v>Prediction S2</v>
      </c>
      <c r="G28" s="261">
        <f>SUM(G16:G21)</f>
        <v>5604448</v>
      </c>
      <c r="H28" s="78">
        <f>SUMPRODUCT(G16:G21,H16:H21)/SUM(G16:G21)</f>
        <v>0.18530202439205432</v>
      </c>
      <c r="I28" s="82">
        <f>SUM(I16:I21)</f>
        <v>1038515.56</v>
      </c>
      <c r="J28" s="200">
        <f>SUM(J16:J21)</f>
        <v>5593393.6899999995</v>
      </c>
      <c r="K28" s="29">
        <f>SUMPRODUCT(J16:J21,K16:K21)/SUM(J16:J21)</f>
        <v>1.4578968800889107</v>
      </c>
      <c r="L28" s="82">
        <f>SUM(L16:L21)</f>
        <v>8154591.2097599991</v>
      </c>
      <c r="M28" s="28">
        <f>SUM(M16:M21)</f>
        <v>952608</v>
      </c>
      <c r="N28" s="83">
        <f>SUMPRODUCT(M16:M21,N16:N21)/SUM(M16:M21)</f>
        <v>0</v>
      </c>
      <c r="O28" s="289">
        <f>SUM(O16:O21)</f>
        <v>0</v>
      </c>
      <c r="P28" s="28">
        <f>SUM(P16:P21)</f>
        <v>12150449.689999999</v>
      </c>
      <c r="Q28" s="229">
        <f>SUMPRODUCT(P16:P21,Q16:Q21)/SUM(P16:P21)</f>
        <v>0.75660629888670405</v>
      </c>
      <c r="R28" s="86">
        <f>SUM(R16:R21)</f>
        <v>9193106.7697599996</v>
      </c>
    </row>
    <row r="29" spans="1:22" ht="4.3499999999999996" customHeight="1" x14ac:dyDescent="0.3">
      <c r="G29" s="122"/>
      <c r="H29" s="483"/>
      <c r="I29" s="88"/>
      <c r="J29" s="33"/>
      <c r="K29" s="484"/>
      <c r="L29" s="88"/>
      <c r="M29" s="122"/>
      <c r="N29" s="90"/>
      <c r="O29" s="486"/>
      <c r="P29" s="122"/>
      <c r="Q29" s="92"/>
      <c r="R29" s="488"/>
    </row>
    <row r="30" spans="1:22" ht="18" x14ac:dyDescent="0.35">
      <c r="F30" s="168" t="str">
        <f>'Demurage 2026'!E30</f>
        <v>Predict Jan-Dec '26</v>
      </c>
      <c r="G30" s="169">
        <f>SUM(G10:G21)</f>
        <v>11180850.68</v>
      </c>
      <c r="H30" s="170">
        <f>SUMPRODUCT(G10:G21,H10:H21)/SUM(G10:G21)</f>
        <v>-7.6329786142891223E-2</v>
      </c>
      <c r="I30" s="171">
        <f>SUM(I10:I21)</f>
        <v>-853431.94129999983</v>
      </c>
      <c r="J30" s="169">
        <f>SUM(J10:J21)</f>
        <v>12121110.073999999</v>
      </c>
      <c r="K30" s="170">
        <f>SUMPRODUCT(J10:J21,K10:K21)/SUM(J10:J21)</f>
        <v>1.1768454528003984</v>
      </c>
      <c r="L30" s="171">
        <f>SUM(L10:L21)</f>
        <v>14264673.27348</v>
      </c>
      <c r="M30" s="169">
        <f>SUM(M10:M21)</f>
        <v>1180429</v>
      </c>
      <c r="N30" s="170">
        <f>SUMPRODUCT(M10:M21,N10:N21)/SUM(M10:M21)</f>
        <v>-0.11218603575479759</v>
      </c>
      <c r="O30" s="171">
        <f>SUM(O10:O21)</f>
        <v>-132427.64999999997</v>
      </c>
      <c r="P30" s="169">
        <f>SUM(P10:P21)</f>
        <v>24482389.754000001</v>
      </c>
      <c r="Q30" s="170">
        <f>SUMPRODUCT(P10:P21,Q10:Q21)/SUM(P10:P21)</f>
        <v>0.54315303218336319</v>
      </c>
      <c r="R30" s="171">
        <f>SUM(R10:R21)</f>
        <v>13278813.682180002</v>
      </c>
    </row>
    <row r="31" spans="1:22" s="435" customFormat="1" ht="18" x14ac:dyDescent="0.35">
      <c r="F31" s="436"/>
      <c r="G31" s="437"/>
      <c r="H31" s="438"/>
      <c r="I31" s="439"/>
      <c r="J31" s="437"/>
      <c r="K31" s="440"/>
      <c r="L31" s="439"/>
      <c r="M31" s="437"/>
      <c r="N31" s="438"/>
      <c r="O31" s="62"/>
      <c r="P31" s="437"/>
      <c r="Q31" s="440"/>
      <c r="R31" s="439"/>
      <c r="S31" s="1"/>
      <c r="T31" s="435">
        <v>52615.81</v>
      </c>
      <c r="V31" s="435">
        <v>-3.6</v>
      </c>
    </row>
    <row r="32" spans="1:22" ht="18" x14ac:dyDescent="0.3">
      <c r="F32" s="57"/>
      <c r="G32" s="122"/>
      <c r="M32" s="2"/>
      <c r="N32" s="5"/>
      <c r="R32" s="5"/>
      <c r="S32" s="5"/>
      <c r="V32" s="1">
        <f>SUMPRODUCT(T31:T31,V31:V31)/SUM(T31:T31)</f>
        <v>-3.6</v>
      </c>
    </row>
    <row r="33" spans="1:20" ht="14.4" x14ac:dyDescent="0.3">
      <c r="A33" s="2"/>
      <c r="B33" s="2"/>
      <c r="D33" s="2"/>
      <c r="E33" s="2"/>
      <c r="G33" s="610"/>
      <c r="H33" s="610"/>
      <c r="I33" s="610"/>
      <c r="K33" s="611"/>
      <c r="L33" s="611"/>
      <c r="M33" s="2"/>
      <c r="N33" s="611"/>
      <c r="O33" s="611"/>
      <c r="P33" s="611"/>
      <c r="Q33" s="514"/>
    </row>
    <row r="34" spans="1:20" ht="14.4" x14ac:dyDescent="0.3">
      <c r="F34" s="2"/>
      <c r="G34" s="2"/>
      <c r="H34" s="2"/>
      <c r="I34" s="2"/>
      <c r="L34" s="61"/>
      <c r="M34" s="5"/>
      <c r="N34" s="60"/>
      <c r="O34" s="61"/>
      <c r="P34" s="61"/>
      <c r="Q34" s="1"/>
      <c r="T34" s="65"/>
    </row>
    <row r="35" spans="1:20" ht="14.4" x14ac:dyDescent="0.3">
      <c r="A35" s="53"/>
      <c r="B35" s="53"/>
      <c r="D35" s="53"/>
      <c r="E35" s="53"/>
      <c r="F35" s="2"/>
      <c r="G35" s="2"/>
      <c r="H35" s="2"/>
      <c r="I35" s="2"/>
      <c r="L35" s="61"/>
      <c r="M35" s="5"/>
      <c r="N35" s="60"/>
      <c r="O35" s="61"/>
      <c r="P35" s="61"/>
      <c r="Q35" s="1"/>
      <c r="T35" s="65"/>
    </row>
    <row r="36" spans="1:20" ht="14.4" x14ac:dyDescent="0.3">
      <c r="C36" s="61">
        <v>2.21</v>
      </c>
      <c r="G36" s="2"/>
      <c r="H36" s="2"/>
      <c r="I36" s="2"/>
      <c r="L36" s="61"/>
      <c r="M36" s="5"/>
      <c r="N36" s="60"/>
      <c r="O36" s="61"/>
      <c r="P36" s="61"/>
      <c r="Q36" s="1"/>
      <c r="T36" s="65"/>
    </row>
    <row r="37" spans="1:20" ht="14.4" x14ac:dyDescent="0.3">
      <c r="C37" s="1">
        <v>1.3978194811962146E-3</v>
      </c>
      <c r="G37" s="2"/>
      <c r="H37" s="2"/>
      <c r="I37" s="2"/>
      <c r="L37" s="61"/>
      <c r="M37" s="5"/>
      <c r="N37" s="60"/>
      <c r="O37" s="61"/>
      <c r="P37" s="61"/>
      <c r="Q37" s="1"/>
      <c r="T37" s="65"/>
    </row>
    <row r="38" spans="1:20" ht="14.4" x14ac:dyDescent="0.3">
      <c r="C38" s="1">
        <v>0.56797209025671969</v>
      </c>
      <c r="G38" s="2"/>
      <c r="H38" s="2"/>
      <c r="I38" s="2"/>
      <c r="L38" s="61"/>
      <c r="M38" s="5"/>
      <c r="N38" s="60"/>
      <c r="O38" s="61"/>
      <c r="P38" s="61"/>
      <c r="Q38" s="1"/>
      <c r="T38" s="65"/>
    </row>
    <row r="39" spans="1:20" ht="14.4" x14ac:dyDescent="0.3">
      <c r="G39" s="2"/>
      <c r="H39" s="2"/>
      <c r="I39" s="2"/>
      <c r="L39" s="61"/>
      <c r="M39" s="5"/>
      <c r="N39" s="60"/>
      <c r="O39" s="61"/>
      <c r="P39" s="61"/>
      <c r="Q39" s="1"/>
      <c r="T39" s="65"/>
    </row>
    <row r="40" spans="1:20" ht="14.4" x14ac:dyDescent="0.3">
      <c r="G40" s="2"/>
      <c r="H40" s="2"/>
      <c r="I40" s="2"/>
      <c r="L40" s="61"/>
      <c r="M40" s="5"/>
      <c r="N40" s="60"/>
      <c r="O40" s="61"/>
      <c r="P40" s="61"/>
      <c r="Q40" s="1"/>
      <c r="T40" s="65"/>
    </row>
    <row r="41" spans="1:20" ht="14.4" x14ac:dyDescent="0.3">
      <c r="G41" s="2"/>
      <c r="H41" s="2"/>
      <c r="I41" s="2"/>
      <c r="L41" s="61"/>
      <c r="M41" s="5"/>
      <c r="N41" s="60"/>
      <c r="O41" s="61"/>
      <c r="P41" s="61"/>
      <c r="Q41" s="1"/>
      <c r="T41" s="65"/>
    </row>
    <row r="42" spans="1:20" ht="14.4" x14ac:dyDescent="0.3">
      <c r="G42" s="2"/>
      <c r="H42" s="2"/>
      <c r="I42" s="2"/>
      <c r="L42" s="61"/>
      <c r="M42" s="5"/>
      <c r="N42" s="60"/>
      <c r="O42" s="61"/>
      <c r="P42" s="61"/>
      <c r="Q42" s="1"/>
      <c r="T42" s="65"/>
    </row>
    <row r="43" spans="1:20" ht="14.4" x14ac:dyDescent="0.3">
      <c r="G43" s="2"/>
      <c r="H43" s="2"/>
      <c r="I43" s="2"/>
      <c r="L43" s="61"/>
      <c r="M43" s="5"/>
      <c r="N43" s="60"/>
      <c r="O43" s="61"/>
      <c r="P43" s="61"/>
      <c r="Q43" s="1"/>
      <c r="T43" s="65"/>
    </row>
    <row r="44" spans="1:20" ht="14.4" x14ac:dyDescent="0.3">
      <c r="G44" s="2"/>
      <c r="H44" s="2"/>
      <c r="I44" s="2"/>
      <c r="L44" s="61"/>
      <c r="M44" s="5"/>
      <c r="N44" s="60"/>
      <c r="O44" s="61"/>
      <c r="P44" s="61"/>
      <c r="Q44" s="1"/>
      <c r="T44" s="65"/>
    </row>
    <row r="45" spans="1:20" ht="14.4" x14ac:dyDescent="0.3">
      <c r="G45" s="2"/>
      <c r="H45" s="2"/>
      <c r="I45" s="2"/>
      <c r="L45" s="61"/>
      <c r="M45" s="5"/>
      <c r="N45" s="60"/>
      <c r="O45" s="61"/>
      <c r="P45" s="61"/>
      <c r="Q45" s="1"/>
      <c r="T45" s="65"/>
    </row>
    <row r="47" spans="1:20" ht="14.4" x14ac:dyDescent="0.3"/>
    <row r="48" spans="1:20" ht="14.4" x14ac:dyDescent="0.3"/>
    <row r="108" spans="29:41" ht="14.4" x14ac:dyDescent="0.3">
      <c r="AD108" s="423" t="s">
        <v>13</v>
      </c>
      <c r="AE108" s="423" t="s">
        <v>14</v>
      </c>
      <c r="AF108" s="423" t="s">
        <v>15</v>
      </c>
      <c r="AG108" s="423" t="s">
        <v>16</v>
      </c>
      <c r="AH108" s="423" t="s">
        <v>17</v>
      </c>
      <c r="AI108" s="423" t="s">
        <v>18</v>
      </c>
      <c r="AJ108" s="423" t="s">
        <v>19</v>
      </c>
      <c r="AK108" s="423" t="s">
        <v>20</v>
      </c>
      <c r="AL108" s="423" t="s">
        <v>21</v>
      </c>
      <c r="AM108" s="423" t="s">
        <v>22</v>
      </c>
      <c r="AN108" s="423" t="s">
        <v>23</v>
      </c>
      <c r="AO108" s="423" t="s">
        <v>24</v>
      </c>
    </row>
    <row r="109" spans="29:41" ht="14.4" x14ac:dyDescent="0.3">
      <c r="AC109" s="36" t="s">
        <v>71</v>
      </c>
      <c r="AD109" s="124">
        <v>0.90666645174022875</v>
      </c>
      <c r="AE109" s="124">
        <v>0.77203645659455267</v>
      </c>
      <c r="AF109" s="124">
        <v>0.61065862033916507</v>
      </c>
      <c r="AG109" s="124">
        <v>1.262938115605968</v>
      </c>
      <c r="AH109" s="124">
        <v>0.82579795560443892</v>
      </c>
      <c r="AI109" s="124">
        <v>0.18004726373826782</v>
      </c>
      <c r="AJ109" s="124">
        <v>0.18421161358688642</v>
      </c>
      <c r="AK109" s="124">
        <v>0.71187249117893303</v>
      </c>
      <c r="AL109" s="124">
        <v>1.3579993461462254</v>
      </c>
      <c r="AM109" s="124">
        <v>0.71953682974824762</v>
      </c>
      <c r="AN109" s="124">
        <v>0.79567434132037773</v>
      </c>
      <c r="AO109" s="124">
        <v>1.4588933471785837</v>
      </c>
    </row>
    <row r="115" spans="25:46" ht="14.4" x14ac:dyDescent="0.3">
      <c r="AT115" s="67" t="s">
        <v>72</v>
      </c>
    </row>
    <row r="116" spans="25:46" ht="14.4" x14ac:dyDescent="0.3">
      <c r="AT116" s="125" t="s">
        <v>73</v>
      </c>
    </row>
    <row r="125" spans="25:46" ht="14.4" x14ac:dyDescent="0.3">
      <c r="Y125" s="1">
        <v>0.90666645174022875</v>
      </c>
    </row>
    <row r="126" spans="25:46" ht="14.4" x14ac:dyDescent="0.3">
      <c r="Y126" s="1">
        <v>0.77203645659455267</v>
      </c>
    </row>
    <row r="127" spans="25:46" ht="14.4" x14ac:dyDescent="0.3">
      <c r="Y127" s="1">
        <v>0.61065862033916507</v>
      </c>
    </row>
    <row r="128" spans="25:46" ht="14.4" x14ac:dyDescent="0.3">
      <c r="Y128" s="1">
        <v>1.262938115605968</v>
      </c>
    </row>
    <row r="129" spans="25:25" ht="14.4" x14ac:dyDescent="0.3">
      <c r="Y129" s="1">
        <v>0.82579795560443892</v>
      </c>
    </row>
    <row r="130" spans="25:25" ht="14.4" x14ac:dyDescent="0.3">
      <c r="Y130" s="1">
        <v>0.18004726373826782</v>
      </c>
    </row>
    <row r="131" spans="25:25" ht="14.4" x14ac:dyDescent="0.3">
      <c r="Y131" s="1">
        <v>0.18421161358688642</v>
      </c>
    </row>
    <row r="132" spans="25:25" ht="14.4" x14ac:dyDescent="0.3">
      <c r="Y132" s="1">
        <v>0.71187249117893303</v>
      </c>
    </row>
    <row r="133" spans="25:25" ht="14.4" x14ac:dyDescent="0.3">
      <c r="Y133" s="1">
        <v>1.3579993461462254</v>
      </c>
    </row>
    <row r="134" spans="25:25" ht="14.4" x14ac:dyDescent="0.3">
      <c r="Y134" s="1">
        <v>0.71953682974824762</v>
      </c>
    </row>
    <row r="135" spans="25:25" ht="14.4" x14ac:dyDescent="0.3">
      <c r="Y135" s="1">
        <v>0.79567434132037773</v>
      </c>
    </row>
    <row r="136" spans="25:25" ht="14.4" x14ac:dyDescent="0.3">
      <c r="Y136" s="1">
        <v>1.4588933471785837</v>
      </c>
    </row>
  </sheetData>
  <mergeCells count="9">
    <mergeCell ref="T8:T9"/>
    <mergeCell ref="G33:I33"/>
    <mergeCell ref="K33:L33"/>
    <mergeCell ref="N33:P33"/>
    <mergeCell ref="F8:F9"/>
    <mergeCell ref="G8:I8"/>
    <mergeCell ref="J8:L8"/>
    <mergeCell ref="M8:O8"/>
    <mergeCell ref="P8:R8"/>
  </mergeCells>
  <pageMargins left="0.7" right="0.7" top="0.75" bottom="0.75" header="0.3" footer="0.3"/>
  <pageSetup orientation="portrait" r:id="rId1"/>
  <ignoredErrors>
    <ignoredError sqref="O23:P23 O24:P24 Q10:Q14 I29:M29 Q15:Q18 I27:J27 M27 I28:J28 L28:M28 N29 Q27:Q28 Q29 Q22:Q24 Q26 Q19:Q21 H30:R30" formula="1"/>
    <ignoredError sqref="I23:J23 I25:J25 R25 L25:M25" formulaRange="1"/>
    <ignoredError sqref="H23:H24 K23:K24 N23:N24 H26:N26 H25 K25 N25:Q25 H27:H29 K28 N28" formula="1" formulaRange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822F8-255C-4FDF-9588-8C74F17B2034}">
  <dimension ref="A4:AV139"/>
  <sheetViews>
    <sheetView topLeftCell="C6" zoomScale="90" zoomScaleNormal="70" workbookViewId="0">
      <selection activeCell="E8" sqref="E8"/>
    </sheetView>
  </sheetViews>
  <sheetFormatPr defaultColWidth="9.44140625" defaultRowHeight="14.4" x14ac:dyDescent="0.3"/>
  <cols>
    <col min="1" max="1" width="6.5546875" style="1" bestFit="1" customWidth="1"/>
    <col min="2" max="2" width="6.5546875" style="1" customWidth="1"/>
    <col min="3" max="3" width="11.5546875" style="1" customWidth="1"/>
    <col min="4" max="4" width="6.5546875" style="1" bestFit="1" customWidth="1"/>
    <col min="5" max="5" width="25.44140625" style="1" customWidth="1"/>
    <col min="6" max="6" width="12.44140625" style="1" customWidth="1"/>
    <col min="7" max="7" width="10.5546875" style="1" hidden="1" customWidth="1"/>
    <col min="8" max="8" width="10.5546875" style="1" customWidth="1"/>
    <col min="9" max="9" width="14.44140625" style="1" customWidth="1"/>
    <col min="10" max="10" width="10.44140625" style="1" customWidth="1"/>
    <col min="11" max="11" width="10.5546875" style="64" hidden="1" customWidth="1"/>
    <col min="12" max="12" width="10.5546875" style="5" customWidth="1"/>
    <col min="13" max="13" width="14" style="62" customWidth="1"/>
    <col min="14" max="14" width="11" style="1" customWidth="1"/>
    <col min="15" max="15" width="10.5546875" style="1" hidden="1" customWidth="1"/>
    <col min="16" max="16" width="10.5546875" style="1" customWidth="1"/>
    <col min="17" max="17" width="14.44140625" style="62" customWidth="1"/>
    <col min="18" max="18" width="13.5546875" style="1" customWidth="1"/>
    <col min="19" max="19" width="10.5546875" style="1" hidden="1" customWidth="1"/>
    <col min="20" max="20" width="10.5546875" style="65" customWidth="1"/>
    <col min="21" max="21" width="13" style="1" customWidth="1"/>
    <col min="22" max="22" width="20" style="1" hidden="1" customWidth="1"/>
    <col min="23" max="23" width="9.5546875" style="1" hidden="1" customWidth="1"/>
    <col min="24" max="27" width="0" style="1" hidden="1" customWidth="1"/>
    <col min="28" max="47" width="9.44140625" style="1" bestFit="1"/>
    <col min="48" max="48" width="25.5546875" style="1" bestFit="1" customWidth="1"/>
    <col min="49" max="16384" width="9.44140625" style="1"/>
  </cols>
  <sheetData>
    <row r="4" spans="1:27" x14ac:dyDescent="0.3">
      <c r="M4" s="61"/>
      <c r="Q4" s="61"/>
    </row>
    <row r="5" spans="1:27" x14ac:dyDescent="0.3">
      <c r="M5" s="61"/>
      <c r="Q5" s="61"/>
    </row>
    <row r="6" spans="1:27" x14ac:dyDescent="0.3">
      <c r="M6" s="61"/>
    </row>
    <row r="7" spans="1:27" x14ac:dyDescent="0.3">
      <c r="N7" s="61"/>
      <c r="O7" s="61"/>
    </row>
    <row r="8" spans="1:27" ht="18" x14ac:dyDescent="0.3">
      <c r="E8" s="612" t="s">
        <v>3</v>
      </c>
      <c r="F8" s="614" t="s">
        <v>4</v>
      </c>
      <c r="G8" s="614"/>
      <c r="H8" s="614"/>
      <c r="I8" s="614"/>
      <c r="J8" s="614" t="s">
        <v>5</v>
      </c>
      <c r="K8" s="614"/>
      <c r="L8" s="614"/>
      <c r="M8" s="614"/>
      <c r="N8" s="615" t="s">
        <v>61</v>
      </c>
      <c r="O8" s="616"/>
      <c r="P8" s="616"/>
      <c r="Q8" s="617"/>
      <c r="R8" s="615" t="s">
        <v>62</v>
      </c>
      <c r="S8" s="616"/>
      <c r="T8" s="616"/>
      <c r="U8" s="617"/>
      <c r="V8" s="618" t="s">
        <v>8</v>
      </c>
      <c r="W8" s="1">
        <f>SUMPRODUCT(F10,H10)</f>
        <v>-566.46270540000012</v>
      </c>
      <c r="X8" s="1">
        <v>-1.7284208755452815</v>
      </c>
      <c r="Y8" s="1" t="s">
        <v>15</v>
      </c>
      <c r="Z8" s="1">
        <v>-1.0860747589305504</v>
      </c>
      <c r="AA8" s="1">
        <v>-1.7099455423629082</v>
      </c>
    </row>
    <row r="9" spans="1:27" ht="18" x14ac:dyDescent="0.35">
      <c r="E9" s="613"/>
      <c r="F9" s="421" t="s">
        <v>9</v>
      </c>
      <c r="G9" s="421" t="s">
        <v>2</v>
      </c>
      <c r="H9" s="421" t="s">
        <v>63</v>
      </c>
      <c r="I9" s="421" t="s">
        <v>64</v>
      </c>
      <c r="J9" s="421" t="s">
        <v>9</v>
      </c>
      <c r="K9" s="174" t="s">
        <v>2</v>
      </c>
      <c r="L9" s="174" t="s">
        <v>63</v>
      </c>
      <c r="M9" s="175" t="s">
        <v>64</v>
      </c>
      <c r="N9" s="150" t="s">
        <v>9</v>
      </c>
      <c r="O9" s="150" t="s">
        <v>2</v>
      </c>
      <c r="P9" s="174" t="s">
        <v>63</v>
      </c>
      <c r="Q9" s="176" t="s">
        <v>64</v>
      </c>
      <c r="R9" s="421" t="s">
        <v>9</v>
      </c>
      <c r="S9" s="421" t="s">
        <v>2</v>
      </c>
      <c r="T9" s="150" t="s">
        <v>63</v>
      </c>
      <c r="U9" s="150" t="s">
        <v>64</v>
      </c>
      <c r="V9" s="619"/>
    </row>
    <row r="10" spans="1:27" ht="18" x14ac:dyDescent="0.35">
      <c r="A10" s="66"/>
      <c r="B10" s="66"/>
      <c r="C10" s="66"/>
      <c r="D10" s="66"/>
      <c r="E10" s="563" t="s">
        <v>13</v>
      </c>
      <c r="F10" s="564">
        <f>'Penalty 2026'!G10/$F$34</f>
        <v>1049.0050100000001</v>
      </c>
      <c r="G10" s="565">
        <v>-0.3</v>
      </c>
      <c r="H10" s="566">
        <f>'Penalty 2026'!H10</f>
        <v>-0.54</v>
      </c>
      <c r="I10" s="567">
        <f t="shared" ref="I10:I21" si="0">F10*H10</f>
        <v>-566.46270540000012</v>
      </c>
      <c r="J10" s="564">
        <f>'Penalty 2026'!J10/$F$34</f>
        <v>1092.7349080000001</v>
      </c>
      <c r="K10" s="565">
        <v>-0.3</v>
      </c>
      <c r="L10" s="566">
        <f>'Penalty 2026'!K10</f>
        <v>1.21</v>
      </c>
      <c r="M10" s="567">
        <f t="shared" ref="M10:M21" si="1">J10*L10</f>
        <v>1322.2092386800002</v>
      </c>
      <c r="N10" s="564">
        <f>'Penalty 2026'!M10/$F$34</f>
        <v>42.521999999999998</v>
      </c>
      <c r="O10" s="565">
        <v>-0.3</v>
      </c>
      <c r="P10" s="566">
        <f>'Penalty 2026'!N10</f>
        <v>-1.1299999999999999</v>
      </c>
      <c r="Q10" s="567">
        <f t="shared" ref="Q10:Q21" si="2">N10*P10</f>
        <v>-48.049859999999995</v>
      </c>
      <c r="R10" s="568">
        <f t="shared" ref="R10:R21" si="3">F10+J10+N10</f>
        <v>2184.2619180000002</v>
      </c>
      <c r="S10" s="569">
        <v>-0.3</v>
      </c>
      <c r="T10" s="570">
        <f>'Penalty 2026'!Q10</f>
        <v>0.32399808257793372</v>
      </c>
      <c r="U10" s="571">
        <f t="shared" ref="U10:U21" si="4">I10+M10+Q10</f>
        <v>707.69667328000014</v>
      </c>
      <c r="V10" s="1">
        <v>-1</v>
      </c>
      <c r="W10" s="1">
        <f>T10*R10</f>
        <v>707.69667327999991</v>
      </c>
    </row>
    <row r="11" spans="1:27" ht="18" x14ac:dyDescent="0.35">
      <c r="A11" s="66"/>
      <c r="B11" s="66"/>
      <c r="D11" s="66"/>
      <c r="E11" s="563" t="s">
        <v>14</v>
      </c>
      <c r="F11" s="564">
        <f>'Penalty 2026'!G11/$F$34</f>
        <v>865.63400000000001</v>
      </c>
      <c r="G11" s="565">
        <v>-0.3</v>
      </c>
      <c r="H11" s="566">
        <f>'Penalty 2026'!H11</f>
        <v>-0.6</v>
      </c>
      <c r="I11" s="567">
        <f t="shared" si="0"/>
        <v>-519.38040000000001</v>
      </c>
      <c r="J11" s="564">
        <f>'Penalty 2026'!J11/$F$34</f>
        <v>1191.8389999999999</v>
      </c>
      <c r="K11" s="565">
        <v>-0.3</v>
      </c>
      <c r="L11" s="566">
        <f>'Penalty 2026'!K11</f>
        <v>0.21</v>
      </c>
      <c r="M11" s="567">
        <f t="shared" si="1"/>
        <v>250.28618999999998</v>
      </c>
      <c r="N11" s="564">
        <f>'Penalty 2026'!M11/$F$34</f>
        <v>65.132999999999996</v>
      </c>
      <c r="O11" s="565">
        <v>-0.3</v>
      </c>
      <c r="P11" s="566">
        <f>'Penalty 2026'!N11</f>
        <v>-1.5</v>
      </c>
      <c r="Q11" s="567">
        <f t="shared" si="2"/>
        <v>-97.6995</v>
      </c>
      <c r="R11" s="568">
        <f t="shared" si="3"/>
        <v>2122.6059999999998</v>
      </c>
      <c r="S11" s="569">
        <v>-0.3</v>
      </c>
      <c r="T11" s="570">
        <f>'Penalty 2026'!Q11</f>
        <v>-0.17280348307693466</v>
      </c>
      <c r="U11" s="571">
        <f t="shared" si="4"/>
        <v>-366.79371000000003</v>
      </c>
      <c r="V11" s="67">
        <v>-1</v>
      </c>
    </row>
    <row r="12" spans="1:27" ht="18" x14ac:dyDescent="0.35">
      <c r="A12" s="66"/>
      <c r="B12" s="66"/>
      <c r="C12" s="66"/>
      <c r="E12" s="563" t="s">
        <v>15</v>
      </c>
      <c r="F12" s="564">
        <f>'Penalty 2026'!G12/$F$34</f>
        <v>941.70584999999994</v>
      </c>
      <c r="G12" s="565">
        <v>-0.3</v>
      </c>
      <c r="H12" s="566">
        <f>'Penalty 2026'!H12</f>
        <v>0.79</v>
      </c>
      <c r="I12" s="567">
        <f t="shared" si="0"/>
        <v>743.94762149999997</v>
      </c>
      <c r="J12" s="564">
        <f>'Penalty 2026'!J12/$F$34</f>
        <v>949.7904759999999</v>
      </c>
      <c r="K12" s="565">
        <v>-0.3</v>
      </c>
      <c r="L12" s="566">
        <f>'Penalty 2026'!K12</f>
        <v>1.04</v>
      </c>
      <c r="M12" s="567">
        <f t="shared" si="1"/>
        <v>987.78209503999994</v>
      </c>
      <c r="N12" s="564">
        <f>'Penalty 2026'!M12/$F$34</f>
        <v>60.100999999999999</v>
      </c>
      <c r="O12" s="565">
        <v>-0.3</v>
      </c>
      <c r="P12" s="566">
        <f>'Penalty 2026'!N12</f>
        <v>-0.43</v>
      </c>
      <c r="Q12" s="567">
        <f t="shared" si="2"/>
        <v>-25.843429999999998</v>
      </c>
      <c r="R12" s="568">
        <f t="shared" si="3"/>
        <v>1951.5973260000001</v>
      </c>
      <c r="S12" s="569">
        <v>-0.3</v>
      </c>
      <c r="T12" s="570">
        <f>'Penalty 2026'!Q12</f>
        <v>0.87409747072998401</v>
      </c>
      <c r="U12" s="571">
        <f t="shared" si="4"/>
        <v>1705.8862865400001</v>
      </c>
      <c r="V12" s="1">
        <v>-1</v>
      </c>
    </row>
    <row r="13" spans="1:27" ht="18" x14ac:dyDescent="0.35">
      <c r="A13" s="66"/>
      <c r="B13" s="66"/>
      <c r="C13" s="66"/>
      <c r="D13" s="66"/>
      <c r="E13" s="563" t="s">
        <v>16</v>
      </c>
      <c r="F13" s="564">
        <f>'Penalty 2026'!G13/$F$34</f>
        <v>948.48678000000018</v>
      </c>
      <c r="G13" s="565">
        <v>-0.3</v>
      </c>
      <c r="H13" s="566">
        <f>'Penalty 2026'!H13</f>
        <v>0.85</v>
      </c>
      <c r="I13" s="567">
        <f t="shared" si="0"/>
        <v>806.21376300000009</v>
      </c>
      <c r="J13" s="564">
        <f>'Penalty 2026'!J13/$F$34</f>
        <v>923.56</v>
      </c>
      <c r="K13" s="565">
        <v>-0.3</v>
      </c>
      <c r="L13" s="566">
        <f>'Penalty 2026'!K13</f>
        <v>2.74</v>
      </c>
      <c r="M13" s="567">
        <f t="shared" si="1"/>
        <v>2530.5544</v>
      </c>
      <c r="N13" s="564">
        <f>'Penalty 2026'!M13/$F$34</f>
        <v>15.007999999999999</v>
      </c>
      <c r="O13" s="565">
        <v>-0.3</v>
      </c>
      <c r="P13" s="566">
        <f>'Penalty 2026'!N13</f>
        <v>0.56000000000000005</v>
      </c>
      <c r="Q13" s="567">
        <f t="shared" si="2"/>
        <v>8.4044799999999995</v>
      </c>
      <c r="R13" s="568">
        <f t="shared" si="3"/>
        <v>1887.0547800000002</v>
      </c>
      <c r="S13" s="569">
        <v>-0.3</v>
      </c>
      <c r="T13" s="570">
        <f>'Penalty 2026'!Q13</f>
        <v>1.7826950369718468</v>
      </c>
      <c r="U13" s="571">
        <f t="shared" si="4"/>
        <v>3345.1726430000003</v>
      </c>
      <c r="V13" s="1">
        <v>-1</v>
      </c>
    </row>
    <row r="14" spans="1:27" ht="18" x14ac:dyDescent="0.35">
      <c r="A14" s="66"/>
      <c r="B14" s="66"/>
      <c r="C14" s="66"/>
      <c r="D14" s="66"/>
      <c r="E14" s="563" t="s">
        <v>17</v>
      </c>
      <c r="F14" s="564">
        <f>'Penalty 2026'!G14/$F$34</f>
        <v>755.97203999999988</v>
      </c>
      <c r="G14" s="565">
        <v>-0.3</v>
      </c>
      <c r="H14" s="566">
        <f>'Penalty 2026'!H14</f>
        <v>-1.76</v>
      </c>
      <c r="I14" s="567">
        <f t="shared" si="0"/>
        <v>-1330.5107903999999</v>
      </c>
      <c r="J14" s="564">
        <f>'Penalty 2026'!J14/$F$34</f>
        <v>1282.2149999999999</v>
      </c>
      <c r="K14" s="565">
        <v>-0.3</v>
      </c>
      <c r="L14" s="566">
        <f>'Penalty 2026'!K14</f>
        <v>0.99</v>
      </c>
      <c r="M14" s="567">
        <f t="shared" si="1"/>
        <v>1269.39285</v>
      </c>
      <c r="N14" s="564">
        <f>'Penalty 2026'!M14/$F$34</f>
        <v>7.5440000000000005</v>
      </c>
      <c r="O14" s="565">
        <v>-0.3</v>
      </c>
      <c r="P14" s="566">
        <f>'Penalty 2026'!N14</f>
        <v>0</v>
      </c>
      <c r="Q14" s="567">
        <f t="shared" si="2"/>
        <v>0</v>
      </c>
      <c r="R14" s="568">
        <f t="shared" si="3"/>
        <v>2045.7310399999999</v>
      </c>
      <c r="S14" s="569">
        <v>-0.3</v>
      </c>
      <c r="T14" s="570">
        <f>'Penalty 2026'!Q14</f>
        <v>-2.9875843502868163E-2</v>
      </c>
      <c r="U14" s="571">
        <f t="shared" si="4"/>
        <v>-61.117940399999952</v>
      </c>
      <c r="V14" s="1">
        <v>-1</v>
      </c>
      <c r="X14" s="1">
        <v>1.7284208755452815</v>
      </c>
    </row>
    <row r="15" spans="1:27" ht="18" x14ac:dyDescent="0.35">
      <c r="C15" s="66"/>
      <c r="E15" s="563" t="s">
        <v>18</v>
      </c>
      <c r="F15" s="564">
        <f>'Penalty 2026'!G15/$F$34</f>
        <v>1015.599</v>
      </c>
      <c r="G15" s="565">
        <v>-0.3</v>
      </c>
      <c r="H15" s="566">
        <f>'Penalty 2026'!H15</f>
        <v>-1.01</v>
      </c>
      <c r="I15" s="567">
        <f t="shared" si="0"/>
        <v>-1025.7549900000001</v>
      </c>
      <c r="J15" s="564">
        <f>'Penalty 2026'!J15/$F$34</f>
        <v>1087.577</v>
      </c>
      <c r="K15" s="565">
        <v>-0.3</v>
      </c>
      <c r="L15" s="566">
        <f>'Penalty 2026'!K15</f>
        <v>-0.23</v>
      </c>
      <c r="M15" s="567">
        <f t="shared" si="1"/>
        <v>-250.14271000000002</v>
      </c>
      <c r="N15" s="564">
        <f>'Penalty 2026'!M15/$F$34</f>
        <v>37.512999999999998</v>
      </c>
      <c r="O15" s="565">
        <v>-0.3</v>
      </c>
      <c r="P15" s="566">
        <f>'Penalty 2026'!N15</f>
        <v>0.82</v>
      </c>
      <c r="Q15" s="567">
        <f t="shared" si="2"/>
        <v>30.760659999999998</v>
      </c>
      <c r="R15" s="568">
        <f t="shared" si="3"/>
        <v>2140.6889999999999</v>
      </c>
      <c r="S15" s="569">
        <v>-0.3</v>
      </c>
      <c r="T15" s="570">
        <f>'Penalty 2026'!Q15</f>
        <v>-0.58165246796708914</v>
      </c>
      <c r="U15" s="571">
        <f t="shared" si="4"/>
        <v>-1245.1370400000003</v>
      </c>
      <c r="V15" s="1">
        <v>-1</v>
      </c>
      <c r="X15" s="1">
        <v>1.0659461451873453</v>
      </c>
    </row>
    <row r="16" spans="1:27" ht="18" x14ac:dyDescent="0.35">
      <c r="E16" s="563" t="s">
        <v>19</v>
      </c>
      <c r="F16" s="564">
        <f>'Penalty 2026'!G16/$F$34</f>
        <v>1080.3330000000001</v>
      </c>
      <c r="G16" s="565">
        <v>-0.3</v>
      </c>
      <c r="H16" s="566">
        <f>'Penalty 2026'!H16</f>
        <v>-0.17</v>
      </c>
      <c r="I16" s="567">
        <f t="shared" si="0"/>
        <v>-183.65661000000003</v>
      </c>
      <c r="J16" s="564">
        <f>'Penalty 2026'!J16/$F$34</f>
        <v>1344.42</v>
      </c>
      <c r="K16" s="565">
        <v>-0.3</v>
      </c>
      <c r="L16" s="566">
        <f>'Penalty 2026'!K16</f>
        <v>2.11</v>
      </c>
      <c r="M16" s="567">
        <f t="shared" si="1"/>
        <v>2836.7262000000001</v>
      </c>
      <c r="N16" s="564">
        <f>'Penalty 2026'!M16/$F$34</f>
        <v>7.6079999999999997</v>
      </c>
      <c r="O16" s="565">
        <v>-0.3</v>
      </c>
      <c r="P16" s="566">
        <f>'Penalty 2026'!N16</f>
        <v>0</v>
      </c>
      <c r="Q16" s="567">
        <f t="shared" si="2"/>
        <v>0</v>
      </c>
      <c r="R16" s="568">
        <f t="shared" si="3"/>
        <v>2432.3610000000003</v>
      </c>
      <c r="S16" s="569">
        <v>-0.3</v>
      </c>
      <c r="T16" s="570">
        <f>'Penalty 2026'!Q16</f>
        <v>1.0907384183515523</v>
      </c>
      <c r="U16" s="571">
        <f t="shared" si="4"/>
        <v>2653.0695900000001</v>
      </c>
      <c r="X16" s="1">
        <v>1.0860747589305504</v>
      </c>
    </row>
    <row r="17" spans="1:23" ht="18" x14ac:dyDescent="0.35">
      <c r="E17" s="529" t="s">
        <v>20</v>
      </c>
      <c r="F17" s="530">
        <f>'Penalty 2026'!G17/$F$34</f>
        <v>965.85299999999995</v>
      </c>
      <c r="G17" s="542">
        <v>-0.3</v>
      </c>
      <c r="H17" s="533">
        <f>'Penalty 2026'!H17</f>
        <v>1.1499999999999999</v>
      </c>
      <c r="I17" s="532">
        <f t="shared" si="0"/>
        <v>1110.7309499999999</v>
      </c>
      <c r="J17" s="530">
        <f>'Penalty 2026'!J17/$F$34</f>
        <v>869.05899999999997</v>
      </c>
      <c r="K17" s="533">
        <v>-0.3</v>
      </c>
      <c r="L17" s="533">
        <f>'Penalty 2026'!K17</f>
        <v>2.16</v>
      </c>
      <c r="M17" s="532">
        <f t="shared" si="1"/>
        <v>1877.1674400000002</v>
      </c>
      <c r="N17" s="536">
        <f>'Penalty 2026'!M17/$F$34</f>
        <v>0</v>
      </c>
      <c r="O17" s="533">
        <v>-0.3</v>
      </c>
      <c r="P17" s="533">
        <f>'Penalty 2026'!N17</f>
        <v>0</v>
      </c>
      <c r="Q17" s="538">
        <f t="shared" si="2"/>
        <v>0</v>
      </c>
      <c r="R17" s="543">
        <f t="shared" si="3"/>
        <v>1834.9119999999998</v>
      </c>
      <c r="S17" s="533">
        <v>-0.3</v>
      </c>
      <c r="T17" s="537">
        <f>'Penalty 2026'!Q17</f>
        <v>1.6283605916796011</v>
      </c>
      <c r="U17" s="538">
        <f t="shared" si="4"/>
        <v>2987.8983900000003</v>
      </c>
    </row>
    <row r="18" spans="1:23" ht="18" x14ac:dyDescent="0.35">
      <c r="E18" s="529" t="s">
        <v>21</v>
      </c>
      <c r="F18" s="530">
        <f>'Penalty 2026'!G18/$F$34</f>
        <v>1046.2619999999999</v>
      </c>
      <c r="G18" s="542">
        <v>-0.3</v>
      </c>
      <c r="H18" s="533">
        <f>'Penalty 2026'!H18</f>
        <v>0.31</v>
      </c>
      <c r="I18" s="532">
        <f t="shared" si="0"/>
        <v>324.34121999999996</v>
      </c>
      <c r="J18" s="530">
        <f>'Penalty 2026'!J18/$F$34</f>
        <v>1029.9146899999998</v>
      </c>
      <c r="K18" s="533">
        <v>-0.3</v>
      </c>
      <c r="L18" s="533">
        <f>'Penalty 2026'!K18</f>
        <v>1.9039999999999999</v>
      </c>
      <c r="M18" s="532">
        <f t="shared" si="1"/>
        <v>1960.9575697599996</v>
      </c>
      <c r="N18" s="536">
        <f>'Penalty 2026'!M18/$F$34</f>
        <v>7.5</v>
      </c>
      <c r="O18" s="533">
        <v>-0.3</v>
      </c>
      <c r="P18" s="533">
        <f>'Penalty 2026'!N18</f>
        <v>0</v>
      </c>
      <c r="Q18" s="538">
        <f t="shared" si="2"/>
        <v>0</v>
      </c>
      <c r="R18" s="543">
        <f t="shared" si="3"/>
        <v>2083.6766899999998</v>
      </c>
      <c r="S18" s="533">
        <v>-0.3</v>
      </c>
      <c r="T18" s="537">
        <f>'Penalty 2026'!Q18</f>
        <v>1.0967626603146383</v>
      </c>
      <c r="U18" s="538">
        <f t="shared" si="4"/>
        <v>2285.2987897599996</v>
      </c>
      <c r="V18" s="1">
        <v>1.109046999544349</v>
      </c>
      <c r="W18" s="1">
        <f>U14/R14</f>
        <v>-2.9875843502868274E-2</v>
      </c>
    </row>
    <row r="19" spans="1:23" ht="18" x14ac:dyDescent="0.35">
      <c r="E19" s="529" t="s">
        <v>22</v>
      </c>
      <c r="F19" s="530">
        <f>'Penalty 2026'!G19/$F$34</f>
        <v>1177</v>
      </c>
      <c r="G19" s="542">
        <v>-0.3</v>
      </c>
      <c r="H19" s="533">
        <f>'Penalty 2026'!H19</f>
        <v>-0.05</v>
      </c>
      <c r="I19" s="532">
        <f t="shared" si="0"/>
        <v>-58.85</v>
      </c>
      <c r="J19" s="530">
        <f>'Penalty 2026'!J19/$F$34</f>
        <v>1126</v>
      </c>
      <c r="K19" s="533">
        <v>-0.3</v>
      </c>
      <c r="L19" s="533">
        <f>'Penalty 2026'!K19</f>
        <v>0.69</v>
      </c>
      <c r="M19" s="532">
        <f t="shared" si="1"/>
        <v>776.93999999999994</v>
      </c>
      <c r="N19" s="536">
        <f>'Penalty 2026'!M19/$F$34</f>
        <v>247.5</v>
      </c>
      <c r="O19" s="533">
        <v>-0.3</v>
      </c>
      <c r="P19" s="533">
        <f>'Penalty 2026'!N19</f>
        <v>0</v>
      </c>
      <c r="Q19" s="538">
        <f t="shared" si="2"/>
        <v>0</v>
      </c>
      <c r="R19" s="543">
        <f t="shared" si="3"/>
        <v>2550.5</v>
      </c>
      <c r="S19" s="533">
        <v>-0.3</v>
      </c>
      <c r="T19" s="537">
        <f>'Penalty 2026'!Q19</f>
        <v>0.28154871593805131</v>
      </c>
      <c r="U19" s="538">
        <f t="shared" si="4"/>
        <v>718.08999999999992</v>
      </c>
    </row>
    <row r="20" spans="1:23" ht="18" hidden="1" x14ac:dyDescent="0.35">
      <c r="A20" s="68"/>
      <c r="B20" s="541"/>
      <c r="C20" s="6"/>
      <c r="E20" s="529" t="s">
        <v>23</v>
      </c>
      <c r="F20" s="530">
        <f>'Penalty 2026'!G20/$F$34</f>
        <v>1185</v>
      </c>
      <c r="G20" s="542">
        <v>-0.3</v>
      </c>
      <c r="H20" s="533">
        <f>'Penalty 2026'!H20</f>
        <v>-0.13</v>
      </c>
      <c r="I20" s="532">
        <f t="shared" si="0"/>
        <v>-154.05000000000001</v>
      </c>
      <c r="J20" s="530">
        <f>'Penalty 2026'!J20/$F$34</f>
        <v>1004</v>
      </c>
      <c r="K20" s="533">
        <v>-0.3</v>
      </c>
      <c r="L20" s="533">
        <f>'Penalty 2026'!K20</f>
        <v>0.7</v>
      </c>
      <c r="M20" s="532">
        <f t="shared" si="1"/>
        <v>702.8</v>
      </c>
      <c r="N20" s="536">
        <f>'Penalty 2026'!M20/$F$34</f>
        <v>405</v>
      </c>
      <c r="O20" s="533">
        <v>-0.3</v>
      </c>
      <c r="P20" s="533">
        <f>'Penalty 2026'!N20</f>
        <v>0</v>
      </c>
      <c r="Q20" s="538">
        <f t="shared" si="2"/>
        <v>0</v>
      </c>
      <c r="R20" s="543">
        <f t="shared" si="3"/>
        <v>2594</v>
      </c>
      <c r="S20" s="533">
        <v>-0.3</v>
      </c>
      <c r="T20" s="537">
        <f>'Penalty 2026'!Q20</f>
        <v>0.21154587509637626</v>
      </c>
      <c r="U20" s="538">
        <f t="shared" si="4"/>
        <v>548.75</v>
      </c>
    </row>
    <row r="21" spans="1:23" ht="19.5" hidden="1" customHeight="1" x14ac:dyDescent="0.35">
      <c r="E21" s="500" t="s">
        <v>24</v>
      </c>
      <c r="F21" s="501">
        <f>'Penalty 2026'!G21/$F$34</f>
        <v>150</v>
      </c>
      <c r="G21" s="508">
        <v>-0.3</v>
      </c>
      <c r="H21" s="468">
        <f>'Penalty 2026'!H21</f>
        <v>0</v>
      </c>
      <c r="I21" s="470">
        <f t="shared" si="0"/>
        <v>0</v>
      </c>
      <c r="J21" s="501">
        <f>'Penalty 2026'!J21/$F$34</f>
        <v>220</v>
      </c>
      <c r="K21" s="508">
        <v>-0.3</v>
      </c>
      <c r="L21" s="468">
        <f>'Penalty 2026'!K21</f>
        <v>0</v>
      </c>
      <c r="M21" s="470">
        <f t="shared" si="1"/>
        <v>0</v>
      </c>
      <c r="N21" s="501">
        <f>'Penalty 2026'!M21/$F$34</f>
        <v>285</v>
      </c>
      <c r="O21" s="508">
        <v>-0.3</v>
      </c>
      <c r="P21" s="525">
        <f>'Penalty 2026'!N21</f>
        <v>0</v>
      </c>
      <c r="Q21" s="525">
        <f t="shared" si="2"/>
        <v>0</v>
      </c>
      <c r="R21" s="510">
        <f t="shared" si="3"/>
        <v>655</v>
      </c>
      <c r="S21" s="509">
        <v>-0.3</v>
      </c>
      <c r="T21" s="469">
        <f>'Penalty 2026'!Q21</f>
        <v>0</v>
      </c>
      <c r="U21" s="471">
        <f t="shared" si="4"/>
        <v>0</v>
      </c>
    </row>
    <row r="22" spans="1:23" ht="3" customHeight="1" x14ac:dyDescent="0.35">
      <c r="E22" s="9"/>
      <c r="F22" s="10"/>
      <c r="G22" s="13"/>
      <c r="H22" s="11"/>
      <c r="I22" s="12"/>
      <c r="J22" s="10"/>
      <c r="K22" s="70"/>
      <c r="L22" s="309"/>
      <c r="M22" s="72"/>
      <c r="N22" s="73"/>
      <c r="O22" s="74"/>
      <c r="P22" s="506"/>
      <c r="Q22" s="75"/>
      <c r="R22" s="76"/>
      <c r="S22" s="76"/>
      <c r="T22" s="310"/>
      <c r="U22" s="77"/>
      <c r="V22" s="1">
        <v>-1</v>
      </c>
    </row>
    <row r="23" spans="1:23" ht="18" x14ac:dyDescent="0.35">
      <c r="E23" s="544" t="str">
        <f>'Penalty 2026'!F23</f>
        <v>Actual Q1</v>
      </c>
      <c r="F23" s="85">
        <f>SUM(F10:F12)</f>
        <v>2856.3448600000002</v>
      </c>
      <c r="G23" s="78">
        <f>SUMPRODUCT(F10:F12,G10:G12)/SUM(F10:F12)</f>
        <v>-0.3</v>
      </c>
      <c r="H23" s="78">
        <f>SUMPRODUCT(F10:F12,H10:H12)/SUM(F10:F12)</f>
        <v>-0.11969685057566902</v>
      </c>
      <c r="I23" s="79">
        <f>SUM(I10:I12)</f>
        <v>-341.89548390000027</v>
      </c>
      <c r="J23" s="80">
        <f>SUM(J10:J12)</f>
        <v>3234.3643840000004</v>
      </c>
      <c r="K23" s="83">
        <f>SUMPRODUCT(J10:J12,K10:K12)/SUM(J10:J12)</f>
        <v>-0.29999999999999993</v>
      </c>
      <c r="L23" s="29">
        <f>SUMPRODUCT(J10:J12,L10:L12)/SUM(J10:J12)</f>
        <v>0.79158598715264605</v>
      </c>
      <c r="M23" s="79">
        <f>SUM(M10:M12)</f>
        <v>2560.2775237200003</v>
      </c>
      <c r="N23" s="85">
        <f>SUM(N10:N12)</f>
        <v>167.756</v>
      </c>
      <c r="O23" s="29">
        <f>SUMPRODUCT(N10:N12,O10:O12)/SUM(N10:N12)</f>
        <v>-0.29999999999999993</v>
      </c>
      <c r="P23" s="83">
        <f>SUMPRODUCT(N10:N12,P10:P12)/SUM(N10:N12)</f>
        <v>-1.0228712534872075</v>
      </c>
      <c r="Q23" s="213">
        <f>SUM(Q10:Q12)</f>
        <v>-171.59278999999998</v>
      </c>
      <c r="R23" s="297">
        <f>SUM(R10:R12)</f>
        <v>6258.465244</v>
      </c>
      <c r="S23" s="139">
        <f>SUMPRODUCT(Q10:Q12,S10:S12)/SUM(Q10:Q12)</f>
        <v>-0.3</v>
      </c>
      <c r="T23" s="229">
        <f>SUMPRODUCT(R10:R12,T10:T12)/SUM(R10:R12)</f>
        <v>0.32704331973118489</v>
      </c>
      <c r="U23" s="482">
        <f>SUM(U10:U12)</f>
        <v>2046.7892498200004</v>
      </c>
    </row>
    <row r="24" spans="1:23" ht="18" x14ac:dyDescent="0.35">
      <c r="E24" s="544" t="str">
        <f>'Penalty 2026'!F24</f>
        <v>Actual Q2</v>
      </c>
      <c r="F24" s="85">
        <f>SUM(F13:F15)</f>
        <v>2720.05782</v>
      </c>
      <c r="G24" s="78">
        <f>SUMPRODUCT(F13:F15,G13:G15)/SUM(F13:F15)</f>
        <v>-0.3</v>
      </c>
      <c r="H24" s="78">
        <f>SUMPRODUCT(F13:F15,H13:H15)/SUM(F13:F15)</f>
        <v>-0.56985995150647195</v>
      </c>
      <c r="I24" s="79">
        <f>SUM(I13:I15)</f>
        <v>-1550.0520173999998</v>
      </c>
      <c r="J24" s="80">
        <f>SUM(J13:J15)</f>
        <v>3293.3519999999999</v>
      </c>
      <c r="K24" s="83">
        <f>SUMPRODUCT(J13:J15,K13:K15)/SUM(J13:J15)</f>
        <v>-0.3</v>
      </c>
      <c r="L24" s="29">
        <f>SUMPRODUCT(J13:J15,L13:L15)/SUM(J13:J15)</f>
        <v>1.0778697630863632</v>
      </c>
      <c r="M24" s="79">
        <f>SUM(M13:M15)</f>
        <v>3549.8045400000001</v>
      </c>
      <c r="N24" s="85">
        <f>SUM(N13:N15)</f>
        <v>60.064999999999998</v>
      </c>
      <c r="O24" s="29">
        <f>SUMPRODUCT(M13:M15,O13:O15)/SUM(M13:M15)</f>
        <v>-0.29999999999999993</v>
      </c>
      <c r="P24" s="83">
        <f>SUMPRODUCT(N13:N15,P13:P15)/SUM(N13:N15)</f>
        <v>0.65204595022059431</v>
      </c>
      <c r="Q24" s="213">
        <f>SUM(Q13:Q15)</f>
        <v>39.165139999999994</v>
      </c>
      <c r="R24" s="297">
        <f>SUM(R13:R15)</f>
        <v>6073.4748199999995</v>
      </c>
      <c r="S24" s="139">
        <f>SUMPRODUCT(Q13:Q15,S13:S15)/SUM(Q13:Q15)</f>
        <v>-0.3</v>
      </c>
      <c r="T24" s="229">
        <f>SUMPRODUCT(R13:R15,T13:T15)/SUM(R13:R15)</f>
        <v>0.33881563213593774</v>
      </c>
      <c r="U24" s="482">
        <f>SUM(U13:U15)</f>
        <v>2038.9176626000001</v>
      </c>
    </row>
    <row r="25" spans="1:23" ht="18" customHeight="1" x14ac:dyDescent="0.35">
      <c r="E25" s="544" t="str">
        <f>'Penalty 2026'!F25</f>
        <v>Actual S1</v>
      </c>
      <c r="F25" s="85">
        <f>SUM(F10:F15)</f>
        <v>5576.4026800000001</v>
      </c>
      <c r="G25" s="78">
        <f>SUMPRODUCT(F10:F15,G10:G15)/SUM(F10:F15)</f>
        <v>-0.3</v>
      </c>
      <c r="H25" s="78">
        <f>SUMPRODUCT(F10:F15,H10:H15)/SUM(F10:F15)</f>
        <v>-0.33927741769538067</v>
      </c>
      <c r="I25" s="79">
        <f>SUM(I10:I15)</f>
        <v>-1891.9475013000001</v>
      </c>
      <c r="J25" s="80">
        <f>SUM(J10:J15)</f>
        <v>6527.7163840000003</v>
      </c>
      <c r="K25" s="83">
        <f>SUMPRODUCT(J10:J15,K10:K15)/SUM(J10:J15)</f>
        <v>-0.29999999999999993</v>
      </c>
      <c r="L25" s="29">
        <f>SUMPRODUCT(J10:J15,L10:L15)/SUM(J10:J15)</f>
        <v>0.936021374748502</v>
      </c>
      <c r="M25" s="79">
        <f>SUM(M10:M15)</f>
        <v>6110.0820637200004</v>
      </c>
      <c r="N25" s="85">
        <f>SUM(N10:N15)</f>
        <v>227.82100000000003</v>
      </c>
      <c r="O25" s="29">
        <f>SUMPRODUCT(M10:M15,O10:O15)/SUM(M10:M15)</f>
        <v>-0.3</v>
      </c>
      <c r="P25" s="83">
        <f>SUMPRODUCT(N10:N15,P10:P15)/SUM(N10:N15)</f>
        <v>-0.58127938161978021</v>
      </c>
      <c r="Q25" s="213">
        <f>SUM(Q10:Q15)</f>
        <v>-132.42764999999997</v>
      </c>
      <c r="R25" s="297">
        <f>SUM(R10:R15)</f>
        <v>12331.940064</v>
      </c>
      <c r="S25" s="139">
        <v>0</v>
      </c>
      <c r="T25" s="229">
        <f>SUMPRODUCT(R10:R15,T10:T15)/SUM(R10:R15)</f>
        <v>0.33284117818592746</v>
      </c>
      <c r="U25" s="482">
        <f>SUM(U10:U15)</f>
        <v>4085.7069124199998</v>
      </c>
    </row>
    <row r="26" spans="1:23" ht="19.5" customHeight="1" x14ac:dyDescent="0.35">
      <c r="E26" s="544" t="str">
        <f>'Penalty 2026'!F26</f>
        <v>Prediction Q3</v>
      </c>
      <c r="F26" s="85">
        <f>SUM(F16:F18)</f>
        <v>3092.4480000000003</v>
      </c>
      <c r="G26" s="78">
        <f>SUMPRODUCT(F16:F18,G16:G18)/SUM(F16:F18)</f>
        <v>-0.3</v>
      </c>
      <c r="H26" s="78">
        <f>SUMPRODUCT(F16:F18,H16:H18)/SUM(F16:F18)</f>
        <v>0.40466826281314988</v>
      </c>
      <c r="I26" s="79">
        <f>SUM(I16:I18)</f>
        <v>1251.4155599999999</v>
      </c>
      <c r="J26" s="80">
        <f>SUM(J16:J18)</f>
        <v>3243.3936899999999</v>
      </c>
      <c r="K26" s="83">
        <f>SUMPRODUCT(J16:J18,K16:K18)/SUM(J16:J18)</f>
        <v>-0.3</v>
      </c>
      <c r="L26" s="29">
        <f>SUMPRODUCT(J16:J18,L16:L18)/SUM(J16:J18)</f>
        <v>2.0579836577779123</v>
      </c>
      <c r="M26" s="79">
        <f>SUM(M16:M18)</f>
        <v>6674.8512097599996</v>
      </c>
      <c r="N26" s="85">
        <f>SUM(N16:N18)</f>
        <v>15.108000000000001</v>
      </c>
      <c r="O26" s="29">
        <f>SUMPRODUCT(N16:N18,O16:O18)/SUM(N16:N18)</f>
        <v>-0.3</v>
      </c>
      <c r="P26" s="83">
        <f>SUM(P16:P18)</f>
        <v>0</v>
      </c>
      <c r="Q26" s="213">
        <f>SUM(Q16:Q18)</f>
        <v>0</v>
      </c>
      <c r="R26" s="297">
        <f>SUM(R16:R18)</f>
        <v>6350.9496899999995</v>
      </c>
      <c r="S26" s="139">
        <f>SUMPRODUCT(R16:R18,S16:S18)/SUM(R16:R18)</f>
        <v>-0.30000000000000004</v>
      </c>
      <c r="T26" s="229">
        <f>SUMPRODUCT(R16:R18,T16:T18)/SUM(R16:R18)</f>
        <v>1.2480443329980151</v>
      </c>
      <c r="U26" s="482">
        <f>SUM(U16:U18)</f>
        <v>7926.26676976</v>
      </c>
    </row>
    <row r="27" spans="1:23" ht="18" hidden="1" x14ac:dyDescent="0.35">
      <c r="E27" s="199" t="e">
        <f>#REF!</f>
        <v>#REF!</v>
      </c>
      <c r="F27" s="85">
        <f>SUM(F19:F21)</f>
        <v>2512</v>
      </c>
      <c r="G27" s="78">
        <f>SUMPRODUCT(F19:F21,G19:G21)/SUM(F19:F21)</f>
        <v>-0.3</v>
      </c>
      <c r="H27" s="78">
        <f>SUMPRODUCT(F19:F21,H19:H21)/SUM(F19:F21)</f>
        <v>-8.4753184713375798E-2</v>
      </c>
      <c r="I27" s="79">
        <f>SUM(I19:I21)</f>
        <v>-212.9</v>
      </c>
      <c r="J27" s="80">
        <f>SUM(J19:J21)</f>
        <v>2350</v>
      </c>
      <c r="K27" s="83">
        <f>SUMPRODUCT(J19:J21,K19:K21)/SUM(J19:J21)</f>
        <v>-0.3</v>
      </c>
      <c r="L27" s="81">
        <f>SUMPRODUCT(J19:J21,L19:L21)/SUM(J19:J21)</f>
        <v>0.62967659574468071</v>
      </c>
      <c r="M27" s="79">
        <f>SUM(M19:M21)</f>
        <v>1479.7399999999998</v>
      </c>
      <c r="N27" s="85">
        <f>SUM(N19:N21)</f>
        <v>937.5</v>
      </c>
      <c r="O27" s="83">
        <f>SUMPRODUCT(N19:N21,O19:O21)/SUM(N19:N21)</f>
        <v>-0.3</v>
      </c>
      <c r="P27" s="83">
        <f>SUMPRODUCT(N19:N21,P19:P21)/SUM(N19:N21)</f>
        <v>0</v>
      </c>
      <c r="Q27" s="213">
        <f>SUM(Q19:Q21)</f>
        <v>0</v>
      </c>
      <c r="R27" s="85">
        <f>SUM(R19:R21)</f>
        <v>5799.5</v>
      </c>
      <c r="S27" s="139" t="e">
        <f>SUMPRODUCT(Q19:Q21,S19:S21)/SUM(Q19:Q21)</f>
        <v>#DIV/0!</v>
      </c>
      <c r="T27" s="229">
        <f>SUMPRODUCT(R19:R21,T19:T21)/SUM(R19:R21)</f>
        <v>0.21843952064833175</v>
      </c>
      <c r="U27" s="482">
        <f>SUM(U19:U21)</f>
        <v>1266.8399999999999</v>
      </c>
    </row>
    <row r="28" spans="1:23" ht="21.75" hidden="1" customHeight="1" x14ac:dyDescent="0.35">
      <c r="E28" s="199" t="e">
        <f>#REF!</f>
        <v>#REF!</v>
      </c>
      <c r="F28" s="85">
        <f>SUM(F16:F21)</f>
        <v>5604.4480000000003</v>
      </c>
      <c r="G28" s="78">
        <f>SUMPRODUCT(F16:F21,G16:G21)/SUM(F16:F21)</f>
        <v>-0.3</v>
      </c>
      <c r="H28" s="78">
        <f>SUMPRODUCT(F16:F21,H16:H21)/SUM(F16:F21)</f>
        <v>0.18530202439205432</v>
      </c>
      <c r="I28" s="79">
        <f>SUM(I16:I21)</f>
        <v>1038.5155600000001</v>
      </c>
      <c r="J28" s="80">
        <f>SUM(J16:J21)</f>
        <v>5593.3936899999999</v>
      </c>
      <c r="K28" s="83">
        <f>SUMPRODUCT(J16:J21,K16:K21)/SUM(J16:J21)</f>
        <v>-0.3</v>
      </c>
      <c r="L28" s="29">
        <f>SUMPRODUCT(J16:J21,L16:L21)/SUM(J16:J21)</f>
        <v>1.4578968800889107</v>
      </c>
      <c r="M28" s="79">
        <f>SUM(M16:M21)</f>
        <v>8154.5912097599994</v>
      </c>
      <c r="N28" s="85">
        <f>SUM(N16:N21)</f>
        <v>952.60799999999995</v>
      </c>
      <c r="O28" s="83">
        <f>SUMPRODUCT(N16:N21,O16:O21)/SUM(N16:N21)</f>
        <v>-0.3</v>
      </c>
      <c r="P28" s="83">
        <f>SUM(P16:P21)</f>
        <v>0</v>
      </c>
      <c r="Q28" s="213">
        <f>SUM(Q16:Q21)</f>
        <v>0</v>
      </c>
      <c r="R28" s="85">
        <f>SUM(R16:R21)</f>
        <v>12150.449689999999</v>
      </c>
      <c r="S28" s="139" t="e">
        <f>SUMPRODUCT(Q16:Q21,S16:S21)/SUM(Q16:Q21)</f>
        <v>#DIV/0!</v>
      </c>
      <c r="T28" s="229">
        <f>SUMPRODUCT(R16:R21,T16:T21)/SUM(R16:R21)</f>
        <v>0.75660629888670394</v>
      </c>
      <c r="U28" s="482">
        <f>SUM(U16:U21)</f>
        <v>9193.1067697599992</v>
      </c>
    </row>
    <row r="29" spans="1:23" ht="17.25" hidden="1" customHeight="1" x14ac:dyDescent="0.3">
      <c r="F29" s="122"/>
      <c r="G29" s="483"/>
      <c r="H29" s="483"/>
      <c r="I29" s="88"/>
      <c r="J29" s="33"/>
      <c r="K29" s="90"/>
      <c r="L29" s="484"/>
      <c r="M29" s="88"/>
      <c r="N29" s="122"/>
      <c r="O29" s="485"/>
      <c r="P29" s="90"/>
      <c r="Q29" s="486"/>
      <c r="R29" s="122"/>
      <c r="S29" s="487"/>
      <c r="T29" s="92"/>
      <c r="U29" s="488"/>
    </row>
    <row r="30" spans="1:23" ht="18" hidden="1" x14ac:dyDescent="0.35">
      <c r="E30" s="94" t="s">
        <v>66</v>
      </c>
      <c r="F30" s="489">
        <f>SUM(F10:F13)</f>
        <v>3804.8316400000003</v>
      </c>
      <c r="G30" s="97"/>
      <c r="H30" s="97">
        <f>SUMPRODUCT(F10:F13,H10:H13)/SUM(F10:F13)</f>
        <v>0.12203385669385355</v>
      </c>
      <c r="I30" s="98">
        <f>SUM(I10:I13)</f>
        <v>464.31827909999981</v>
      </c>
      <c r="J30" s="99">
        <f>SUM(J10:J13)</f>
        <v>4157.9243839999999</v>
      </c>
      <c r="K30" s="103"/>
      <c r="L30" s="100">
        <f>SUMPRODUCT(J10:J13,L10:L13)/SUM(J10:J13)</f>
        <v>1.2243685679590273</v>
      </c>
      <c r="M30" s="98">
        <f>SUM(M10:M13)</f>
        <v>5090.8319237200003</v>
      </c>
      <c r="N30" s="489">
        <f>SUM(N10:N13)</f>
        <v>182.76400000000001</v>
      </c>
      <c r="O30" s="490"/>
      <c r="P30" s="103">
        <f>SUMPRODUCT(N10:N13,P10:P13)/SUM(N10:N13)</f>
        <v>-0.89289088660786564</v>
      </c>
      <c r="Q30" s="491">
        <f>SUM(Q10:Q13)</f>
        <v>-163.18830999999997</v>
      </c>
      <c r="R30" s="489">
        <f>SUM(R10:R13)</f>
        <v>8145.5200240000004</v>
      </c>
      <c r="S30" s="141"/>
      <c r="T30" s="105">
        <f>SUMPRODUCT(R10:R13,T10:T13)/SUM(R10:R13)</f>
        <v>0.66427096424506937</v>
      </c>
      <c r="U30" s="491">
        <f>SUM(U10:U13)</f>
        <v>5391.9618928200007</v>
      </c>
    </row>
    <row r="31" spans="1:23" ht="18" hidden="1" x14ac:dyDescent="0.35">
      <c r="E31" s="40" t="s">
        <v>67</v>
      </c>
      <c r="F31" s="492">
        <f>SUM(F10:F19)</f>
        <v>9845.8506799999996</v>
      </c>
      <c r="G31" s="107"/>
      <c r="H31" s="107">
        <f>SUMPRODUCT(F10:F19,H10:H19)/SUM(F10:F19)</f>
        <v>-7.1033165546646321E-2</v>
      </c>
      <c r="I31" s="108">
        <f>SUM(I10:I13)</f>
        <v>464.31827909999981</v>
      </c>
      <c r="J31" s="44">
        <f>SUM(J10:J19)</f>
        <v>10897.110074</v>
      </c>
      <c r="K31" s="111"/>
      <c r="L31" s="109">
        <f>SUMPRODUCT(J10:J19,L10:L19)/SUM(J10:J19)</f>
        <v>1.244538522726131</v>
      </c>
      <c r="M31" s="108">
        <f>SUM(M10:M19)</f>
        <v>13561.87327348</v>
      </c>
      <c r="N31" s="492">
        <f>SUM(N10:N19)</f>
        <v>490.42900000000003</v>
      </c>
      <c r="O31" s="42"/>
      <c r="P31" s="111">
        <f>SUMPRODUCT(N10:N19,P10:P19)/SUM(N10:N19)</f>
        <v>-0.27002410134800342</v>
      </c>
      <c r="Q31" s="493">
        <f>SUM(Q10:Q19)</f>
        <v>-132.42764999999997</v>
      </c>
      <c r="R31" s="113" t="e">
        <f>SUMPRODUCT(#REF!,#REF!)/SUM(#REF!)</f>
        <v>#REF!</v>
      </c>
      <c r="S31" s="141"/>
      <c r="T31" s="114">
        <f>SUMPRODUCT(R10:R19,T10:T19)/SUM(R10:R19)</f>
        <v>0.60041916894490788</v>
      </c>
      <c r="U31" s="493">
        <f>SUM(U10:U19)</f>
        <v>12730.06368218</v>
      </c>
    </row>
    <row r="32" spans="1:23" ht="18" hidden="1" x14ac:dyDescent="0.35">
      <c r="E32" s="40" t="s">
        <v>31</v>
      </c>
      <c r="F32" s="492">
        <f>SUM(F10:F15)</f>
        <v>5576.4026800000001</v>
      </c>
      <c r="G32" s="115">
        <f>SUMPRODUCT(F10:F15,G10:G15)/SUM(F10:F15)</f>
        <v>-0.3</v>
      </c>
      <c r="H32" s="115">
        <f>SUMPRODUCT(F10:F15,H10:H15)/SUM(F10:F15)</f>
        <v>-0.33927741769538067</v>
      </c>
      <c r="I32" s="116">
        <f>SUM(I10:I15)</f>
        <v>-1891.9475013000001</v>
      </c>
      <c r="J32" s="44">
        <f>SUM(J10:J15)</f>
        <v>6527.7163840000003</v>
      </c>
      <c r="K32" s="119">
        <f>SUMPRODUCT(J10:J15,K10:K15)/SUM(J10:J15)</f>
        <v>-0.29999999999999993</v>
      </c>
      <c r="L32" s="142">
        <f>SUMPRODUCT(J10:J15,L10:L15)/SUM(J10:J15)</f>
        <v>0.936021374748502</v>
      </c>
      <c r="M32" s="507">
        <f>SUM(M10:M15)</f>
        <v>6110.0820637200004</v>
      </c>
      <c r="N32" s="492">
        <f>SUM(N10:N15)</f>
        <v>227.82100000000003</v>
      </c>
      <c r="O32" s="119">
        <f>SUMPRODUCT(N10:N15,O10:O15)/SUM(N10:N15)</f>
        <v>-0.29999999999999988</v>
      </c>
      <c r="P32" s="119">
        <f>SUMPRODUCT(N10:N15,P10:P15)/SUM(N10:N15)</f>
        <v>-0.58127938161978021</v>
      </c>
      <c r="Q32" s="120">
        <f>SUM(Q10:Q15)</f>
        <v>-132.42764999999997</v>
      </c>
      <c r="R32" s="494">
        <f>SUM(R10:R15)</f>
        <v>12331.940064</v>
      </c>
      <c r="S32" s="142">
        <f>SUMPRODUCT(R10:R15,S10:S15)/SUM(R10:R15)</f>
        <v>-0.29999999999999993</v>
      </c>
      <c r="T32" s="418">
        <f>SUMPRODUCT(R10:R15,T10:T15)/SUM(R10:R15)</f>
        <v>0.33284117818592746</v>
      </c>
      <c r="U32" s="493">
        <f>SUM(U10:U15)</f>
        <v>4085.7069124199998</v>
      </c>
    </row>
    <row r="33" spans="1:21" ht="18" hidden="1" x14ac:dyDescent="0.35">
      <c r="E33" s="168" t="s">
        <v>39</v>
      </c>
      <c r="F33" s="495">
        <f>SUM(F10:F21)</f>
        <v>11180.85068</v>
      </c>
      <c r="G33" s="177">
        <f>SUMPRODUCT(F10:F20,G10:G20)/SUM(F10:F20)</f>
        <v>-0.3</v>
      </c>
      <c r="H33" s="177">
        <f>SUMPRODUCT(F10:F21,H10:H21)/SUM(F10:F21)</f>
        <v>-7.6329786142891265E-2</v>
      </c>
      <c r="I33" s="178">
        <f>SUM(I10:I21)</f>
        <v>-853.43194130000029</v>
      </c>
      <c r="J33" s="495">
        <f>SUM(J10:J21)</f>
        <v>12121.110074</v>
      </c>
      <c r="K33" s="177">
        <f>SUMPRODUCT(J10:J20,K10:K20)/SUM(J10:J20)</f>
        <v>-0.29999999999999993</v>
      </c>
      <c r="L33" s="177">
        <f>SUMPRODUCT(J10:J21,L10:L21)/SUM(J10:J21)</f>
        <v>1.1768454528003982</v>
      </c>
      <c r="M33" s="173">
        <f>SUM(M10:M21)</f>
        <v>14264.673273479999</v>
      </c>
      <c r="N33" s="495">
        <f>SUM(N10:N21)</f>
        <v>1180.4290000000001</v>
      </c>
      <c r="O33" s="177">
        <f>SUMPRODUCT(N10:N20,O10:O20)/SUM(N10:N20)</f>
        <v>-0.29999999999999993</v>
      </c>
      <c r="P33" s="177">
        <f>SUMPRODUCT(N10:N21,P10:P21)/SUM(N10:N21)</f>
        <v>-0.11218603575479759</v>
      </c>
      <c r="Q33" s="178">
        <f>SUM(Q10:Q21)</f>
        <v>-132.42764999999997</v>
      </c>
      <c r="R33" s="495">
        <f>SUM(R10:R21)</f>
        <v>24482.389754</v>
      </c>
      <c r="S33" s="177">
        <f>SUMPRODUCT(R10:R20,S10:S20)/SUM(R10:R20)</f>
        <v>-0.29999999999999993</v>
      </c>
      <c r="T33" s="177">
        <f>SUMPRODUCT(R10:R21,T10:T21)/SUM(R10:R21)</f>
        <v>0.54315303218336319</v>
      </c>
      <c r="U33" s="178">
        <f>SUM(U10:U21)</f>
        <v>13278.81368218</v>
      </c>
    </row>
    <row r="34" spans="1:21" ht="15.6" x14ac:dyDescent="0.3">
      <c r="E34" s="257" t="s">
        <v>40</v>
      </c>
      <c r="F34" s="249">
        <v>1000</v>
      </c>
      <c r="G34" s="122"/>
      <c r="N34" s="253">
        <f>SUM(R10:R18)</f>
        <v>18682.889754</v>
      </c>
      <c r="O34" s="253"/>
      <c r="P34" s="251">
        <f>SUMPRODUCT(R10:R18,T10:T18)/SUM(R10:R18)</f>
        <v>0.64394985938426375</v>
      </c>
      <c r="U34" s="251">
        <f>SUMPRODUCT(R10:R18,T10:T18)/SUM(R10:R18)</f>
        <v>0.64394985938426375</v>
      </c>
    </row>
    <row r="35" spans="1:21" x14ac:dyDescent="0.3">
      <c r="K35" s="1"/>
      <c r="L35" s="1"/>
      <c r="M35" s="1"/>
      <c r="Q35" s="1"/>
      <c r="T35" s="1"/>
    </row>
    <row r="36" spans="1:21" x14ac:dyDescent="0.3">
      <c r="A36" s="2"/>
      <c r="B36" s="2"/>
      <c r="K36" s="1"/>
      <c r="L36" s="1"/>
      <c r="M36" s="1"/>
      <c r="Q36" s="1"/>
      <c r="T36" s="1"/>
    </row>
    <row r="37" spans="1:21" x14ac:dyDescent="0.3">
      <c r="K37" s="1"/>
      <c r="L37" s="1"/>
      <c r="M37" s="1"/>
      <c r="Q37" s="1"/>
      <c r="T37" s="1"/>
    </row>
    <row r="38" spans="1:21" x14ac:dyDescent="0.3">
      <c r="A38" s="53"/>
      <c r="B38" s="53"/>
      <c r="K38" s="1"/>
      <c r="L38" s="1"/>
      <c r="M38" s="1"/>
      <c r="Q38" s="1"/>
      <c r="T38" s="1"/>
    </row>
    <row r="39" spans="1:21" x14ac:dyDescent="0.3">
      <c r="K39" s="1"/>
      <c r="L39" s="1"/>
      <c r="M39" s="1"/>
      <c r="Q39" s="1"/>
      <c r="T39" s="1"/>
    </row>
    <row r="40" spans="1:21" x14ac:dyDescent="0.3">
      <c r="K40" s="1"/>
      <c r="L40" s="1"/>
      <c r="M40" s="1"/>
      <c r="Q40" s="1"/>
      <c r="T40" s="1"/>
    </row>
    <row r="41" spans="1:21" x14ac:dyDescent="0.3">
      <c r="K41" s="1"/>
      <c r="L41" s="1"/>
      <c r="M41" s="1"/>
      <c r="Q41" s="1"/>
      <c r="T41" s="1"/>
    </row>
    <row r="42" spans="1:21" x14ac:dyDescent="0.3">
      <c r="K42" s="1"/>
      <c r="L42" s="1"/>
      <c r="M42" s="1"/>
      <c r="Q42" s="1"/>
      <c r="T42" s="1"/>
    </row>
    <row r="43" spans="1:21" x14ac:dyDescent="0.3">
      <c r="K43" s="1"/>
      <c r="L43" s="1"/>
      <c r="M43" s="1"/>
      <c r="Q43" s="1"/>
      <c r="T43" s="1"/>
    </row>
    <row r="44" spans="1:21" x14ac:dyDescent="0.3">
      <c r="K44" s="1"/>
      <c r="L44" s="1"/>
      <c r="M44" s="1"/>
      <c r="Q44" s="1"/>
      <c r="T44" s="1"/>
    </row>
    <row r="45" spans="1:21" x14ac:dyDescent="0.3">
      <c r="K45" s="1"/>
      <c r="L45" s="1"/>
      <c r="M45" s="1"/>
      <c r="Q45" s="1"/>
      <c r="T45" s="1"/>
    </row>
    <row r="46" spans="1:21" x14ac:dyDescent="0.3">
      <c r="K46" s="1"/>
      <c r="L46" s="1"/>
      <c r="M46" s="1"/>
      <c r="Q46" s="1"/>
      <c r="T46" s="1"/>
    </row>
    <row r="47" spans="1:21" x14ac:dyDescent="0.3">
      <c r="K47" s="1"/>
      <c r="L47" s="1"/>
      <c r="M47" s="1"/>
      <c r="Q47" s="1"/>
      <c r="T47" s="1"/>
    </row>
    <row r="48" spans="1:21" x14ac:dyDescent="0.3">
      <c r="K48" s="1"/>
      <c r="L48" s="1"/>
      <c r="M48" s="1"/>
      <c r="Q48" s="1"/>
      <c r="T48" s="1"/>
    </row>
    <row r="111" spans="31:43" x14ac:dyDescent="0.3">
      <c r="AF111" s="423" t="s">
        <v>13</v>
      </c>
      <c r="AG111" s="423" t="s">
        <v>14</v>
      </c>
      <c r="AH111" s="423" t="s">
        <v>15</v>
      </c>
      <c r="AI111" s="423" t="s">
        <v>16</v>
      </c>
      <c r="AJ111" s="423" t="s">
        <v>17</v>
      </c>
      <c r="AK111" s="423" t="s">
        <v>18</v>
      </c>
      <c r="AL111" s="423" t="s">
        <v>19</v>
      </c>
      <c r="AM111" s="423" t="s">
        <v>20</v>
      </c>
      <c r="AN111" s="423" t="s">
        <v>21</v>
      </c>
      <c r="AO111" s="423" t="s">
        <v>22</v>
      </c>
      <c r="AP111" s="423" t="s">
        <v>23</v>
      </c>
      <c r="AQ111" s="423" t="s">
        <v>24</v>
      </c>
    </row>
    <row r="112" spans="31:43" x14ac:dyDescent="0.3">
      <c r="AE112" s="36" t="s">
        <v>71</v>
      </c>
      <c r="AF112" s="124">
        <v>0.90666645174022875</v>
      </c>
      <c r="AG112" s="124">
        <v>0.77203645659455267</v>
      </c>
      <c r="AH112" s="124">
        <v>0.61065862033916507</v>
      </c>
      <c r="AI112" s="124">
        <v>1.262938115605968</v>
      </c>
      <c r="AJ112" s="124">
        <v>0.82579795560443892</v>
      </c>
      <c r="AK112" s="124">
        <v>0.18004726373826782</v>
      </c>
      <c r="AL112" s="124">
        <v>0.18421161358688642</v>
      </c>
      <c r="AM112" s="124">
        <v>0.71187249117893303</v>
      </c>
      <c r="AN112" s="124">
        <v>1.3579993461462254</v>
      </c>
      <c r="AO112" s="124">
        <v>0.71953682974824762</v>
      </c>
      <c r="AP112" s="124">
        <v>0.79567434132037773</v>
      </c>
      <c r="AQ112" s="124">
        <v>1.4588933471785837</v>
      </c>
    </row>
    <row r="118" spans="27:48" x14ac:dyDescent="0.3">
      <c r="AV118" s="67" t="s">
        <v>72</v>
      </c>
    </row>
    <row r="119" spans="27:48" x14ac:dyDescent="0.3">
      <c r="AV119" s="125" t="s">
        <v>73</v>
      </c>
    </row>
    <row r="128" spans="27:48" x14ac:dyDescent="0.3">
      <c r="AA128" s="1">
        <v>0.90666645174022875</v>
      </c>
    </row>
    <row r="129" spans="27:27" x14ac:dyDescent="0.3">
      <c r="AA129" s="1">
        <v>0.77203645659455267</v>
      </c>
    </row>
    <row r="130" spans="27:27" x14ac:dyDescent="0.3">
      <c r="AA130" s="1">
        <v>0.61065862033916507</v>
      </c>
    </row>
    <row r="131" spans="27:27" x14ac:dyDescent="0.3">
      <c r="AA131" s="1">
        <v>1.262938115605968</v>
      </c>
    </row>
    <row r="132" spans="27:27" x14ac:dyDescent="0.3">
      <c r="AA132" s="1">
        <v>0.82579795560443892</v>
      </c>
    </row>
    <row r="133" spans="27:27" x14ac:dyDescent="0.3">
      <c r="AA133" s="1">
        <v>0.18004726373826782</v>
      </c>
    </row>
    <row r="134" spans="27:27" x14ac:dyDescent="0.3">
      <c r="AA134" s="1">
        <v>0.18421161358688642</v>
      </c>
    </row>
    <row r="135" spans="27:27" x14ac:dyDescent="0.3">
      <c r="AA135" s="1">
        <v>0.71187249117893303</v>
      </c>
    </row>
    <row r="136" spans="27:27" x14ac:dyDescent="0.3">
      <c r="AA136" s="1">
        <v>1.3579993461462254</v>
      </c>
    </row>
    <row r="137" spans="27:27" x14ac:dyDescent="0.3">
      <c r="AA137" s="1">
        <v>0.71953682974824762</v>
      </c>
    </row>
    <row r="138" spans="27:27" x14ac:dyDescent="0.3">
      <c r="AA138" s="1">
        <v>0.79567434132037773</v>
      </c>
    </row>
    <row r="139" spans="27:27" x14ac:dyDescent="0.3">
      <c r="AA139" s="1">
        <v>1.4588933471785837</v>
      </c>
    </row>
  </sheetData>
  <mergeCells count="6">
    <mergeCell ref="V8:V9"/>
    <mergeCell ref="E8:E9"/>
    <mergeCell ref="F8:I8"/>
    <mergeCell ref="J8:M8"/>
    <mergeCell ref="N8:Q8"/>
    <mergeCell ref="R8:U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B2:T19"/>
  <sheetViews>
    <sheetView zoomScale="73" workbookViewId="0">
      <selection activeCell="T16" sqref="T16"/>
    </sheetView>
  </sheetViews>
  <sheetFormatPr defaultRowHeight="14.4" x14ac:dyDescent="0.3"/>
  <cols>
    <col min="4" max="15" width="13.44140625" bestFit="1" customWidth="1"/>
    <col min="16" max="16" width="11.5546875" bestFit="1" customWidth="1"/>
    <col min="19" max="20" width="13.44140625" bestFit="1" customWidth="1"/>
  </cols>
  <sheetData>
    <row r="2" spans="2:20" x14ac:dyDescent="0.3">
      <c r="B2" t="s">
        <v>74</v>
      </c>
    </row>
    <row r="3" spans="2:20" x14ac:dyDescent="0.3"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S3" s="244"/>
    </row>
    <row r="4" spans="2:20" x14ac:dyDescent="0.3">
      <c r="B4" t="s">
        <v>75</v>
      </c>
      <c r="D4" s="245">
        <v>0.49</v>
      </c>
      <c r="E4" s="245">
        <v>0.49</v>
      </c>
      <c r="F4" s="245">
        <v>0.49</v>
      </c>
      <c r="G4" s="245">
        <v>0.49</v>
      </c>
      <c r="H4" s="245">
        <v>0.49</v>
      </c>
      <c r="I4" s="245">
        <v>0.49</v>
      </c>
      <c r="J4" s="245">
        <v>0.49</v>
      </c>
      <c r="K4" s="245">
        <v>0.49</v>
      </c>
      <c r="L4" s="245">
        <v>0.49</v>
      </c>
      <c r="M4" s="245">
        <v>0.49</v>
      </c>
      <c r="N4" s="245">
        <v>0.49</v>
      </c>
      <c r="O4" s="245">
        <v>0.49</v>
      </c>
      <c r="Q4">
        <v>0.628558983312132</v>
      </c>
      <c r="S4" s="244"/>
    </row>
    <row r="5" spans="2:20" x14ac:dyDescent="0.3">
      <c r="B5" t="s">
        <v>76</v>
      </c>
      <c r="D5" s="246">
        <f>-'Demurage 2026'!P10</f>
        <v>0.37</v>
      </c>
      <c r="E5" s="246">
        <f>-'Demurage 2026'!P11</f>
        <v>0.28999999999999998</v>
      </c>
      <c r="F5" s="246">
        <f>-'Demurage 2026'!P12</f>
        <v>0.6</v>
      </c>
      <c r="G5" s="246">
        <f>-'Demurage 2026'!P13</f>
        <v>0.44</v>
      </c>
      <c r="H5" s="246">
        <f>-'Demurage 2026'!P14</f>
        <v>0.31</v>
      </c>
      <c r="I5" s="246">
        <f>-'Demurage 2026'!P15</f>
        <v>0.57999999999999996</v>
      </c>
      <c r="J5" s="246">
        <f>-'Demurage 2026'!P16</f>
        <v>0.25</v>
      </c>
      <c r="K5" s="246">
        <f>-'Demurage 2026'!P17</f>
        <v>0.19</v>
      </c>
      <c r="L5" s="246">
        <f>-'Demurage 2026'!P18</f>
        <v>1.19</v>
      </c>
      <c r="M5" s="246">
        <f>-'Demurage 2026'!P19</f>
        <v>0.61</v>
      </c>
      <c r="N5" s="246">
        <f>-'Demurage 2026'!P20</f>
        <v>0.31</v>
      </c>
      <c r="O5" s="246">
        <f>-'Demurage 2026'!P21</f>
        <v>0</v>
      </c>
      <c r="S5" s="244"/>
    </row>
    <row r="6" spans="2:20" x14ac:dyDescent="0.3">
      <c r="B6" t="s">
        <v>77</v>
      </c>
      <c r="D6" s="244">
        <f>'Demurage 2026'!O10/D8</f>
        <v>2184.2619180000002</v>
      </c>
      <c r="E6" s="244">
        <f>'Demurage 2026'!O11/D8</f>
        <v>2122.6060000000002</v>
      </c>
      <c r="F6" s="244">
        <f>'Demurage 2026'!O12/D8</f>
        <v>1951.5973259999998</v>
      </c>
      <c r="G6" s="244">
        <f>'Demurage 2026'!O13/D8</f>
        <v>1887.0547800000002</v>
      </c>
      <c r="H6" s="572">
        <f>'Demurage 2026'!O14/D8</f>
        <v>2045.7310400000001</v>
      </c>
      <c r="I6" s="244">
        <f>'Demurage 2026'!O15/D8</f>
        <v>2140.6889999999999</v>
      </c>
      <c r="J6" s="244">
        <f>'Demurage 2026'!O16/D8</f>
        <v>2432.3609999999999</v>
      </c>
      <c r="K6" s="244">
        <f>'Demurage 2026'!O17/D8</f>
        <v>1834.912</v>
      </c>
      <c r="L6" s="244">
        <f>'Demurage 2026'!O18/D8</f>
        <v>2083.6766899999998</v>
      </c>
      <c r="M6" s="244">
        <f>'Demurage 2026'!O19/D8</f>
        <v>2550.5</v>
      </c>
      <c r="N6" s="244">
        <f>'Demurage 2026'!O20/D8</f>
        <v>2594</v>
      </c>
      <c r="O6" s="244">
        <f>'Demurage 2026'!O21/D8</f>
        <v>655</v>
      </c>
      <c r="P6" s="247">
        <f>SUM(D6:O6)</f>
        <v>24482.389754</v>
      </c>
      <c r="S6" s="244"/>
      <c r="T6" s="244"/>
    </row>
    <row r="7" spans="2:20" x14ac:dyDescent="0.3"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44"/>
      <c r="P7" s="247"/>
      <c r="S7" s="244"/>
      <c r="T7" s="244"/>
    </row>
    <row r="8" spans="2:20" x14ac:dyDescent="0.3">
      <c r="D8" s="244">
        <v>1000</v>
      </c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7"/>
      <c r="S8" s="244"/>
      <c r="T8" s="244"/>
    </row>
    <row r="9" spans="2:20" x14ac:dyDescent="0.3">
      <c r="S9" s="244"/>
      <c r="T9" s="244"/>
    </row>
    <row r="10" spans="2:20" x14ac:dyDescent="0.3">
      <c r="B10" t="s">
        <v>71</v>
      </c>
      <c r="S10" s="244"/>
      <c r="T10" s="244"/>
    </row>
    <row r="11" spans="2:20" x14ac:dyDescent="0.3"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S11" s="244"/>
      <c r="T11" s="244"/>
    </row>
    <row r="12" spans="2:20" x14ac:dyDescent="0.3">
      <c r="B12" t="s">
        <v>75</v>
      </c>
      <c r="D12" s="245">
        <v>-0.1</v>
      </c>
      <c r="E12" s="245">
        <v>-0.1</v>
      </c>
      <c r="F12" s="245">
        <v>-0.1</v>
      </c>
      <c r="G12" s="245">
        <v>-0.1</v>
      </c>
      <c r="H12" s="245">
        <v>-0.1</v>
      </c>
      <c r="I12" s="245">
        <v>-0.1</v>
      </c>
      <c r="J12" s="245">
        <v>-0.1</v>
      </c>
      <c r="K12" s="245">
        <v>-0.1</v>
      </c>
      <c r="L12" s="245">
        <v>-0.1</v>
      </c>
      <c r="M12" s="245">
        <v>-0.1</v>
      </c>
      <c r="N12" s="245">
        <v>-0.1</v>
      </c>
      <c r="O12" s="245">
        <v>-0.1</v>
      </c>
      <c r="S12" s="244"/>
      <c r="T12" s="244"/>
    </row>
    <row r="13" spans="2:20" x14ac:dyDescent="0.3">
      <c r="B13" t="s">
        <v>78</v>
      </c>
      <c r="D13" s="246">
        <f>'Penalty 2026'!Q10</f>
        <v>0.32399808257793372</v>
      </c>
      <c r="E13" s="246">
        <f>'Penalty 2026'!Q11</f>
        <v>-0.17280348307693466</v>
      </c>
      <c r="F13" s="246">
        <f>'Penalty 2026'!Q12</f>
        <v>0.87409747072998401</v>
      </c>
      <c r="G13" s="246">
        <f>'Penalty 2026'!Q13</f>
        <v>1.7826950369718468</v>
      </c>
      <c r="H13" s="246">
        <f>'Penalty 2026'!Q14</f>
        <v>-2.9875843502868163E-2</v>
      </c>
      <c r="I13" s="246">
        <f>'Penalty 2026'!Q15</f>
        <v>-0.58165246796708914</v>
      </c>
      <c r="J13" s="246">
        <f>'Penalty 2026'!Q16</f>
        <v>1.0907384183515523</v>
      </c>
      <c r="K13" s="246">
        <f>'Penalty 2026'!Q17</f>
        <v>1.6283605916796011</v>
      </c>
      <c r="L13" s="246">
        <f>'Penalty 2026'!Q18</f>
        <v>1.0967626603146383</v>
      </c>
      <c r="M13" s="246">
        <f>'Penalty 2026'!Q19</f>
        <v>0.28154871593805131</v>
      </c>
      <c r="N13" s="246">
        <f>'Penalty 2026'!Q20</f>
        <v>0.21154587509637626</v>
      </c>
      <c r="O13" s="246">
        <f>'Penalty 2026'!Q21</f>
        <v>0</v>
      </c>
      <c r="S13" s="244"/>
      <c r="T13" s="244"/>
    </row>
    <row r="14" spans="2:20" x14ac:dyDescent="0.3">
      <c r="B14" t="s">
        <v>77</v>
      </c>
      <c r="D14" s="244">
        <f>D6</f>
        <v>2184.2619180000002</v>
      </c>
      <c r="E14" s="244">
        <f t="shared" ref="E14:J14" si="0">E6</f>
        <v>2122.6060000000002</v>
      </c>
      <c r="F14" s="244">
        <f t="shared" si="0"/>
        <v>1951.5973259999998</v>
      </c>
      <c r="G14" s="244">
        <f t="shared" si="0"/>
        <v>1887.0547800000002</v>
      </c>
      <c r="H14" s="244">
        <f t="shared" si="0"/>
        <v>2045.7310400000001</v>
      </c>
      <c r="I14" s="244">
        <f t="shared" si="0"/>
        <v>2140.6889999999999</v>
      </c>
      <c r="J14" s="244">
        <f t="shared" si="0"/>
        <v>2432.3609999999999</v>
      </c>
      <c r="K14" s="244">
        <f>K6</f>
        <v>1834.912</v>
      </c>
      <c r="L14" s="244">
        <f>L6</f>
        <v>2083.6766899999998</v>
      </c>
      <c r="M14" s="244">
        <f>M6</f>
        <v>2550.5</v>
      </c>
      <c r="N14" s="244">
        <f>N6</f>
        <v>2594</v>
      </c>
      <c r="O14" s="244">
        <f>O6</f>
        <v>655</v>
      </c>
      <c r="P14" s="247">
        <f>SUM(D14:O14)</f>
        <v>24482.389754</v>
      </c>
      <c r="S14" s="244"/>
      <c r="T14" s="244"/>
    </row>
    <row r="15" spans="2:20" x14ac:dyDescent="0.3">
      <c r="S15" s="244"/>
      <c r="T15" s="244"/>
    </row>
    <row r="16" spans="2:20" x14ac:dyDescent="0.3">
      <c r="S16" s="244"/>
      <c r="T16" s="244"/>
    </row>
    <row r="17" spans="20:20" x14ac:dyDescent="0.3">
      <c r="T17" s="244"/>
    </row>
    <row r="18" spans="20:20" x14ac:dyDescent="0.3">
      <c r="T18" s="244"/>
    </row>
    <row r="19" spans="20:20" x14ac:dyDescent="0.3">
      <c r="T19" s="244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DC842-06C7-4E6C-AF84-ECA9D6E1A4B5}">
  <dimension ref="A1:X51"/>
  <sheetViews>
    <sheetView topLeftCell="A7" workbookViewId="0">
      <selection activeCell="Q23" sqref="Q23"/>
    </sheetView>
  </sheetViews>
  <sheetFormatPr defaultRowHeight="14.4" x14ac:dyDescent="0.3"/>
  <cols>
    <col min="2" max="2" width="22.44140625" bestFit="1" customWidth="1"/>
    <col min="3" max="3" width="13.5546875" bestFit="1" customWidth="1"/>
    <col min="4" max="4" width="14" bestFit="1" customWidth="1"/>
    <col min="5" max="5" width="15.5546875" bestFit="1" customWidth="1"/>
    <col min="6" max="6" width="12.44140625" bestFit="1" customWidth="1"/>
    <col min="7" max="7" width="14" bestFit="1" customWidth="1"/>
    <col min="8" max="8" width="14.44140625" bestFit="1" customWidth="1"/>
    <col min="9" max="9" width="10.44140625" bestFit="1" customWidth="1"/>
    <col min="10" max="10" width="14" bestFit="1" customWidth="1"/>
    <col min="12" max="12" width="13.5546875" bestFit="1" customWidth="1"/>
    <col min="13" max="13" width="14" bestFit="1" customWidth="1"/>
    <col min="14" max="14" width="15.5546875" bestFit="1" customWidth="1"/>
  </cols>
  <sheetData>
    <row r="1" spans="1: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"/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3">
      <c r="A5" s="1"/>
      <c r="B5" s="1"/>
      <c r="C5" s="1"/>
      <c r="D5" s="1"/>
      <c r="E5" s="5"/>
      <c r="F5" s="1"/>
      <c r="G5" s="2"/>
      <c r="H5" s="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3">
      <c r="A6" s="1"/>
      <c r="B6" s="1"/>
      <c r="C6" s="1"/>
      <c r="D6" s="1"/>
      <c r="E6" s="1"/>
      <c r="F6" s="1"/>
      <c r="G6" s="1"/>
      <c r="H6" s="2"/>
      <c r="I6" s="2"/>
      <c r="J6" s="1"/>
      <c r="K6" s="2"/>
      <c r="L6" s="1"/>
      <c r="M6" s="1"/>
      <c r="N6" s="1"/>
      <c r="O6" s="1"/>
      <c r="P6" s="1">
        <f>N11/L11</f>
        <v>-0.3956356572399341</v>
      </c>
      <c r="Q6" s="1"/>
      <c r="R6" s="1"/>
      <c r="S6" s="1"/>
      <c r="T6" s="1"/>
      <c r="U6" s="1"/>
      <c r="V6" s="1"/>
      <c r="W6" s="1"/>
      <c r="X6" s="1"/>
    </row>
    <row r="7" spans="1:24" x14ac:dyDescent="0.3">
      <c r="A7" s="1"/>
      <c r="B7" s="1"/>
      <c r="C7" s="1"/>
      <c r="D7" s="1"/>
      <c r="E7" s="1"/>
      <c r="F7" s="1"/>
      <c r="G7" s="2"/>
      <c r="H7" s="2"/>
      <c r="I7" s="2"/>
      <c r="J7" s="1"/>
      <c r="K7" s="1"/>
      <c r="L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8" x14ac:dyDescent="0.3">
      <c r="A8" s="1"/>
      <c r="B8" s="612" t="s">
        <v>3</v>
      </c>
      <c r="C8" s="614" t="s">
        <v>4</v>
      </c>
      <c r="D8" s="614"/>
      <c r="E8" s="614"/>
      <c r="F8" s="614" t="s">
        <v>5</v>
      </c>
      <c r="G8" s="614"/>
      <c r="H8" s="614"/>
      <c r="I8" s="615" t="s">
        <v>6</v>
      </c>
      <c r="J8" s="616"/>
      <c r="K8" s="616"/>
      <c r="L8" s="614" t="s">
        <v>7</v>
      </c>
      <c r="M8" s="614"/>
      <c r="N8" s="614"/>
      <c r="O8" s="618" t="s">
        <v>8</v>
      </c>
      <c r="P8" s="1"/>
      <c r="Q8" s="1"/>
      <c r="R8" s="1"/>
      <c r="S8" s="1">
        <f>3000000/29000000</f>
        <v>0.10344827586206896</v>
      </c>
      <c r="T8" s="1"/>
      <c r="U8" s="1"/>
      <c r="V8" s="1"/>
      <c r="W8" s="1"/>
      <c r="X8" s="1"/>
    </row>
    <row r="9" spans="1:24" ht="18" x14ac:dyDescent="0.35">
      <c r="A9" s="1"/>
      <c r="B9" s="613"/>
      <c r="C9" s="421" t="s">
        <v>9</v>
      </c>
      <c r="D9" s="421" t="s">
        <v>10</v>
      </c>
      <c r="E9" s="149" t="s">
        <v>11</v>
      </c>
      <c r="F9" s="421" t="s">
        <v>9</v>
      </c>
      <c r="G9" s="421" t="s">
        <v>12</v>
      </c>
      <c r="H9" s="421" t="s">
        <v>11</v>
      </c>
      <c r="I9" s="421" t="s">
        <v>9</v>
      </c>
      <c r="J9" s="421" t="s">
        <v>10</v>
      </c>
      <c r="K9" s="422" t="s">
        <v>11</v>
      </c>
      <c r="L9" s="421" t="s">
        <v>9</v>
      </c>
      <c r="M9" s="421" t="s">
        <v>10</v>
      </c>
      <c r="N9" s="150" t="s">
        <v>11</v>
      </c>
      <c r="O9" s="619"/>
      <c r="P9" s="1"/>
      <c r="Q9" s="1"/>
      <c r="R9" s="1"/>
      <c r="S9" s="1"/>
      <c r="T9" s="1"/>
      <c r="U9" s="1"/>
      <c r="V9" s="1"/>
      <c r="W9" s="1"/>
      <c r="X9" s="1"/>
    </row>
    <row r="10" spans="1:24" ht="18" x14ac:dyDescent="0.35">
      <c r="A10" s="1"/>
      <c r="B10" s="324" t="s">
        <v>13</v>
      </c>
      <c r="C10" s="325">
        <v>709609</v>
      </c>
      <c r="D10" s="326">
        <v>-0.28622711257534206</v>
      </c>
      <c r="E10" s="327">
        <f t="shared" ref="E10:E21" si="0">C10*D10</f>
        <v>-203109.3351274759</v>
      </c>
      <c r="F10" s="328">
        <v>459285</v>
      </c>
      <c r="G10" s="329">
        <v>-0.47946155832313919</v>
      </c>
      <c r="H10" s="327">
        <f>F10*G10</f>
        <v>-220209.50181444298</v>
      </c>
      <c r="I10" s="330">
        <v>32514</v>
      </c>
      <c r="J10" s="331">
        <v>0</v>
      </c>
      <c r="K10" s="332">
        <f t="shared" ref="K10:K21" si="1">I10*J10</f>
        <v>0</v>
      </c>
      <c r="L10" s="333">
        <f>C10+F10+I10</f>
        <v>1201408</v>
      </c>
      <c r="M10" s="334">
        <f>J37</f>
        <v>-0.35235227078720877</v>
      </c>
      <c r="N10" s="335">
        <f>E10+H10+K10</f>
        <v>-423318.83694191888</v>
      </c>
      <c r="O10" s="1"/>
      <c r="P10" s="6">
        <f>C10/L10</f>
        <v>0.59064780657362026</v>
      </c>
      <c r="Q10" s="6">
        <f>F10/L10</f>
        <v>0.38228894763477522</v>
      </c>
      <c r="R10" s="1"/>
      <c r="S10" s="1">
        <v>0.65</v>
      </c>
      <c r="T10" s="1">
        <v>0.3</v>
      </c>
      <c r="U10" s="1">
        <v>4.9999999999999989E-2</v>
      </c>
      <c r="V10" s="1"/>
      <c r="W10" s="1"/>
      <c r="X10" s="1"/>
    </row>
    <row r="11" spans="1:24" ht="18" x14ac:dyDescent="0.35">
      <c r="A11" s="1"/>
      <c r="B11" s="324" t="s">
        <v>14</v>
      </c>
      <c r="C11" s="325">
        <v>657525</v>
      </c>
      <c r="D11" s="326">
        <v>-0.19885314352242825</v>
      </c>
      <c r="E11" s="327">
        <f>C11*D11</f>
        <v>-130750.91319458463</v>
      </c>
      <c r="F11" s="328">
        <v>557625</v>
      </c>
      <c r="G11" s="329">
        <v>-0.65738832357355115</v>
      </c>
      <c r="H11" s="327">
        <f>F11*G11</f>
        <v>-366576.16393270146</v>
      </c>
      <c r="I11" s="330">
        <v>41883</v>
      </c>
      <c r="J11" s="331">
        <v>0</v>
      </c>
      <c r="K11" s="332">
        <f t="shared" si="1"/>
        <v>0</v>
      </c>
      <c r="L11" s="333">
        <f t="shared" ref="L11:L21" si="2">C11+F11+I11</f>
        <v>1257033</v>
      </c>
      <c r="M11" s="334">
        <f>J38</f>
        <v>-0.3956356572399341</v>
      </c>
      <c r="N11" s="335">
        <f t="shared" ref="N11:N21" si="3">E11+H11+K11</f>
        <v>-497327.07712728612</v>
      </c>
      <c r="O11" s="1"/>
      <c r="P11" s="6">
        <f t="shared" ref="P11:P21" si="4">C11/L11</f>
        <v>0.52307695979341828</v>
      </c>
      <c r="Q11" s="6">
        <f>F11/L11</f>
        <v>0.44360410585879606</v>
      </c>
      <c r="R11" s="1"/>
      <c r="S11" s="1"/>
      <c r="T11" s="1"/>
      <c r="U11" s="1"/>
      <c r="V11" s="1"/>
      <c r="W11" s="1"/>
      <c r="X11" s="1"/>
    </row>
    <row r="12" spans="1:24" ht="18" x14ac:dyDescent="0.35">
      <c r="A12" s="1"/>
      <c r="B12" s="324" t="s">
        <v>15</v>
      </c>
      <c r="C12" s="325">
        <v>963467.55</v>
      </c>
      <c r="D12" s="326">
        <v>-2.3923438631345301E-2</v>
      </c>
      <c r="E12" s="327">
        <f t="shared" si="0"/>
        <v>-23049.456805717611</v>
      </c>
      <c r="F12" s="328">
        <v>635529</v>
      </c>
      <c r="G12" s="329">
        <v>-0.53523178256462089</v>
      </c>
      <c r="H12" s="327">
        <f>F12*G12</f>
        <v>-340155.31954151095</v>
      </c>
      <c r="I12" s="330">
        <v>53973</v>
      </c>
      <c r="J12" s="331">
        <v>0</v>
      </c>
      <c r="K12" s="332">
        <f t="shared" si="1"/>
        <v>0</v>
      </c>
      <c r="L12" s="333">
        <f t="shared" si="2"/>
        <v>1652969.55</v>
      </c>
      <c r="M12" s="334">
        <f>J39</f>
        <v>-0.21972865522370241</v>
      </c>
      <c r="N12" s="335">
        <f t="shared" si="3"/>
        <v>-363204.77634722856</v>
      </c>
      <c r="O12" s="1"/>
      <c r="P12" s="6">
        <f t="shared" si="4"/>
        <v>0.58287071894337072</v>
      </c>
      <c r="Q12" s="6">
        <f>F12/L12</f>
        <v>0.38447713692003582</v>
      </c>
      <c r="R12" s="1"/>
      <c r="S12" s="1">
        <f>(S10/1)*$U$8</f>
        <v>0</v>
      </c>
      <c r="T12" s="1">
        <f>(T10/1)*$U$8</f>
        <v>0</v>
      </c>
      <c r="U12" s="1">
        <f>(U10/1)*$U$8</f>
        <v>0</v>
      </c>
      <c r="V12" s="1"/>
      <c r="W12" s="1"/>
      <c r="X12" s="1"/>
    </row>
    <row r="13" spans="1:24" ht="18" x14ac:dyDescent="0.35">
      <c r="A13" s="1"/>
      <c r="B13" s="324" t="s">
        <v>16</v>
      </c>
      <c r="C13" s="365">
        <v>784473</v>
      </c>
      <c r="D13" s="326">
        <v>-0.24989126670624187</v>
      </c>
      <c r="E13" s="327">
        <f t="shared" si="0"/>
        <v>-196032.95166684568</v>
      </c>
      <c r="F13" s="366">
        <v>541095</v>
      </c>
      <c r="G13" s="329">
        <v>-9.8411349393254827E-2</v>
      </c>
      <c r="H13" s="327">
        <f>F13*G13</f>
        <v>-53249.889099943219</v>
      </c>
      <c r="I13" s="330">
        <v>59224.358000000007</v>
      </c>
      <c r="J13" s="331">
        <v>0</v>
      </c>
      <c r="K13" s="332">
        <f t="shared" si="1"/>
        <v>0</v>
      </c>
      <c r="L13" s="367">
        <f t="shared" si="2"/>
        <v>1384792.358</v>
      </c>
      <c r="M13" s="334">
        <f t="shared" ref="M13:M21" si="5">J40</f>
        <v>-0.18001459881452414</v>
      </c>
      <c r="N13" s="335">
        <f t="shared" si="3"/>
        <v>-249282.8407667889</v>
      </c>
      <c r="O13" s="1"/>
      <c r="P13" s="6">
        <f t="shared" si="4"/>
        <v>0.56649142773504535</v>
      </c>
      <c r="Q13" s="6">
        <f t="shared" ref="Q13:Q21" si="6">F13/L13</f>
        <v>0.39074089113365834</v>
      </c>
      <c r="R13" s="1"/>
      <c r="S13" s="1"/>
      <c r="T13" s="1"/>
      <c r="U13" s="1"/>
      <c r="V13" s="1"/>
      <c r="W13" s="1"/>
      <c r="X13" s="1"/>
    </row>
    <row r="14" spans="1:24" ht="18" x14ac:dyDescent="0.35">
      <c r="A14" s="1"/>
      <c r="B14" s="324" t="s">
        <v>17</v>
      </c>
      <c r="C14" s="365">
        <v>1065906</v>
      </c>
      <c r="D14" s="326">
        <v>-1.148276684226333</v>
      </c>
      <c r="E14" s="368">
        <f t="shared" si="0"/>
        <v>-1223955.0073769537</v>
      </c>
      <c r="F14" s="366">
        <v>862787</v>
      </c>
      <c r="G14" s="329">
        <v>-0.54774758347867469</v>
      </c>
      <c r="H14" s="368">
        <f>F14*G14</f>
        <v>-472589.49430681532</v>
      </c>
      <c r="I14" s="369">
        <v>78755.834999999992</v>
      </c>
      <c r="J14" s="331">
        <v>0</v>
      </c>
      <c r="K14" s="332">
        <f>I14*J14</f>
        <v>0</v>
      </c>
      <c r="L14" s="367">
        <f t="shared" si="2"/>
        <v>2007448.835</v>
      </c>
      <c r="M14" s="370">
        <f t="shared" si="5"/>
        <v>-0.84512465379162161</v>
      </c>
      <c r="N14" s="371">
        <f t="shared" si="3"/>
        <v>-1696544.501683769</v>
      </c>
      <c r="O14" s="7">
        <f t="shared" ref="O14:O21" si="7">F14+I14</f>
        <v>941542.83499999996</v>
      </c>
      <c r="P14" s="6">
        <f t="shared" si="4"/>
        <v>0.53097542583196145</v>
      </c>
      <c r="Q14" s="6">
        <f t="shared" si="6"/>
        <v>0.42979277227755597</v>
      </c>
      <c r="R14" s="1"/>
      <c r="S14" s="1"/>
      <c r="T14" s="1"/>
      <c r="U14" s="1"/>
      <c r="V14" s="1"/>
      <c r="W14" s="1"/>
      <c r="X14" s="1"/>
    </row>
    <row r="15" spans="1:24" ht="18" x14ac:dyDescent="0.35">
      <c r="A15" s="1"/>
      <c r="B15" s="372" t="s">
        <v>18</v>
      </c>
      <c r="C15" s="365">
        <v>944095</v>
      </c>
      <c r="D15" s="373">
        <v>-1.2575722399142439</v>
      </c>
      <c r="E15" s="368">
        <f t="shared" si="0"/>
        <v>-1187267.663841838</v>
      </c>
      <c r="F15" s="374">
        <v>483256</v>
      </c>
      <c r="G15" s="329">
        <v>-1.7614092193369288</v>
      </c>
      <c r="H15" s="375">
        <f t="shared" ref="H15:H21" si="8">F15*G15</f>
        <v>-851211.57369988691</v>
      </c>
      <c r="I15" s="376">
        <v>51763</v>
      </c>
      <c r="J15" s="331">
        <v>0</v>
      </c>
      <c r="K15" s="377">
        <f t="shared" si="1"/>
        <v>0</v>
      </c>
      <c r="L15" s="367">
        <f t="shared" si="2"/>
        <v>1479114</v>
      </c>
      <c r="M15" s="370">
        <f t="shared" si="5"/>
        <v>-1.3781758793045871</v>
      </c>
      <c r="N15" s="371">
        <f t="shared" si="3"/>
        <v>-2038479.2375417249</v>
      </c>
      <c r="O15" s="7">
        <f t="shared" si="7"/>
        <v>535019</v>
      </c>
      <c r="P15" s="6">
        <f t="shared" si="4"/>
        <v>0.63828413496187586</v>
      </c>
      <c r="Q15" s="6">
        <f t="shared" si="6"/>
        <v>0.32671991475978185</v>
      </c>
      <c r="R15" s="1"/>
      <c r="S15" s="8">
        <f>(S10/0.95)*S8</f>
        <v>7.0780399274047182E-2</v>
      </c>
      <c r="T15" s="8">
        <f>(T10/0.95)*S8</f>
        <v>3.2667876588021776E-2</v>
      </c>
      <c r="U15" s="1"/>
      <c r="V15" s="1"/>
      <c r="W15" s="1"/>
      <c r="X15" s="1"/>
    </row>
    <row r="16" spans="1:24" ht="18" x14ac:dyDescent="0.35">
      <c r="A16" s="1"/>
      <c r="B16" s="324" t="s">
        <v>19</v>
      </c>
      <c r="C16" s="365">
        <v>1148294.0689999999</v>
      </c>
      <c r="D16" s="373">
        <v>-3.2857252028919555</v>
      </c>
      <c r="E16" s="368">
        <f t="shared" si="0"/>
        <v>-3772978.7628446538</v>
      </c>
      <c r="F16" s="374">
        <v>815976</v>
      </c>
      <c r="G16" s="382">
        <v>-3.1616914196951806</v>
      </c>
      <c r="H16" s="375">
        <f t="shared" si="8"/>
        <v>-2579864.3178771948</v>
      </c>
      <c r="I16" s="365">
        <v>59657</v>
      </c>
      <c r="J16" s="331">
        <v>0</v>
      </c>
      <c r="K16" s="383">
        <v>0</v>
      </c>
      <c r="L16" s="367">
        <f t="shared" si="2"/>
        <v>2023927.0689999999</v>
      </c>
      <c r="M16" s="370">
        <f t="shared" si="5"/>
        <v>-3.1388695660168815</v>
      </c>
      <c r="N16" s="371">
        <f t="shared" si="3"/>
        <v>-6352843.0807218486</v>
      </c>
      <c r="O16" s="7">
        <f t="shared" si="7"/>
        <v>875633</v>
      </c>
      <c r="P16" s="6">
        <f t="shared" si="4"/>
        <v>0.56735941061718165</v>
      </c>
      <c r="Q16" s="6">
        <f t="shared" si="6"/>
        <v>0.40316472490442296</v>
      </c>
      <c r="R16" s="1"/>
      <c r="S16" s="1"/>
      <c r="T16" s="1"/>
      <c r="U16" s="1"/>
      <c r="V16" s="1"/>
      <c r="W16" s="1"/>
      <c r="X16" s="1"/>
    </row>
    <row r="17" spans="1:24" ht="18" x14ac:dyDescent="0.35">
      <c r="A17" s="1"/>
      <c r="B17" s="402" t="s">
        <v>20</v>
      </c>
      <c r="C17" s="403">
        <v>977693.02500000002</v>
      </c>
      <c r="D17" s="394">
        <v>-1.1100000000000001</v>
      </c>
      <c r="E17" s="404">
        <f t="shared" si="0"/>
        <v>-1085239.2577500001</v>
      </c>
      <c r="F17" s="405">
        <v>811562</v>
      </c>
      <c r="G17" s="406">
        <v>-0.10849716304866265</v>
      </c>
      <c r="H17" s="404">
        <f t="shared" si="8"/>
        <v>-88052.174638098761</v>
      </c>
      <c r="I17" s="403">
        <v>100710</v>
      </c>
      <c r="J17" s="407">
        <v>0</v>
      </c>
      <c r="K17" s="408">
        <f t="shared" si="1"/>
        <v>0</v>
      </c>
      <c r="L17" s="409">
        <f t="shared" si="2"/>
        <v>1889965.0249999999</v>
      </c>
      <c r="M17" s="400">
        <f>J44</f>
        <v>-0.62080060576152674</v>
      </c>
      <c r="N17" s="410">
        <f t="shared" si="3"/>
        <v>-1173291.4323880989</v>
      </c>
      <c r="O17" s="7">
        <f t="shared" si="7"/>
        <v>912272</v>
      </c>
      <c r="P17" s="6">
        <f t="shared" si="4"/>
        <v>0.51730746975066377</v>
      </c>
      <c r="Q17" s="6">
        <f t="shared" si="6"/>
        <v>0.42940582987772485</v>
      </c>
      <c r="R17" s="1"/>
      <c r="S17" s="1"/>
      <c r="T17" s="1"/>
      <c r="U17" s="1"/>
      <c r="V17" s="1"/>
      <c r="W17" s="1"/>
      <c r="X17" s="1"/>
    </row>
    <row r="18" spans="1:24" ht="18" x14ac:dyDescent="0.35">
      <c r="A18" s="1"/>
      <c r="B18" s="392" t="s">
        <v>21</v>
      </c>
      <c r="C18" s="403">
        <v>1056931</v>
      </c>
      <c r="D18" s="394">
        <v>-1.01</v>
      </c>
      <c r="E18" s="404">
        <f t="shared" si="0"/>
        <v>-1067500.31</v>
      </c>
      <c r="F18" s="405">
        <v>733254</v>
      </c>
      <c r="G18" s="406">
        <v>-1.69</v>
      </c>
      <c r="H18" s="404">
        <f t="shared" si="8"/>
        <v>-1239199.26</v>
      </c>
      <c r="I18" s="403">
        <v>132015</v>
      </c>
      <c r="J18" s="407">
        <v>0</v>
      </c>
      <c r="K18" s="408">
        <f t="shared" si="1"/>
        <v>0</v>
      </c>
      <c r="L18" s="409">
        <f t="shared" si="2"/>
        <v>1922200</v>
      </c>
      <c r="M18" s="400">
        <f t="shared" si="5"/>
        <v>-1.2000309905316826</v>
      </c>
      <c r="N18" s="410">
        <f t="shared" si="3"/>
        <v>-2306699.5700000003</v>
      </c>
      <c r="O18" s="1">
        <f t="shared" si="7"/>
        <v>865269</v>
      </c>
      <c r="P18" s="6">
        <f t="shared" si="4"/>
        <v>0.54985485381333887</v>
      </c>
      <c r="Q18" s="6">
        <f>F18/L18</f>
        <v>0.38146602850900008</v>
      </c>
      <c r="R18" s="1"/>
      <c r="S18" s="1"/>
      <c r="T18" s="1"/>
      <c r="U18" s="1"/>
      <c r="V18" s="1"/>
      <c r="W18" s="1"/>
      <c r="X18" s="1"/>
    </row>
    <row r="19" spans="1:24" ht="18" x14ac:dyDescent="0.35">
      <c r="A19" s="1"/>
      <c r="B19" s="392" t="s">
        <v>22</v>
      </c>
      <c r="C19" s="403">
        <v>1029513</v>
      </c>
      <c r="D19" s="394">
        <v>-2.44</v>
      </c>
      <c r="E19" s="404">
        <f t="shared" si="0"/>
        <v>-2512011.7199999997</v>
      </c>
      <c r="F19" s="405">
        <v>488758</v>
      </c>
      <c r="G19" s="406">
        <v>-3.48</v>
      </c>
      <c r="H19" s="404">
        <f t="shared" si="8"/>
        <v>-1700877.84</v>
      </c>
      <c r="I19" s="403">
        <v>88927</v>
      </c>
      <c r="J19" s="407">
        <v>0</v>
      </c>
      <c r="K19" s="408">
        <f t="shared" si="1"/>
        <v>0</v>
      </c>
      <c r="L19" s="409">
        <f t="shared" si="2"/>
        <v>1607198</v>
      </c>
      <c r="M19" s="400">
        <f t="shared" si="5"/>
        <v>-2.6212635655345511</v>
      </c>
      <c r="N19" s="410">
        <f t="shared" si="3"/>
        <v>-4212889.5599999996</v>
      </c>
      <c r="O19" s="1">
        <f t="shared" si="7"/>
        <v>577685</v>
      </c>
      <c r="P19" s="6">
        <f t="shared" si="4"/>
        <v>0.64056388820792465</v>
      </c>
      <c r="Q19" s="6">
        <f t="shared" si="6"/>
        <v>0.30410565468598144</v>
      </c>
      <c r="R19" s="1"/>
      <c r="S19" s="1"/>
      <c r="T19" s="1"/>
      <c r="U19" s="1"/>
      <c r="V19" s="1"/>
      <c r="W19" s="1"/>
      <c r="X19" s="1"/>
    </row>
    <row r="20" spans="1:24" ht="18" x14ac:dyDescent="0.35">
      <c r="A20" s="1"/>
      <c r="B20" s="425" t="s">
        <v>23</v>
      </c>
      <c r="C20" s="403">
        <v>784651</v>
      </c>
      <c r="D20" s="394">
        <v>-0.66974602999999999</v>
      </c>
      <c r="E20" s="404">
        <f t="shared" si="0"/>
        <v>-525516.89218553004</v>
      </c>
      <c r="F20" s="405">
        <v>736327</v>
      </c>
      <c r="G20" s="406">
        <v>-0.38</v>
      </c>
      <c r="H20" s="404">
        <f t="shared" si="8"/>
        <v>-279804.26</v>
      </c>
      <c r="I20" s="403">
        <v>117310</v>
      </c>
      <c r="J20" s="407">
        <v>0</v>
      </c>
      <c r="K20" s="408">
        <f>I20*J20</f>
        <v>0</v>
      </c>
      <c r="L20" s="409">
        <f t="shared" si="2"/>
        <v>1638288</v>
      </c>
      <c r="M20" s="400">
        <f t="shared" si="5"/>
        <v>-0.49156262646465704</v>
      </c>
      <c r="N20" s="410">
        <f t="shared" si="3"/>
        <v>-805321.15218553005</v>
      </c>
      <c r="O20" s="1">
        <f t="shared" si="7"/>
        <v>853637</v>
      </c>
      <c r="P20" s="6">
        <f t="shared" si="4"/>
        <v>0.4789457042961921</v>
      </c>
      <c r="Q20" s="6">
        <f t="shared" si="6"/>
        <v>0.44944905901770626</v>
      </c>
      <c r="R20" s="1"/>
      <c r="S20" s="1"/>
      <c r="T20" s="1"/>
      <c r="U20" s="1"/>
      <c r="V20" s="1"/>
      <c r="W20" s="1"/>
      <c r="X20" s="1"/>
    </row>
    <row r="21" spans="1:24" ht="18" x14ac:dyDescent="0.35">
      <c r="A21" s="1"/>
      <c r="B21" s="384" t="s">
        <v>24</v>
      </c>
      <c r="C21" s="385">
        <v>1158788</v>
      </c>
      <c r="D21" s="386">
        <v>-0.41</v>
      </c>
      <c r="E21" s="387">
        <f t="shared" si="0"/>
        <v>-475103.07999999996</v>
      </c>
      <c r="F21" s="388">
        <v>760279</v>
      </c>
      <c r="G21" s="414">
        <v>-0.57999999999999996</v>
      </c>
      <c r="H21" s="415">
        <f t="shared" si="8"/>
        <v>-440961.81999999995</v>
      </c>
      <c r="I21" s="385">
        <v>67741</v>
      </c>
      <c r="J21" s="416">
        <v>0</v>
      </c>
      <c r="K21" s="417">
        <f t="shared" si="1"/>
        <v>0</v>
      </c>
      <c r="L21" s="389">
        <f t="shared" si="2"/>
        <v>1986808</v>
      </c>
      <c r="M21" s="390">
        <f t="shared" si="5"/>
        <v>-0.46107369207291288</v>
      </c>
      <c r="N21" s="391">
        <f t="shared" si="3"/>
        <v>-916064.89999999991</v>
      </c>
      <c r="O21" s="1">
        <f t="shared" si="7"/>
        <v>828020</v>
      </c>
      <c r="P21" s="6">
        <f t="shared" si="4"/>
        <v>0.58324105801869131</v>
      </c>
      <c r="Q21" s="6">
        <f t="shared" si="6"/>
        <v>0.38266354876767156</v>
      </c>
      <c r="R21" s="1"/>
      <c r="S21" s="1"/>
      <c r="T21" s="1"/>
      <c r="U21" s="1"/>
      <c r="V21" s="1"/>
      <c r="W21" s="1"/>
      <c r="X21" s="1"/>
    </row>
    <row r="22" spans="1:24" ht="8.25" customHeight="1" x14ac:dyDescent="0.35">
      <c r="A22" s="1"/>
      <c r="B22" s="9"/>
      <c r="C22" s="10"/>
      <c r="D22" s="11"/>
      <c r="E22" s="12"/>
      <c r="F22" s="10"/>
      <c r="G22" s="13"/>
      <c r="H22" s="12"/>
      <c r="I22" s="14"/>
      <c r="J22" s="14"/>
      <c r="K22" s="15"/>
      <c r="L22" s="16"/>
      <c r="M22" s="17"/>
      <c r="N22" s="18"/>
      <c r="O22" s="1">
        <v>-1</v>
      </c>
      <c r="P22" s="1"/>
      <c r="Q22" s="1"/>
      <c r="R22" s="1"/>
      <c r="S22" s="1"/>
      <c r="T22" s="1"/>
      <c r="U22" s="1"/>
      <c r="V22" s="1"/>
      <c r="W22" s="1"/>
      <c r="X22" s="1"/>
    </row>
    <row r="23" spans="1:24" ht="18" x14ac:dyDescent="0.35">
      <c r="A23" s="1"/>
      <c r="B23" s="199" t="s">
        <v>25</v>
      </c>
      <c r="C23" s="200">
        <f>SUM(C10:C12)</f>
        <v>2330601.5499999998</v>
      </c>
      <c r="D23" s="83">
        <f>SUMPRODUCT(C10:C12,D10:D12)/SUM(C10:C12)</f>
        <v>-0.1531405937354578</v>
      </c>
      <c r="E23" s="181">
        <f>SUM(E10:E12)</f>
        <v>-356909.70512777817</v>
      </c>
      <c r="F23" s="80">
        <f>SUM(F10:F21)</f>
        <v>7885733</v>
      </c>
      <c r="G23" s="182">
        <f>SUMPRODUCT(F10:F12,G10:G12)/SUM(F10:F12)</f>
        <v>-0.56095322446919693</v>
      </c>
      <c r="H23" s="289">
        <f>SUM(H10:H12)</f>
        <v>-926940.98528865539</v>
      </c>
      <c r="I23" s="80">
        <f>SUM(I10:I12)</f>
        <v>128370</v>
      </c>
      <c r="J23" s="290">
        <f>SUMPRODUCT(I10:I12,J10:J12)/SUM(I10:I12)</f>
        <v>0</v>
      </c>
      <c r="K23" s="291">
        <f>SUM(K10:K12)</f>
        <v>0</v>
      </c>
      <c r="L23" s="200">
        <f>SUM(L10:L12)</f>
        <v>4111410.55</v>
      </c>
      <c r="M23" s="29">
        <f>SUMPRODUCT(L10:L12,M10:M12)/SUM(L10:L12)</f>
        <v>-0.31226526147247285</v>
      </c>
      <c r="N23" s="30">
        <f>SUM(N10:N12)</f>
        <v>-1283850.6904164336</v>
      </c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8" x14ac:dyDescent="0.35">
      <c r="A24" s="1"/>
      <c r="B24" s="199" t="s">
        <v>26</v>
      </c>
      <c r="C24" s="200">
        <f>SUM(C13:C15)</f>
        <v>2794474</v>
      </c>
      <c r="D24" s="83">
        <f>SUMPRODUCT(C13:C15,D13:D15)/SUM(C13:C15)</f>
        <v>-0.93300407263965868</v>
      </c>
      <c r="E24" s="181">
        <f>SUM(E13:E15)</f>
        <v>-2607255.6228856375</v>
      </c>
      <c r="F24" s="292">
        <f>SUM(F13:F15)</f>
        <v>1887138</v>
      </c>
      <c r="G24" s="182">
        <f>SUMPRODUCT(F13:F15,G13:G15)/SUM(F13:F15)</f>
        <v>-0.72970336939145175</v>
      </c>
      <c r="H24" s="289">
        <f>SUM(H13:H15)</f>
        <v>-1377050.9571066455</v>
      </c>
      <c r="I24" s="292">
        <f>SUM(I13:I15)</f>
        <v>189743.193</v>
      </c>
      <c r="J24" s="290">
        <f>SUMPRODUCT(I13:I15,J13:J15)/SUM(I13:I15)</f>
        <v>0</v>
      </c>
      <c r="K24" s="291">
        <f>SUM(K13:K15)</f>
        <v>0</v>
      </c>
      <c r="L24" s="200">
        <f>SUM(L13:L15)</f>
        <v>4871355.193</v>
      </c>
      <c r="M24" s="29">
        <f>SUMPRODUCT(L13:L15,M13:M15)/SUM(L13:L15)</f>
        <v>-0.81790516645503886</v>
      </c>
      <c r="N24" s="30">
        <f>SUM(N13:N15)</f>
        <v>-3984306.5799922831</v>
      </c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8" x14ac:dyDescent="0.35">
      <c r="A25" s="1"/>
      <c r="B25" s="19" t="s">
        <v>42</v>
      </c>
      <c r="C25" s="263">
        <f>SUM(C10:C15)</f>
        <v>5125075.55</v>
      </c>
      <c r="D25" s="20">
        <f>SUMPRODUCT(C10:C15,D10:D15)/SUM(C10:C15)</f>
        <v>-0.57836519658981722</v>
      </c>
      <c r="E25" s="293">
        <f>SUM(E10:E15)</f>
        <v>-2964165.3280134154</v>
      </c>
      <c r="F25" s="21">
        <f>SUM(F10:F15)</f>
        <v>3539577</v>
      </c>
      <c r="G25" s="20">
        <f>SUMPRODUCT(F10:F15,G10:G15)/SUM(F10:F15)</f>
        <v>-0.65092296124517157</v>
      </c>
      <c r="H25" s="22">
        <f>SUM(H10:H15)</f>
        <v>-2303991.9423953006</v>
      </c>
      <c r="I25" s="23">
        <f>SUM(I10:I15)</f>
        <v>318113.19299999997</v>
      </c>
      <c r="J25" s="294">
        <f>SUMPRODUCT(I10:I15,J10:J15)/SUM(I10:I15)</f>
        <v>0</v>
      </c>
      <c r="K25" s="295">
        <f>SUM(K10:K15)</f>
        <v>0</v>
      </c>
      <c r="L25" s="261">
        <f>SUM(L10:L15)</f>
        <v>8982765.7430000007</v>
      </c>
      <c r="M25" s="20">
        <f>SUMPRODUCT(L10:L15,M10:M15)/SUM(L10:L15)</f>
        <v>-0.58647385684236875</v>
      </c>
      <c r="N25" s="22">
        <f>SUM(N10:N15)</f>
        <v>-5268157.2704087161</v>
      </c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8" x14ac:dyDescent="0.35">
      <c r="A26" s="1"/>
      <c r="B26" s="199" t="s">
        <v>28</v>
      </c>
      <c r="C26" s="80">
        <f>SUM(C16:C18)</f>
        <v>3182918.094</v>
      </c>
      <c r="D26" s="83">
        <f>SUMPRODUCT(C16:C18,D16:D18)/SUM(C16:C18)</f>
        <v>-1.8617250446265028</v>
      </c>
      <c r="E26" s="181">
        <f>SUM(E16:E18)</f>
        <v>-5925718.3305946533</v>
      </c>
      <c r="F26" s="80">
        <f>SUM(F16:F18)</f>
        <v>2360792</v>
      </c>
      <c r="G26" s="83">
        <f>SUMPRODUCT(F16:F18,G16:G18)/SUM(F16:F18)</f>
        <v>-1.6550021147628819</v>
      </c>
      <c r="H26" s="181">
        <f>SUM(H16:H18)</f>
        <v>-3907115.7525152937</v>
      </c>
      <c r="I26" s="80">
        <f>SUM(I16:I18)</f>
        <v>292382</v>
      </c>
      <c r="J26" s="290">
        <f>SUMPRODUCT(I16:I18,J16:J18)/SUM(I16:I18)</f>
        <v>0</v>
      </c>
      <c r="K26" s="291">
        <f>SUM(K16:K18)</f>
        <v>0</v>
      </c>
      <c r="L26" s="200">
        <f>SUM(L16:L18)</f>
        <v>5836092.0939999996</v>
      </c>
      <c r="M26" s="29">
        <f>SUMPRODUCT(L16:L18,M16:M18)/SUM(L16:L18)</f>
        <v>-1.6848318917412117</v>
      </c>
      <c r="N26" s="30">
        <f>SUM(N16:N18)</f>
        <v>-9832834.0831099488</v>
      </c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8" x14ac:dyDescent="0.35">
      <c r="A27" s="1"/>
      <c r="B27" s="199" t="s">
        <v>29</v>
      </c>
      <c r="C27" s="25">
        <f>SUM(C19:C21)</f>
        <v>2972952</v>
      </c>
      <c r="D27" s="20">
        <f>SUMPRODUCT(C19:C21,D19:D21)/SUM(C19:C21)</f>
        <v>-1.1815299043460943</v>
      </c>
      <c r="E27" s="22">
        <f>SUM(E19:E21)</f>
        <v>-3512631.69218553</v>
      </c>
      <c r="F27" s="21">
        <f>SUM(F19:F21)</f>
        <v>1985364</v>
      </c>
      <c r="G27" s="20">
        <f>SUMPRODUCT(F19:F21,G19:G21)/SUM(F19:F21)</f>
        <v>-1.2197480764232653</v>
      </c>
      <c r="H27" s="22">
        <f>SUM(H19:H21)</f>
        <v>-2421643.92</v>
      </c>
      <c r="I27" s="25">
        <f>SUM(I19:I21)</f>
        <v>273978</v>
      </c>
      <c r="J27" s="26">
        <f>SUMPRODUCT(I19:I21,J19:J21)/SUM(I19:I21)</f>
        <v>0</v>
      </c>
      <c r="K27" s="27">
        <f>SUM(K19:K21)</f>
        <v>0</v>
      </c>
      <c r="L27" s="28">
        <f>SUM(L19:L21)</f>
        <v>5232294</v>
      </c>
      <c r="M27" s="29">
        <f>SUMPRODUCT(L19:L21,M19:M21)/SUM(L19:L21)</f>
        <v>-1.134163258445632</v>
      </c>
      <c r="N27" s="30">
        <f>SUM(N19:N21)</f>
        <v>-5934275.6121855304</v>
      </c>
      <c r="O27" s="1"/>
      <c r="P27" s="1">
        <v>2000</v>
      </c>
      <c r="Q27" s="1"/>
      <c r="R27" s="1"/>
      <c r="S27" s="1"/>
      <c r="T27" s="1"/>
      <c r="U27" s="1"/>
      <c r="V27" s="1"/>
      <c r="W27" s="1"/>
      <c r="X27" s="1"/>
    </row>
    <row r="28" spans="1:24" ht="18" x14ac:dyDescent="0.35">
      <c r="A28" s="1"/>
      <c r="B28" s="24" t="s">
        <v>30</v>
      </c>
      <c r="C28" s="25">
        <f>SUM(C16:C21)</f>
        <v>6155870.0940000005</v>
      </c>
      <c r="D28" s="20">
        <f>SUMPRODUCT(C16:C21,D16:D21)/SUM(C16:C21)</f>
        <v>-1.5332276150498283</v>
      </c>
      <c r="E28" s="22">
        <f>SUM(E16:E21)</f>
        <v>-9438350.0227801837</v>
      </c>
      <c r="F28" s="21">
        <f>SUM(F16:F21)</f>
        <v>4346156</v>
      </c>
      <c r="G28" s="20">
        <f>SUMPRODUCT(F16:F21,G16:G21)/SUM(F16:F21)</f>
        <v>-1.4561740702623867</v>
      </c>
      <c r="H28" s="22">
        <f>SUM(H16:H21)</f>
        <v>-6328759.6725152936</v>
      </c>
      <c r="I28" s="25">
        <f>SUM(I16:I21)</f>
        <v>566360</v>
      </c>
      <c r="J28" s="26">
        <f>SUMPRODUCT(I16:I21,J16:J21)/SUM(I16:I21)</f>
        <v>0</v>
      </c>
      <c r="K28" s="27">
        <f>SUM(K16:K21)</f>
        <v>0</v>
      </c>
      <c r="L28" s="28">
        <f>SUM(L16:L21)</f>
        <v>11068386.094000001</v>
      </c>
      <c r="M28" s="29">
        <f>SUMPRODUCT(L16:L21,M16:M21)/SUM(L16:L21)</f>
        <v>-1.4245175006898776</v>
      </c>
      <c r="N28" s="30">
        <f>SUM(N16:N21)</f>
        <v>-15767109.695295477</v>
      </c>
      <c r="O28" s="1"/>
      <c r="P28" s="1">
        <v>29000000</v>
      </c>
      <c r="Q28" s="1"/>
      <c r="R28" s="1"/>
      <c r="S28" s="1"/>
      <c r="T28" s="1"/>
      <c r="U28" s="1"/>
      <c r="V28" s="1"/>
      <c r="W28" s="1"/>
      <c r="X28" s="1"/>
    </row>
    <row r="29" spans="1:24" ht="3" customHeight="1" x14ac:dyDescent="0.3">
      <c r="A29" s="1"/>
      <c r="B29" s="1"/>
      <c r="C29" s="1"/>
      <c r="D29" s="31"/>
      <c r="E29" s="32"/>
      <c r="F29" s="33"/>
      <c r="G29" s="31"/>
      <c r="H29" s="32"/>
      <c r="I29" s="1"/>
      <c r="J29" s="34"/>
      <c r="K29" s="35"/>
      <c r="L29" s="36"/>
      <c r="M29" s="37"/>
      <c r="N29" s="38"/>
      <c r="O29" s="1"/>
      <c r="P29" s="39">
        <f>P27/P28</f>
        <v>6.8965517241379313E-5</v>
      </c>
      <c r="Q29" s="1"/>
      <c r="R29" s="1"/>
      <c r="S29" s="1"/>
      <c r="T29" s="1"/>
      <c r="U29" s="1"/>
      <c r="V29" s="1"/>
      <c r="W29" s="1"/>
      <c r="X29" s="1"/>
    </row>
    <row r="30" spans="1:24" ht="18" hidden="1" x14ac:dyDescent="0.35">
      <c r="A30" s="1"/>
      <c r="B30" s="40" t="s">
        <v>79</v>
      </c>
      <c r="C30" s="41">
        <f>SUM(C10:C15)</f>
        <v>5125075.55</v>
      </c>
      <c r="D30" s="42">
        <f>SUMPRODUCT(C10:C15,D10:D15)/SUM(C10:C15)</f>
        <v>-0.57836519658981722</v>
      </c>
      <c r="E30" s="43">
        <f>SUM(E10:E15)</f>
        <v>-2964165.3280134154</v>
      </c>
      <c r="F30" s="44">
        <f>SUM(F10:F15)</f>
        <v>3539577</v>
      </c>
      <c r="G30" s="42">
        <f>SUMPRODUCT(F10:F15,G10:G15)/SUM(F10:F15)</f>
        <v>-0.65092296124517157</v>
      </c>
      <c r="H30" s="43">
        <f>SUM(H10:H15)</f>
        <v>-2303991.9423953006</v>
      </c>
      <c r="I30" s="41">
        <f>SUM(I10:I14)</f>
        <v>266350.19299999997</v>
      </c>
      <c r="J30" s="45">
        <f>SUMPRODUCT(I10:I15,J10:J15)/SUM(I10:I15)</f>
        <v>0</v>
      </c>
      <c r="K30" s="46">
        <f>SUM(K10:K15)</f>
        <v>0</v>
      </c>
      <c r="L30" s="41">
        <f>SUM(L10:L15)</f>
        <v>8982765.7430000007</v>
      </c>
      <c r="M30" s="42">
        <f>SUMPRODUCT(L10:L15,M10:M15)/SUM(L10:L15)</f>
        <v>-0.58647385684236875</v>
      </c>
      <c r="N30" s="43">
        <f>SUM(N10:N15)</f>
        <v>-5268157.2704087161</v>
      </c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8" x14ac:dyDescent="0.35">
      <c r="A31" s="1"/>
      <c r="B31" s="168" t="s">
        <v>59</v>
      </c>
      <c r="C31" s="169">
        <f>SUM(C10:C21)</f>
        <v>11280945.644000001</v>
      </c>
      <c r="D31" s="170">
        <f>SUMPRODUCT(C10:C21,D10:D21)/SUM(C10:C21)</f>
        <v>-1.0994216036658353</v>
      </c>
      <c r="E31" s="171">
        <f>SUM(E10:E21)</f>
        <v>-12402515.3507936</v>
      </c>
      <c r="F31" s="169">
        <f>SUM(F10:F21)</f>
        <v>7885733</v>
      </c>
      <c r="G31" s="170">
        <f>SUMPRODUCT(F10:F21,G10:G21)/SUM(F10:F21)</f>
        <v>-1.0947303966429744</v>
      </c>
      <c r="H31" s="171">
        <f>SUM(H10:H21)</f>
        <v>-8632751.6149105933</v>
      </c>
      <c r="I31" s="169">
        <f>SUM(I10:I21)</f>
        <v>884473.19299999997</v>
      </c>
      <c r="J31" s="172">
        <f>SUMPRODUCT(I10:I21,J10:J21)/SUM(I10:I21)</f>
        <v>0</v>
      </c>
      <c r="K31" s="173">
        <f>SUM(K10:K21)</f>
        <v>0</v>
      </c>
      <c r="L31" s="169">
        <f>SUM(L10:L21)</f>
        <v>20051151.837000001</v>
      </c>
      <c r="M31" s="170">
        <f>SUMPRODUCT(L10:L21,M10:M21)/SUM(L10:L21)</f>
        <v>-1.0490802292409069</v>
      </c>
      <c r="N31" s="171">
        <f>SUM(N10:N21)</f>
        <v>-21035266.965704191</v>
      </c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8" x14ac:dyDescent="0.35">
      <c r="A32" s="1"/>
      <c r="B32" s="412" t="s">
        <v>33</v>
      </c>
      <c r="C32" s="413">
        <v>1000</v>
      </c>
      <c r="D32" s="49"/>
      <c r="E32" s="50"/>
      <c r="F32" s="51"/>
      <c r="G32" s="49"/>
      <c r="H32" s="48"/>
      <c r="I32" s="48"/>
      <c r="J32" s="52"/>
      <c r="K32" s="52"/>
      <c r="L32" s="48"/>
      <c r="M32" s="49"/>
      <c r="N32" s="48"/>
      <c r="O32" s="1"/>
      <c r="P32" s="1"/>
      <c r="Q32" s="53">
        <v>14163795.778999999</v>
      </c>
      <c r="R32" s="1">
        <v>0.59</v>
      </c>
      <c r="S32" s="1"/>
      <c r="T32" s="1"/>
      <c r="U32" s="1"/>
      <c r="V32" s="1"/>
      <c r="W32" s="1"/>
      <c r="X32" s="1"/>
    </row>
    <row r="33" spans="1:24" ht="18" x14ac:dyDescent="0.35">
      <c r="A33" s="1"/>
      <c r="B33" s="47"/>
      <c r="C33" s="48"/>
      <c r="D33" s="1"/>
      <c r="E33" s="50"/>
      <c r="F33" s="51"/>
      <c r="G33" s="49">
        <f>SUMPRODUCT(F10:F19,G10:G19)/SUM(F10:F19)</f>
        <v>-1.238351583073962</v>
      </c>
      <c r="H33" s="48" t="s">
        <v>34</v>
      </c>
      <c r="I33" s="48"/>
      <c r="J33" s="54">
        <f>L23/6719422</f>
        <v>0.61186967420709693</v>
      </c>
      <c r="K33" s="52"/>
      <c r="L33" s="48">
        <f>27000000-L31</f>
        <v>6948848.1629999988</v>
      </c>
      <c r="M33" s="49">
        <f>SUMPRODUCT(L10:L18,M10:M18)/SUM(L10:L18)</f>
        <v>-1.019038816595853</v>
      </c>
      <c r="N33" s="48">
        <v>-21035266.965704191</v>
      </c>
      <c r="O33" s="1"/>
      <c r="P33" s="1"/>
      <c r="Q33" s="55">
        <v>15836204.221000001</v>
      </c>
      <c r="R33" s="1">
        <v>0.43</v>
      </c>
      <c r="S33" s="1"/>
      <c r="T33" s="1"/>
      <c r="U33" s="1"/>
      <c r="V33" s="1"/>
      <c r="W33" s="1"/>
      <c r="X33" s="1"/>
    </row>
    <row r="34" spans="1:24" ht="18" x14ac:dyDescent="0.35">
      <c r="A34" s="1"/>
      <c r="B34" s="47"/>
      <c r="C34" s="48"/>
      <c r="D34" s="56">
        <f>SUMPRODUCT(C10:C20,D10:D20)/SUM(C10:C20)</f>
        <v>-1.1783468199454175</v>
      </c>
      <c r="E34" s="50"/>
      <c r="F34" s="51"/>
      <c r="G34" s="49">
        <f>SUMPRODUCT(F10:F20,G10:G20)/SUM(F10:F20)</f>
        <v>-1.1496516285012286</v>
      </c>
      <c r="H34" s="48"/>
      <c r="I34" s="48"/>
      <c r="J34" s="52"/>
      <c r="K34" s="52"/>
      <c r="L34" s="48">
        <f>L31-400000</f>
        <v>19651151.837000001</v>
      </c>
      <c r="M34" s="49"/>
      <c r="N34" s="48">
        <f>12000000+29000000</f>
        <v>41000000</v>
      </c>
      <c r="O34" s="1"/>
      <c r="P34" s="2">
        <f>N34-N33</f>
        <v>62035266.965704188</v>
      </c>
      <c r="Q34" s="1"/>
      <c r="R34" s="1">
        <f>SUMPRODUCT(Q32:Q33,R32:R33)/SUM(Q32:Q33)</f>
        <v>0.50554024415466658</v>
      </c>
      <c r="S34" s="1"/>
      <c r="T34" s="1"/>
      <c r="U34" s="1"/>
      <c r="V34" s="1"/>
      <c r="W34" s="1"/>
      <c r="X34" s="1"/>
    </row>
    <row r="35" spans="1:24" ht="18" x14ac:dyDescent="0.3">
      <c r="A35" s="1">
        <f>L33/70000</f>
        <v>99.269259471428555</v>
      </c>
      <c r="B35" s="57"/>
      <c r="C35" s="58">
        <f>SUM(C10:C17)</f>
        <v>7251062.6440000003</v>
      </c>
      <c r="D35" s="1">
        <f>SUMPRODUCT(C10:C17,D10:D17)/SUM(C10:C17)</f>
        <v>-1.0787913072411279</v>
      </c>
      <c r="E35" s="59">
        <f>SUM(E10:E17)</f>
        <v>-7822383.3486080691</v>
      </c>
      <c r="F35" s="1">
        <f>SUM(F10:F17)</f>
        <v>5167115</v>
      </c>
      <c r="G35" s="1">
        <f>SUMPRODUCT(F10:F17,G10:G17)/SUM(F10:F17)</f>
        <v>-0.96222136238705636</v>
      </c>
      <c r="H35" s="5">
        <f>SUM(H10:H17)</f>
        <v>-4971908.4349105945</v>
      </c>
      <c r="I35" s="5">
        <f>SUM(I10:I17)</f>
        <v>478480.19299999997</v>
      </c>
      <c r="J35" s="5">
        <f>SUMPRODUCT(I10:I17,J10:J17)/SUM(I10:I17)</f>
        <v>0</v>
      </c>
      <c r="K35" s="5">
        <f>SUM(K10:K17)</f>
        <v>0</v>
      </c>
      <c r="L35" s="2">
        <f>SUM(L10:L17)</f>
        <v>12896657.837000001</v>
      </c>
      <c r="M35" s="5">
        <f>SUMPRODUCT(L10:L17,M10:M17)/SUM(L10:L17)</f>
        <v>-0.99206259057384194</v>
      </c>
      <c r="N35" s="8">
        <f>SUM(N10:N17)</f>
        <v>-12794291.783518663</v>
      </c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3">
      <c r="A36" s="1"/>
      <c r="B36" s="1"/>
      <c r="C36" s="1"/>
      <c r="D36" s="1"/>
      <c r="E36" s="1"/>
      <c r="F36" s="1"/>
      <c r="G36" s="1"/>
      <c r="H36" s="5"/>
      <c r="I36" s="5"/>
      <c r="J36" s="5"/>
      <c r="K36" s="5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3">
      <c r="A37" s="1">
        <f>177*2</f>
        <v>354</v>
      </c>
      <c r="B37" s="1"/>
      <c r="C37" s="2">
        <f t="shared" ref="C37:C48" si="9">C10</f>
        <v>709609</v>
      </c>
      <c r="D37" s="2">
        <f t="shared" ref="D37:D48" si="10">F10</f>
        <v>459285</v>
      </c>
      <c r="E37" s="2">
        <f t="shared" ref="E37:E48" si="11">I10</f>
        <v>32514</v>
      </c>
      <c r="F37" s="2">
        <f>SUM(C37:E37)</f>
        <v>1201408</v>
      </c>
      <c r="G37" s="60">
        <f t="shared" ref="G37:G48" si="12">D10</f>
        <v>-0.28622711257534206</v>
      </c>
      <c r="H37" s="61">
        <f t="shared" ref="H37:H48" si="13">G10</f>
        <v>-0.47946155832313919</v>
      </c>
      <c r="I37" s="61">
        <f t="shared" ref="I37:I48" si="14">J10</f>
        <v>0</v>
      </c>
      <c r="J37" s="5">
        <f>SUMPRODUCT(C37:E37,G37:I37)/SUM(C37:E37)</f>
        <v>-0.35235227078720877</v>
      </c>
      <c r="K37" s="5"/>
      <c r="L37" s="5">
        <v>30000000</v>
      </c>
      <c r="M37" s="5"/>
      <c r="N37" s="1">
        <f t="shared" ref="N37:N48" si="15">SUMPRODUCT(C37:D37,G37:H37)/F37</f>
        <v>-0.35235227078720877</v>
      </c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3">
      <c r="A38" s="1"/>
      <c r="B38" s="2"/>
      <c r="C38" s="2">
        <f t="shared" si="9"/>
        <v>657525</v>
      </c>
      <c r="D38" s="2">
        <f>F11</f>
        <v>557625</v>
      </c>
      <c r="E38" s="2">
        <f t="shared" si="11"/>
        <v>41883</v>
      </c>
      <c r="F38" s="2">
        <f t="shared" ref="F38:F47" si="16">SUM(C38:E38)</f>
        <v>1257033</v>
      </c>
      <c r="G38" s="60">
        <f t="shared" si="12"/>
        <v>-0.19885314352242825</v>
      </c>
      <c r="H38" s="61">
        <f t="shared" si="13"/>
        <v>-0.65738832357355115</v>
      </c>
      <c r="I38" s="61">
        <f t="shared" si="14"/>
        <v>0</v>
      </c>
      <c r="J38" s="5">
        <f t="shared" ref="J38:J48" si="17">SUMPRODUCT(C38:E38,G38:I38)/SUM(C38:E38)</f>
        <v>-0.3956356572399341</v>
      </c>
      <c r="K38" s="5"/>
      <c r="L38" s="5">
        <f>L37-L31</f>
        <v>9948848.1629999988</v>
      </c>
      <c r="M38" s="5"/>
      <c r="N38" s="1">
        <f t="shared" si="15"/>
        <v>-0.3956356572399341</v>
      </c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3">
      <c r="A39" s="1"/>
      <c r="B39" s="1"/>
      <c r="C39" s="2">
        <f t="shared" si="9"/>
        <v>963467.55</v>
      </c>
      <c r="D39" s="2">
        <f>F12</f>
        <v>635529</v>
      </c>
      <c r="E39" s="2">
        <f t="shared" si="11"/>
        <v>53973</v>
      </c>
      <c r="F39" s="2">
        <f t="shared" si="16"/>
        <v>1652969.55</v>
      </c>
      <c r="G39" s="60">
        <f t="shared" si="12"/>
        <v>-2.3923438631345301E-2</v>
      </c>
      <c r="H39" s="61">
        <f t="shared" si="13"/>
        <v>-0.53523178256462089</v>
      </c>
      <c r="I39" s="61">
        <f t="shared" si="14"/>
        <v>0</v>
      </c>
      <c r="J39" s="5">
        <f t="shared" si="17"/>
        <v>-0.21972865522370241</v>
      </c>
      <c r="K39" s="5"/>
      <c r="L39" s="5"/>
      <c r="M39" s="5"/>
      <c r="N39" s="1">
        <f t="shared" si="15"/>
        <v>-0.21972865522370241</v>
      </c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3">
      <c r="A40" s="1">
        <f>498.63/938500</f>
        <v>5.3130527437400109E-4</v>
      </c>
      <c r="B40" s="1"/>
      <c r="C40" s="2">
        <f t="shared" si="9"/>
        <v>784473</v>
      </c>
      <c r="D40" s="2">
        <f t="shared" si="10"/>
        <v>541095</v>
      </c>
      <c r="E40" s="2">
        <f t="shared" si="11"/>
        <v>59224.358000000007</v>
      </c>
      <c r="F40" s="2">
        <f t="shared" si="16"/>
        <v>1384792.358</v>
      </c>
      <c r="G40" s="60">
        <f t="shared" si="12"/>
        <v>-0.24989126670624187</v>
      </c>
      <c r="H40" s="61">
        <f t="shared" si="13"/>
        <v>-9.8411349393254827E-2</v>
      </c>
      <c r="I40" s="61">
        <f t="shared" si="14"/>
        <v>0</v>
      </c>
      <c r="J40" s="5">
        <f t="shared" si="17"/>
        <v>-0.18001459881452414</v>
      </c>
      <c r="K40" s="5"/>
      <c r="L40" s="5">
        <f>L31-65000-80000</f>
        <v>19906151.837000001</v>
      </c>
      <c r="M40" s="5"/>
      <c r="N40" s="1">
        <f t="shared" si="15"/>
        <v>-0.18001459881452414</v>
      </c>
      <c r="O40" s="1">
        <v>29116933.085999999</v>
      </c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3">
      <c r="A41" s="1"/>
      <c r="B41" s="1"/>
      <c r="C41" s="2">
        <f t="shared" si="9"/>
        <v>1065906</v>
      </c>
      <c r="D41" s="2">
        <f t="shared" si="10"/>
        <v>862787</v>
      </c>
      <c r="E41" s="2">
        <f t="shared" si="11"/>
        <v>78755.834999999992</v>
      </c>
      <c r="F41" s="2">
        <f t="shared" si="16"/>
        <v>2007448.835</v>
      </c>
      <c r="G41" s="60">
        <f t="shared" si="12"/>
        <v>-1.148276684226333</v>
      </c>
      <c r="H41" s="61">
        <f t="shared" si="13"/>
        <v>-0.54774758347867469</v>
      </c>
      <c r="I41" s="61">
        <f t="shared" si="14"/>
        <v>0</v>
      </c>
      <c r="J41" s="5">
        <f t="shared" si="17"/>
        <v>-0.84512465379162161</v>
      </c>
      <c r="K41" s="5"/>
      <c r="L41" s="5"/>
      <c r="M41" s="5">
        <f>L31*M31</f>
        <v>-21035266.965704195</v>
      </c>
      <c r="N41" s="1">
        <f t="shared" si="15"/>
        <v>-0.84512465379162161</v>
      </c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3">
      <c r="A42" s="1"/>
      <c r="B42" s="1"/>
      <c r="C42" s="2">
        <f t="shared" si="9"/>
        <v>944095</v>
      </c>
      <c r="D42" s="2">
        <f t="shared" si="10"/>
        <v>483256</v>
      </c>
      <c r="E42" s="2">
        <f t="shared" si="11"/>
        <v>51763</v>
      </c>
      <c r="F42" s="2">
        <f t="shared" si="16"/>
        <v>1479114</v>
      </c>
      <c r="G42" s="60">
        <f t="shared" si="12"/>
        <v>-1.2575722399142439</v>
      </c>
      <c r="H42" s="61">
        <f t="shared" si="13"/>
        <v>-1.7614092193369288</v>
      </c>
      <c r="I42" s="61">
        <f t="shared" si="14"/>
        <v>0</v>
      </c>
      <c r="J42" s="5">
        <f t="shared" si="17"/>
        <v>-1.3781758793045871</v>
      </c>
      <c r="K42" s="5"/>
      <c r="L42" s="5"/>
      <c r="M42" s="5"/>
      <c r="N42" s="1">
        <f t="shared" si="15"/>
        <v>-1.3781758793045871</v>
      </c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3">
      <c r="A43" s="1"/>
      <c r="B43" s="1"/>
      <c r="C43" s="2">
        <f t="shared" si="9"/>
        <v>1148294.0689999999</v>
      </c>
      <c r="D43" s="2">
        <f t="shared" si="10"/>
        <v>815976</v>
      </c>
      <c r="E43" s="2">
        <f t="shared" si="11"/>
        <v>59657</v>
      </c>
      <c r="F43" s="2">
        <f t="shared" si="16"/>
        <v>2023927.0689999999</v>
      </c>
      <c r="G43" s="60">
        <f t="shared" si="12"/>
        <v>-3.2857252028919555</v>
      </c>
      <c r="H43" s="61">
        <f t="shared" si="13"/>
        <v>-3.1616914196951806</v>
      </c>
      <c r="I43" s="61">
        <f t="shared" si="14"/>
        <v>0</v>
      </c>
      <c r="J43" s="5">
        <f t="shared" si="17"/>
        <v>-3.1388695660168815</v>
      </c>
      <c r="K43" s="5"/>
      <c r="L43" s="8">
        <f>(C20+C21)/2</f>
        <v>971719.5</v>
      </c>
      <c r="M43" s="5"/>
      <c r="N43" s="1">
        <f t="shared" si="15"/>
        <v>-3.1388695660168815</v>
      </c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3">
      <c r="A44" s="1"/>
      <c r="B44" s="1"/>
      <c r="C44" s="2">
        <f t="shared" si="9"/>
        <v>977693.02500000002</v>
      </c>
      <c r="D44" s="2">
        <f t="shared" si="10"/>
        <v>811562</v>
      </c>
      <c r="E44" s="2">
        <f t="shared" si="11"/>
        <v>100710</v>
      </c>
      <c r="F44" s="2">
        <f t="shared" si="16"/>
        <v>1889965.0249999999</v>
      </c>
      <c r="G44" s="60">
        <f t="shared" si="12"/>
        <v>-1.1100000000000001</v>
      </c>
      <c r="H44" s="61">
        <f t="shared" si="13"/>
        <v>-0.10849716304866265</v>
      </c>
      <c r="I44" s="61">
        <f t="shared" si="14"/>
        <v>0</v>
      </c>
      <c r="J44" s="5">
        <f t="shared" si="17"/>
        <v>-0.62080060576152674</v>
      </c>
      <c r="K44" s="5"/>
      <c r="L44" s="5"/>
      <c r="M44" s="5"/>
      <c r="N44" s="1">
        <f t="shared" si="15"/>
        <v>-0.62080060576152674</v>
      </c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3">
      <c r="A45" s="1"/>
      <c r="B45" s="1"/>
      <c r="C45" s="2">
        <f t="shared" si="9"/>
        <v>1056931</v>
      </c>
      <c r="D45" s="2">
        <f>F18</f>
        <v>733254</v>
      </c>
      <c r="E45" s="2">
        <f t="shared" si="11"/>
        <v>132015</v>
      </c>
      <c r="F45" s="2">
        <f t="shared" si="16"/>
        <v>1922200</v>
      </c>
      <c r="G45" s="60">
        <f t="shared" si="12"/>
        <v>-1.01</v>
      </c>
      <c r="H45" s="61">
        <f t="shared" si="13"/>
        <v>-1.69</v>
      </c>
      <c r="I45" s="61">
        <f t="shared" si="14"/>
        <v>0</v>
      </c>
      <c r="J45" s="5">
        <f t="shared" si="17"/>
        <v>-1.2000309905316826</v>
      </c>
      <c r="K45" s="5"/>
      <c r="L45" s="5"/>
      <c r="M45" s="5"/>
      <c r="N45" s="1">
        <f t="shared" si="15"/>
        <v>-1.2000309905316826</v>
      </c>
      <c r="O45" s="2"/>
      <c r="P45" s="2"/>
      <c r="Q45" s="1"/>
      <c r="R45" s="1"/>
      <c r="S45" s="1"/>
      <c r="T45" s="1"/>
      <c r="U45" s="1"/>
      <c r="V45" s="1"/>
      <c r="W45" s="1"/>
      <c r="X45" s="1"/>
    </row>
    <row r="46" spans="1:24" x14ac:dyDescent="0.3">
      <c r="A46" s="1"/>
      <c r="B46" s="1"/>
      <c r="C46" s="2">
        <f t="shared" si="9"/>
        <v>1029513</v>
      </c>
      <c r="D46" s="2">
        <f t="shared" si="10"/>
        <v>488758</v>
      </c>
      <c r="E46" s="2">
        <f t="shared" si="11"/>
        <v>88927</v>
      </c>
      <c r="F46" s="2">
        <f t="shared" si="16"/>
        <v>1607198</v>
      </c>
      <c r="G46" s="60">
        <f t="shared" si="12"/>
        <v>-2.44</v>
      </c>
      <c r="H46" s="61">
        <f>G19</f>
        <v>-3.48</v>
      </c>
      <c r="I46" s="61">
        <f t="shared" si="14"/>
        <v>0</v>
      </c>
      <c r="J46" s="5">
        <f t="shared" si="17"/>
        <v>-2.6212635655345511</v>
      </c>
      <c r="K46" s="5"/>
      <c r="L46" s="5"/>
      <c r="M46" s="5"/>
      <c r="N46" s="1">
        <f t="shared" si="15"/>
        <v>-2.6212635655345511</v>
      </c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3">
      <c r="A47" s="1"/>
      <c r="B47" s="1"/>
      <c r="C47" s="2">
        <f t="shared" si="9"/>
        <v>784651</v>
      </c>
      <c r="D47" s="2">
        <f t="shared" si="10"/>
        <v>736327</v>
      </c>
      <c r="E47" s="2">
        <f t="shared" si="11"/>
        <v>117310</v>
      </c>
      <c r="F47" s="2">
        <f t="shared" si="16"/>
        <v>1638288</v>
      </c>
      <c r="G47" s="60">
        <f t="shared" si="12"/>
        <v>-0.66974602999999999</v>
      </c>
      <c r="H47" s="61">
        <f>G20</f>
        <v>-0.38</v>
      </c>
      <c r="I47" s="61">
        <f t="shared" si="14"/>
        <v>0</v>
      </c>
      <c r="J47" s="5">
        <f>SUMPRODUCT(C47:E47,G47:I47)/SUM(C47:E47)</f>
        <v>-0.49156262646465704</v>
      </c>
      <c r="K47" s="5"/>
      <c r="L47" s="5"/>
      <c r="M47" s="5"/>
      <c r="N47" s="1">
        <f t="shared" si="15"/>
        <v>-0.49156262646465704</v>
      </c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3">
      <c r="A48" s="1"/>
      <c r="B48" s="1"/>
      <c r="C48" s="2">
        <f t="shared" si="9"/>
        <v>1158788</v>
      </c>
      <c r="D48" s="2">
        <f t="shared" si="10"/>
        <v>760279</v>
      </c>
      <c r="E48" s="2">
        <f t="shared" si="11"/>
        <v>67741</v>
      </c>
      <c r="F48" s="2">
        <f>SUM(C48:E48)</f>
        <v>1986808</v>
      </c>
      <c r="G48" s="60">
        <f t="shared" si="12"/>
        <v>-0.41</v>
      </c>
      <c r="H48" s="61">
        <f t="shared" si="13"/>
        <v>-0.57999999999999996</v>
      </c>
      <c r="I48" s="61">
        <f t="shared" si="14"/>
        <v>0</v>
      </c>
      <c r="J48" s="5">
        <f t="shared" si="17"/>
        <v>-0.46107369207291288</v>
      </c>
      <c r="K48" s="5"/>
      <c r="L48" s="5"/>
      <c r="M48" s="5"/>
      <c r="N48" s="1">
        <f t="shared" si="15"/>
        <v>-0.46107369207291288</v>
      </c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3">
      <c r="A50" s="1"/>
      <c r="B50" s="1"/>
      <c r="C50" s="1"/>
      <c r="D50" s="1"/>
      <c r="E50" s="1">
        <f>SUM(E37:E49)</f>
        <v>884473.19299999997</v>
      </c>
      <c r="F50" s="1"/>
      <c r="G50" s="1"/>
      <c r="H50" s="1"/>
      <c r="I50" s="1"/>
      <c r="J50" s="1"/>
      <c r="K50" s="1"/>
      <c r="L50" s="1">
        <f>SUMPRODUCT(F37:F42,N37:N42)/SUM(F37:F42)</f>
        <v>-0.58647385684236875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>
        <f>SUMPRODUCT(F37:F46,N37:N46)/SUM(F37:F46)</f>
        <v>-1.1758075770090701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</sheetData>
  <mergeCells count="6">
    <mergeCell ref="O8:O9"/>
    <mergeCell ref="B8:B9"/>
    <mergeCell ref="C8:E8"/>
    <mergeCell ref="F8:H8"/>
    <mergeCell ref="I8:K8"/>
    <mergeCell ref="L8:N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05E40-1049-41A3-895A-F95EE69B38BD}">
  <dimension ref="B2:R45"/>
  <sheetViews>
    <sheetView workbookViewId="0">
      <selection activeCell="S15" sqref="S15"/>
    </sheetView>
  </sheetViews>
  <sheetFormatPr defaultRowHeight="14.4" x14ac:dyDescent="0.3"/>
  <cols>
    <col min="2" max="2" width="22.44140625" bestFit="1" customWidth="1"/>
    <col min="3" max="3" width="13.5546875" bestFit="1" customWidth="1"/>
    <col min="6" max="6" width="14.44140625" bestFit="1" customWidth="1"/>
    <col min="7" max="7" width="12.44140625" bestFit="1" customWidth="1"/>
    <col min="10" max="11" width="14.44140625" bestFit="1" customWidth="1"/>
    <col min="14" max="15" width="13.5546875" bestFit="1" customWidth="1"/>
    <col min="18" max="18" width="15.5546875" bestFit="1" customWidth="1"/>
  </cols>
  <sheetData>
    <row r="2" spans="2:18" ht="18" x14ac:dyDescent="0.3">
      <c r="B2" s="612" t="s">
        <v>3</v>
      </c>
      <c r="C2" s="614" t="s">
        <v>4</v>
      </c>
      <c r="D2" s="614"/>
      <c r="E2" s="614"/>
      <c r="F2" s="614"/>
      <c r="G2" s="614" t="s">
        <v>5</v>
      </c>
      <c r="H2" s="614"/>
      <c r="I2" s="614"/>
      <c r="J2" s="614"/>
      <c r="K2" s="615" t="s">
        <v>61</v>
      </c>
      <c r="L2" s="616"/>
      <c r="M2" s="616"/>
      <c r="N2" s="617"/>
      <c r="O2" s="615" t="s">
        <v>62</v>
      </c>
      <c r="P2" s="616"/>
      <c r="Q2" s="616"/>
      <c r="R2" s="617"/>
    </row>
    <row r="3" spans="2:18" ht="18" x14ac:dyDescent="0.35">
      <c r="B3" s="613"/>
      <c r="C3" s="421" t="s">
        <v>9</v>
      </c>
      <c r="D3" s="421" t="s">
        <v>2</v>
      </c>
      <c r="E3" s="421" t="s">
        <v>63</v>
      </c>
      <c r="F3" s="421" t="s">
        <v>64</v>
      </c>
      <c r="G3" s="421" t="s">
        <v>9</v>
      </c>
      <c r="H3" s="174" t="s">
        <v>2</v>
      </c>
      <c r="I3" s="174" t="s">
        <v>63</v>
      </c>
      <c r="J3" s="175" t="s">
        <v>64</v>
      </c>
      <c r="K3" s="150" t="s">
        <v>9</v>
      </c>
      <c r="L3" s="150" t="s">
        <v>2</v>
      </c>
      <c r="M3" s="174" t="s">
        <v>63</v>
      </c>
      <c r="N3" s="176" t="s">
        <v>64</v>
      </c>
      <c r="O3" s="421" t="s">
        <v>9</v>
      </c>
      <c r="P3" s="421" t="s">
        <v>2</v>
      </c>
      <c r="Q3" s="150" t="s">
        <v>63</v>
      </c>
      <c r="R3" s="150" t="s">
        <v>64</v>
      </c>
    </row>
    <row r="4" spans="2:18" ht="18" x14ac:dyDescent="0.35">
      <c r="B4" s="311" t="s">
        <v>13</v>
      </c>
      <c r="C4" s="312">
        <f>'Demurage 2021'!C10</f>
        <v>709609</v>
      </c>
      <c r="D4" s="313">
        <v>-0.3</v>
      </c>
      <c r="E4" s="314">
        <v>-0.6194280653148424</v>
      </c>
      <c r="F4" s="315">
        <f t="shared" ref="F4:F15" si="0">C4*E4</f>
        <v>-439551.73</v>
      </c>
      <c r="G4" s="316">
        <f>'Demurage 2021'!F10</f>
        <v>459285</v>
      </c>
      <c r="H4" s="317">
        <v>-0.3</v>
      </c>
      <c r="I4" s="314">
        <v>-1.5904350675506493</v>
      </c>
      <c r="J4" s="318">
        <f>G4*I4</f>
        <v>-730462.97</v>
      </c>
      <c r="K4" s="319">
        <f>'Demurage 2021'!I10</f>
        <v>32514</v>
      </c>
      <c r="L4" s="317">
        <v>-0.3</v>
      </c>
      <c r="M4" s="314">
        <v>-0.38335268299206221</v>
      </c>
      <c r="N4" s="320">
        <f t="shared" ref="N4:N15" si="1">K4*M4</f>
        <v>-12464.329134803911</v>
      </c>
      <c r="O4" s="321">
        <f>C4+G4+K4</f>
        <v>1201408</v>
      </c>
      <c r="P4" s="317">
        <v>-0.3</v>
      </c>
      <c r="Q4" s="322">
        <f>P30</f>
        <v>-0.98424434424841845</v>
      </c>
      <c r="R4" s="323">
        <f>F4+J4+N4</f>
        <v>-1182479.0291348039</v>
      </c>
    </row>
    <row r="5" spans="2:18" ht="18" x14ac:dyDescent="0.35">
      <c r="B5" s="311" t="s">
        <v>14</v>
      </c>
      <c r="C5" s="312">
        <f>'Demurage 2021'!C11</f>
        <v>657525</v>
      </c>
      <c r="D5" s="313">
        <v>-0.3</v>
      </c>
      <c r="E5" s="314">
        <v>-0.39746570852819285</v>
      </c>
      <c r="F5" s="315">
        <f t="shared" si="0"/>
        <v>-261343.64</v>
      </c>
      <c r="G5" s="316">
        <f>'Demurage 2021'!F11</f>
        <v>557625</v>
      </c>
      <c r="H5" s="317">
        <v>-0.3</v>
      </c>
      <c r="I5" s="314">
        <v>-2.5924445101995066</v>
      </c>
      <c r="J5" s="318">
        <f>G5*I5</f>
        <v>-1445611.8699999999</v>
      </c>
      <c r="K5" s="319">
        <f>'Demurage 2021'!I11</f>
        <v>41883</v>
      </c>
      <c r="L5" s="317">
        <v>-0.3</v>
      </c>
      <c r="M5" s="314">
        <v>-0.88705003080504052</v>
      </c>
      <c r="N5" s="320">
        <f t="shared" si="1"/>
        <v>-37152.316440207513</v>
      </c>
      <c r="O5" s="321">
        <f t="shared" ref="O5:O15" si="2">C5+G5+K5</f>
        <v>1257033</v>
      </c>
      <c r="P5" s="317">
        <v>-0.3</v>
      </c>
      <c r="Q5" s="322">
        <f t="shared" ref="Q5:Q15" si="3">P31</f>
        <v>-1.3874797451142549</v>
      </c>
      <c r="R5" s="323">
        <f t="shared" ref="R5:R14" si="4">F5+J5+N5</f>
        <v>-1744107.8264402072</v>
      </c>
    </row>
    <row r="6" spans="2:18" ht="18" x14ac:dyDescent="0.35">
      <c r="B6" s="311" t="s">
        <v>15</v>
      </c>
      <c r="C6" s="312">
        <f>'Demurage 2021'!C12</f>
        <v>963467.55</v>
      </c>
      <c r="D6" s="313">
        <v>-0.3</v>
      </c>
      <c r="E6" s="314">
        <v>-0.36</v>
      </c>
      <c r="F6" s="315">
        <f t="shared" si="0"/>
        <v>-346848.31800000003</v>
      </c>
      <c r="G6" s="316">
        <f>'Demurage 2021'!F12</f>
        <v>635529</v>
      </c>
      <c r="H6" s="317">
        <v>-0.3</v>
      </c>
      <c r="I6" s="314">
        <v>-2.158291926882959</v>
      </c>
      <c r="J6" s="318">
        <f>G6*I6</f>
        <v>-1371657.11</v>
      </c>
      <c r="K6" s="319">
        <f>'Demurage 2021'!I12</f>
        <v>53973</v>
      </c>
      <c r="L6" s="317">
        <v>-0.3</v>
      </c>
      <c r="M6" s="314">
        <v>-0.5</v>
      </c>
      <c r="N6" s="320">
        <f t="shared" si="1"/>
        <v>-26986.5</v>
      </c>
      <c r="O6" s="321">
        <f t="shared" si="2"/>
        <v>1652969.55</v>
      </c>
      <c r="P6" s="317">
        <v>-0.3</v>
      </c>
      <c r="Q6" s="362">
        <f t="shared" si="3"/>
        <v>-1.0559734315734974</v>
      </c>
      <c r="R6" s="323">
        <f t="shared" si="4"/>
        <v>-1745491.9280000001</v>
      </c>
    </row>
    <row r="7" spans="2:18" ht="18" x14ac:dyDescent="0.35">
      <c r="B7" s="363" t="s">
        <v>16</v>
      </c>
      <c r="C7" s="312">
        <f>'Demurage 2021'!C13</f>
        <v>784473</v>
      </c>
      <c r="D7" s="313">
        <v>-0.3</v>
      </c>
      <c r="E7" s="314">
        <v>-6.1905298776866818E-2</v>
      </c>
      <c r="F7" s="315">
        <f t="shared" si="0"/>
        <v>-48563.035447385046</v>
      </c>
      <c r="G7" s="316">
        <f>'Demurage 2021'!F13</f>
        <v>541095</v>
      </c>
      <c r="H7" s="317">
        <v>-0.3</v>
      </c>
      <c r="I7" s="314">
        <v>-1.74</v>
      </c>
      <c r="J7" s="318">
        <f>G7*I7</f>
        <v>-941505.3</v>
      </c>
      <c r="K7" s="319">
        <f>'Demurage 2021'!I13</f>
        <v>59224.358000000007</v>
      </c>
      <c r="L7" s="317">
        <v>-0.3</v>
      </c>
      <c r="M7" s="314">
        <v>0.34</v>
      </c>
      <c r="N7" s="364">
        <f t="shared" si="1"/>
        <v>20136.281720000003</v>
      </c>
      <c r="O7" s="321">
        <f>C7+G7+K7</f>
        <v>1384792.358</v>
      </c>
      <c r="P7" s="317">
        <v>-0.3</v>
      </c>
      <c r="Q7" s="322">
        <f t="shared" si="3"/>
        <v>-0.70041696007639664</v>
      </c>
      <c r="R7" s="323">
        <f t="shared" si="4"/>
        <v>-969932.05372738512</v>
      </c>
    </row>
    <row r="8" spans="2:18" ht="18" x14ac:dyDescent="0.35">
      <c r="B8" s="363" t="s">
        <v>17</v>
      </c>
      <c r="C8" s="312">
        <f>'Demurage 2021'!C14</f>
        <v>1065906</v>
      </c>
      <c r="D8" s="313">
        <v>-0.3</v>
      </c>
      <c r="E8" s="314">
        <v>-6.9324860209567185E-2</v>
      </c>
      <c r="F8" s="315">
        <f t="shared" si="0"/>
        <v>-73893.784446538921</v>
      </c>
      <c r="G8" s="316">
        <f>'Demurage 2021'!F14</f>
        <v>862787</v>
      </c>
      <c r="H8" s="317">
        <v>-0.3</v>
      </c>
      <c r="I8" s="314">
        <v>0.17</v>
      </c>
      <c r="J8" s="318">
        <f t="shared" ref="J8:J15" si="5">G8*I8</f>
        <v>146673.79</v>
      </c>
      <c r="K8" s="319">
        <f>'Demurage 2021'!I14</f>
        <v>78755.834999999992</v>
      </c>
      <c r="L8" s="317">
        <v>-0.3</v>
      </c>
      <c r="M8" s="314">
        <v>-0.3</v>
      </c>
      <c r="N8" s="364">
        <f t="shared" si="1"/>
        <v>-23626.750499999998</v>
      </c>
      <c r="O8" s="321">
        <f t="shared" si="2"/>
        <v>2007448.835</v>
      </c>
      <c r="P8" s="317">
        <v>-0.3</v>
      </c>
      <c r="Q8" s="322">
        <f t="shared" si="3"/>
        <v>2.4485433549523615E-2</v>
      </c>
      <c r="R8" s="323">
        <f t="shared" si="4"/>
        <v>49153.255053461093</v>
      </c>
    </row>
    <row r="9" spans="2:18" ht="18" x14ac:dyDescent="0.35">
      <c r="B9" s="378" t="s">
        <v>18</v>
      </c>
      <c r="C9" s="312">
        <f>'Demurage 2021'!C15</f>
        <v>944095</v>
      </c>
      <c r="D9" s="313">
        <v>-0.3</v>
      </c>
      <c r="E9" s="314">
        <v>0.35037690218538403</v>
      </c>
      <c r="F9" s="379">
        <f t="shared" si="0"/>
        <v>330789.08146871015</v>
      </c>
      <c r="G9" s="316">
        <f>'Demurage 2021'!F15</f>
        <v>483256</v>
      </c>
      <c r="H9" s="317">
        <v>-0.3</v>
      </c>
      <c r="I9" s="314">
        <v>-1.1171674847285908</v>
      </c>
      <c r="J9" s="380">
        <f t="shared" si="5"/>
        <v>-539877.8899999999</v>
      </c>
      <c r="K9" s="319">
        <f>'Demurage 2021'!I15</f>
        <v>51763</v>
      </c>
      <c r="L9" s="317">
        <v>-0.3</v>
      </c>
      <c r="M9" s="314">
        <v>0.73380851766671507</v>
      </c>
      <c r="N9" s="364">
        <f t="shared" si="1"/>
        <v>37984.130299982171</v>
      </c>
      <c r="O9" s="321">
        <f t="shared" si="2"/>
        <v>1479114</v>
      </c>
      <c r="P9" s="317">
        <v>-0.3</v>
      </c>
      <c r="Q9" s="381">
        <f t="shared" si="3"/>
        <v>-0.11568052106281704</v>
      </c>
      <c r="R9" s="323">
        <f t="shared" si="4"/>
        <v>-171104.67823130757</v>
      </c>
    </row>
    <row r="10" spans="2:18" ht="18" x14ac:dyDescent="0.35">
      <c r="B10" s="392" t="s">
        <v>19</v>
      </c>
      <c r="C10" s="312">
        <f>'Demurage 2021'!C16</f>
        <v>1148294.0689999999</v>
      </c>
      <c r="D10" s="393">
        <v>-0.3</v>
      </c>
      <c r="E10" s="394">
        <v>0.69</v>
      </c>
      <c r="F10" s="395">
        <f>C10*E10</f>
        <v>792322.90760999988</v>
      </c>
      <c r="G10" s="316">
        <f>'Demurage 2021'!F16</f>
        <v>815976</v>
      </c>
      <c r="H10" s="396">
        <v>-0.3</v>
      </c>
      <c r="I10" s="394">
        <v>-1.289659573</v>
      </c>
      <c r="J10" s="397">
        <f t="shared" si="5"/>
        <v>-1052331.2597382481</v>
      </c>
      <c r="K10" s="319">
        <f>'Demurage 2021'!I16</f>
        <v>59657</v>
      </c>
      <c r="L10" s="396">
        <v>-0.3</v>
      </c>
      <c r="M10" s="394">
        <v>-8.7129901999999995E-2</v>
      </c>
      <c r="N10" s="398">
        <f t="shared" si="1"/>
        <v>-5197.9085636139998</v>
      </c>
      <c r="O10" s="399">
        <f t="shared" si="2"/>
        <v>2023927.0689999999</v>
      </c>
      <c r="P10" s="396">
        <v>-0.3</v>
      </c>
      <c r="Q10" s="400">
        <f t="shared" si="3"/>
        <v>-0.13103548282641317</v>
      </c>
      <c r="R10" s="401">
        <f t="shared" si="4"/>
        <v>-265206.2606918622</v>
      </c>
    </row>
    <row r="11" spans="2:18" ht="18" x14ac:dyDescent="0.35">
      <c r="B11" s="402" t="s">
        <v>20</v>
      </c>
      <c r="C11" s="312">
        <f>'Demurage 2021'!C17</f>
        <v>977693.02500000002</v>
      </c>
      <c r="D11" s="406">
        <v>-0.3</v>
      </c>
      <c r="E11" s="394">
        <v>-7.0000000000000007E-2</v>
      </c>
      <c r="F11" s="395">
        <f t="shared" si="0"/>
        <v>-68438.511750000005</v>
      </c>
      <c r="G11" s="316">
        <f>'Demurage 2021'!F17</f>
        <v>811562</v>
      </c>
      <c r="H11" s="396">
        <v>-0.3</v>
      </c>
      <c r="I11" s="394">
        <v>-1.5751022969999999</v>
      </c>
      <c r="J11" s="404">
        <f t="shared" si="5"/>
        <v>-1278293.1703579139</v>
      </c>
      <c r="K11" s="319">
        <f>'Demurage 2021'!I17</f>
        <v>100710</v>
      </c>
      <c r="L11" s="396">
        <v>-0.3</v>
      </c>
      <c r="M11" s="394">
        <v>0.66904493899999995</v>
      </c>
      <c r="N11" s="398">
        <f t="shared" si="1"/>
        <v>67379.515806689989</v>
      </c>
      <c r="O11" s="399">
        <f t="shared" si="2"/>
        <v>1889965.0249999999</v>
      </c>
      <c r="P11" s="396">
        <v>-0.3</v>
      </c>
      <c r="Q11" s="411">
        <f t="shared" si="3"/>
        <v>-0.6769184346685061</v>
      </c>
      <c r="R11" s="401">
        <f t="shared" si="4"/>
        <v>-1279352.1663012239</v>
      </c>
    </row>
    <row r="12" spans="2:18" ht="18" x14ac:dyDescent="0.35">
      <c r="B12" s="392" t="s">
        <v>21</v>
      </c>
      <c r="C12" s="312">
        <f>'Demurage 2021'!C18</f>
        <v>1056931</v>
      </c>
      <c r="D12" s="406">
        <v>-0.3</v>
      </c>
      <c r="E12" s="394">
        <v>-0.72</v>
      </c>
      <c r="F12" s="395">
        <f t="shared" si="0"/>
        <v>-760990.32</v>
      </c>
      <c r="G12" s="316">
        <f>'Demurage 2021'!F18</f>
        <v>733254</v>
      </c>
      <c r="H12" s="396">
        <v>-0.3</v>
      </c>
      <c r="I12" s="394">
        <v>-0.17</v>
      </c>
      <c r="J12" s="424">
        <f>G12*I12</f>
        <v>-124653.18000000001</v>
      </c>
      <c r="K12" s="319">
        <f>'Demurage 2021'!I18</f>
        <v>132015</v>
      </c>
      <c r="L12" s="396">
        <v>-0.3</v>
      </c>
      <c r="M12" s="394">
        <v>1.0400384890000001</v>
      </c>
      <c r="N12" s="398">
        <f>K12*M12</f>
        <v>137300.68112533502</v>
      </c>
      <c r="O12" s="399">
        <f t="shared" si="2"/>
        <v>1922200</v>
      </c>
      <c r="P12" s="396">
        <v>-0.3</v>
      </c>
      <c r="Q12" s="411">
        <f t="shared" si="3"/>
        <v>-0.38931579381680625</v>
      </c>
      <c r="R12" s="401">
        <f t="shared" si="4"/>
        <v>-748342.81887466495</v>
      </c>
    </row>
    <row r="13" spans="2:18" ht="18" x14ac:dyDescent="0.35">
      <c r="B13" s="392" t="s">
        <v>22</v>
      </c>
      <c r="C13" s="312">
        <f>'Demurage 2021'!C19</f>
        <v>1029513</v>
      </c>
      <c r="D13" s="406">
        <v>-0.3</v>
      </c>
      <c r="E13" s="394">
        <v>-0.85</v>
      </c>
      <c r="F13" s="395">
        <f t="shared" si="0"/>
        <v>-875086.04999999993</v>
      </c>
      <c r="G13" s="316">
        <f>'Demurage 2021'!F19</f>
        <v>488758</v>
      </c>
      <c r="H13" s="396">
        <v>-0.3</v>
      </c>
      <c r="I13" s="394">
        <v>-3.62</v>
      </c>
      <c r="J13" s="424">
        <f t="shared" si="5"/>
        <v>-1769303.96</v>
      </c>
      <c r="K13" s="319">
        <f>'Demurage 2021'!I19</f>
        <v>88927</v>
      </c>
      <c r="L13" s="396">
        <v>-0.3</v>
      </c>
      <c r="M13" s="394">
        <v>0.334033629</v>
      </c>
      <c r="N13" s="398">
        <f>K13*M13</f>
        <v>29704.608526083</v>
      </c>
      <c r="O13" s="399">
        <f t="shared" si="2"/>
        <v>1607198</v>
      </c>
      <c r="P13" s="396">
        <v>-0.3</v>
      </c>
      <c r="Q13" s="411">
        <f t="shared" si="3"/>
        <v>-1.6268595415586111</v>
      </c>
      <c r="R13" s="401">
        <f t="shared" si="4"/>
        <v>-2614685.4014739166</v>
      </c>
    </row>
    <row r="14" spans="2:18" ht="18" x14ac:dyDescent="0.35">
      <c r="B14" s="392" t="s">
        <v>23</v>
      </c>
      <c r="C14" s="312">
        <f>'Demurage 2021'!C20</f>
        <v>784651</v>
      </c>
      <c r="D14" s="406">
        <v>-0.3</v>
      </c>
      <c r="E14" s="394">
        <v>-1.29</v>
      </c>
      <c r="F14" s="426">
        <f t="shared" si="0"/>
        <v>-1012199.79</v>
      </c>
      <c r="G14" s="316">
        <f>'Demurage 2021'!F20</f>
        <v>736327</v>
      </c>
      <c r="H14" s="396">
        <v>-0.3</v>
      </c>
      <c r="I14" s="394">
        <v>0.57999999999999996</v>
      </c>
      <c r="J14" s="427">
        <f t="shared" si="5"/>
        <v>427069.66</v>
      </c>
      <c r="K14" s="319">
        <f>'Demurage 2021'!I20</f>
        <v>117310</v>
      </c>
      <c r="L14" s="396">
        <v>-0.3</v>
      </c>
      <c r="M14" s="394">
        <v>2.1766048040000001</v>
      </c>
      <c r="N14" s="428">
        <f>K14*M14</f>
        <v>255337.50955724</v>
      </c>
      <c r="O14" s="399">
        <f t="shared" si="2"/>
        <v>1638288</v>
      </c>
      <c r="P14" s="396">
        <v>-0.3</v>
      </c>
      <c r="Q14" s="411">
        <f t="shared" si="3"/>
        <v>-0.20130320214929251</v>
      </c>
      <c r="R14" s="401">
        <f t="shared" si="4"/>
        <v>-329792.62044276012</v>
      </c>
    </row>
    <row r="15" spans="2:18" ht="18" x14ac:dyDescent="0.35">
      <c r="B15" s="179" t="s">
        <v>24</v>
      </c>
      <c r="C15" s="200">
        <f>'Demurage 2021'!C21</f>
        <v>1158788</v>
      </c>
      <c r="D15" s="182">
        <v>-0.3</v>
      </c>
      <c r="E15" s="83">
        <v>0.21</v>
      </c>
      <c r="F15" s="429">
        <f t="shared" si="0"/>
        <v>243345.47999999998</v>
      </c>
      <c r="G15" s="430">
        <f>'Demurage 2021'!F21</f>
        <v>760279</v>
      </c>
      <c r="H15" s="214">
        <v>-0.3</v>
      </c>
      <c r="I15" s="431">
        <v>-0.09</v>
      </c>
      <c r="J15" s="432">
        <f t="shared" si="5"/>
        <v>-68425.11</v>
      </c>
      <c r="K15" s="85">
        <f>'Demurage 2021'!I21</f>
        <v>67741</v>
      </c>
      <c r="L15" s="214">
        <v>-0.3</v>
      </c>
      <c r="M15" s="431">
        <v>1</v>
      </c>
      <c r="N15" s="433">
        <f t="shared" si="1"/>
        <v>67741</v>
      </c>
      <c r="O15" s="23">
        <f t="shared" si="2"/>
        <v>1986808</v>
      </c>
      <c r="P15" s="214">
        <v>-0.3</v>
      </c>
      <c r="Q15" s="29">
        <f t="shared" si="3"/>
        <v>0.12213629600847188</v>
      </c>
      <c r="R15" s="434">
        <f>F15+J15</f>
        <v>174920.37</v>
      </c>
    </row>
    <row r="16" spans="2:18" ht="6" customHeight="1" x14ac:dyDescent="0.35">
      <c r="B16" s="9"/>
      <c r="C16" s="10"/>
      <c r="D16" s="13"/>
      <c r="E16" s="11"/>
      <c r="F16" s="12"/>
      <c r="G16" s="10"/>
      <c r="H16" s="70"/>
      <c r="I16" s="309"/>
      <c r="J16" s="72"/>
      <c r="K16" s="73"/>
      <c r="L16" s="74"/>
      <c r="M16" s="11"/>
      <c r="N16" s="75"/>
      <c r="O16" s="76"/>
      <c r="P16" s="76"/>
      <c r="Q16" s="310"/>
      <c r="R16" s="77"/>
    </row>
    <row r="17" spans="2:18" ht="18" x14ac:dyDescent="0.35">
      <c r="B17" s="199" t="str">
        <f>'Demurage 2021'!B23</f>
        <v>Actual Q1</v>
      </c>
      <c r="C17" s="80">
        <f>SUM(C4:C6)</f>
        <v>2330601.5499999998</v>
      </c>
      <c r="D17" s="182">
        <f>SUMPRODUCT(C4:C6,D4:D6)/SUM(C4:C6)</f>
        <v>-0.3</v>
      </c>
      <c r="E17" s="83">
        <f>SUMPRODUCT(C4:C6,E4:E6)/SUM(C4:C6)</f>
        <v>-0.4495593371591125</v>
      </c>
      <c r="F17" s="213">
        <f>SUM(F4:F6)</f>
        <v>-1047743.6880000001</v>
      </c>
      <c r="G17" s="80">
        <f>SUM(G4:G6)</f>
        <v>1652439</v>
      </c>
      <c r="H17" s="83">
        <f>SUMPRODUCT(G4:G6,H4:H6)/SUM(G4:G6)</f>
        <v>-0.3</v>
      </c>
      <c r="I17" s="83">
        <f>SUMPRODUCT(G4:G6,I4:I6)/SUM(G4:G6)</f>
        <v>-2.1469669682209149</v>
      </c>
      <c r="J17" s="181">
        <f>SUM(J4:J6)</f>
        <v>-3547731.95</v>
      </c>
      <c r="K17" s="28">
        <f>SUM(K4:K6)</f>
        <v>128370</v>
      </c>
      <c r="L17" s="83">
        <f>SUMPRODUCT(K4:K6,L4:L6)/SUM(K4:K6)</f>
        <v>-0.3</v>
      </c>
      <c r="M17" s="83">
        <f>SUMPRODUCT(K4:K6,M4:M6)/SUM(K4:K6)</f>
        <v>-0.59673713153393648</v>
      </c>
      <c r="N17" s="296">
        <f>SUM(N4:N6)</f>
        <v>-76603.145575011426</v>
      </c>
      <c r="O17" s="80">
        <f>SUM(O4:O6)</f>
        <v>4111410.55</v>
      </c>
      <c r="P17" s="214">
        <f>SUMPRODUCT(N4:N6,P4:P6)/SUM(N4:N6)</f>
        <v>-0.3</v>
      </c>
      <c r="Q17" s="229">
        <f>SUMPRODUCT(O4:O6,Q4:Q6)/SUM(O4:O6)</f>
        <v>-1.1363688268920289</v>
      </c>
      <c r="R17" s="84">
        <f>SUM(R4:R6)</f>
        <v>-4672078.7835750114</v>
      </c>
    </row>
    <row r="18" spans="2:18" ht="18" x14ac:dyDescent="0.35">
      <c r="B18" s="199" t="str">
        <f>'Demurage 2021'!B24</f>
        <v>Actual Q2</v>
      </c>
      <c r="C18" s="80">
        <f>SUM(C7:C9)</f>
        <v>2794474</v>
      </c>
      <c r="D18" s="182">
        <f>SUMPRODUCT(C7:C9,D7:D9)/SUM(C7:C9)</f>
        <v>-0.3</v>
      </c>
      <c r="E18" s="182">
        <f>SUMPRODUCT(C7:C9,E7:E9)/SUM(C7:C9)</f>
        <v>7.4551511867630968E-2</v>
      </c>
      <c r="F18" s="213">
        <f>SUM(F7:F9)</f>
        <v>208332.26157478619</v>
      </c>
      <c r="G18" s="80">
        <f>SUM(G7:G9)</f>
        <v>1887138</v>
      </c>
      <c r="H18" s="83">
        <f>SUMPRODUCT(G7:G9,H7:H9)/SUM(G7:G9)</f>
        <v>-0.29999999999999993</v>
      </c>
      <c r="I18" s="83">
        <f>SUMPRODUCT(G7:G9,I7:I9)/SUM(G7:G9)</f>
        <v>-0.70726645322175696</v>
      </c>
      <c r="J18" s="181">
        <f>SUM(J7:J9)</f>
        <v>-1334709.3999999999</v>
      </c>
      <c r="K18" s="28">
        <f>SUM(K7:K9)</f>
        <v>189743.193</v>
      </c>
      <c r="L18" s="29">
        <f>SUMPRODUCT(J7:J9,L7:L9)/SUM(J7:J9)</f>
        <v>-0.30000000000000004</v>
      </c>
      <c r="M18" s="83">
        <f>SUMPRODUCT(K7:K9,M7:M9)/SUM(K7:K9)</f>
        <v>0.18179129893730719</v>
      </c>
      <c r="N18" s="213">
        <f>SUM(N7:N9)</f>
        <v>34493.661519982175</v>
      </c>
      <c r="O18" s="80">
        <f>SUM(O7:O9)</f>
        <v>4871355.193</v>
      </c>
      <c r="P18" s="139">
        <f>SUMPRODUCT(N7:N9,P7:P9)/SUM(N7:N9)</f>
        <v>-0.3</v>
      </c>
      <c r="Q18" s="229">
        <f>SUMPRODUCT(O7:O9,Q7:Q9)/SUM(O7:O9)</f>
        <v>-0.22414367945787189</v>
      </c>
      <c r="R18" s="84">
        <f>SUM(R7:R9)</f>
        <v>-1091883.4769052316</v>
      </c>
    </row>
    <row r="19" spans="2:18" ht="18" x14ac:dyDescent="0.35">
      <c r="B19" s="199" t="str">
        <f>'Demurage 2021'!B25</f>
        <v>Actual Smstr 1</v>
      </c>
      <c r="C19" s="28">
        <f>SUM(C4:C9)</f>
        <v>5125075.55</v>
      </c>
      <c r="D19" s="78">
        <f>SUMPRODUCT(C4:C9,D4:D9)/SUM(C4:C9)</f>
        <v>-0.30000000000000004</v>
      </c>
      <c r="E19" s="78">
        <f>SUMPRODUCT(C4:C9,E4:E9)/SUM(C4:C9)</f>
        <v>-0.16378518096678868</v>
      </c>
      <c r="F19" s="79">
        <f>SUM(F4:F9)</f>
        <v>-839411.42642521393</v>
      </c>
      <c r="G19" s="80">
        <f>SUM(G4:G9)</f>
        <v>3539577</v>
      </c>
      <c r="H19" s="83">
        <f>SUMPRODUCT(G4:G9,H4:H9)/SUM(G4:G9)</f>
        <v>-0.29999999999999993</v>
      </c>
      <c r="I19" s="139">
        <f>SUMPRODUCT(G4:G9,I4:I9)/SUM(G4:G9)</f>
        <v>-1.379385545221929</v>
      </c>
      <c r="J19" s="82">
        <f>SUM(J4:J9)</f>
        <v>-4882441.3499999996</v>
      </c>
      <c r="K19" s="28">
        <f>SUM(K4:K9)</f>
        <v>318113.19299999997</v>
      </c>
      <c r="L19" s="29">
        <f>SUMPRODUCT(J4:J9,L4:L9)/SUM(J4:J9)</f>
        <v>-0.3</v>
      </c>
      <c r="M19" s="83">
        <f>SUMPRODUCT(K4:K9,M4:M9)/SUM(K4:K9)</f>
        <v>-0.1323726427625064</v>
      </c>
      <c r="N19" s="213">
        <f>SUM(N4:N9)</f>
        <v>-42109.48405502925</v>
      </c>
      <c r="O19" s="297">
        <f>SUM(O4:O9)</f>
        <v>8982765.7430000007</v>
      </c>
      <c r="P19" s="139">
        <v>0</v>
      </c>
      <c r="Q19" s="229">
        <f>SUMPRODUCT(O4:O9,Q4:Q9)/SUM(O4:O9)</f>
        <v>-0.6416689943152446</v>
      </c>
      <c r="R19" s="419">
        <f>SUM(R4:R9)</f>
        <v>-5763962.2604802419</v>
      </c>
    </row>
    <row r="20" spans="2:18" ht="18" x14ac:dyDescent="0.35">
      <c r="B20" s="199" t="str">
        <f>'Demurage 2021'!B26</f>
        <v>Act Q3</v>
      </c>
      <c r="C20" s="28">
        <f>SUM(C10:C12)</f>
        <v>3182918.094</v>
      </c>
      <c r="D20" s="78">
        <f>SUMPRODUCT(C10:C12,D10:D12)/SUM(C10:C12)</f>
        <v>-0.3</v>
      </c>
      <c r="E20" s="78">
        <f>SUMPRODUCT(C10:C12,E10:E12)/SUM(C10:C12)</f>
        <v>-1.1657831915294058E-2</v>
      </c>
      <c r="F20" s="79">
        <f>SUM(F10:F12)</f>
        <v>-37105.924140000134</v>
      </c>
      <c r="G20" s="80">
        <f>SUM(G10:G12)</f>
        <v>2360792</v>
      </c>
      <c r="H20" s="83">
        <f>SUMPRODUCT(G10:G12,H10:H12)/SUM(G10:G12)</f>
        <v>-0.3</v>
      </c>
      <c r="I20" s="139">
        <f>SUMPRODUCT(G10:G12,I10:I12)/SUM(G10:G12)</f>
        <v>-1.0400228440693471</v>
      </c>
      <c r="J20" s="82">
        <f>SUM(J10:J12)</f>
        <v>-2455277.6100961622</v>
      </c>
      <c r="K20" s="28">
        <f>SUM(K10:K12)</f>
        <v>292382</v>
      </c>
      <c r="L20" s="83">
        <f>SUMPRODUCT(K10:K12,L10:L12)/SUM(K10:K12)</f>
        <v>-0.30000000000000004</v>
      </c>
      <c r="M20" s="83">
        <f>SUM(M10:M12)</f>
        <v>1.621953526</v>
      </c>
      <c r="N20" s="213">
        <f>SUM(N10:N12)</f>
        <v>199482.28836841101</v>
      </c>
      <c r="O20" s="85">
        <f>SUM(O10:O12)</f>
        <v>5836092.0939999996</v>
      </c>
      <c r="P20" s="214">
        <f>SUMPRODUCT(O10:O12,P10:P12)/SUM(O10:O12)</f>
        <v>-0.3</v>
      </c>
      <c r="Q20" s="229">
        <f>SUMPRODUCT(O10:O12,Q10:Q12)/SUM(O10:O12)</f>
        <v>-0.39288297870162964</v>
      </c>
      <c r="R20" s="419">
        <f>SUM(R10:R12)</f>
        <v>-2292901.2458677511</v>
      </c>
    </row>
    <row r="21" spans="2:18" ht="18" x14ac:dyDescent="0.35">
      <c r="B21" s="199" t="str">
        <f>'Demurage 2021'!B27</f>
        <v>Prediction Q4</v>
      </c>
      <c r="C21" s="28">
        <f>SUM(C13:C15)</f>
        <v>2972952</v>
      </c>
      <c r="D21" s="78">
        <f>SUMPRODUCT(C13:C15,D13:D15)/SUM(C13:C15)</f>
        <v>-0.29999999999999993</v>
      </c>
      <c r="E21" s="78">
        <f>SUMPRODUCT(C13:C15,E13:E15)/SUM(C13:C15)</f>
        <v>-0.55296565837591727</v>
      </c>
      <c r="F21" s="79">
        <f>SUM(F13:F15)</f>
        <v>-1643940.3599999999</v>
      </c>
      <c r="G21" s="80">
        <f>SUM(G13:G15)</f>
        <v>1985364</v>
      </c>
      <c r="H21" s="83">
        <f>SUMPRODUCT(G13:G15,H13:H15)/SUM(G13:G15)</f>
        <v>-0.3</v>
      </c>
      <c r="I21" s="29">
        <f>SUMPRODUCT(G13:G15,I13:I15)/SUM(G13:G15)</f>
        <v>-0.71052935884805013</v>
      </c>
      <c r="J21" s="30">
        <f>SUM(J13:J15)</f>
        <v>-1410659.4100000001</v>
      </c>
      <c r="K21" s="28">
        <f>SUM(K13:K15)</f>
        <v>273978</v>
      </c>
      <c r="L21" s="83">
        <f>SUMPRODUCT(K13:K15,L13:L15)/SUM(K13:K15)</f>
        <v>-0.3</v>
      </c>
      <c r="M21" s="83">
        <f>SUMPRODUCT(K13:K15,M13:M15)/SUM(K13:K15)</f>
        <v>1.2876330146337407</v>
      </c>
      <c r="N21" s="213">
        <f>SUM(N13:N15)</f>
        <v>352783.118083323</v>
      </c>
      <c r="O21" s="85">
        <f>SUM(O13:O15)</f>
        <v>5232294</v>
      </c>
      <c r="P21" s="139">
        <f>SUMPRODUCT(N13:N15,P13:P15)/SUM(N13:N15)</f>
        <v>-0.3</v>
      </c>
      <c r="Q21" s="229">
        <f>SUMPRODUCT(O13:O15,Q13:Q15)/SUM(O13:O15)</f>
        <v>-0.51637324888790204</v>
      </c>
      <c r="R21" s="420">
        <f>SUM(R13:R15)</f>
        <v>-2769557.6519166767</v>
      </c>
    </row>
    <row r="22" spans="2:18" ht="18" x14ac:dyDescent="0.35">
      <c r="B22" s="199" t="str">
        <f>'Demurage 2021'!B28</f>
        <v>Prediction Smstr 2</v>
      </c>
      <c r="C22" s="28">
        <f>SUM(C10:C15)</f>
        <v>6155870.0940000005</v>
      </c>
      <c r="D22" s="78">
        <f>SUMPRODUCT(C10:C15,D10:D15)/SUM(C10:C15)</f>
        <v>-0.29999999999999993</v>
      </c>
      <c r="E22" s="78">
        <f>SUMPRODUCT(C10:C15,E10:E15)/SUM(C10:C15)</f>
        <v>-0.27308020774812664</v>
      </c>
      <c r="F22" s="79">
        <f>SUM(F10:F15)</f>
        <v>-1681046.2841400001</v>
      </c>
      <c r="G22" s="80">
        <f>SUM(G10:G15)</f>
        <v>4346156</v>
      </c>
      <c r="H22" s="83">
        <f>SUMPRODUCT(G10:G15,H10:H15)/SUM(G10:G15)</f>
        <v>-0.3</v>
      </c>
      <c r="I22" s="139">
        <f>SUMPRODUCT(G10:G15,I10:I15)/SUM(G10:G15)</f>
        <v>-0.88950719212475615</v>
      </c>
      <c r="J22" s="30">
        <f>SUM(J10:J15)</f>
        <v>-3865937.0200961619</v>
      </c>
      <c r="K22" s="28">
        <f>SUM(K10:K15)</f>
        <v>566360</v>
      </c>
      <c r="L22" s="83">
        <f>SUMPRODUCT(K10:K15,L10:L15)/SUM(K10:K15)</f>
        <v>-0.3</v>
      </c>
      <c r="M22" s="83">
        <f>SUM(M10:M15)</f>
        <v>5.132591959</v>
      </c>
      <c r="N22" s="213">
        <f>SUM(N10:N15)</f>
        <v>552265.40645173402</v>
      </c>
      <c r="O22" s="85">
        <f>SUM(O10:O15)</f>
        <v>11068386.094000001</v>
      </c>
      <c r="P22" s="139">
        <f>SUMPRODUCT(N10:N15,P10:P15)/SUM(N10:N15)</f>
        <v>-0.29999999999999993</v>
      </c>
      <c r="Q22" s="229">
        <f>SUMPRODUCT(O10:O15,Q10:Q15)/SUM(O10:O15)</f>
        <v>-0.45125981831190243</v>
      </c>
      <c r="R22" s="420">
        <f>SUM(R10:R15)</f>
        <v>-5062458.8977844277</v>
      </c>
    </row>
    <row r="23" spans="2:18" ht="4.5" customHeight="1" x14ac:dyDescent="0.3">
      <c r="B23" s="1"/>
      <c r="C23" s="1"/>
      <c r="D23" s="87"/>
      <c r="E23" s="87"/>
      <c r="F23" s="88"/>
      <c r="G23" s="33"/>
      <c r="H23" s="90"/>
      <c r="I23" s="89"/>
      <c r="J23" s="32"/>
      <c r="K23" s="1"/>
      <c r="L23" s="31"/>
      <c r="M23" s="90"/>
      <c r="N23" s="91"/>
      <c r="O23" s="1"/>
      <c r="P23" s="60"/>
      <c r="Q23" s="92"/>
      <c r="R23" s="93"/>
    </row>
    <row r="24" spans="2:18" ht="18" hidden="1" x14ac:dyDescent="0.35">
      <c r="B24" s="94" t="s">
        <v>66</v>
      </c>
      <c r="C24" s="95">
        <f>SUM(C4:C7)</f>
        <v>3115074.55</v>
      </c>
      <c r="D24" s="96"/>
      <c r="E24" s="97">
        <f>SUMPRODUCT(C4:C7,E4:E7)/SUM(C4:C7)</f>
        <v>-0.35193595076155892</v>
      </c>
      <c r="F24" s="98">
        <f>SUM(F4:F7)</f>
        <v>-1096306.7234473852</v>
      </c>
      <c r="G24" s="99">
        <f>SUM(G4:G7)</f>
        <v>2193534</v>
      </c>
      <c r="H24" s="103"/>
      <c r="I24" s="100">
        <f>SUMPRODUCT(G4:G7,I4:I7)/SUM(G4:G7)</f>
        <v>-2.0465774635815994</v>
      </c>
      <c r="J24" s="101">
        <f>SUM(J4:J7)</f>
        <v>-4489237.25</v>
      </c>
      <c r="K24" s="95">
        <f>SUM(K4:K7)</f>
        <v>187594.35800000001</v>
      </c>
      <c r="L24" s="102"/>
      <c r="M24" s="103">
        <f>SUMPRODUCT(K4:K7,M4:M7)/SUM(K4:K7)</f>
        <v>-0.301005128603129</v>
      </c>
      <c r="N24" s="104">
        <f>SUM(N4:N7)</f>
        <v>-56466.863855011426</v>
      </c>
      <c r="O24" s="95">
        <f>SUM(O4:O7)</f>
        <v>5496202.9079999998</v>
      </c>
      <c r="P24" s="140"/>
      <c r="Q24" s="105">
        <f>SUMPRODUCT(O4:O7,Q4:Q7)/SUM(O4:O7)</f>
        <v>-1.0265288475958858</v>
      </c>
      <c r="R24" s="104">
        <f>SUM(R4:R7)</f>
        <v>-5642010.8373023961</v>
      </c>
    </row>
    <row r="25" spans="2:18" ht="18" hidden="1" x14ac:dyDescent="0.35">
      <c r="B25" s="40" t="s">
        <v>67</v>
      </c>
      <c r="C25" s="41">
        <f>SUM(C4:C13)</f>
        <v>9337506.6440000013</v>
      </c>
      <c r="D25" s="106"/>
      <c r="E25" s="107">
        <f>SUMPRODUCT(C4:C13,E4:E13)/SUM(C4:C13)</f>
        <v>-0.18758791477709322</v>
      </c>
      <c r="F25" s="108">
        <f>SUM(F4:F7)</f>
        <v>-1096306.7234473852</v>
      </c>
      <c r="G25" s="44">
        <f>SUM(G4:G13)</f>
        <v>6389127</v>
      </c>
      <c r="H25" s="111"/>
      <c r="I25" s="109">
        <f>SUMPRODUCT(G4:G13,I4:I13)/SUM(G4:G13)</f>
        <v>-1.4253939419417021</v>
      </c>
      <c r="J25" s="43">
        <f>SUM(J4:J13)</f>
        <v>-9107022.9200961608</v>
      </c>
      <c r="K25" s="41">
        <f>SUM(K4:K13)</f>
        <v>699422.19299999997</v>
      </c>
      <c r="L25" s="110"/>
      <c r="M25" s="111">
        <f>SUMPRODUCT(K4:K13,M4:M13)/SUM(K4:K13)</f>
        <v>0.26747423046020613</v>
      </c>
      <c r="N25" s="112">
        <f>SUM(N4:N13)</f>
        <v>187077.41283946476</v>
      </c>
      <c r="O25" s="113" t="e">
        <f>SUMPRODUCT(#REF!,#REF!)/SUM(#REF!)</f>
        <v>#REF!</v>
      </c>
      <c r="P25" s="141"/>
      <c r="Q25" s="114">
        <f>SUMPRODUCT(O4:O13,Q4:Q13)/SUM(O4:O13)</f>
        <v>-0.64967202192166207</v>
      </c>
      <c r="R25" s="112">
        <f>SUM(R4:R13)</f>
        <v>-10671548.90782191</v>
      </c>
    </row>
    <row r="26" spans="2:18" ht="18" hidden="1" x14ac:dyDescent="0.35">
      <c r="B26" s="40" t="str">
        <f>'Demurage 2021'!B30</f>
        <v>Actual Jan-Jun'21</v>
      </c>
      <c r="C26" s="41">
        <f>SUM(C4:C9)</f>
        <v>5125075.55</v>
      </c>
      <c r="D26" s="115">
        <f>SUMPRODUCT(C4:C9,D4:D9)/SUM(C4:C9)</f>
        <v>-0.30000000000000004</v>
      </c>
      <c r="E26" s="115">
        <f>SUMPRODUCT(C4:C9,E4:E9)/SUM(C4:C9)</f>
        <v>-0.16378518096678868</v>
      </c>
      <c r="F26" s="116">
        <f>SUM(F4:F9)</f>
        <v>-839411.42642521393</v>
      </c>
      <c r="G26" s="44">
        <f>SUM(G4:G9)</f>
        <v>3539577</v>
      </c>
      <c r="H26" s="119">
        <f>SUMPRODUCT(G4:G9,H4:H9)/SUM(G4:G9)</f>
        <v>-0.29999999999999993</v>
      </c>
      <c r="I26" s="119">
        <f>SUMPRODUCT(G4:G9,I4:I9)/SUM(G4:G9)</f>
        <v>-1.379385545221929</v>
      </c>
      <c r="J26" s="118">
        <f>SUM(J4:J9)</f>
        <v>-4882441.3499999996</v>
      </c>
      <c r="K26" s="41">
        <f>SUM(K4:K9)</f>
        <v>318113.19299999997</v>
      </c>
      <c r="L26" s="119">
        <f>SUMPRODUCT(K4:K9,L4:L9)/SUM(K4:K9)</f>
        <v>-0.3</v>
      </c>
      <c r="M26" s="119">
        <f>SUMPRODUCT(K4:K9,M4:M9)/SUM(K4:K9)</f>
        <v>-0.1323726427625064</v>
      </c>
      <c r="N26" s="120">
        <f>SUM(N4:N9)</f>
        <v>-42109.48405502925</v>
      </c>
      <c r="O26" s="121">
        <f>SUM(O4:O9)</f>
        <v>8982765.7430000007</v>
      </c>
      <c r="P26" s="142">
        <f>SUMPRODUCT(O4:O9,P4:P9)/SUM(O4:O9)</f>
        <v>-0.30000000000000004</v>
      </c>
      <c r="Q26" s="418">
        <f>SUMPRODUCT(O4:O9,Q4:Q9)/SUM(O4:O9)</f>
        <v>-0.6416689943152446</v>
      </c>
      <c r="R26" s="112">
        <f>SUM(R4:R9)</f>
        <v>-5763962.2604802419</v>
      </c>
    </row>
    <row r="27" spans="2:18" ht="18" x14ac:dyDescent="0.35">
      <c r="B27" s="168" t="str">
        <f>'Demurage 2021'!B31</f>
        <v>Predict Jan-Dec'21</v>
      </c>
      <c r="C27" s="169">
        <f>SUM(C4:C15)</f>
        <v>11280945.644000001</v>
      </c>
      <c r="D27" s="177">
        <f>SUMPRODUCT(C4:C14,D4:D14)/SUM(C4:C14)</f>
        <v>-0.29999999999999993</v>
      </c>
      <c r="E27" s="177">
        <f>SUMPRODUCT(C4:C15,E4:E15)/SUM(C4:C15)</f>
        <v>-0.22342610186281417</v>
      </c>
      <c r="F27" s="178">
        <f>SUM(F4:F15)</f>
        <v>-2520457.710565214</v>
      </c>
      <c r="G27" s="169">
        <f>SUM(G4:G15)</f>
        <v>7885733</v>
      </c>
      <c r="H27" s="177">
        <f>SUMPRODUCT(G4:G14,H4:H14)/SUM(G4:G14)</f>
        <v>-0.29999999999999993</v>
      </c>
      <c r="I27" s="170">
        <f>SUMPRODUCT(G4:G15,I4:I15)/SUM(G4:G15)</f>
        <v>-1.1093931750030288</v>
      </c>
      <c r="J27" s="178">
        <f>SUM(J4:J15)</f>
        <v>-8748378.3700961601</v>
      </c>
      <c r="K27" s="169">
        <f>SUM(K4:K15)</f>
        <v>884473.19299999997</v>
      </c>
      <c r="L27" s="177">
        <f>SUMPRODUCT(K4:K14,L4:L14)/SUM(K4:K14)</f>
        <v>-0.3</v>
      </c>
      <c r="M27" s="177">
        <f>SUMPRODUCT(K4:K15,M4:M15)/SUM(K4:K15)</f>
        <v>0.5767907116170844</v>
      </c>
      <c r="N27" s="178">
        <f>SUM(N4:N15)</f>
        <v>510155.92239670479</v>
      </c>
      <c r="O27" s="169">
        <f>SUM(O4:O15)</f>
        <v>20051151.837000001</v>
      </c>
      <c r="P27" s="177">
        <f>SUMPRODUCT(O4:O14,P4:P14)/SUM(O4:O14)</f>
        <v>-0.3</v>
      </c>
      <c r="Q27" s="170">
        <f>SUMPRODUCT(O4:O15,Q4:Q15)/SUM(O4:O15)</f>
        <v>-0.53656170207697929</v>
      </c>
      <c r="R27" s="178">
        <f>SUM(R4:R15)</f>
        <v>-10826421.158264671</v>
      </c>
    </row>
    <row r="28" spans="2:18" ht="18" x14ac:dyDescent="0.3">
      <c r="B28" s="57"/>
      <c r="C28" s="122"/>
      <c r="D28" s="122"/>
      <c r="E28" s="1"/>
      <c r="F28" s="1"/>
      <c r="G28" s="1"/>
      <c r="H28" s="64"/>
      <c r="I28" s="5"/>
      <c r="J28" s="62"/>
      <c r="K28" s="2">
        <f>SUM(O4:O12)</f>
        <v>14818857.837000001</v>
      </c>
      <c r="L28" s="2"/>
      <c r="M28" s="5">
        <f>SUMPRODUCT(O4:O12,Q4:Q12)/SUM(O4:O12)</f>
        <v>-0.54368991152823298</v>
      </c>
      <c r="N28" s="62"/>
      <c r="O28" s="1"/>
      <c r="P28" s="1"/>
      <c r="Q28" s="65"/>
      <c r="R28" s="5">
        <f>SUMPRODUCT(O4:O12,Q4:Q12)/SUM(O4:O12)</f>
        <v>-0.54368991152823298</v>
      </c>
    </row>
    <row r="29" spans="2:18" x14ac:dyDescent="0.3">
      <c r="B29" s="1"/>
      <c r="C29" s="620" t="s">
        <v>69</v>
      </c>
      <c r="D29" s="620"/>
      <c r="E29" s="620"/>
      <c r="F29" s="620"/>
      <c r="G29" s="1"/>
      <c r="H29" s="611" t="s">
        <v>47</v>
      </c>
      <c r="I29" s="611"/>
      <c r="J29" s="611"/>
      <c r="K29" s="2" t="s">
        <v>48</v>
      </c>
      <c r="L29" s="2"/>
      <c r="M29" s="611" t="s">
        <v>49</v>
      </c>
      <c r="N29" s="611"/>
      <c r="O29" s="611"/>
      <c r="P29" s="2" t="s">
        <v>70</v>
      </c>
      <c r="Q29" s="65"/>
      <c r="R29" s="1"/>
    </row>
    <row r="30" spans="2:18" x14ac:dyDescent="0.3">
      <c r="B30" s="2">
        <f>O12-65000</f>
        <v>1857200</v>
      </c>
      <c r="C30" s="123">
        <f t="shared" ref="C30:C41" si="6">C4</f>
        <v>709609</v>
      </c>
      <c r="D30" s="123">
        <f t="shared" ref="D30:D41" si="7">G4</f>
        <v>459285</v>
      </c>
      <c r="E30" s="123">
        <f t="shared" ref="E30:E41" si="8">K4</f>
        <v>32514</v>
      </c>
      <c r="F30" s="123">
        <f t="shared" ref="F30:F41" si="9">SUM(C30:E30)</f>
        <v>1201408</v>
      </c>
      <c r="G30" s="1"/>
      <c r="H30" s="60">
        <f t="shared" ref="H30:H41" si="10">D4</f>
        <v>-0.3</v>
      </c>
      <c r="I30" s="5">
        <f t="shared" ref="I30:I41" si="11">H4</f>
        <v>-0.3</v>
      </c>
      <c r="J30" s="61">
        <f t="shared" ref="J30:J41" si="12">L4</f>
        <v>-0.3</v>
      </c>
      <c r="K30" s="5">
        <f>SUMPRODUCT($G$37:$I$37,H30:J30)/SUM($G$37:$I$37)</f>
        <v>-0.3</v>
      </c>
      <c r="L30" s="61"/>
      <c r="M30" s="60">
        <f>E4</f>
        <v>-0.6194280653148424</v>
      </c>
      <c r="N30" s="61">
        <f t="shared" ref="N30:N41" si="13">I4</f>
        <v>-1.5904350675506493</v>
      </c>
      <c r="O30" s="61">
        <f t="shared" ref="O30:O41" si="14">M4</f>
        <v>-0.38335268299206221</v>
      </c>
      <c r="P30" s="5">
        <f>SUMPRODUCT(C30:E30,M30:O30)/SUM(C30:E30)</f>
        <v>-0.98424434424841845</v>
      </c>
      <c r="Q30" s="1"/>
      <c r="R30" s="1"/>
    </row>
    <row r="31" spans="2:18" x14ac:dyDescent="0.3">
      <c r="B31" s="2"/>
      <c r="C31" s="123">
        <f t="shared" si="6"/>
        <v>657525</v>
      </c>
      <c r="D31" s="123">
        <f t="shared" si="7"/>
        <v>557625</v>
      </c>
      <c r="E31" s="123">
        <f t="shared" si="8"/>
        <v>41883</v>
      </c>
      <c r="F31" s="123">
        <f t="shared" si="9"/>
        <v>1257033</v>
      </c>
      <c r="G31" s="1"/>
      <c r="H31" s="60">
        <f t="shared" si="10"/>
        <v>-0.3</v>
      </c>
      <c r="I31" s="5">
        <f t="shared" si="11"/>
        <v>-0.3</v>
      </c>
      <c r="J31" s="61">
        <f t="shared" si="12"/>
        <v>-0.3</v>
      </c>
      <c r="K31" s="5">
        <f t="shared" ref="K31:K41" si="15">SUMPRODUCT($G$37:$I$37,H31:J31)/SUM($G$37:$I$37)</f>
        <v>-0.3</v>
      </c>
      <c r="L31" s="61"/>
      <c r="M31" s="60">
        <f t="shared" ref="M31:M41" si="16">E5</f>
        <v>-0.39746570852819285</v>
      </c>
      <c r="N31" s="61">
        <f t="shared" si="13"/>
        <v>-2.5924445101995066</v>
      </c>
      <c r="O31" s="61">
        <f t="shared" si="14"/>
        <v>-0.88705003080504052</v>
      </c>
      <c r="P31" s="5">
        <f t="shared" ref="P31:P41" si="17">SUMPRODUCT(C31:E31,M31:O31)/SUM(C31:E31)</f>
        <v>-1.3874797451142549</v>
      </c>
      <c r="Q31" s="1"/>
      <c r="R31" s="1"/>
    </row>
    <row r="32" spans="2:18" x14ac:dyDescent="0.3">
      <c r="B32" s="1"/>
      <c r="C32" s="123">
        <f t="shared" si="6"/>
        <v>963467.55</v>
      </c>
      <c r="D32" s="123">
        <f t="shared" si="7"/>
        <v>635529</v>
      </c>
      <c r="E32" s="123">
        <f t="shared" si="8"/>
        <v>53973</v>
      </c>
      <c r="F32" s="123">
        <f t="shared" si="9"/>
        <v>1652969.55</v>
      </c>
      <c r="G32" s="1"/>
      <c r="H32" s="60">
        <f t="shared" si="10"/>
        <v>-0.3</v>
      </c>
      <c r="I32" s="5">
        <f t="shared" si="11"/>
        <v>-0.3</v>
      </c>
      <c r="J32" s="61">
        <f t="shared" si="12"/>
        <v>-0.3</v>
      </c>
      <c r="K32" s="5">
        <f t="shared" si="15"/>
        <v>-0.3</v>
      </c>
      <c r="L32" s="61"/>
      <c r="M32" s="60">
        <f t="shared" si="16"/>
        <v>-0.36</v>
      </c>
      <c r="N32" s="61">
        <f t="shared" si="13"/>
        <v>-2.158291926882959</v>
      </c>
      <c r="O32" s="61">
        <f t="shared" si="14"/>
        <v>-0.5</v>
      </c>
      <c r="P32" s="5">
        <f t="shared" si="17"/>
        <v>-1.0559734315734974</v>
      </c>
      <c r="Q32" s="1"/>
      <c r="R32" s="1"/>
    </row>
    <row r="33" spans="2:18" x14ac:dyDescent="0.3">
      <c r="B33" s="1"/>
      <c r="C33" s="123">
        <f t="shared" si="6"/>
        <v>784473</v>
      </c>
      <c r="D33" s="123">
        <f t="shared" si="7"/>
        <v>541095</v>
      </c>
      <c r="E33" s="123">
        <f t="shared" si="8"/>
        <v>59224.358000000007</v>
      </c>
      <c r="F33" s="123">
        <f t="shared" si="9"/>
        <v>1384792.358</v>
      </c>
      <c r="G33" s="1"/>
      <c r="H33" s="60">
        <f t="shared" si="10"/>
        <v>-0.3</v>
      </c>
      <c r="I33" s="5">
        <f t="shared" si="11"/>
        <v>-0.3</v>
      </c>
      <c r="J33" s="61">
        <f t="shared" si="12"/>
        <v>-0.3</v>
      </c>
      <c r="K33" s="5">
        <f t="shared" si="15"/>
        <v>-0.3</v>
      </c>
      <c r="L33" s="61"/>
      <c r="M33" s="60">
        <f t="shared" si="16"/>
        <v>-6.1905298776866818E-2</v>
      </c>
      <c r="N33" s="61">
        <f t="shared" si="13"/>
        <v>-1.74</v>
      </c>
      <c r="O33" s="61">
        <f t="shared" si="14"/>
        <v>0.34</v>
      </c>
      <c r="P33" s="5">
        <f t="shared" si="17"/>
        <v>-0.70041696007639664</v>
      </c>
      <c r="Q33" s="1"/>
      <c r="R33" s="1"/>
    </row>
    <row r="34" spans="2:18" x14ac:dyDescent="0.3">
      <c r="B34" s="1"/>
      <c r="C34" s="123">
        <f t="shared" si="6"/>
        <v>1065906</v>
      </c>
      <c r="D34" s="123">
        <f t="shared" si="7"/>
        <v>862787</v>
      </c>
      <c r="E34" s="123">
        <f t="shared" si="8"/>
        <v>78755.834999999992</v>
      </c>
      <c r="F34" s="123">
        <f t="shared" si="9"/>
        <v>2007448.835</v>
      </c>
      <c r="G34" s="1"/>
      <c r="H34" s="60">
        <f t="shared" si="10"/>
        <v>-0.3</v>
      </c>
      <c r="I34" s="5">
        <f t="shared" si="11"/>
        <v>-0.3</v>
      </c>
      <c r="J34" s="61">
        <f t="shared" si="12"/>
        <v>-0.3</v>
      </c>
      <c r="K34" s="5">
        <f t="shared" si="15"/>
        <v>-0.3</v>
      </c>
      <c r="L34" s="61"/>
      <c r="M34" s="60">
        <f t="shared" si="16"/>
        <v>-6.9324860209567185E-2</v>
      </c>
      <c r="N34" s="61">
        <f t="shared" si="13"/>
        <v>0.17</v>
      </c>
      <c r="O34" s="61">
        <f t="shared" si="14"/>
        <v>-0.3</v>
      </c>
      <c r="P34" s="5">
        <f>SUMPRODUCT(C34:E34,M34:O34)/SUM(C34:E34)</f>
        <v>2.4485433549523615E-2</v>
      </c>
      <c r="Q34" s="1"/>
      <c r="R34" s="1"/>
    </row>
    <row r="35" spans="2:18" x14ac:dyDescent="0.3">
      <c r="B35" s="1"/>
      <c r="C35" s="123">
        <f t="shared" si="6"/>
        <v>944095</v>
      </c>
      <c r="D35" s="123">
        <f t="shared" si="7"/>
        <v>483256</v>
      </c>
      <c r="E35" s="123">
        <f t="shared" si="8"/>
        <v>51763</v>
      </c>
      <c r="F35" s="123">
        <f t="shared" si="9"/>
        <v>1479114</v>
      </c>
      <c r="G35" s="1"/>
      <c r="H35" s="60">
        <f t="shared" si="10"/>
        <v>-0.3</v>
      </c>
      <c r="I35" s="5">
        <f t="shared" si="11"/>
        <v>-0.3</v>
      </c>
      <c r="J35" s="61">
        <f t="shared" si="12"/>
        <v>-0.3</v>
      </c>
      <c r="K35" s="5">
        <f t="shared" si="15"/>
        <v>-0.3</v>
      </c>
      <c r="L35" s="61"/>
      <c r="M35" s="60">
        <f t="shared" si="16"/>
        <v>0.35037690218538403</v>
      </c>
      <c r="N35" s="61">
        <f t="shared" si="13"/>
        <v>-1.1171674847285908</v>
      </c>
      <c r="O35" s="61">
        <f t="shared" si="14"/>
        <v>0.73380851766671507</v>
      </c>
      <c r="P35" s="5">
        <f t="shared" si="17"/>
        <v>-0.11568052106281704</v>
      </c>
      <c r="Q35" s="1"/>
      <c r="R35" s="1"/>
    </row>
    <row r="36" spans="2:18" x14ac:dyDescent="0.3">
      <c r="B36" s="1"/>
      <c r="C36" s="123">
        <f t="shared" si="6"/>
        <v>1148294.0689999999</v>
      </c>
      <c r="D36" s="123">
        <f t="shared" si="7"/>
        <v>815976</v>
      </c>
      <c r="E36" s="123">
        <f t="shared" si="8"/>
        <v>59657</v>
      </c>
      <c r="F36" s="123">
        <f t="shared" si="9"/>
        <v>2023927.0689999999</v>
      </c>
      <c r="G36" s="1"/>
      <c r="H36" s="60">
        <f t="shared" si="10"/>
        <v>-0.3</v>
      </c>
      <c r="I36" s="5">
        <f t="shared" si="11"/>
        <v>-0.3</v>
      </c>
      <c r="J36" s="61">
        <f t="shared" si="12"/>
        <v>-0.3</v>
      </c>
      <c r="K36" s="5">
        <f t="shared" si="15"/>
        <v>-0.3</v>
      </c>
      <c r="L36" s="61"/>
      <c r="M36" s="60">
        <f t="shared" si="16"/>
        <v>0.69</v>
      </c>
      <c r="N36" s="61">
        <f t="shared" si="13"/>
        <v>-1.289659573</v>
      </c>
      <c r="O36" s="61">
        <f t="shared" si="14"/>
        <v>-8.7129901999999995E-2</v>
      </c>
      <c r="P36" s="5">
        <f t="shared" si="17"/>
        <v>-0.13103548282641317</v>
      </c>
      <c r="Q36" s="1"/>
      <c r="R36" s="1"/>
    </row>
    <row r="37" spans="2:18" x14ac:dyDescent="0.3">
      <c r="B37" s="1"/>
      <c r="C37" s="123">
        <f t="shared" si="6"/>
        <v>977693.02500000002</v>
      </c>
      <c r="D37" s="123">
        <f t="shared" si="7"/>
        <v>811562</v>
      </c>
      <c r="E37" s="123">
        <f t="shared" si="8"/>
        <v>100710</v>
      </c>
      <c r="F37" s="123">
        <f t="shared" si="9"/>
        <v>1889965.0249999999</v>
      </c>
      <c r="G37" s="1"/>
      <c r="H37" s="60">
        <f t="shared" si="10"/>
        <v>-0.3</v>
      </c>
      <c r="I37" s="5">
        <f t="shared" si="11"/>
        <v>-0.3</v>
      </c>
      <c r="J37" s="61">
        <f t="shared" si="12"/>
        <v>-0.3</v>
      </c>
      <c r="K37" s="5">
        <f t="shared" si="15"/>
        <v>-0.3</v>
      </c>
      <c r="L37" s="61"/>
      <c r="M37" s="60">
        <f t="shared" si="16"/>
        <v>-7.0000000000000007E-2</v>
      </c>
      <c r="N37" s="61">
        <f t="shared" si="13"/>
        <v>-1.5751022969999999</v>
      </c>
      <c r="O37" s="61">
        <f t="shared" si="14"/>
        <v>0.66904493899999995</v>
      </c>
      <c r="P37" s="5">
        <f t="shared" si="17"/>
        <v>-0.6769184346685061</v>
      </c>
      <c r="Q37" s="1"/>
      <c r="R37" s="1"/>
    </row>
    <row r="38" spans="2:18" x14ac:dyDescent="0.3">
      <c r="B38" s="1"/>
      <c r="C38" s="123">
        <f t="shared" si="6"/>
        <v>1056931</v>
      </c>
      <c r="D38" s="123">
        <f t="shared" si="7"/>
        <v>733254</v>
      </c>
      <c r="E38" s="123">
        <f t="shared" si="8"/>
        <v>132015</v>
      </c>
      <c r="F38" s="123">
        <f t="shared" si="9"/>
        <v>1922200</v>
      </c>
      <c r="G38" s="1"/>
      <c r="H38" s="60">
        <f t="shared" si="10"/>
        <v>-0.3</v>
      </c>
      <c r="I38" s="5">
        <f t="shared" si="11"/>
        <v>-0.3</v>
      </c>
      <c r="J38" s="61">
        <f t="shared" si="12"/>
        <v>-0.3</v>
      </c>
      <c r="K38" s="5">
        <f t="shared" si="15"/>
        <v>-0.3</v>
      </c>
      <c r="L38" s="61"/>
      <c r="M38" s="60">
        <f t="shared" si="16"/>
        <v>-0.72</v>
      </c>
      <c r="N38" s="61">
        <f t="shared" si="13"/>
        <v>-0.17</v>
      </c>
      <c r="O38" s="61">
        <f t="shared" si="14"/>
        <v>1.0400384890000001</v>
      </c>
      <c r="P38" s="5">
        <f t="shared" si="17"/>
        <v>-0.38931579381680625</v>
      </c>
      <c r="Q38" s="1"/>
      <c r="R38" s="1"/>
    </row>
    <row r="39" spans="2:18" x14ac:dyDescent="0.3">
      <c r="B39" s="1"/>
      <c r="C39" s="123">
        <f t="shared" si="6"/>
        <v>1029513</v>
      </c>
      <c r="D39" s="123">
        <f t="shared" si="7"/>
        <v>488758</v>
      </c>
      <c r="E39" s="123">
        <f t="shared" si="8"/>
        <v>88927</v>
      </c>
      <c r="F39" s="123">
        <f t="shared" si="9"/>
        <v>1607198</v>
      </c>
      <c r="G39" s="1"/>
      <c r="H39" s="60">
        <f t="shared" si="10"/>
        <v>-0.3</v>
      </c>
      <c r="I39" s="5">
        <f t="shared" si="11"/>
        <v>-0.3</v>
      </c>
      <c r="J39" s="61">
        <f t="shared" si="12"/>
        <v>-0.3</v>
      </c>
      <c r="K39" s="5">
        <f t="shared" si="15"/>
        <v>-0.3</v>
      </c>
      <c r="L39" s="61"/>
      <c r="M39" s="60">
        <f t="shared" si="16"/>
        <v>-0.85</v>
      </c>
      <c r="N39" s="61">
        <f t="shared" si="13"/>
        <v>-3.62</v>
      </c>
      <c r="O39" s="61">
        <f t="shared" si="14"/>
        <v>0.334033629</v>
      </c>
      <c r="P39" s="5">
        <f t="shared" si="17"/>
        <v>-1.6268595415586111</v>
      </c>
      <c r="Q39" s="1"/>
      <c r="R39" s="1"/>
    </row>
    <row r="40" spans="2:18" x14ac:dyDescent="0.3">
      <c r="B40" s="1"/>
      <c r="C40" s="123">
        <f t="shared" si="6"/>
        <v>784651</v>
      </c>
      <c r="D40" s="123">
        <f t="shared" si="7"/>
        <v>736327</v>
      </c>
      <c r="E40" s="123">
        <f t="shared" si="8"/>
        <v>117310</v>
      </c>
      <c r="F40" s="123">
        <f t="shared" si="9"/>
        <v>1638288</v>
      </c>
      <c r="G40" s="1"/>
      <c r="H40" s="60">
        <f t="shared" si="10"/>
        <v>-0.3</v>
      </c>
      <c r="I40" s="5">
        <f t="shared" si="11"/>
        <v>-0.3</v>
      </c>
      <c r="J40" s="61">
        <f t="shared" si="12"/>
        <v>-0.3</v>
      </c>
      <c r="K40" s="5">
        <f t="shared" si="15"/>
        <v>-0.3</v>
      </c>
      <c r="L40" s="61"/>
      <c r="M40" s="60">
        <f t="shared" si="16"/>
        <v>-1.29</v>
      </c>
      <c r="N40" s="61">
        <f t="shared" si="13"/>
        <v>0.57999999999999996</v>
      </c>
      <c r="O40" s="61">
        <f t="shared" si="14"/>
        <v>2.1766048040000001</v>
      </c>
      <c r="P40" s="5">
        <f t="shared" si="17"/>
        <v>-0.20130320214929251</v>
      </c>
      <c r="Q40" s="1"/>
      <c r="R40" s="1"/>
    </row>
    <row r="41" spans="2:18" x14ac:dyDescent="0.3">
      <c r="B41" s="1"/>
      <c r="C41" s="123">
        <f t="shared" si="6"/>
        <v>1158788</v>
      </c>
      <c r="D41" s="123">
        <f t="shared" si="7"/>
        <v>760279</v>
      </c>
      <c r="E41" s="123">
        <f t="shared" si="8"/>
        <v>67741</v>
      </c>
      <c r="F41" s="123">
        <f t="shared" si="9"/>
        <v>1986808</v>
      </c>
      <c r="G41" s="1"/>
      <c r="H41" s="60">
        <f t="shared" si="10"/>
        <v>-0.3</v>
      </c>
      <c r="I41" s="5">
        <f t="shared" si="11"/>
        <v>-0.3</v>
      </c>
      <c r="J41" s="61">
        <f t="shared" si="12"/>
        <v>-0.3</v>
      </c>
      <c r="K41" s="5">
        <f t="shared" si="15"/>
        <v>-0.3</v>
      </c>
      <c r="L41" s="61"/>
      <c r="M41" s="60">
        <f t="shared" si="16"/>
        <v>0.21</v>
      </c>
      <c r="N41" s="61">
        <f t="shared" si="13"/>
        <v>-0.09</v>
      </c>
      <c r="O41" s="61">
        <f t="shared" si="14"/>
        <v>1</v>
      </c>
      <c r="P41" s="5">
        <f t="shared" si="17"/>
        <v>0.12213629600847188</v>
      </c>
      <c r="Q41" s="1"/>
      <c r="R41" s="1"/>
    </row>
    <row r="42" spans="2:18" x14ac:dyDescent="0.3">
      <c r="B42" s="1"/>
      <c r="C42" s="1"/>
      <c r="D42" s="1"/>
      <c r="E42" s="1"/>
      <c r="F42" s="1"/>
      <c r="G42" s="1"/>
      <c r="H42" s="64"/>
      <c r="I42" s="5"/>
      <c r="J42" s="62"/>
      <c r="K42" s="1"/>
      <c r="L42" s="1"/>
      <c r="M42" s="1"/>
      <c r="N42" s="62"/>
      <c r="O42" s="1"/>
      <c r="P42" s="1"/>
      <c r="Q42" s="65"/>
      <c r="R42" s="1"/>
    </row>
    <row r="43" spans="2:18" x14ac:dyDescent="0.3">
      <c r="B43" s="1"/>
      <c r="C43" s="1"/>
      <c r="D43" s="1"/>
      <c r="E43" s="1"/>
      <c r="F43" s="1">
        <f>SUM(F30:F42)</f>
        <v>20051151.837000001</v>
      </c>
      <c r="G43" s="1"/>
      <c r="H43" s="64"/>
      <c r="I43" s="5"/>
      <c r="J43" s="62"/>
      <c r="K43" s="1">
        <f>SUMPRODUCT(F30:F35,N30:N35)/SUM(F30:F35)</f>
        <v>-1.3868591671177359</v>
      </c>
      <c r="L43" s="1"/>
      <c r="M43" s="1"/>
      <c r="N43" s="62"/>
      <c r="O43" s="1"/>
      <c r="P43" s="1"/>
      <c r="Q43" s="65"/>
      <c r="R43" s="1"/>
    </row>
    <row r="44" spans="2:18" x14ac:dyDescent="0.3">
      <c r="B44" s="1"/>
      <c r="C44" s="1"/>
      <c r="D44" s="1"/>
      <c r="E44" s="1"/>
      <c r="F44" s="1"/>
      <c r="G44" s="1"/>
      <c r="H44" s="64"/>
      <c r="I44" s="5"/>
      <c r="J44" s="62"/>
      <c r="K44" s="1">
        <f>SUMPRODUCT(F30:F39,N30:N39)/SUM(F30:F39)</f>
        <v>-1.4726436576442006</v>
      </c>
      <c r="L44" s="1"/>
      <c r="M44" s="1"/>
      <c r="N44" s="62"/>
      <c r="O44" s="1"/>
      <c r="P44" s="1"/>
      <c r="Q44" s="65"/>
      <c r="R44" s="1"/>
    </row>
    <row r="45" spans="2:18" x14ac:dyDescent="0.3">
      <c r="B45" s="1"/>
      <c r="C45" s="1"/>
      <c r="D45" s="1"/>
      <c r="E45" s="1"/>
      <c r="F45" s="1"/>
      <c r="G45" s="1"/>
      <c r="H45" s="64"/>
      <c r="I45" s="5"/>
      <c r="J45" s="62"/>
      <c r="K45" s="1"/>
      <c r="L45" s="1"/>
      <c r="M45" s="1"/>
      <c r="N45" s="62"/>
      <c r="O45" s="1"/>
      <c r="P45" s="1"/>
      <c r="Q45" s="65"/>
      <c r="R45" s="1"/>
    </row>
  </sheetData>
  <mergeCells count="8">
    <mergeCell ref="C29:F29"/>
    <mergeCell ref="H29:J29"/>
    <mergeCell ref="M29:O29"/>
    <mergeCell ref="B2:B3"/>
    <mergeCell ref="C2:F2"/>
    <mergeCell ref="G2:J2"/>
    <mergeCell ref="K2:N2"/>
    <mergeCell ref="O2:R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6cc4ce3-5863-44e3-815a-1a73a089bf3b}" enabled="1" method="Standard" siteId="{bbb8da8f-f374-490f-9190-2242176e117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Demurage 2024 (2)</vt:lpstr>
      <vt:lpstr>Demurage 2026</vt:lpstr>
      <vt:lpstr>present dem</vt:lpstr>
      <vt:lpstr>summary Demurage&amp;penalty</vt:lpstr>
      <vt:lpstr>summ present</vt:lpstr>
      <vt:lpstr>present</vt:lpstr>
      <vt:lpstr>present 2</vt:lpstr>
      <vt:lpstr>Penalty 2026</vt:lpstr>
      <vt:lpstr>present pen</vt:lpstr>
      <vt:lpstr>graph 3</vt:lpstr>
      <vt:lpstr>Demurage 2021</vt:lpstr>
      <vt:lpstr>Penalty 2021</vt:lpstr>
      <vt:lpstr>'Demurage 2024 (2)'!GOLD</vt:lpstr>
      <vt:lpstr>'Demurage 2026'!GOLD</vt:lpstr>
      <vt:lpstr>'Demurage 2024 (2)'!OTHERS</vt:lpstr>
      <vt:lpstr>'Demurage 2026'!OTHERS</vt:lpstr>
      <vt:lpstr>'Demurage 2024 (2)'!PLATINUM</vt:lpstr>
      <vt:lpstr>'Demurage 2026'!PLATINUM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Debora Bebylina Noya</dc:creator>
  <cp:keywords/>
  <dc:description/>
  <cp:lastModifiedBy>Landung Yudanto</cp:lastModifiedBy>
  <cp:revision/>
  <dcterms:created xsi:type="dcterms:W3CDTF">2020-05-04T05:52:41Z</dcterms:created>
  <dcterms:modified xsi:type="dcterms:W3CDTF">2026-09-09T01:26:47Z</dcterms:modified>
  <cp:category/>
  <cp:contentStatus/>
</cp:coreProperties>
</file>