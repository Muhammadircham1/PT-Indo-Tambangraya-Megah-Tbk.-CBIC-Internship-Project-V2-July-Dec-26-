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SystemAutomation_MonthlyMargin\"/>
    </mc:Choice>
  </mc:AlternateContent>
  <xr:revisionPtr revIDLastSave="0" documentId="13_ncr:1_{A9C1080A-621D-405D-BE05-66F578CBFF5B}" xr6:coauthVersionLast="47" xr6:coauthVersionMax="47" xr10:uidLastSave="{00000000-0000-0000-0000-000000000000}"/>
  <bookViews>
    <workbookView xWindow="-110" yWindow="-110" windowWidth="25820" windowHeight="13900" activeTab="6" xr2:uid="{00000000-000D-0000-FFFF-FFFF00000000}"/>
  </bookViews>
  <sheets>
    <sheet name="Fact_Shipments" sheetId="1" r:id="rId1"/>
    <sheet name="Sheet1" sheetId="5" r:id="rId2"/>
    <sheet name="Summary_Baseline" sheetId="3" r:id="rId3"/>
    <sheet name="Summary_Actual" sheetId="4" r:id="rId4"/>
    <sheet name="Sheet2" sheetId="6" r:id="rId5"/>
    <sheet name="Sheet3" sheetId="8" r:id="rId6"/>
    <sheet name="Sheet4" sheetId="9" r:id="rId7"/>
    <sheet name="Sheet5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E5" i="8"/>
  <c r="D5" i="8"/>
  <c r="C5" i="8"/>
  <c r="B5" i="8"/>
  <c r="E4" i="8"/>
  <c r="D4" i="8"/>
  <c r="C4" i="8"/>
  <c r="B4" i="8"/>
  <c r="E3" i="8"/>
  <c r="D3" i="8"/>
  <c r="C3" i="8"/>
  <c r="B3" i="8"/>
  <c r="P3" i="5" l="1"/>
  <c r="J2" i="5"/>
  <c r="I2" i="5"/>
  <c r="H2" i="5"/>
  <c r="G2" i="5"/>
  <c r="F2" i="5"/>
  <c r="E2" i="5"/>
  <c r="D2" i="5"/>
  <c r="C2" i="5"/>
  <c r="B2" i="5"/>
  <c r="P3" i="1"/>
  <c r="K2" i="5" l="1"/>
  <c r="P4" i="5" l="1"/>
  <c r="L2" i="5" l="1"/>
  <c r="N2" i="5"/>
  <c r="M2" i="5"/>
</calcChain>
</file>

<file path=xl/sharedStrings.xml><?xml version="1.0" encoding="utf-8"?>
<sst xmlns="http://schemas.openxmlformats.org/spreadsheetml/2006/main" count="1841" uniqueCount="375">
  <si>
    <t>Year</t>
  </si>
  <si>
    <t>Company</t>
  </si>
  <si>
    <t>SSO_Flag</t>
  </si>
  <si>
    <t>BoCT</t>
  </si>
  <si>
    <t>IMM</t>
  </si>
  <si>
    <t>EBP</t>
  </si>
  <si>
    <t>BEK</t>
  </si>
  <si>
    <t>Mahakam</t>
  </si>
  <si>
    <t>TCM</t>
  </si>
  <si>
    <t>GPK</t>
  </si>
  <si>
    <t>MV. VINCA</t>
  </si>
  <si>
    <t>No</t>
  </si>
  <si>
    <t>Month Num</t>
  </si>
  <si>
    <t>Month Name</t>
  </si>
  <si>
    <t>Vessel Name</t>
  </si>
  <si>
    <t>Shipment</t>
  </si>
  <si>
    <t>Quantity MT</t>
  </si>
  <si>
    <t>Revenue USD</t>
  </si>
  <si>
    <t>Demurrage USD</t>
  </si>
  <si>
    <t>Bonus Penalty USD</t>
  </si>
  <si>
    <t>SSO_Desc</t>
  </si>
  <si>
    <t>Load_Port</t>
  </si>
  <si>
    <t>Margin Uplift</t>
  </si>
  <si>
    <t>Total</t>
  </si>
  <si>
    <t>SSO_Presentase</t>
  </si>
  <si>
    <t xml:space="preserve"> ITM Summary Actual + Deviasi</t>
  </si>
  <si>
    <t>Summary Loading of ITM Shipment 2023</t>
  </si>
  <si>
    <t>Calculation Sheet</t>
  </si>
  <si>
    <t>ETA/ATA, ETB, and ETD</t>
  </si>
  <si>
    <t>JBG</t>
  </si>
  <si>
    <t>NPR</t>
  </si>
  <si>
    <t>TIS</t>
  </si>
  <si>
    <t>Laycan</t>
  </si>
  <si>
    <t>Shipper</t>
  </si>
  <si>
    <t>Status</t>
  </si>
  <si>
    <t>Name</t>
  </si>
  <si>
    <t>Result: Coal quality by property</t>
  </si>
  <si>
    <t>Penalty</t>
  </si>
  <si>
    <t>Demurrage</t>
  </si>
  <si>
    <t>Value Coal Blended (FOB)</t>
  </si>
  <si>
    <t>FOB</t>
  </si>
  <si>
    <t>Cost to Vessel (Operation)</t>
  </si>
  <si>
    <t>GLR</t>
  </si>
  <si>
    <t>FOB Price</t>
  </si>
  <si>
    <t>Shipment Price</t>
  </si>
  <si>
    <t>Bonus/Penalty</t>
  </si>
  <si>
    <t>Revenue</t>
  </si>
  <si>
    <t xml:space="preserve">Barging Cost </t>
  </si>
  <si>
    <t xml:space="preserve">Cash Cost to Vessel </t>
  </si>
  <si>
    <t>FLF Cost</t>
  </si>
  <si>
    <t>Royalty</t>
  </si>
  <si>
    <t>Agency</t>
  </si>
  <si>
    <t>Surveyor</t>
  </si>
  <si>
    <t>Total Cost</t>
  </si>
  <si>
    <t>Margin</t>
  </si>
  <si>
    <t>HBA</t>
  </si>
  <si>
    <t>No.</t>
  </si>
  <si>
    <t>Month</t>
  </si>
  <si>
    <t>Name of Vessel</t>
  </si>
  <si>
    <t>Buyer</t>
  </si>
  <si>
    <t>End user</t>
  </si>
  <si>
    <t>Load Port</t>
  </si>
  <si>
    <t>ETA/ATA</t>
  </si>
  <si>
    <t>ETB</t>
  </si>
  <si>
    <t>ETD</t>
  </si>
  <si>
    <t>IMM-WB.HCV.LS</t>
  </si>
  <si>
    <t>IMM-EB.MCV.LS</t>
  </si>
  <si>
    <t>IMM-EB.MCV.MS</t>
  </si>
  <si>
    <t>IMM-EB.MCV.HS</t>
  </si>
  <si>
    <t xml:space="preserve">TCM.HCV.LS </t>
  </si>
  <si>
    <t xml:space="preserve">TCM.HCV.HS </t>
  </si>
  <si>
    <t>BEK.MCV.LS</t>
  </si>
  <si>
    <t>NPR.MCV.LS</t>
  </si>
  <si>
    <t>NPR.MCV.HS</t>
  </si>
  <si>
    <t>EBH.HCV</t>
  </si>
  <si>
    <t>SHORE.HCV</t>
  </si>
  <si>
    <t>KMIA.MCV.LS</t>
  </si>
  <si>
    <t>BBE.MCV</t>
  </si>
  <si>
    <t>MBL.MCV</t>
  </si>
  <si>
    <t>MBL.56.MCV</t>
  </si>
  <si>
    <t>GHP.MCV</t>
  </si>
  <si>
    <t>EMJ.MCV</t>
  </si>
  <si>
    <t>KBM.MCV</t>
  </si>
  <si>
    <t>IKJ.MCV</t>
  </si>
  <si>
    <t>PUMA MCV</t>
  </si>
  <si>
    <t>AUB</t>
  </si>
  <si>
    <t>MKE.LCV</t>
  </si>
  <si>
    <t>KJA.LCV.LS</t>
  </si>
  <si>
    <t>JHN.LCV</t>
  </si>
  <si>
    <t>DMP.LCV</t>
  </si>
  <si>
    <t>MCM.LCV</t>
  </si>
  <si>
    <t>BMM.LCV</t>
  </si>
  <si>
    <t>BBA.LCV</t>
  </si>
  <si>
    <t>MML.LCV</t>
  </si>
  <si>
    <t>KPM.LCV</t>
  </si>
  <si>
    <t>KJM.LCV</t>
  </si>
  <si>
    <t>DBP.LCV</t>
  </si>
  <si>
    <t>DMP</t>
  </si>
  <si>
    <t>BBS 34</t>
  </si>
  <si>
    <t>BUM.LCV</t>
  </si>
  <si>
    <t>IWBM.LCV</t>
  </si>
  <si>
    <t>BISM.LCV</t>
  </si>
  <si>
    <t>Lay</t>
  </si>
  <si>
    <t>can</t>
  </si>
  <si>
    <t>%</t>
  </si>
  <si>
    <t>FLF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</si>
  <si>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</si>
  <si>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</si>
  <si>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</si>
  <si>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</si>
  <si>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</si>
  <si>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</si>
  <si>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</si>
  <si>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</si>
  <si>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</si>
  <si>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W0</t>
  </si>
  <si>
    <t>W1</t>
  </si>
  <si>
    <t>W2</t>
  </si>
  <si>
    <t>W3</t>
  </si>
  <si>
    <t>W4</t>
  </si>
  <si>
    <t>W5</t>
  </si>
  <si>
    <t>Act</t>
  </si>
  <si>
    <t>Price ($)</t>
  </si>
  <si>
    <t>IMM WB HCV LS</t>
  </si>
  <si>
    <t>IMM WB HCV HS</t>
  </si>
  <si>
    <t>IMM EB MCV LS</t>
  </si>
  <si>
    <t>IMM EB MCV MS</t>
  </si>
  <si>
    <t>IMM EB MCV HS</t>
  </si>
  <si>
    <t>IMMEAST SupHS</t>
  </si>
  <si>
    <t>TCM HCV LS</t>
  </si>
  <si>
    <t>TCM HCV HS</t>
  </si>
  <si>
    <t>TCM HCV MS</t>
  </si>
  <si>
    <t>BEK MCV LS</t>
  </si>
  <si>
    <t>BEK MCV MS</t>
  </si>
  <si>
    <t>EMB</t>
  </si>
  <si>
    <t>IKJ</t>
  </si>
  <si>
    <t>BBA</t>
  </si>
  <si>
    <t>IDX</t>
  </si>
  <si>
    <t>KMIA</t>
  </si>
  <si>
    <t>BBE</t>
  </si>
  <si>
    <t>BP</t>
  </si>
  <si>
    <t>KEI</t>
  </si>
  <si>
    <t>KJA</t>
  </si>
  <si>
    <t>KBM</t>
  </si>
  <si>
    <t>ALH</t>
  </si>
  <si>
    <t>DUM</t>
  </si>
  <si>
    <t>JHN</t>
  </si>
  <si>
    <t>LSP</t>
  </si>
  <si>
    <t>PIDI</t>
  </si>
  <si>
    <t>TPH</t>
  </si>
  <si>
    <t>$/ton</t>
  </si>
  <si>
    <t>$</t>
  </si>
  <si>
    <t>Class</t>
  </si>
  <si>
    <t>CHINA BAI GUI (XINDIAN 2022- 5200NAR/TS rej 2.2%)</t>
  </si>
  <si>
    <t>Plan</t>
  </si>
  <si>
    <t xml:space="preserve">MV. TBN </t>
  </si>
  <si>
    <t>CHINA BAI GUI (XINDIAN) - 4450NAR/TS(max) 1.7%</t>
  </si>
  <si>
    <t xml:space="preserve">MV. LUMOSO PRATAMA </t>
  </si>
  <si>
    <t>TJ JATI IMM (2025 NEW)</t>
  </si>
  <si>
    <t>SUNNY EXPRESS (5,200NAR/ TS(rej) 2.2%)</t>
  </si>
  <si>
    <t>DUMP TRUCK</t>
  </si>
  <si>
    <t>EUP</t>
  </si>
  <si>
    <t>Muara Berau</t>
  </si>
  <si>
    <t>In Progress</t>
  </si>
  <si>
    <t>RockTree Apollo</t>
  </si>
  <si>
    <t>PNTS WHS Iskandar_O</t>
  </si>
  <si>
    <t>RockTree Zeus</t>
  </si>
  <si>
    <t>MARUBENI-TOSOH (JFY2024)</t>
  </si>
  <si>
    <t xml:space="preserve">BG. TBN </t>
  </si>
  <si>
    <t>Total Coal Loading of BoCT</t>
  </si>
  <si>
    <t>Total Coal Loading of Mahakam</t>
  </si>
  <si>
    <t>Total Coal Loading of ITM (Coal Demand)</t>
  </si>
  <si>
    <t>Inventory</t>
  </si>
  <si>
    <t>Total BOP (Beginning of Period)</t>
  </si>
  <si>
    <t>PSY at Barge Port (Bunyut and JBG)</t>
  </si>
  <si>
    <t>PSY at Vessel Port (BoCT)</t>
  </si>
  <si>
    <t>Coal on Water/Intransit (Barge,Vessel, Storage)</t>
  </si>
  <si>
    <t>Monthly FC Production Plan</t>
  </si>
  <si>
    <t>Update Coal Flow as ….. (Based on Report ….)</t>
  </si>
  <si>
    <t>Cargo already completed on vessel during period</t>
  </si>
  <si>
    <t>Actual Crushing During Period</t>
  </si>
  <si>
    <t>Outlook FC Production (remain crushing)</t>
  </si>
  <si>
    <t>Coal Supply Chain</t>
  </si>
  <si>
    <t>Prediction Ending Inventory</t>
  </si>
  <si>
    <t>SHENHUA (5200NAR/TS max 2.0%)</t>
  </si>
  <si>
    <t>MARUBENI (TOKUYAMA-TCM)</t>
  </si>
  <si>
    <t>Stevedore</t>
  </si>
  <si>
    <t>ZHEJIANG (5200NAR/TS 1.0%max)</t>
  </si>
  <si>
    <t>Total Kapal</t>
  </si>
  <si>
    <t>Total Throughput</t>
  </si>
  <si>
    <t>Total Revenue</t>
  </si>
  <si>
    <t>Total Demurrage</t>
  </si>
  <si>
    <t>Total Margin Lift</t>
  </si>
  <si>
    <t>Total Bonus Penalty</t>
  </si>
  <si>
    <t>Total SSO_Flag</t>
  </si>
  <si>
    <t xml:space="preserve">Boct </t>
  </si>
  <si>
    <t>Implementation</t>
  </si>
  <si>
    <t>Non-Implementation</t>
  </si>
  <si>
    <t>Total Kapal BoCT</t>
  </si>
  <si>
    <t>Total Kapal Mahakam</t>
  </si>
  <si>
    <t>End User</t>
  </si>
  <si>
    <t>Plan Only</t>
  </si>
  <si>
    <t>Match</t>
  </si>
  <si>
    <t>Actual Only</t>
  </si>
  <si>
    <t>TP Plan (MT)</t>
  </si>
  <si>
    <t>TP Actual
(MT)</t>
  </si>
  <si>
    <t>Margin Plan
($)</t>
  </si>
  <si>
    <t>Margin Actual
($)</t>
  </si>
  <si>
    <t>Throughput Plan</t>
  </si>
  <si>
    <t>Throughput Actual</t>
  </si>
  <si>
    <t>Margin Plan</t>
  </si>
  <si>
    <t>Margin Actual</t>
  </si>
  <si>
    <t>Customer</t>
  </si>
  <si>
    <t>PLN</t>
  </si>
  <si>
    <t>Marubeni</t>
  </si>
  <si>
    <t>Xindian</t>
  </si>
  <si>
    <t>Sunny Express</t>
  </si>
  <si>
    <t>Zhejiang</t>
  </si>
  <si>
    <t>Grand Total</t>
  </si>
  <si>
    <t>FOB Price Actual ($/ton)</t>
  </si>
  <si>
    <t>Margin Cash Actual ($/ton)</t>
  </si>
  <si>
    <t>Revenue Actual ($)</t>
  </si>
  <si>
    <t>Total Cost SSO Actual ($)</t>
  </si>
  <si>
    <t>Cash Margin Actual ($)</t>
  </si>
  <si>
    <t>Type</t>
  </si>
  <si>
    <t>Demurrage Value</t>
  </si>
  <si>
    <t>Dem $/ton</t>
  </si>
  <si>
    <t xml:space="preserve">MV. KARTINI BARUNA </t>
  </si>
  <si>
    <t>Completed</t>
  </si>
  <si>
    <t>NEI.LCV</t>
  </si>
  <si>
    <t>DJA.LCV</t>
  </si>
  <si>
    <t>HO PING POWER 5900 GAR (TS(max) 0.95%)</t>
  </si>
  <si>
    <t>TOHOKU</t>
  </si>
  <si>
    <t>Therma Luzon</t>
  </si>
  <si>
    <t>Hoping</t>
  </si>
  <si>
    <t>May</t>
  </si>
  <si>
    <t>GIE.LCV</t>
  </si>
  <si>
    <t>HWA.LCV</t>
  </si>
  <si>
    <t>BBS PLNBN (4600GAR/TS 1.5% max)</t>
  </si>
  <si>
    <t>EPDC (1.2%)</t>
  </si>
  <si>
    <t>HOKKAIDO ELECTRIC</t>
  </si>
  <si>
    <t>THERMA LUZON (5700GAR/TS 0.85% max)</t>
  </si>
  <si>
    <t>MARUBENI (KOBE)</t>
  </si>
  <si>
    <t>INDOCEMENT (2024)</t>
  </si>
  <si>
    <t>Bunyut</t>
  </si>
  <si>
    <t>JERA TRADING INC (1.3%)</t>
  </si>
  <si>
    <t>JOBAN JOINT POWER (BEK) TS max 0.75%</t>
  </si>
  <si>
    <t>ITP</t>
  </si>
  <si>
    <t>JERA</t>
  </si>
  <si>
    <t>MBI-KOBE</t>
  </si>
  <si>
    <t>J-Power</t>
  </si>
  <si>
    <t>Jul</t>
  </si>
  <si>
    <t>IMM-WB.HCV.HS</t>
  </si>
  <si>
    <t>BEK.HCV.LS</t>
  </si>
  <si>
    <t>BEK.HCV.HS</t>
  </si>
  <si>
    <t>EBH.LCV</t>
  </si>
  <si>
    <t>GAM.LCV</t>
  </si>
  <si>
    <t xml:space="preserve">MV. HABCO VELA </t>
  </si>
  <si>
    <t>PLNBN JUN #06</t>
  </si>
  <si>
    <t>HBA II</t>
  </si>
  <si>
    <t xml:space="preserve">MV. VINCA </t>
  </si>
  <si>
    <t>TOSOH #03</t>
  </si>
  <si>
    <t xml:space="preserve">MV. KM SINGAPORE </t>
  </si>
  <si>
    <t>XINDIAN BAI GUI 5200NAR #10/19</t>
  </si>
  <si>
    <t>HBA I</t>
  </si>
  <si>
    <t xml:space="preserve">MV. KENCANA BARUNA </t>
  </si>
  <si>
    <t>TJ JATI IMM JUL #1</t>
  </si>
  <si>
    <t>MV. XIN HAI TONG 810</t>
  </si>
  <si>
    <t>TENAGA NATIONAL BERHAD (5523 GAR)</t>
  </si>
  <si>
    <t>TNB JIMAH #3/6</t>
  </si>
  <si>
    <t xml:space="preserve">MV. VIET THUAN 80-06 </t>
  </si>
  <si>
    <t>XINDIAN BAI GUI 5200NAR #11/19</t>
  </si>
  <si>
    <t xml:space="preserve">MV. LUMOSO KARUNIA VIII </t>
  </si>
  <si>
    <t>PLNBN JUL #01</t>
  </si>
  <si>
    <t xml:space="preserve">MV. SINCERE SMART </t>
  </si>
  <si>
    <t>SHENHUA 5200NAR TS 2% #4/6</t>
  </si>
  <si>
    <t>TJ JATI IMM JUL #2</t>
  </si>
  <si>
    <t>TJ JATI IMM JUL #3</t>
  </si>
  <si>
    <t>MV. JIN NING 7</t>
  </si>
  <si>
    <t>XINDIAN BAI GUI #3/7 (4450NAR)</t>
  </si>
  <si>
    <t xml:space="preserve">MV. ARIMBI BARUNA </t>
  </si>
  <si>
    <t>TJ JATI IMM JUL #4</t>
  </si>
  <si>
    <t xml:space="preserve">MV. BULK BATAVIA </t>
  </si>
  <si>
    <t>TJ JATI IMM AUG #1</t>
  </si>
  <si>
    <t>MV. MU XI</t>
  </si>
  <si>
    <t>SUNNY EXPRESS #7/12</t>
  </si>
  <si>
    <t>PLNBN JUL #02</t>
  </si>
  <si>
    <t>TOSOH #04</t>
  </si>
  <si>
    <t xml:space="preserve">BG. PACIFIC 3019 </t>
  </si>
  <si>
    <t>BBS PLNBN (4600GAR/TS 1.5% max) Barge</t>
  </si>
  <si>
    <t>PLNBN BARGE JUL #01</t>
  </si>
  <si>
    <t xml:space="preserve">BG. GURITA 3009 </t>
  </si>
  <si>
    <t>PLNBN BARGE JUL #02</t>
  </si>
  <si>
    <t xml:space="preserve">BG. PSB 3005 </t>
  </si>
  <si>
    <t>PLNBN BARGE JUL #03</t>
  </si>
  <si>
    <t xml:space="preserve">BG. BAIDURI 70273 </t>
  </si>
  <si>
    <t>PLNBN BARGE JUL #04</t>
  </si>
  <si>
    <t xml:space="preserve">BG. INTAN KELANA 19 </t>
  </si>
  <si>
    <t>PLNBN BARGE JUL #05</t>
  </si>
  <si>
    <t xml:space="preserve">BG. ALARA 107 </t>
  </si>
  <si>
    <t>PLNBN BARGE JUL #06</t>
  </si>
  <si>
    <t xml:space="preserve">BG. SEGARA 81 </t>
  </si>
  <si>
    <t>PLNBN BARGE JUL #07</t>
  </si>
  <si>
    <t xml:space="preserve">BG. ASIA PERDANA 3005 </t>
  </si>
  <si>
    <t>PLNBN BARGE JUL #08</t>
  </si>
  <si>
    <t xml:space="preserve">BG. PACIFIC 3036 </t>
  </si>
  <si>
    <t>PLNBN BARGE JUL #10</t>
  </si>
  <si>
    <t xml:space="preserve">BG. BENAMI XVI </t>
  </si>
  <si>
    <t>PLNBN BARGE JUL #09</t>
  </si>
  <si>
    <t xml:space="preserve">MV. ASTER OCEAN </t>
  </si>
  <si>
    <t>ZHEJIANG (5500NAR/TS 1.5%max)</t>
  </si>
  <si>
    <t>ZHEJIANG 5500NAR #2/5</t>
  </si>
  <si>
    <t xml:space="preserve">MV. IRIS WAVE </t>
  </si>
  <si>
    <t>EPDC #2/6</t>
  </si>
  <si>
    <t xml:space="preserve">MV. SILVERGATE </t>
  </si>
  <si>
    <t>MARUBENI (KOBE) DUMMY</t>
  </si>
  <si>
    <t>KOBE #02</t>
  </si>
  <si>
    <t xml:space="preserve">MV. LUMOSO KARUNIA IX </t>
  </si>
  <si>
    <t>FREEPORT</t>
  </si>
  <si>
    <t>FREEPORT #1/4</t>
  </si>
  <si>
    <t>MV. BOGA INDAH</t>
  </si>
  <si>
    <t>TOKUYAMA #06</t>
  </si>
  <si>
    <t>MARUBENI (TOKUYAMA-TCM) - MCV</t>
  </si>
  <si>
    <t>TOKUYAMA #06 (MCV)</t>
  </si>
  <si>
    <t>MV. NEW HARMONY 8</t>
  </si>
  <si>
    <t>SHENHUA (5200NAR/TS max 1.0%)</t>
  </si>
  <si>
    <t>SHENHUA 5200NAR #2/4</t>
  </si>
  <si>
    <t xml:space="preserve">MV. AGP KARTINI III </t>
  </si>
  <si>
    <t>BBS PLNBN (4600GAR/TS 1.5% max) DUMMY</t>
  </si>
  <si>
    <t>PLNBN AUG #04</t>
  </si>
  <si>
    <t xml:space="preserve">MV. ORIENTAL PROMOTION </t>
  </si>
  <si>
    <t>ZHEJIANG 5200NAR TS 1% max #6/11</t>
  </si>
  <si>
    <t xml:space="preserve">MV. ALPHA PROGRESS </t>
  </si>
  <si>
    <t>HO PING POWER #3/4</t>
  </si>
  <si>
    <t xml:space="preserve">MV. TOHOKU MARU </t>
  </si>
  <si>
    <t>TOHOKU #3/4</t>
  </si>
  <si>
    <t xml:space="preserve">MV. SEACON NOLA </t>
  </si>
  <si>
    <t>JERA #3/6 (TS rej 1.3%)</t>
  </si>
  <si>
    <t>MV. CHANG SHENG HAI</t>
  </si>
  <si>
    <t>ZHEJIANG 5500NAR #3/5</t>
  </si>
  <si>
    <t>MV. STRATEGIC HARMONY</t>
  </si>
  <si>
    <t>TENAGA NATIONAL BERHAD (6150 GAR)</t>
  </si>
  <si>
    <t>TNB JANAMANJUNG #BO</t>
  </si>
  <si>
    <t>MV. ASL MERCURY</t>
  </si>
  <si>
    <t>KOBE #03</t>
  </si>
  <si>
    <t>MV. HL LEADER</t>
  </si>
  <si>
    <t>KOWEPO (CV 5850NAR)</t>
  </si>
  <si>
    <t>KOWEPO JUN #SPOT</t>
  </si>
  <si>
    <t>FC Pioneer Satu</t>
  </si>
  <si>
    <t xml:space="preserve">MV. YM IMPRESSION </t>
  </si>
  <si>
    <t>JERA #SPOT (TS rej 1.3%)</t>
  </si>
  <si>
    <t>MV. KELLY</t>
  </si>
  <si>
    <t>THERMA LUZON 5700GAR TS 0.85% max #1/2</t>
  </si>
  <si>
    <t xml:space="preserve">MV. TAIRYU </t>
  </si>
  <si>
    <t>EPDC #3/6</t>
  </si>
  <si>
    <t xml:space="preserve">MV. SUNSHINE PRIDE </t>
  </si>
  <si>
    <t>JOBAN #2/3</t>
  </si>
  <si>
    <t xml:space="preserve">MV. GOUVERNEUR </t>
  </si>
  <si>
    <t>ZHEJIANG 5500NAR #4/5</t>
  </si>
  <si>
    <t xml:space="preserve">BG. MJL 308 </t>
  </si>
  <si>
    <t>INDOCEMENT TCM #04</t>
  </si>
  <si>
    <t>Update Coal Flow as 31 July (Based on Report  1 Aug)</t>
  </si>
  <si>
    <t xml:space="preserve">MV. SHANDONG FU DE </t>
  </si>
  <si>
    <t>PLNBN JUL #03</t>
  </si>
  <si>
    <t>PLNBN JUL #04</t>
  </si>
  <si>
    <t>PLNBN JUL #05</t>
  </si>
  <si>
    <t>PLNBN AUG #01</t>
  </si>
  <si>
    <t>EUP JUL #PROSPECT</t>
  </si>
  <si>
    <t>HOKKAIDO #02</t>
  </si>
  <si>
    <t>MV. RAMANAS ROSE</t>
  </si>
  <si>
    <t>THERMA LUZON 5700GAR TS 0.85% max #PROSPECT</t>
  </si>
  <si>
    <t>Kowepo</t>
  </si>
  <si>
    <t>TNB</t>
  </si>
  <si>
    <t>Shenhua</t>
  </si>
  <si>
    <t>PTFI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</si>
</sst>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dd\-mmm\-yy;@"/>
    <numFmt numFmtId="166" formatCode="000000"/>
    <numFmt numFmtId="167" formatCode="d\.mmm"/>
    <numFmt numFmtId="168" formatCode="[$-409]mmmm\-yy;@"/>
    <numFmt numFmtId="169" formatCode="&quot;฿&quot;#,##0.00;[Red]\-&quot;฿&quot;#,##0.00"/>
    <numFmt numFmtId="170" formatCode="_-&quot;฿&quot;* #,##0.00_-;\-&quot;฿&quot;* #,##0.00_-;_-&quot;฿&quot;* &quot;-&quot;??_-;_-@_-"/>
    <numFmt numFmtId="171" formatCode="_-&quot;฿&quot;* #,##0_-;\-&quot;฿&quot;* #,##0_-;_-&quot;฿&quot;* &quot;-&quot;_-;_-@_-"/>
    <numFmt numFmtId="172" formatCode="#,##0\ &quot;FB&quot;;\-#,##0\ &quot;FB&quot;"/>
    <numFmt numFmtId="173" formatCode="&quot;฿&quot;#,##0;\-&quot;฿&quot;#,##0"/>
    <numFmt numFmtId="174" formatCode="mmmm\ d\,\ yyyy"/>
    <numFmt numFmtId="175" formatCode="0.0000E+00"/>
  </numFmts>
  <fonts count="5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375623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2"/>
      <name val="Arial"/>
      <family val="2"/>
      <charset val="204"/>
    </font>
    <font>
      <sz val="11"/>
      <color indexed="8"/>
      <name val="Calibri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¹ÙÅÁÃ¼"/>
    </font>
    <font>
      <sz val="11"/>
      <color indexed="8"/>
      <name val="Calibri"/>
      <family val="2"/>
      <charset val="222"/>
    </font>
    <font>
      <sz val="11"/>
      <color indexed="9"/>
      <name val="Calibri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1"/>
      <name val="Times New Roman"/>
      <family val="1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</borders>
  <cellStyleXfs count="334">
    <xf numFmtId="0" fontId="0" fillId="0" borderId="0"/>
    <xf numFmtId="9" fontId="4" fillId="0" borderId="0"/>
    <xf numFmtId="9" fontId="4" fillId="0" borderId="0"/>
    <xf numFmtId="165" fontId="6" fillId="0" borderId="0"/>
    <xf numFmtId="43" fontId="6" fillId="0" borderId="0"/>
    <xf numFmtId="165" fontId="6" fillId="0" borderId="0"/>
    <xf numFmtId="43" fontId="6" fillId="0" borderId="0"/>
    <xf numFmtId="43" fontId="4" fillId="0" borderId="0"/>
    <xf numFmtId="41" fontId="4" fillId="0" borderId="0"/>
    <xf numFmtId="43" fontId="4" fillId="0" borderId="0"/>
    <xf numFmtId="0" fontId="6" fillId="0" borderId="0"/>
    <xf numFmtId="43" fontId="6" fillId="0" borderId="0"/>
    <xf numFmtId="0" fontId="11" fillId="0" borderId="0"/>
    <xf numFmtId="0" fontId="4" fillId="0" borderId="0"/>
    <xf numFmtId="43" fontId="12" fillId="0" borderId="0"/>
    <xf numFmtId="0" fontId="4" fillId="0" borderId="0"/>
    <xf numFmtId="0" fontId="4" fillId="0" borderId="0"/>
    <xf numFmtId="0" fontId="4" fillId="0" borderId="0"/>
    <xf numFmtId="0" fontId="6" fillId="0" borderId="0"/>
    <xf numFmtId="166" fontId="6" fillId="0" borderId="0">
      <protection locked="0"/>
    </xf>
    <xf numFmtId="167" fontId="6" fillId="0" borderId="0">
      <protection locked="0"/>
    </xf>
    <xf numFmtId="166" fontId="6" fillId="0" borderId="0">
      <protection locked="0"/>
    </xf>
    <xf numFmtId="167" fontId="6" fillId="0" borderId="0">
      <protection locked="0"/>
    </xf>
    <xf numFmtId="9" fontId="29" fillId="0" borderId="0"/>
    <xf numFmtId="168" fontId="12" fillId="3" borderId="0"/>
    <xf numFmtId="168" fontId="12" fillId="4" borderId="0"/>
    <xf numFmtId="168" fontId="12" fillId="5" borderId="0"/>
    <xf numFmtId="168" fontId="12" fillId="6" borderId="0"/>
    <xf numFmtId="168" fontId="12" fillId="7" borderId="0"/>
    <xf numFmtId="168" fontId="12" fillId="8" borderId="0"/>
    <xf numFmtId="168" fontId="30" fillId="3" borderId="0"/>
    <xf numFmtId="168" fontId="30" fillId="4" borderId="0"/>
    <xf numFmtId="168" fontId="30" fillId="5" borderId="0"/>
    <xf numFmtId="168" fontId="30" fillId="6" borderId="0"/>
    <xf numFmtId="168" fontId="30" fillId="7" borderId="0"/>
    <xf numFmtId="168" fontId="30" fillId="8" borderId="0"/>
    <xf numFmtId="168" fontId="12" fillId="9" borderId="0"/>
    <xf numFmtId="168" fontId="12" fillId="10" borderId="0"/>
    <xf numFmtId="168" fontId="12" fillId="11" borderId="0"/>
    <xf numFmtId="168" fontId="12" fillId="6" borderId="0"/>
    <xf numFmtId="168" fontId="12" fillId="9" borderId="0"/>
    <xf numFmtId="168" fontId="12" fillId="12" borderId="0"/>
    <xf numFmtId="168" fontId="30" fillId="9" borderId="0"/>
    <xf numFmtId="168" fontId="30" fillId="10" borderId="0"/>
    <xf numFmtId="168" fontId="30" fillId="11" borderId="0"/>
    <xf numFmtId="168" fontId="30" fillId="6" borderId="0"/>
    <xf numFmtId="168" fontId="30" fillId="9" borderId="0"/>
    <xf numFmtId="168" fontId="30" fillId="12" borderId="0"/>
    <xf numFmtId="168" fontId="16" fillId="13" borderId="0"/>
    <xf numFmtId="168" fontId="16" fillId="10" borderId="0"/>
    <xf numFmtId="168" fontId="16" fillId="11" borderId="0"/>
    <xf numFmtId="168" fontId="16" fillId="14" borderId="0"/>
    <xf numFmtId="168" fontId="16" fillId="15" borderId="0"/>
    <xf numFmtId="168" fontId="16" fillId="16" borderId="0"/>
    <xf numFmtId="168" fontId="31" fillId="13" borderId="0"/>
    <xf numFmtId="168" fontId="31" fillId="10" borderId="0"/>
    <xf numFmtId="168" fontId="31" fillId="11" borderId="0"/>
    <xf numFmtId="168" fontId="31" fillId="14" borderId="0"/>
    <xf numFmtId="168" fontId="31" fillId="15" borderId="0"/>
    <xf numFmtId="168" fontId="31" fillId="16" borderId="0"/>
    <xf numFmtId="168" fontId="16" fillId="17" borderId="0"/>
    <xf numFmtId="168" fontId="16" fillId="18" borderId="0"/>
    <xf numFmtId="168" fontId="16" fillId="19" borderId="0"/>
    <xf numFmtId="168" fontId="16" fillId="14" borderId="0"/>
    <xf numFmtId="168" fontId="16" fillId="15" borderId="0"/>
    <xf numFmtId="168" fontId="16" fillId="20" borderId="0"/>
    <xf numFmtId="169" fontId="6" fillId="0" borderId="0"/>
    <xf numFmtId="170" fontId="6" fillId="0" borderId="0"/>
    <xf numFmtId="171" fontId="6" fillId="0" borderId="0"/>
    <xf numFmtId="172" fontId="6" fillId="0" borderId="0"/>
    <xf numFmtId="168" fontId="17" fillId="4" borderId="0"/>
    <xf numFmtId="168" fontId="29" fillId="0" borderId="0"/>
    <xf numFmtId="168" fontId="18" fillId="21" borderId="12"/>
    <xf numFmtId="168" fontId="19" fillId="22" borderId="13"/>
    <xf numFmtId="43" fontId="6" fillId="0" borderId="0"/>
    <xf numFmtId="43" fontId="6" fillId="0" borderId="0"/>
    <xf numFmtId="0" fontId="6" fillId="0" borderId="0"/>
    <xf numFmtId="3" fontId="6" fillId="0" borderId="0"/>
    <xf numFmtId="173" fontId="6" fillId="0" borderId="0"/>
    <xf numFmtId="174" fontId="6" fillId="0" borderId="0"/>
    <xf numFmtId="168" fontId="20" fillId="0" borderId="0"/>
    <xf numFmtId="2" fontId="6" fillId="0" borderId="0"/>
    <xf numFmtId="168" fontId="21" fillId="5" borderId="0"/>
    <xf numFmtId="168" fontId="15" fillId="0" borderId="10">
      <alignment horizontal="left" vertical="center"/>
    </xf>
    <xf numFmtId="168" fontId="15" fillId="0" borderId="11">
      <alignment horizontal="left" vertical="center"/>
    </xf>
    <xf numFmtId="168" fontId="13" fillId="0" borderId="0"/>
    <xf numFmtId="168" fontId="15" fillId="0" borderId="0"/>
    <xf numFmtId="168" fontId="22" fillId="0" borderId="16"/>
    <xf numFmtId="168" fontId="22" fillId="0" borderId="0"/>
    <xf numFmtId="166" fontId="6" fillId="0" borderId="0">
      <protection locked="0"/>
    </xf>
    <xf numFmtId="166" fontId="6" fillId="0" borderId="0">
      <protection locked="0"/>
    </xf>
    <xf numFmtId="168" fontId="23" fillId="8" borderId="12"/>
    <xf numFmtId="168" fontId="24" fillId="0" borderId="17"/>
    <xf numFmtId="168" fontId="25" fillId="23" borderId="0"/>
    <xf numFmtId="175" fontId="6" fillId="0" borderId="0"/>
    <xf numFmtId="168" fontId="6" fillId="0" borderId="0"/>
    <xf numFmtId="168" fontId="6" fillId="0" borderId="0"/>
    <xf numFmtId="168" fontId="6" fillId="0" borderId="0"/>
    <xf numFmtId="168" fontId="6" fillId="0" borderId="0"/>
    <xf numFmtId="0" fontId="14" fillId="0" borderId="0"/>
    <xf numFmtId="168" fontId="6" fillId="0" borderId="0"/>
    <xf numFmtId="168" fontId="6" fillId="0" borderId="0"/>
    <xf numFmtId="168" fontId="6" fillId="0" borderId="0"/>
    <xf numFmtId="168" fontId="6" fillId="0" borderId="0"/>
    <xf numFmtId="168" fontId="6" fillId="0" borderId="0"/>
    <xf numFmtId="0" fontId="6" fillId="0" borderId="0"/>
    <xf numFmtId="168" fontId="6" fillId="0" borderId="0"/>
    <xf numFmtId="0" fontId="11" fillId="0" borderId="0"/>
    <xf numFmtId="0" fontId="6" fillId="0" borderId="0"/>
    <xf numFmtId="0" fontId="4" fillId="0" borderId="0"/>
    <xf numFmtId="168" fontId="6" fillId="0" borderId="0"/>
    <xf numFmtId="168" fontId="6" fillId="0" borderId="0"/>
    <xf numFmtId="168" fontId="6" fillId="0" borderId="0"/>
    <xf numFmtId="168" fontId="6" fillId="0" borderId="0"/>
    <xf numFmtId="168" fontId="6" fillId="0" borderId="0"/>
    <xf numFmtId="168" fontId="6" fillId="0" borderId="0"/>
    <xf numFmtId="168" fontId="6" fillId="24" borderId="18"/>
    <xf numFmtId="168" fontId="26" fillId="21" borderId="19"/>
    <xf numFmtId="9" fontId="6" fillId="0" borderId="0"/>
    <xf numFmtId="9" fontId="6" fillId="0" borderId="0"/>
    <xf numFmtId="9" fontId="11" fillId="0" borderId="0"/>
    <xf numFmtId="168" fontId="27" fillId="0" borderId="0"/>
    <xf numFmtId="168" fontId="6" fillId="0" borderId="21"/>
    <xf numFmtId="168" fontId="28" fillId="0" borderId="0"/>
    <xf numFmtId="168" fontId="32" fillId="22" borderId="13"/>
    <xf numFmtId="168" fontId="33" fillId="0" borderId="17"/>
    <xf numFmtId="168" fontId="34" fillId="4" borderId="0"/>
    <xf numFmtId="168" fontId="35" fillId="21" borderId="19"/>
    <xf numFmtId="168" fontId="36" fillId="21" borderId="12"/>
    <xf numFmtId="168" fontId="37" fillId="0" borderId="0"/>
    <xf numFmtId="168" fontId="38" fillId="0" borderId="0"/>
    <xf numFmtId="168" fontId="39" fillId="0" borderId="0"/>
    <xf numFmtId="168" fontId="40" fillId="5" borderId="0"/>
    <xf numFmtId="168" fontId="47" fillId="0" borderId="0"/>
    <xf numFmtId="168" fontId="41" fillId="8" borderId="12"/>
    <xf numFmtId="168" fontId="42" fillId="23" borderId="0"/>
    <xf numFmtId="168" fontId="43" fillId="0" borderId="20"/>
    <xf numFmtId="168" fontId="31" fillId="17" borderId="0"/>
    <xf numFmtId="168" fontId="31" fillId="18" borderId="0"/>
    <xf numFmtId="168" fontId="31" fillId="19" borderId="0"/>
    <xf numFmtId="168" fontId="31" fillId="14" borderId="0"/>
    <xf numFmtId="168" fontId="31" fillId="15" borderId="0"/>
    <xf numFmtId="168" fontId="31" fillId="20" borderId="0"/>
    <xf numFmtId="168" fontId="6" fillId="24" borderId="18"/>
    <xf numFmtId="168" fontId="44" fillId="0" borderId="14"/>
    <xf numFmtId="168" fontId="45" fillId="0" borderId="15"/>
    <xf numFmtId="168" fontId="46" fillId="0" borderId="16"/>
    <xf numFmtId="168" fontId="46" fillId="0" borderId="0"/>
    <xf numFmtId="43" fontId="6" fillId="0" borderId="0"/>
    <xf numFmtId="43" fontId="6" fillId="0" borderId="0"/>
    <xf numFmtId="0" fontId="6" fillId="0" borderId="0"/>
    <xf numFmtId="0" fontId="6" fillId="0" borderId="0"/>
    <xf numFmtId="43" fontId="6" fillId="0" borderId="0"/>
    <xf numFmtId="9" fontId="6" fillId="0" borderId="0"/>
    <xf numFmtId="0" fontId="48" fillId="0" borderId="0"/>
    <xf numFmtId="0" fontId="6" fillId="0" borderId="0"/>
    <xf numFmtId="43" fontId="48" fillId="0" borderId="0"/>
    <xf numFmtId="43" fontId="4" fillId="0" borderId="0"/>
    <xf numFmtId="0" fontId="48" fillId="0" borderId="0"/>
    <xf numFmtId="43" fontId="48" fillId="0" borderId="0"/>
    <xf numFmtId="43" fontId="48" fillId="0" borderId="0"/>
    <xf numFmtId="165" fontId="6" fillId="0" borderId="0"/>
    <xf numFmtId="41" fontId="4" fillId="0" borderId="0"/>
    <xf numFmtId="41" fontId="6" fillId="0" borderId="0"/>
    <xf numFmtId="165" fontId="6" fillId="0" borderId="0"/>
    <xf numFmtId="43" fontId="6" fillId="0" borderId="0"/>
    <xf numFmtId="41" fontId="6" fillId="0" borderId="0"/>
    <xf numFmtId="9" fontId="48" fillId="0" borderId="0"/>
    <xf numFmtId="0" fontId="4" fillId="0" borderId="0"/>
    <xf numFmtId="0" fontId="6" fillId="0" borderId="0"/>
    <xf numFmtId="165" fontId="6" fillId="0" borderId="0"/>
    <xf numFmtId="43" fontId="4" fillId="0" borderId="0"/>
    <xf numFmtId="0" fontId="6" fillId="0" borderId="0"/>
    <xf numFmtId="0" fontId="4" fillId="0" borderId="0"/>
    <xf numFmtId="9" fontId="4" fillId="0" borderId="0"/>
    <xf numFmtId="43" fontId="6" fillId="0" borderId="0"/>
    <xf numFmtId="43" fontId="4" fillId="0" borderId="0"/>
    <xf numFmtId="41" fontId="4" fillId="0" borderId="0"/>
    <xf numFmtId="41" fontId="6" fillId="0" borderId="0"/>
    <xf numFmtId="43" fontId="48" fillId="0" borderId="0"/>
    <xf numFmtId="43" fontId="6" fillId="0" borderId="0"/>
    <xf numFmtId="41" fontId="6" fillId="0" borderId="0"/>
    <xf numFmtId="9" fontId="48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6" fillId="0" borderId="0"/>
    <xf numFmtId="43" fontId="6" fillId="0" borderId="0"/>
    <xf numFmtId="164" fontId="4" fillId="0" borderId="0" applyFont="0" applyFill="0" applyBorder="0" applyAlignment="0" applyProtection="0"/>
    <xf numFmtId="168" fontId="12" fillId="3" borderId="0" applyNumberFormat="0" applyBorder="0" applyAlignment="0" applyProtection="0"/>
    <xf numFmtId="168" fontId="12" fillId="4" borderId="0" applyNumberFormat="0" applyBorder="0" applyAlignment="0" applyProtection="0"/>
    <xf numFmtId="168" fontId="12" fillId="5" borderId="0" applyNumberFormat="0" applyBorder="0" applyAlignment="0" applyProtection="0"/>
    <xf numFmtId="168" fontId="12" fillId="6" borderId="0" applyNumberFormat="0" applyBorder="0" applyAlignment="0" applyProtection="0"/>
    <xf numFmtId="168" fontId="12" fillId="7" borderId="0" applyNumberFormat="0" applyBorder="0" applyAlignment="0" applyProtection="0"/>
    <xf numFmtId="168" fontId="12" fillId="8" borderId="0" applyNumberFormat="0" applyBorder="0" applyAlignment="0" applyProtection="0"/>
    <xf numFmtId="168" fontId="30" fillId="3" borderId="0" applyNumberFormat="0" applyBorder="0" applyAlignment="0" applyProtection="0"/>
    <xf numFmtId="168" fontId="30" fillId="4" borderId="0" applyNumberFormat="0" applyBorder="0" applyAlignment="0" applyProtection="0"/>
    <xf numFmtId="168" fontId="30" fillId="5" borderId="0" applyNumberFormat="0" applyBorder="0" applyAlignment="0" applyProtection="0"/>
    <xf numFmtId="168" fontId="30" fillId="6" borderId="0" applyNumberFormat="0" applyBorder="0" applyAlignment="0" applyProtection="0"/>
    <xf numFmtId="168" fontId="30" fillId="7" borderId="0" applyNumberFormat="0" applyBorder="0" applyAlignment="0" applyProtection="0"/>
    <xf numFmtId="168" fontId="30" fillId="8" borderId="0" applyNumberFormat="0" applyBorder="0" applyAlignment="0" applyProtection="0"/>
    <xf numFmtId="168" fontId="12" fillId="9" borderId="0" applyNumberFormat="0" applyBorder="0" applyAlignment="0" applyProtection="0"/>
    <xf numFmtId="168" fontId="12" fillId="10" borderId="0" applyNumberFormat="0" applyBorder="0" applyAlignment="0" applyProtection="0"/>
    <xf numFmtId="168" fontId="12" fillId="11" borderId="0" applyNumberFormat="0" applyBorder="0" applyAlignment="0" applyProtection="0"/>
    <xf numFmtId="168" fontId="12" fillId="6" borderId="0" applyNumberFormat="0" applyBorder="0" applyAlignment="0" applyProtection="0"/>
    <xf numFmtId="168" fontId="12" fillId="9" borderId="0" applyNumberFormat="0" applyBorder="0" applyAlignment="0" applyProtection="0"/>
    <xf numFmtId="168" fontId="12" fillId="12" borderId="0" applyNumberFormat="0" applyBorder="0" applyAlignment="0" applyProtection="0"/>
    <xf numFmtId="168" fontId="30" fillId="9" borderId="0" applyNumberFormat="0" applyBorder="0" applyAlignment="0" applyProtection="0"/>
    <xf numFmtId="168" fontId="30" fillId="10" borderId="0" applyNumberFormat="0" applyBorder="0" applyAlignment="0" applyProtection="0"/>
    <xf numFmtId="168" fontId="30" fillId="11" borderId="0" applyNumberFormat="0" applyBorder="0" applyAlignment="0" applyProtection="0"/>
    <xf numFmtId="168" fontId="30" fillId="6" borderId="0" applyNumberFormat="0" applyBorder="0" applyAlignment="0" applyProtection="0"/>
    <xf numFmtId="168" fontId="30" fillId="9" borderId="0" applyNumberFormat="0" applyBorder="0" applyAlignment="0" applyProtection="0"/>
    <xf numFmtId="168" fontId="30" fillId="12" borderId="0" applyNumberFormat="0" applyBorder="0" applyAlignment="0" applyProtection="0"/>
    <xf numFmtId="168" fontId="16" fillId="13" borderId="0" applyNumberFormat="0" applyBorder="0" applyAlignment="0" applyProtection="0"/>
    <xf numFmtId="168" fontId="16" fillId="10" borderId="0" applyNumberFormat="0" applyBorder="0" applyAlignment="0" applyProtection="0"/>
    <xf numFmtId="168" fontId="16" fillId="11" borderId="0" applyNumberFormat="0" applyBorder="0" applyAlignment="0" applyProtection="0"/>
    <xf numFmtId="168" fontId="16" fillId="14" borderId="0" applyNumberFormat="0" applyBorder="0" applyAlignment="0" applyProtection="0"/>
    <xf numFmtId="168" fontId="16" fillId="15" borderId="0" applyNumberFormat="0" applyBorder="0" applyAlignment="0" applyProtection="0"/>
    <xf numFmtId="168" fontId="16" fillId="16" borderId="0" applyNumberFormat="0" applyBorder="0" applyAlignment="0" applyProtection="0"/>
    <xf numFmtId="168" fontId="31" fillId="13" borderId="0" applyNumberFormat="0" applyBorder="0" applyAlignment="0" applyProtection="0"/>
    <xf numFmtId="168" fontId="31" fillId="10" borderId="0" applyNumberFormat="0" applyBorder="0" applyAlignment="0" applyProtection="0"/>
    <xf numFmtId="168" fontId="31" fillId="11" borderId="0" applyNumberFormat="0" applyBorder="0" applyAlignment="0" applyProtection="0"/>
    <xf numFmtId="168" fontId="31" fillId="14" borderId="0" applyNumberFormat="0" applyBorder="0" applyAlignment="0" applyProtection="0"/>
    <xf numFmtId="168" fontId="31" fillId="15" borderId="0" applyNumberFormat="0" applyBorder="0" applyAlignment="0" applyProtection="0"/>
    <xf numFmtId="168" fontId="31" fillId="16" borderId="0" applyNumberFormat="0" applyBorder="0" applyAlignment="0" applyProtection="0"/>
    <xf numFmtId="168" fontId="16" fillId="17" borderId="0" applyNumberFormat="0" applyBorder="0" applyAlignment="0" applyProtection="0"/>
    <xf numFmtId="168" fontId="16" fillId="18" borderId="0" applyNumberFormat="0" applyBorder="0" applyAlignment="0" applyProtection="0"/>
    <xf numFmtId="168" fontId="16" fillId="19" borderId="0" applyNumberFormat="0" applyBorder="0" applyAlignment="0" applyProtection="0"/>
    <xf numFmtId="168" fontId="16" fillId="14" borderId="0" applyNumberFormat="0" applyBorder="0" applyAlignment="0" applyProtection="0"/>
    <xf numFmtId="168" fontId="16" fillId="15" borderId="0" applyNumberFormat="0" applyBorder="0" applyAlignment="0" applyProtection="0"/>
    <xf numFmtId="168" fontId="16" fillId="20" borderId="0" applyNumberFormat="0" applyBorder="0" applyAlignment="0" applyProtection="0"/>
    <xf numFmtId="168" fontId="17" fillId="4" borderId="0" applyNumberFormat="0" applyBorder="0" applyAlignment="0" applyProtection="0"/>
    <xf numFmtId="168" fontId="18" fillId="21" borderId="12" applyNumberFormat="0" applyAlignment="0" applyProtection="0"/>
    <xf numFmtId="168" fontId="19" fillId="22" borderId="13" applyNumberFormat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6" fillId="0" borderId="0" applyFill="0" applyBorder="0" applyAlignment="0" applyProtection="0"/>
    <xf numFmtId="173" fontId="6" fillId="0" borderId="0" applyFill="0" applyBorder="0" applyAlignment="0" applyProtection="0"/>
    <xf numFmtId="174" fontId="6" fillId="0" borderId="0" applyFill="0" applyBorder="0" applyAlignment="0" applyProtection="0"/>
    <xf numFmtId="168" fontId="20" fillId="0" borderId="0" applyNumberFormat="0" applyFill="0" applyBorder="0" applyAlignment="0" applyProtection="0"/>
    <xf numFmtId="2" fontId="6" fillId="0" borderId="0" applyFill="0" applyBorder="0" applyAlignment="0" applyProtection="0"/>
    <xf numFmtId="168" fontId="21" fillId="5" borderId="0" applyNumberFormat="0" applyBorder="0" applyAlignment="0" applyProtection="0"/>
    <xf numFmtId="168" fontId="15" fillId="0" borderId="10" applyNumberFormat="0" applyAlignment="0" applyProtection="0">
      <alignment horizontal="left" vertical="center"/>
    </xf>
    <xf numFmtId="168" fontId="13" fillId="0" borderId="0" applyNumberFormat="0" applyFill="0" applyBorder="0" applyAlignment="0" applyProtection="0"/>
    <xf numFmtId="168" fontId="15" fillId="0" borderId="0" applyNumberFormat="0" applyFill="0" applyBorder="0" applyAlignment="0" applyProtection="0"/>
    <xf numFmtId="168" fontId="22" fillId="0" borderId="16" applyNumberFormat="0" applyFill="0" applyAlignment="0" applyProtection="0"/>
    <xf numFmtId="168" fontId="22" fillId="0" borderId="0" applyNumberFormat="0" applyFill="0" applyBorder="0" applyAlignment="0" applyProtection="0"/>
    <xf numFmtId="168" fontId="23" fillId="8" borderId="12" applyNumberFormat="0" applyAlignment="0" applyProtection="0"/>
    <xf numFmtId="168" fontId="24" fillId="0" borderId="17" applyNumberFormat="0" applyFill="0" applyAlignment="0" applyProtection="0"/>
    <xf numFmtId="168" fontId="25" fillId="23" borderId="0" applyNumberFormat="0" applyBorder="0" applyAlignment="0" applyProtection="0"/>
    <xf numFmtId="0" fontId="6" fillId="0" borderId="0"/>
    <xf numFmtId="0" fontId="4" fillId="0" borderId="0"/>
    <xf numFmtId="0" fontId="6" fillId="0" borderId="0"/>
    <xf numFmtId="0" fontId="11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" fillId="0" borderId="0"/>
    <xf numFmtId="165" fontId="6" fillId="0" borderId="0"/>
    <xf numFmtId="0" fontId="48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168" fontId="6" fillId="24" borderId="18" applyNumberFormat="0" applyFont="0" applyAlignment="0" applyProtection="0"/>
    <xf numFmtId="168" fontId="26" fillId="21" borderId="19" applyNumberFormat="0" applyAlignment="0" applyProtection="0"/>
    <xf numFmtId="9" fontId="4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27" fillId="0" borderId="0" applyNumberFormat="0" applyFill="0" applyBorder="0" applyAlignment="0" applyProtection="0"/>
    <xf numFmtId="168" fontId="6" fillId="0" borderId="21" applyNumberFormat="0" applyFill="0" applyAlignment="0" applyProtection="0"/>
    <xf numFmtId="168" fontId="28" fillId="0" borderId="0" applyNumberFormat="0" applyFill="0" applyBorder="0" applyAlignment="0" applyProtection="0"/>
    <xf numFmtId="168" fontId="32" fillId="22" borderId="13" applyNumberFormat="0" applyAlignment="0" applyProtection="0"/>
    <xf numFmtId="168" fontId="33" fillId="0" borderId="17" applyNumberFormat="0" applyFill="0" applyAlignment="0" applyProtection="0"/>
    <xf numFmtId="168" fontId="34" fillId="4" borderId="0" applyNumberFormat="0" applyBorder="0" applyAlignment="0" applyProtection="0"/>
    <xf numFmtId="168" fontId="35" fillId="21" borderId="19" applyNumberFormat="0" applyAlignment="0" applyProtection="0"/>
    <xf numFmtId="168" fontId="36" fillId="21" borderId="12" applyNumberFormat="0" applyAlignment="0" applyProtection="0"/>
    <xf numFmtId="168" fontId="37" fillId="0" borderId="0" applyNumberFormat="0" applyFill="0" applyBorder="0" applyAlignment="0" applyProtection="0"/>
    <xf numFmtId="168" fontId="38" fillId="0" borderId="0" applyNumberFormat="0" applyFill="0" applyBorder="0" applyAlignment="0" applyProtection="0"/>
    <xf numFmtId="168" fontId="39" fillId="0" borderId="0" applyNumberFormat="0" applyFill="0" applyBorder="0" applyAlignment="0" applyProtection="0"/>
    <xf numFmtId="168" fontId="40" fillId="5" borderId="0" applyNumberFormat="0" applyBorder="0" applyAlignment="0" applyProtection="0"/>
    <xf numFmtId="168" fontId="41" fillId="8" borderId="12" applyNumberFormat="0" applyAlignment="0" applyProtection="0"/>
    <xf numFmtId="168" fontId="42" fillId="23" borderId="0" applyNumberFormat="0" applyBorder="0" applyAlignment="0" applyProtection="0"/>
    <xf numFmtId="168" fontId="43" fillId="0" borderId="20" applyNumberFormat="0" applyFill="0" applyAlignment="0" applyProtection="0"/>
    <xf numFmtId="168" fontId="31" fillId="17" borderId="0" applyNumberFormat="0" applyBorder="0" applyAlignment="0" applyProtection="0"/>
    <xf numFmtId="168" fontId="31" fillId="18" borderId="0" applyNumberFormat="0" applyBorder="0" applyAlignment="0" applyProtection="0"/>
    <xf numFmtId="168" fontId="31" fillId="19" borderId="0" applyNumberFormat="0" applyBorder="0" applyAlignment="0" applyProtection="0"/>
    <xf numFmtId="168" fontId="31" fillId="14" borderId="0" applyNumberFormat="0" applyBorder="0" applyAlignment="0" applyProtection="0"/>
    <xf numFmtId="168" fontId="31" fillId="15" borderId="0" applyNumberFormat="0" applyBorder="0" applyAlignment="0" applyProtection="0"/>
    <xf numFmtId="168" fontId="31" fillId="20" borderId="0" applyNumberFormat="0" applyBorder="0" applyAlignment="0" applyProtection="0"/>
    <xf numFmtId="168" fontId="6" fillId="24" borderId="18" applyNumberFormat="0" applyFont="0" applyAlignment="0" applyProtection="0"/>
    <xf numFmtId="168" fontId="44" fillId="0" borderId="14" applyNumberFormat="0" applyFill="0" applyAlignment="0" applyProtection="0"/>
    <xf numFmtId="168" fontId="45" fillId="0" borderId="15" applyNumberFormat="0" applyFill="0" applyAlignment="0" applyProtection="0"/>
    <xf numFmtId="168" fontId="46" fillId="0" borderId="16" applyNumberFormat="0" applyFill="0" applyAlignment="0" applyProtection="0"/>
    <xf numFmtId="168" fontId="46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6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0" fontId="0" fillId="0" borderId="8" xfId="0" applyBorder="1"/>
    <xf numFmtId="4" fontId="0" fillId="0" borderId="6" xfId="0" applyNumberFormat="1" applyBorder="1"/>
    <xf numFmtId="0" fontId="0" fillId="0" borderId="9" xfId="0" applyBorder="1"/>
    <xf numFmtId="4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7" fillId="0" borderId="0" xfId="0" applyFont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8" xfId="0" applyNumberFormat="1" applyBorder="1"/>
    <xf numFmtId="0" fontId="1" fillId="2" borderId="2" xfId="0" applyFont="1" applyFill="1" applyBorder="1" applyAlignment="1">
      <alignment horizontal="center" vertical="center" wrapText="1"/>
    </xf>
  </cellXfs>
  <cellStyles count="334">
    <cellStyle name="‡" xfId="19" xr:uid="{A99C9A21-A6A4-47B5-84A3-445BBC159E13}"/>
    <cellStyle name="‡_BOOK1" xfId="20" xr:uid="{0CCAEA7A-92E4-4EA9-A6E4-BE752388077C}"/>
    <cellStyle name="‡_STA-DRP" xfId="21" xr:uid="{FD99DDE3-519D-41B6-A8F3-7B4D04B2FCD2}"/>
    <cellStyle name="‡_STA-DRP_BOOK1" xfId="22" xr:uid="{73F4DC27-1CF9-422F-A8F3-B044E530CA74}"/>
    <cellStyle name="¹éºÐÀ²_±âÅ¸" xfId="23" xr:uid="{0A3F00E4-3F22-4CD6-A47F-B76B1D50A47C}"/>
    <cellStyle name="20% - Accent1 2" xfId="24" xr:uid="{79D6B630-9CAC-41D2-B4A9-47693A30B410}"/>
    <cellStyle name="20% - Accent1 2 2" xfId="190" xr:uid="{623A8CDD-3B76-4D35-AA48-60809DD43809}"/>
    <cellStyle name="20% - Accent2 2" xfId="25" xr:uid="{989D4236-9653-48C4-A516-E9B861785FA7}"/>
    <cellStyle name="20% - Accent2 2 2" xfId="191" xr:uid="{6977DE34-CB03-4215-BC35-8B2345AA3431}"/>
    <cellStyle name="20% - Accent3 2" xfId="26" xr:uid="{AC82E010-DAC4-486D-9293-F06D6D6D2DC0}"/>
    <cellStyle name="20% - Accent3 2 2" xfId="192" xr:uid="{AC20CB4F-B179-426D-BD69-B6C30E078F80}"/>
    <cellStyle name="20% - Accent4 2" xfId="27" xr:uid="{11E5CF66-F397-4F65-9E26-BD379FDAF29D}"/>
    <cellStyle name="20% - Accent4 2 2" xfId="193" xr:uid="{A27038C4-B002-4738-B8AF-F54A6D408FBB}"/>
    <cellStyle name="20% - Accent5 2" xfId="28" xr:uid="{512D2EC1-D1DE-48DB-9488-8EADE82929EE}"/>
    <cellStyle name="20% - Accent5 2 2" xfId="194" xr:uid="{792C7024-FC01-409A-876E-CF9D4BB6EF60}"/>
    <cellStyle name="20% - Accent6 2" xfId="29" xr:uid="{993F4A30-3A8B-4D13-AE5C-68A87D826B67}"/>
    <cellStyle name="20% - Accent6 2 2" xfId="195" xr:uid="{60E12BA7-A277-4187-A9A0-99B39CD0459F}"/>
    <cellStyle name="20% - ส่วนที่ถูกเน้น1" xfId="30" xr:uid="{23055DE3-271D-4699-9267-7B470610C122}"/>
    <cellStyle name="20% - ส่วนที่ถูกเน้น1 2" xfId="196" xr:uid="{EC1185DF-505F-4B8B-B91B-77CB46C9311D}"/>
    <cellStyle name="20% - ส่วนที่ถูกเน้น2" xfId="31" xr:uid="{F608E1D7-BB14-483A-ADEB-B0894D569426}"/>
    <cellStyle name="20% - ส่วนที่ถูกเน้น2 2" xfId="197" xr:uid="{B9DC3D7C-20B7-4097-9F1A-FAF26C109B35}"/>
    <cellStyle name="20% - ส่วนที่ถูกเน้น3" xfId="32" xr:uid="{11FF34A7-701E-4688-9F2F-C09EEE937A68}"/>
    <cellStyle name="20% - ส่วนที่ถูกเน้น3 2" xfId="198" xr:uid="{03086403-8A8D-4C87-B3AB-AF45A60D1507}"/>
    <cellStyle name="20% - ส่วนที่ถูกเน้น4" xfId="33" xr:uid="{2730B767-6365-4240-B687-E890B2E3C808}"/>
    <cellStyle name="20% - ส่วนที่ถูกเน้น4 2" xfId="199" xr:uid="{FFA9BE92-50A3-495D-884C-D1346FE4BE0A}"/>
    <cellStyle name="20% - ส่วนที่ถูกเน้น5" xfId="34" xr:uid="{F8AEDB86-C8F5-424A-9D6C-7A849E504A88}"/>
    <cellStyle name="20% - ส่วนที่ถูกเน้น5 2" xfId="200" xr:uid="{38304DB9-C512-42E7-AED6-8F934C3635AE}"/>
    <cellStyle name="20% - ส่วนที่ถูกเน้น6" xfId="35" xr:uid="{5CF733D5-0B20-4156-80A4-6C165D9D0C0E}"/>
    <cellStyle name="20% - ส่วนที่ถูกเน้น6 2" xfId="201" xr:uid="{F7A732B8-4927-4B9B-9455-4114D4A827B8}"/>
    <cellStyle name="40% - Accent1 2" xfId="36" xr:uid="{D1C99209-EF2A-4807-8551-CB4CDEA34A14}"/>
    <cellStyle name="40% - Accent1 2 2" xfId="202" xr:uid="{2727086B-235B-4998-8CE5-EF6620A7AA85}"/>
    <cellStyle name="40% - Accent2 2" xfId="37" xr:uid="{40C5E5E3-29C7-49F5-A7E5-14EEEE04333F}"/>
    <cellStyle name="40% - Accent2 2 2" xfId="203" xr:uid="{11F86AF8-5662-4A04-8C44-69866624F804}"/>
    <cellStyle name="40% - Accent3 2" xfId="38" xr:uid="{0C3C23BD-E487-4066-AE08-E7D8D4393068}"/>
    <cellStyle name="40% - Accent3 2 2" xfId="204" xr:uid="{642DBF1F-B29C-426E-ADAF-998A13D0E29E}"/>
    <cellStyle name="40% - Accent4 2" xfId="39" xr:uid="{7EAD2EE0-6C92-48F0-A325-3ED98FBD7E55}"/>
    <cellStyle name="40% - Accent4 2 2" xfId="205" xr:uid="{2C6EB28A-3CC3-455A-ADB1-9027971CF1E6}"/>
    <cellStyle name="40% - Accent5 2" xfId="40" xr:uid="{8FEDDDBD-4415-4027-BC44-2E95975A8400}"/>
    <cellStyle name="40% - Accent5 2 2" xfId="206" xr:uid="{BD29ADE7-C35C-4C68-94D9-0A7EB0A99707}"/>
    <cellStyle name="40% - Accent6 2" xfId="41" xr:uid="{3C24D38D-8DC7-4519-8B90-1F1DE30007FD}"/>
    <cellStyle name="40% - Accent6 2 2" xfId="207" xr:uid="{3DC8970D-359C-4DFB-A217-543A02D7CD77}"/>
    <cellStyle name="40% - ส่วนที่ถูกเน้น1" xfId="42" xr:uid="{100F442C-FE8C-4733-BCE4-2FB07FB06AF8}"/>
    <cellStyle name="40% - ส่วนที่ถูกเน้น1 2" xfId="208" xr:uid="{A305FFBC-E595-43C2-8AF0-0CAE9196274A}"/>
    <cellStyle name="40% - ส่วนที่ถูกเน้น2" xfId="43" xr:uid="{FA0E49C0-2D10-4DC4-A3D8-1341B5ABF1C4}"/>
    <cellStyle name="40% - ส่วนที่ถูกเน้น2 2" xfId="209" xr:uid="{62FFF999-E95D-4C21-8CF7-C55F92CAC381}"/>
    <cellStyle name="40% - ส่วนที่ถูกเน้น3" xfId="44" xr:uid="{7153C32E-3E59-40AF-A71E-44FFB199B3AB}"/>
    <cellStyle name="40% - ส่วนที่ถูกเน้น3 2" xfId="210" xr:uid="{03ED722E-1F13-4C26-B5F1-D89289D1FC9E}"/>
    <cellStyle name="40% - ส่วนที่ถูกเน้น4" xfId="45" xr:uid="{32F885A7-8156-4711-88BD-31118D946E17}"/>
    <cellStyle name="40% - ส่วนที่ถูกเน้น4 2" xfId="211" xr:uid="{98AC79F2-B3AA-4EC5-A7C5-E66EB74458B1}"/>
    <cellStyle name="40% - ส่วนที่ถูกเน้น5" xfId="46" xr:uid="{05DF6DDF-D733-4717-91F5-6AE3ADD7D1E0}"/>
    <cellStyle name="40% - ส่วนที่ถูกเน้น5 2" xfId="212" xr:uid="{2A173C3A-5BF4-40FB-A383-5C4DC002D012}"/>
    <cellStyle name="40% - ส่วนที่ถูกเน้น6" xfId="47" xr:uid="{01B185D5-86C0-4906-BB0A-6F8A2F00FD2C}"/>
    <cellStyle name="40% - ส่วนที่ถูกเน้น6 2" xfId="213" xr:uid="{5B1667BC-BA7E-4D5D-86F8-86479B3717BF}"/>
    <cellStyle name="60% - Accent1 2" xfId="48" xr:uid="{7B11F9FB-D73D-406E-AC0A-CD415B64C796}"/>
    <cellStyle name="60% - Accent1 2 2" xfId="214" xr:uid="{F40815ED-600A-4FBF-BE75-50FEEA2C8525}"/>
    <cellStyle name="60% - Accent2 2" xfId="49" xr:uid="{7515083C-7258-4958-854B-28E2B4DF2659}"/>
    <cellStyle name="60% - Accent2 2 2" xfId="215" xr:uid="{C27DE3FA-E5F2-4FCF-A6C6-C483962CB510}"/>
    <cellStyle name="60% - Accent3 2" xfId="50" xr:uid="{200A7FE4-06D0-4706-8EA6-DF1BD10987DB}"/>
    <cellStyle name="60% - Accent3 2 2" xfId="216" xr:uid="{BC544082-417B-4457-A8CD-88359840441C}"/>
    <cellStyle name="60% - Accent4 2" xfId="51" xr:uid="{853C3E0F-7723-4573-BCFB-A2A76094F9A6}"/>
    <cellStyle name="60% - Accent4 2 2" xfId="217" xr:uid="{5FDB05F7-044B-45E8-B96F-D6D0FD2CCC27}"/>
    <cellStyle name="60% - Accent5 2" xfId="52" xr:uid="{A0073564-74EE-457F-BC0D-822E06BCE006}"/>
    <cellStyle name="60% - Accent5 2 2" xfId="218" xr:uid="{73AF4D85-C7BC-4FD0-8789-F54A3655AE4D}"/>
    <cellStyle name="60% - Accent6 2" xfId="53" xr:uid="{76F9CF47-8892-4544-8BEB-6849AB52086B}"/>
    <cellStyle name="60% - Accent6 2 2" xfId="219" xr:uid="{BCCC2831-A303-4DA0-A106-359E423CD60C}"/>
    <cellStyle name="60% - ส่วนที่ถูกเน้น1" xfId="54" xr:uid="{AA458A8C-5726-4813-87EA-3FBC1EC97559}"/>
    <cellStyle name="60% - ส่วนที่ถูกเน้น1 2" xfId="220" xr:uid="{B282C643-EC69-443C-B7B1-E2CA1528CCCB}"/>
    <cellStyle name="60% - ส่วนที่ถูกเน้น2" xfId="55" xr:uid="{4F518180-521C-40AC-AA35-6B8AF6AD521A}"/>
    <cellStyle name="60% - ส่วนที่ถูกเน้น2 2" xfId="221" xr:uid="{0125FA17-4F99-4F4B-B3E8-0AED3FFE5E8C}"/>
    <cellStyle name="60% - ส่วนที่ถูกเน้น3" xfId="56" xr:uid="{C948512E-D5C3-438C-AF74-D9A9B09CFC29}"/>
    <cellStyle name="60% - ส่วนที่ถูกเน้น3 2" xfId="222" xr:uid="{4A98EBEC-0543-4434-9579-54298BB3DE42}"/>
    <cellStyle name="60% - ส่วนที่ถูกเน้น4" xfId="57" xr:uid="{C0802ED0-9A74-4EBE-8CEE-2AE94FE3D2D7}"/>
    <cellStyle name="60% - ส่วนที่ถูกเน้น4 2" xfId="223" xr:uid="{2A385DA6-6947-4A9B-9F3B-731C2DD457D1}"/>
    <cellStyle name="60% - ส่วนที่ถูกเน้น5" xfId="58" xr:uid="{24E75909-38A7-4450-B658-2A8ADFFEECE9}"/>
    <cellStyle name="60% - ส่วนที่ถูกเน้น5 2" xfId="224" xr:uid="{507D44B0-10BF-407D-B8BD-E96FEB0822CF}"/>
    <cellStyle name="60% - ส่วนที่ถูกเน้น6" xfId="59" xr:uid="{DF687F8A-5442-4073-8A05-707B7BE0C212}"/>
    <cellStyle name="60% - ส่วนที่ถูกเน้น6 2" xfId="225" xr:uid="{A1BFD49B-109D-4931-B078-6DBD231224B8}"/>
    <cellStyle name="Accent1 2" xfId="60" xr:uid="{E822AD49-BD31-46B2-96D2-0D5613E328CD}"/>
    <cellStyle name="Accent1 2 2" xfId="226" xr:uid="{9CC83724-5E59-4312-9105-602D9ECF12FA}"/>
    <cellStyle name="Accent2 2" xfId="61" xr:uid="{E9992322-B5F9-4CE7-9F89-02DDB0FD3702}"/>
    <cellStyle name="Accent2 2 2" xfId="227" xr:uid="{1FBC4C3D-8C48-4B6C-B5F4-8904A42EF160}"/>
    <cellStyle name="Accent3 2" xfId="62" xr:uid="{B9036397-EED0-438D-8B08-6BCE2EAB0844}"/>
    <cellStyle name="Accent3 2 2" xfId="228" xr:uid="{643EE1CD-F3D6-452F-B624-E1D73D89E369}"/>
    <cellStyle name="Accent4 2" xfId="63" xr:uid="{C842A384-22B7-40DA-91DC-A5BA0DD96E79}"/>
    <cellStyle name="Accent4 2 2" xfId="229" xr:uid="{9A66944E-8383-4B29-A583-E30F91CA2888}"/>
    <cellStyle name="Accent5 2" xfId="64" xr:uid="{3D2EAFBE-7D4B-49F5-96C9-E94CB8E548A1}"/>
    <cellStyle name="Accent5 2 2" xfId="230" xr:uid="{E6CEE582-E6D5-4DCD-965B-D1EC709056AE}"/>
    <cellStyle name="Accent6 2" xfId="65" xr:uid="{23CE9DF5-B485-425F-9E55-158C2DBE98B5}"/>
    <cellStyle name="Accent6 2 2" xfId="231" xr:uid="{357518D1-AC6A-48CA-8062-82CF1B3C741D}"/>
    <cellStyle name="ÅëÈ­ [0]_±âÅ¸" xfId="66" xr:uid="{DC579DCB-517C-4D3E-BB89-BB1A83760C3B}"/>
    <cellStyle name="ÅëÈ­_±âÅ¸" xfId="67" xr:uid="{573A8E5E-E810-49CC-A771-EB07501B6A04}"/>
    <cellStyle name="ÄÞ¸¶ [0]_±âÅ¸" xfId="68" xr:uid="{847F9D2E-2DB2-4FBE-93BA-D1DAFCC270D2}"/>
    <cellStyle name="ÄÞ¸¶_±âÅ¸" xfId="69" xr:uid="{8A3ADB61-DE93-4DA2-BA57-3E079A64842B}"/>
    <cellStyle name="Bad 2" xfId="70" xr:uid="{B9775C9B-3BBE-4A88-9A00-AAB7A935390B}"/>
    <cellStyle name="Bad 2 2" xfId="232" xr:uid="{37AA5059-8FE6-4CC9-A758-AA5E66EDD147}"/>
    <cellStyle name="Ç¥ÁØ_¿¬°£´©°è¿¹»ó" xfId="71" xr:uid="{F63FC982-1EB5-48CA-91D3-F5515C5891F1}"/>
    <cellStyle name="Calculation 2" xfId="72" xr:uid="{8AFBCBB4-4043-497B-AD31-F9E359EE6069}"/>
    <cellStyle name="Calculation 2 2" xfId="233" xr:uid="{375E80E4-F86A-4C50-B0CD-97518D948D94}"/>
    <cellStyle name="Check Cell 2" xfId="73" xr:uid="{5B831C12-6401-4487-BEF9-894A5EBF0B4A}"/>
    <cellStyle name="Check Cell 2 2" xfId="234" xr:uid="{E8460676-9F57-4DAC-9928-424CA924559B}"/>
    <cellStyle name="Comma [0] 2" xfId="8" xr:uid="{DAA0A9E3-0913-45D1-A39D-1D5CB966342F}"/>
    <cellStyle name="Comma [0] 2 2" xfId="166" xr:uid="{2F2E1533-EC15-49A7-9A8B-8A0B435E639C}"/>
    <cellStyle name="Comma [0] 2 2 2" xfId="181" xr:uid="{5825FA05-8554-4C9C-8F21-DA683E570FA8}"/>
    <cellStyle name="Comma [0] 2 2 3" xfId="235" xr:uid="{E6A834C6-67F2-4616-A2BB-564066C76C66}"/>
    <cellStyle name="Comma [0] 2 3" xfId="163" xr:uid="{722994AD-0232-4D92-809B-AC863A0F6C25}"/>
    <cellStyle name="Comma [0] 2 3 2" xfId="178" xr:uid="{D0C2468F-07E5-4EA0-BE2D-31D0A06D7123}"/>
    <cellStyle name="Comma [0] 2 3 3" xfId="236" xr:uid="{E06A0533-3775-4D19-B392-DB8B25033A8A}"/>
    <cellStyle name="Comma [0] 2 4" xfId="237" xr:uid="{66DE0A30-2C52-49BF-81F4-04BA55E5A489}"/>
    <cellStyle name="Comma [0] 8" xfId="162" xr:uid="{1FC7D50C-FCA2-4BCA-BE1E-971FAEDB2FEB}"/>
    <cellStyle name="Comma [0] 8 2" xfId="177" xr:uid="{19971A06-FFCB-40E4-AAB3-C6BF422B23D4}"/>
    <cellStyle name="Comma [0] 8 3" xfId="238" xr:uid="{81DA65DB-A2A0-472A-A6BA-85D455071EAB}"/>
    <cellStyle name="Comma 10" xfId="75" xr:uid="{17754DD2-1C6A-4AF0-BACB-836B5C678875}"/>
    <cellStyle name="Comma 10 2" xfId="239" xr:uid="{F522C291-77BF-4FFE-9FF8-3A7496171D34}"/>
    <cellStyle name="Comma 10 2 2" xfId="11" xr:uid="{DD8A39B3-E799-4E9F-9BAA-FE7996265F55}"/>
    <cellStyle name="Comma 10 2 2 2" xfId="240" xr:uid="{7231DB09-653C-4F7C-8370-53C447BAC29C}"/>
    <cellStyle name="Comma 11" xfId="176" xr:uid="{0D0C9B62-1720-46C6-B5CC-EDB718CE23A5}"/>
    <cellStyle name="Comma 11 2" xfId="241" xr:uid="{B857C470-D48D-4236-8700-9DF6A23A215A}"/>
    <cellStyle name="Comma 12" xfId="179" xr:uid="{02740C69-2CF3-4B81-8E7E-0CD9C58D65EB}"/>
    <cellStyle name="Comma 12 2" xfId="242" xr:uid="{31494352-DD93-4394-A17E-91A2BCD3A46C}"/>
    <cellStyle name="Comma 13" xfId="184" xr:uid="{6FFEEA62-59D0-400B-82A4-BA53842E660F}"/>
    <cellStyle name="Comma 13 2" xfId="243" xr:uid="{82DBDFC3-AD1A-4C82-A04F-4DA8DF04164E}"/>
    <cellStyle name="Comma 14" xfId="187" xr:uid="{2A1C9B23-D87C-4538-962F-A7177D7607D3}"/>
    <cellStyle name="Comma 14 2" xfId="244" xr:uid="{212DE1F7-B97C-4444-A931-663B59616FB3}"/>
    <cellStyle name="Comma 15" xfId="245" xr:uid="{25CA3DC9-76DF-47CE-9A10-76FFD7216DA8}"/>
    <cellStyle name="Comma 16" xfId="246" xr:uid="{FF176226-FD76-420F-86B3-58CEB5FB39E6}"/>
    <cellStyle name="Comma 17" xfId="247" xr:uid="{5E9D563B-FB7C-47C5-919D-783B382B800B}"/>
    <cellStyle name="Comma 18" xfId="9" xr:uid="{C6FA7555-DE63-4ED5-B5F3-BE70ACCE78CD}"/>
    <cellStyle name="Comma 18 3 2" xfId="248" xr:uid="{28ADA390-DA47-43D3-9472-429574000C44}"/>
    <cellStyle name="Comma 2" xfId="4" xr:uid="{3E38C652-5A86-488E-BD39-6F36FE2D3ABA}"/>
    <cellStyle name="Comma 2 2" xfId="155" xr:uid="{CEFAF68B-FAAB-4DBF-B15F-C2B76C2D322F}"/>
    <cellStyle name="Comma 2 2 2" xfId="165" xr:uid="{3866AF37-48DC-4689-A2CA-8DB6E738D48C}"/>
    <cellStyle name="Comma 2 2 2 2" xfId="180" xr:uid="{B8BCECFA-0F00-42DF-B4E0-BA6D99F10CA6}"/>
    <cellStyle name="Comma 2 2 2 3" xfId="249" xr:uid="{275CEC20-BE8F-4B5A-B457-94631FEA8916}"/>
    <cellStyle name="Comma 2 2 3" xfId="250" xr:uid="{932952FA-57AF-478F-A40E-CC8B2C89A3BC}"/>
    <cellStyle name="Comma 2 3" xfId="171" xr:uid="{471FFDB5-9035-44F7-92CC-5913ED60AA1B}"/>
    <cellStyle name="Comma 2 3 2" xfId="251" xr:uid="{71125CB0-281D-4AAF-8482-65069B409FC8}"/>
    <cellStyle name="Comma 2 4" xfId="175" xr:uid="{BF624BFC-835F-4303-A3B0-6C35EDB31BA4}"/>
    <cellStyle name="Comma 2 4 2" xfId="252" xr:uid="{9E94A4AC-1874-440A-86F4-ED350F370A5B}"/>
    <cellStyle name="Comma 2 5" xfId="183" xr:uid="{00FBCAD3-1910-4AB5-9773-735132162868}"/>
    <cellStyle name="Comma 2 5 2" xfId="253" xr:uid="{57BD143A-D6EA-49E2-9D23-7023C4E18A8F}"/>
    <cellStyle name="Comma 2 6" xfId="254" xr:uid="{F92B063D-7CDD-416C-8EB6-776E1A608C7E}"/>
    <cellStyle name="Comma 27" xfId="14" xr:uid="{A062A2F8-C066-4111-BE8D-2DF19640827B}"/>
    <cellStyle name="Comma 27 2" xfId="255" xr:uid="{80AD4CCC-7C68-4B7A-B88B-B969A049ECFB}"/>
    <cellStyle name="Comma 3" xfId="7" xr:uid="{57E6D01E-99E4-468D-BA21-1AD33560A4D0}"/>
    <cellStyle name="Comma 3 2" xfId="160" xr:uid="{58BEBEE4-03FB-403D-BD9B-B63B97068E4F}"/>
    <cellStyle name="Comma 3 2 2" xfId="256" xr:uid="{87DECD08-0449-47B5-90D8-C0AC9871BE53}"/>
    <cellStyle name="Comma 3 3" xfId="257" xr:uid="{5F037F05-8132-4690-B362-C359B0E47882}"/>
    <cellStyle name="Comma 3 4" xfId="258" xr:uid="{21D68B70-92BC-455E-8F8D-A1AE6232E3B4}"/>
    <cellStyle name="Comma 4" xfId="74" xr:uid="{7E44BFBD-9F92-4D54-99E7-2C6C15BE2B45}"/>
    <cellStyle name="Comma 4 2" xfId="157" xr:uid="{656D3E00-6D93-4799-B4DA-2C61A928A014}"/>
    <cellStyle name="Comma 4 2 2" xfId="259" xr:uid="{2F8BCBA7-112A-443A-B80A-5FDE00C8C317}"/>
    <cellStyle name="Comma 4 3" xfId="6" xr:uid="{7A80D34C-8CE9-4E95-9CE8-5AFFE25B7921}"/>
    <cellStyle name="Comma 4 3 2" xfId="188" xr:uid="{1CDAAF07-E720-47DA-954A-7B4649662AB0}"/>
    <cellStyle name="Comma 4 3 3" xfId="260" xr:uid="{C65B1AA5-9AE2-49B8-9B98-2162480991B3}"/>
    <cellStyle name="Comma 4 4" xfId="185" xr:uid="{BCF2C7F7-0B84-425F-ABDC-B613BED5CB83}"/>
    <cellStyle name="Comma 4 5" xfId="261" xr:uid="{A43E1A71-5DC7-4F8A-8D20-92236C5152B1}"/>
    <cellStyle name="Comma 5" xfId="148" xr:uid="{346700EA-7F55-4F5F-842C-232D3912B159}"/>
    <cellStyle name="Comma 5 2" xfId="262" xr:uid="{D3AABAC8-48AC-437A-AA3F-67F52DF78D5F}"/>
    <cellStyle name="Comma 6" xfId="149" xr:uid="{7D032BB4-4B0E-433B-A0BF-CB70CBA92516}"/>
    <cellStyle name="Comma 6 2" xfId="263" xr:uid="{C57BB2FF-5475-4E0A-9DFA-67ECF8F89823}"/>
    <cellStyle name="Comma 7" xfId="152" xr:uid="{9D36FA81-DED0-49B0-A26D-1B207219C066}"/>
    <cellStyle name="Comma 7 2" xfId="264" xr:uid="{BD02B686-7232-4D20-8198-DD3DE09C7B61}"/>
    <cellStyle name="Comma 8" xfId="156" xr:uid="{E9FF6D73-50E4-482E-9203-AD3BFF572FAA}"/>
    <cellStyle name="Comma 8 2" xfId="265" xr:uid="{3F881F45-593F-4465-B7F5-9AD898C3018D}"/>
    <cellStyle name="Comma 9" xfId="159" xr:uid="{F7906E72-054D-44D8-BD23-86DD99B7C566}"/>
    <cellStyle name="Comma 9 2" xfId="266" xr:uid="{6A2F3F82-2BBF-4FCD-BB0D-7335BF921BDC}"/>
    <cellStyle name="Comma0" xfId="77" xr:uid="{F062CDB0-FCF4-4AE6-AD6D-EDD9999C7390}"/>
    <cellStyle name="Comma0 2" xfId="267" xr:uid="{CD54A1A4-5ABE-481F-8B03-D86054BEAE4C}"/>
    <cellStyle name="Currency 2" xfId="189" xr:uid="{F07D9937-134E-4FA0-AACC-AE6FC1900757}"/>
    <cellStyle name="Currency0" xfId="78" xr:uid="{2CFCC56E-A039-42D0-84CD-BB0D7CE2721A}"/>
    <cellStyle name="Currency0 2" xfId="268" xr:uid="{4D5FB52D-15C3-4EEA-88EA-40592A97093B}"/>
    <cellStyle name="Date" xfId="79" xr:uid="{C0E44E04-AE9D-4B08-BC1D-536D9643238E}"/>
    <cellStyle name="Date 2" xfId="269" xr:uid="{1B646A39-F83C-4D56-B71D-9744AF45AE41}"/>
    <cellStyle name="Explanatory Text 2" xfId="80" xr:uid="{F7D7438F-706C-44C2-838C-55B52FC981EB}"/>
    <cellStyle name="Explanatory Text 2 2" xfId="270" xr:uid="{91D68F44-BE27-4B0C-AF28-984639ACBF80}"/>
    <cellStyle name="Fixed" xfId="81" xr:uid="{A6F16748-AD95-4808-8E36-2FF5A5A1AEC3}"/>
    <cellStyle name="Fixed 2" xfId="271" xr:uid="{4BA371CB-18AA-40D0-8C1A-971905186297}"/>
    <cellStyle name="Good 2" xfId="82" xr:uid="{1FE75231-BBAC-43EF-A057-B87E307C8450}"/>
    <cellStyle name="Good 2 2" xfId="272" xr:uid="{AB795011-F9CD-4798-BB31-2A6645EE2737}"/>
    <cellStyle name="Header1" xfId="83" xr:uid="{0A579D1F-B686-4530-8E3B-56590D7EB6F3}"/>
    <cellStyle name="Header1 2" xfId="273" xr:uid="{8DDF6C36-BAA9-4D5A-AC9A-0F741F966159}"/>
    <cellStyle name="Header2" xfId="84" xr:uid="{AC2DDA3E-5BA5-436E-B2DC-007C1EEB27D9}"/>
    <cellStyle name="Heading 1 2" xfId="85" xr:uid="{D2ECEBCE-8C33-4549-81F8-5349FE7EF271}"/>
    <cellStyle name="Heading 1 2 2" xfId="274" xr:uid="{441CA360-7D83-43C0-BB98-85E96670D1DC}"/>
    <cellStyle name="Heading 2 2" xfId="86" xr:uid="{7375C4B0-CB15-4D90-839B-ED7A65BDF5F5}"/>
    <cellStyle name="Heading 2 2 2" xfId="275" xr:uid="{75009434-CB08-4178-8A60-7E5764AB3BF8}"/>
    <cellStyle name="Heading 3 2" xfId="87" xr:uid="{8BDA9FF6-36B7-4C77-8E86-C40294AD71ED}"/>
    <cellStyle name="Heading 3 2 2" xfId="276" xr:uid="{1AC9C28C-AD40-4B65-88F2-6B1D4BC72731}"/>
    <cellStyle name="Heading 4 2" xfId="88" xr:uid="{270000BD-C6BA-47A4-AAEC-DBA8841F8177}"/>
    <cellStyle name="Heading 4 2 2" xfId="277" xr:uid="{1164EE6A-B99E-4967-AF39-D1DE592FC5DA}"/>
    <cellStyle name="Heading1" xfId="89" xr:uid="{05A1528D-EFFD-4CF5-A0B3-87BB48B76615}"/>
    <cellStyle name="Heading2" xfId="90" xr:uid="{89408E81-73FB-4C40-A044-22C779FFFECA}"/>
    <cellStyle name="Input 2" xfId="91" xr:uid="{DA83109A-C3FF-4F48-9F83-2730F175DBA5}"/>
    <cellStyle name="Input 2 2" xfId="278" xr:uid="{3460C551-E385-4E65-95F7-E8A44068BA05}"/>
    <cellStyle name="Linked Cell 2" xfId="92" xr:uid="{86E9336D-16EB-41B9-8A73-94318DCE8E9B}"/>
    <cellStyle name="Linked Cell 2 2" xfId="279" xr:uid="{8CAB4EF3-D068-4017-864C-160CCAA2E19F}"/>
    <cellStyle name="Neutral 2" xfId="93" xr:uid="{9A99F476-F8C4-4B05-B66E-EC0D20188090}"/>
    <cellStyle name="Neutral 2 2" xfId="280" xr:uid="{AE91BA60-77E3-400B-A315-38B99D1273A6}"/>
    <cellStyle name="Normal" xfId="0" builtinId="0"/>
    <cellStyle name="Normal - Style1" xfId="94" xr:uid="{41CC8007-9DCD-4290-A409-B2B0A2C038CC}"/>
    <cellStyle name="Normal 10" xfId="95" xr:uid="{92886A3B-EBD8-43E2-9388-AB88E35E9446}"/>
    <cellStyle name="Normal 10 2" xfId="281" xr:uid="{F46371B3-0C3A-45A1-8861-17864E60153E}"/>
    <cellStyle name="Normal 11" xfId="96" xr:uid="{138D69EF-F04F-4AA8-8172-A4AA8FB42BC2}"/>
    <cellStyle name="Normal 118" xfId="282" xr:uid="{AD7BA60C-2BFB-4A33-8805-DFC563C4EBD7}"/>
    <cellStyle name="Normal 12" xfId="16" xr:uid="{06E5971C-02B3-4640-AAB7-58A195710247}"/>
    <cellStyle name="Normal 12 2" xfId="97" xr:uid="{DB6B937F-AEA3-40D4-BF9E-73A51882B2FA}"/>
    <cellStyle name="Normal 13" xfId="17" xr:uid="{0E4FCF59-0F4A-4870-9EBA-956635919DFC}"/>
    <cellStyle name="Normal 13 2" xfId="98" xr:uid="{81C65C44-804C-496D-83AF-C34590573CCE}"/>
    <cellStyle name="Normal 14" xfId="99" xr:uid="{CFAE8339-2116-4415-A37D-A9DF73C3C9FB}"/>
    <cellStyle name="Normal 15" xfId="100" xr:uid="{DD29A687-5CB4-4F19-8AE1-FCC0436452AC}"/>
    <cellStyle name="Normal 15 2" xfId="169" xr:uid="{83C27EF9-3433-4E3C-BAC5-A1848B0452BC}"/>
    <cellStyle name="Normal 16" xfId="101" xr:uid="{550D5B98-676B-4DB2-8EE7-7D6A5B296049}"/>
    <cellStyle name="Normal 17" xfId="102" xr:uid="{DD93E612-88DE-4355-97F8-E1E6A0BA0F6B}"/>
    <cellStyle name="Normal 18" xfId="103" xr:uid="{C7389F69-3FA9-4994-B23E-63447004948E}"/>
    <cellStyle name="Normal 18 2" xfId="10" xr:uid="{08C2D2E6-D9A0-4D6E-8306-2F0369CEA70C}"/>
    <cellStyle name="Normal 19" xfId="104" xr:uid="{562880BC-CD23-4DC3-B8A9-91F736DB6217}"/>
    <cellStyle name="Normal 2" xfId="12" xr:uid="{4A691E54-E186-4427-9E13-D3CD3ADDFFCE}"/>
    <cellStyle name="Normal 2 11" xfId="161" xr:uid="{B2D953FF-3683-4952-91D3-C46297FE98AE}"/>
    <cellStyle name="Normal 2 2" xfId="3" xr:uid="{221034B8-99B8-4CAE-95AA-D4AAC888C842}"/>
    <cellStyle name="Normal 2 2 2" xfId="106" xr:uid="{9915876D-F86F-4B9C-A9A2-69BBBBFB3819}"/>
    <cellStyle name="Normal 2 2 3" xfId="283" xr:uid="{A8A9EA3D-8AD7-4838-8AE4-31FA58F8DF7D}"/>
    <cellStyle name="Normal 2 3" xfId="107" xr:uid="{A17D8E84-A3CE-4315-8C26-01EAAF26D214}"/>
    <cellStyle name="Normal 2 3 2" xfId="170" xr:uid="{925905DC-061E-456D-8CD7-C2663E6FE601}"/>
    <cellStyle name="Normal 2 4" xfId="105" xr:uid="{BEB4D763-723A-49F1-ABD1-F841EC42619F}"/>
    <cellStyle name="Normal 2 4 2" xfId="164" xr:uid="{1D5DA71D-30ED-4125-BA3E-BC7BB9B9383C}"/>
    <cellStyle name="Normal 2 5" xfId="168" xr:uid="{F83E2279-0EAC-4079-8C60-E135435FF938}"/>
    <cellStyle name="Normal 2 6" xfId="284" xr:uid="{A641B70D-8770-40C7-AD8E-88F17294153D}"/>
    <cellStyle name="Normal 2 7" xfId="285" xr:uid="{F23A5966-3106-4F96-BA04-3E214E8C433E}"/>
    <cellStyle name="Normal 20" xfId="18" xr:uid="{59916784-6143-4385-8237-70D119736099}"/>
    <cellStyle name="Normal 21" xfId="76" xr:uid="{89517C57-5C9F-4D16-8D13-D1FE56F0F63E}"/>
    <cellStyle name="Normal 22" xfId="150" xr:uid="{B5A4EAD7-FF46-4EC7-99B1-7E56475553B4}"/>
    <cellStyle name="Normal 23" xfId="151" xr:uid="{91F6EB1D-5992-471C-A3CD-17319556DAFE}"/>
    <cellStyle name="Normal 24" xfId="154" xr:uid="{5A59856D-4C4C-4B9B-9E35-4DFCE65A402E}"/>
    <cellStyle name="Normal 25" xfId="158" xr:uid="{3C3EBC6C-4205-4BC4-BB02-501512D7A07B}"/>
    <cellStyle name="Normal 26" xfId="286" xr:uid="{9D396C9D-FF7E-4265-99E4-690A19163786}"/>
    <cellStyle name="Normal 27" xfId="287" xr:uid="{2A9FB32F-EE00-45FC-93D1-57AD7114A9F2}"/>
    <cellStyle name="Normal 28" xfId="288" xr:uid="{6F11ABAE-27F3-4D4B-AD15-FCAD36AA6530}"/>
    <cellStyle name="Normal 29" xfId="289" xr:uid="{60B2E452-E657-4D5E-8251-EFAB8D7D8520}"/>
    <cellStyle name="Normal 3" xfId="5" xr:uid="{0C972DBA-09A7-4A29-B119-B3AE06C9467D}"/>
    <cellStyle name="Normal 3 2" xfId="109" xr:uid="{5ACBE912-8A3A-4AAA-AB12-83AF891F3204}"/>
    <cellStyle name="Normal 3 3" xfId="108" xr:uid="{520146F3-125B-447C-86EB-CCF9BDC1B29D}"/>
    <cellStyle name="Normal 3 4" xfId="290" xr:uid="{C686E69C-6E0D-4E5E-8D82-965606D49275}"/>
    <cellStyle name="Normal 3 5" xfId="291" xr:uid="{1BE6BABC-2310-4FCB-9674-1A179C15EE2A}"/>
    <cellStyle name="Normal 30" xfId="292" xr:uid="{04BA4995-AA01-4C9B-BC08-DB444BE062A2}"/>
    <cellStyle name="Normal 31" xfId="293" xr:uid="{3CADBF25-D8C5-4645-8E58-5372FDC2BC99}"/>
    <cellStyle name="Normal 32" xfId="294" xr:uid="{3AF67E51-6CB5-4071-9E01-4490C7AE6F06}"/>
    <cellStyle name="Normal 4" xfId="110" xr:uid="{0A0D2717-9C59-4A3A-B59E-8CA150344B94}"/>
    <cellStyle name="Normal 4 2" xfId="172" xr:uid="{9E6F03E4-98C8-47EA-8976-617E088E5DDC}"/>
    <cellStyle name="Normal 4 3" xfId="295" xr:uid="{61696511-60EF-49B0-BA89-37BABE49F261}"/>
    <cellStyle name="Normal 4 4" xfId="296" xr:uid="{876C414F-51E5-420B-B281-8282C87A7E49}"/>
    <cellStyle name="Normal 5" xfId="111" xr:uid="{77B53FC6-C2DB-445B-8375-6D0DA6663031}"/>
    <cellStyle name="Normal 5 2" xfId="173" xr:uid="{C89A8D97-0D82-4D32-BB69-F0E93075CCB4}"/>
    <cellStyle name="Normal 5 3" xfId="297" xr:uid="{9772CA63-05F2-49C7-87B8-C0A2259429A1}"/>
    <cellStyle name="Normal 6" xfId="112" xr:uid="{F4A5EBFD-EF05-4BCE-8465-7F9846C6C457}"/>
    <cellStyle name="Normal 6 3 2 2" xfId="13" xr:uid="{BD7CB992-23D2-4618-8E76-EA9C9EBF8496}"/>
    <cellStyle name="Normal 7" xfId="113" xr:uid="{C03AE8EE-A40A-4E2A-8A91-8E7638941420}"/>
    <cellStyle name="Normal 8" xfId="114" xr:uid="{B1DA0E9E-C72A-437D-A55F-5D26E00C1D2C}"/>
    <cellStyle name="Normal 9" xfId="15" xr:uid="{B7C4AFE7-FEF6-4EA2-B774-DD510B909007}"/>
    <cellStyle name="Normal 9 2" xfId="115" xr:uid="{12AF7341-6BCF-48C0-88D9-9AB3994BE7E8}"/>
    <cellStyle name="Note 2" xfId="116" xr:uid="{EE15DE72-6CAC-40F4-9187-61E532F4A908}"/>
    <cellStyle name="Note 2 2" xfId="298" xr:uid="{6ED2F8C1-1420-46D8-9511-E45DB660DFBF}"/>
    <cellStyle name="Output 2" xfId="117" xr:uid="{82E885BF-9AC8-4054-9C5F-3CD25D813E18}"/>
    <cellStyle name="Output 2 2" xfId="299" xr:uid="{4A5FC1C5-41EF-4A68-B4DA-DFF588EF614F}"/>
    <cellStyle name="Per cent 2" xfId="300" xr:uid="{5432A39B-F1A3-4744-8042-2A8E1197FE21}"/>
    <cellStyle name="Percent 10" xfId="2" xr:uid="{A38B8861-549D-443B-BD00-009F4541B50B}"/>
    <cellStyle name="Percent 2" xfId="119" xr:uid="{190AD2F2-A769-41E2-A565-C458531841FF}"/>
    <cellStyle name="Percent 2 2" xfId="301" xr:uid="{7CEB0545-7F99-48CB-8F91-EE2A9A82F013}"/>
    <cellStyle name="Percent 3" xfId="120" xr:uid="{2D34EF7B-11C5-49D7-84DD-B3D632DD7C3F}"/>
    <cellStyle name="Percent 3 2" xfId="174" xr:uid="{6BD8F6E1-3D85-4AA9-8F87-1180337A1105}"/>
    <cellStyle name="Percent 3 2 2" xfId="302" xr:uid="{8F8C675D-9A6E-411A-830A-D12AF91929AA}"/>
    <cellStyle name="Percent 3 3" xfId="303" xr:uid="{A5633C75-8764-4293-9FF5-29AC41ADB9B9}"/>
    <cellStyle name="Percent 4" xfId="118" xr:uid="{04E9DDDA-3F6D-49A1-BB65-52A86842DEA2}"/>
    <cellStyle name="Percent 4 2" xfId="304" xr:uid="{D728DE9B-062E-4FB3-A92B-96C5916B8ABD}"/>
    <cellStyle name="Percent 5" xfId="153" xr:uid="{3FBBDFEB-97AD-4ACE-8E9C-D612CA7A4DDA}"/>
    <cellStyle name="Percent 5 2" xfId="305" xr:uid="{656E882A-4407-4202-BDF4-6F1DFF339E4C}"/>
    <cellStyle name="Percent 6" xfId="167" xr:uid="{238E3AF5-F02B-4F1F-89FF-BE7282C072BD}"/>
    <cellStyle name="Percent 6 2" xfId="306" xr:uid="{B6492BF1-2120-4383-A6E3-ADF56AE24B66}"/>
    <cellStyle name="Percent 7" xfId="1" xr:uid="{42C0D191-5588-426A-A05C-47C58B150488}"/>
    <cellStyle name="Percent 7 2" xfId="307" xr:uid="{54E9F420-4266-4F9D-B1DA-4DEFB6591606}"/>
    <cellStyle name="Percent 8" xfId="182" xr:uid="{CEED5998-B0AC-4845-973A-766CEDC40215}"/>
    <cellStyle name="Percent 9" xfId="186" xr:uid="{653BBAE0-2D5F-4BFF-A6C0-EA4DC9E0B15E}"/>
    <cellStyle name="Title 2" xfId="121" xr:uid="{6424361D-BFB4-40C6-8D1E-728E91DBF040}"/>
    <cellStyle name="Title 2 2" xfId="308" xr:uid="{E17513ED-4C41-46E8-B215-98F51A842220}"/>
    <cellStyle name="Total 2" xfId="122" xr:uid="{3CC1B48C-DF5A-4DD6-BA66-34203A5E3923}"/>
    <cellStyle name="Total 2 2" xfId="309" xr:uid="{C39A0872-4DCC-423E-82F4-45BE3B8130D6}"/>
    <cellStyle name="Warning Text 2" xfId="123" xr:uid="{25BD93C9-DA50-4B8C-AAA7-8CADDF3D301D}"/>
    <cellStyle name="Warning Text 2 2" xfId="310" xr:uid="{537373CD-4440-4C27-BB4A-5BCBC5DA74ED}"/>
    <cellStyle name="เซลล์ตรวจสอบ" xfId="124" xr:uid="{76A4B94B-464D-4866-A667-380751DDFD98}"/>
    <cellStyle name="เซลล์ตรวจสอบ 2" xfId="311" xr:uid="{FF4B6017-7419-4B87-BCAB-04CDE7293583}"/>
    <cellStyle name="เซลล์ที่มีการเชื่อมโยง" xfId="125" xr:uid="{F7E704C9-CA6F-45DE-9AF2-531FB742B234}"/>
    <cellStyle name="เซลล์ที่มีการเชื่อมโยง 2" xfId="312" xr:uid="{D96624D8-DA67-4DF0-98FB-7343EA2BBAE3}"/>
    <cellStyle name="แย่" xfId="126" xr:uid="{BE8A72ED-1D4B-4DA0-B440-837B90E9A2B5}"/>
    <cellStyle name="แย่ 2" xfId="313" xr:uid="{D9BDDEB0-A972-45A4-89E3-1EAF5B95E823}"/>
    <cellStyle name="แสดงผล" xfId="127" xr:uid="{B7AE8C8F-43C4-4992-AFAA-AA00C9F79CE5}"/>
    <cellStyle name="แสดงผล 2" xfId="314" xr:uid="{05FB0187-FDF6-4A27-ADC4-A1E4AE0B5BF2}"/>
    <cellStyle name="การคำนวณ" xfId="128" xr:uid="{29193260-CD41-4654-956C-2C2328D2FC7F}"/>
    <cellStyle name="การคำนวณ 2" xfId="315" xr:uid="{20670BFA-6E32-47CA-A274-863374AC037B}"/>
    <cellStyle name="ข้อความเตือน" xfId="129" xr:uid="{98E3AFB6-E659-45DC-B907-377103AC457B}"/>
    <cellStyle name="ข้อความเตือน 2" xfId="316" xr:uid="{D9F46658-4B26-4EDC-894A-8822C99BA2AC}"/>
    <cellStyle name="ข้อความอธิบาย" xfId="130" xr:uid="{526F98A7-75A1-4121-8627-494C51F01497}"/>
    <cellStyle name="ข้อความอธิบาย 2" xfId="317" xr:uid="{4CF64954-905F-47AC-A98B-3CCD2DCD82C5}"/>
    <cellStyle name="ชื่อเรื่อง" xfId="131" xr:uid="{D908F829-04EB-4FA4-8401-DD11DAFEB966}"/>
    <cellStyle name="ชื่อเรื่อง 2" xfId="318" xr:uid="{BD54CB4B-677C-49CB-AF99-76FBC6821AEF}"/>
    <cellStyle name="ดี" xfId="132" xr:uid="{298359CD-E8D7-4588-AEAB-F17A237F6359}"/>
    <cellStyle name="ดี 2" xfId="319" xr:uid="{29DC03AA-83B1-49EB-97D2-3F8CD0664DFE}"/>
    <cellStyle name="ปกติ_INVEN-06" xfId="133" xr:uid="{9AAB24EB-9188-49B8-9519-6FB05C8EE856}"/>
    <cellStyle name="ป้อนค่า" xfId="134" xr:uid="{4450ECC2-2842-4B5C-B388-0EBBECFE2327}"/>
    <cellStyle name="ป้อนค่า 2" xfId="320" xr:uid="{6B2F5951-BFA6-4C28-A2E0-18A8FCC6110F}"/>
    <cellStyle name="ปานกลาง" xfId="135" xr:uid="{64C86116-7A41-4CF2-8790-D0B5D7C84142}"/>
    <cellStyle name="ปานกลาง 2" xfId="321" xr:uid="{86F7374F-DA24-446E-AAFD-80B0EA749C24}"/>
    <cellStyle name="ผลรวม" xfId="136" xr:uid="{86A1A298-3203-4E37-B06A-39DAC686894D}"/>
    <cellStyle name="ผลรวม 2" xfId="322" xr:uid="{231CA836-FDA4-47B0-A687-9544A424E541}"/>
    <cellStyle name="ส่วนที่ถูกเน้น1" xfId="137" xr:uid="{A60E1998-D5CB-45D8-9921-BADF22D0320E}"/>
    <cellStyle name="ส่วนที่ถูกเน้น1 2" xfId="323" xr:uid="{902907C8-6D96-478E-A111-874C8EFA17FD}"/>
    <cellStyle name="ส่วนที่ถูกเน้น2" xfId="138" xr:uid="{E7E2022C-99F6-47ED-B23A-B8D97E502364}"/>
    <cellStyle name="ส่วนที่ถูกเน้น2 2" xfId="324" xr:uid="{7D1E1838-A237-4F1D-8E29-8AA3C42020CD}"/>
    <cellStyle name="ส่วนที่ถูกเน้น3" xfId="139" xr:uid="{9E80F3F2-0351-4372-B047-3B750F84BFCC}"/>
    <cellStyle name="ส่วนที่ถูกเน้น3 2" xfId="325" xr:uid="{984FA271-F76A-40D6-A606-8F715ECDE1A0}"/>
    <cellStyle name="ส่วนที่ถูกเน้น4" xfId="140" xr:uid="{F27CB3A0-0CFD-49BB-B42F-CC9785A642CB}"/>
    <cellStyle name="ส่วนที่ถูกเน้น4 2" xfId="326" xr:uid="{1D610B25-A4D0-450E-86A5-83CB3BA1DDB4}"/>
    <cellStyle name="ส่วนที่ถูกเน้น5" xfId="141" xr:uid="{AFCAA843-C347-4F64-8DF2-40B6A5F7283A}"/>
    <cellStyle name="ส่วนที่ถูกเน้น5 2" xfId="327" xr:uid="{3FE16344-81DF-4D7F-A801-20A4529CCDFB}"/>
    <cellStyle name="ส่วนที่ถูกเน้น6" xfId="142" xr:uid="{843B2369-4C57-49E9-9998-5B85137C9AED}"/>
    <cellStyle name="ส่วนที่ถูกเน้น6 2" xfId="328" xr:uid="{23CC88A5-59F8-4B23-A875-34D7A7EA758C}"/>
    <cellStyle name="หมายเหตุ" xfId="143" xr:uid="{F5A9790D-9B39-4B4B-88A0-CC8AD48AC539}"/>
    <cellStyle name="หมายเหตุ 2" xfId="329" xr:uid="{CD2AF049-8A9D-4A35-9E96-862514F466BC}"/>
    <cellStyle name="หัวเรื่อง 1" xfId="144" xr:uid="{2FBF40CA-43D7-474C-8EFF-AA1CFDC80413}"/>
    <cellStyle name="หัวเรื่อง 1 2" xfId="330" xr:uid="{1B308756-E8C0-48E3-B768-543329E5CE51}"/>
    <cellStyle name="หัวเรื่อง 2" xfId="145" xr:uid="{8B10E473-3CC9-4642-B8DE-20E4043C4119}"/>
    <cellStyle name="หัวเรื่อง 2 2" xfId="331" xr:uid="{19EE0E55-297C-40D6-99BC-389AF70C2B15}"/>
    <cellStyle name="หัวเรื่อง 3" xfId="146" xr:uid="{5D9A1728-C2E3-4FE5-B514-4B62CAC3CFB2}"/>
    <cellStyle name="หัวเรื่อง 3 2" xfId="332" xr:uid="{90673031-DB1B-42B8-B16B-F1201204EE2C}"/>
    <cellStyle name="หัวเรื่อง 4" xfId="147" xr:uid="{3D3BE73F-7E1B-4754-A10C-3AD475B3AC21}"/>
    <cellStyle name="หัวเรื่อง 4 2" xfId="333" xr:uid="{B5B10892-ED22-4493-BC32-4356953153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showGridLines="0" zoomScale="83" zoomScaleNormal="136" workbookViewId="0">
      <pane ySplit="2" topLeftCell="A39" activePane="bottomLeft" state="frozen"/>
      <selection pane="bottomLeft" activeCell="A4" sqref="A4:P50"/>
    </sheetView>
  </sheetViews>
  <sheetFormatPr defaultRowHeight="14.5"/>
  <cols>
    <col min="1" max="1" width="8" customWidth="1"/>
    <col min="2" max="2" width="6" customWidth="1"/>
    <col min="3" max="3" width="8" customWidth="1"/>
    <col min="4" max="4" width="10" customWidth="1"/>
    <col min="5" max="5" width="14.453125" customWidth="1"/>
    <col min="6" max="6" width="8.90625" customWidth="1"/>
    <col min="7" max="7" width="26" customWidth="1"/>
    <col min="8" max="8" width="32" customWidth="1"/>
    <col min="9" max="9" width="13" customWidth="1"/>
    <col min="10" max="10" width="16" customWidth="1"/>
    <col min="11" max="11" width="18.6328125" customWidth="1"/>
    <col min="12" max="12" width="14" customWidth="1"/>
    <col min="13" max="13" width="17" customWidth="1"/>
    <col min="14" max="14" width="10" customWidth="1"/>
    <col min="15" max="15" width="15.36328125" customWidth="1"/>
    <col min="16" max="16" width="15.54296875" customWidth="1"/>
    <col min="17" max="17" width="8.90625" customWidth="1"/>
  </cols>
  <sheetData>
    <row r="1" spans="1:17" ht="28" customHeight="1">
      <c r="A1" s="31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1"/>
      <c r="P1" s="1"/>
    </row>
    <row r="2" spans="1:17" ht="34" customHeight="1" thickBot="1">
      <c r="A2" s="8" t="s">
        <v>11</v>
      </c>
      <c r="B2" s="8" t="s">
        <v>0</v>
      </c>
      <c r="C2" s="8" t="s">
        <v>12</v>
      </c>
      <c r="D2" s="8" t="s">
        <v>13</v>
      </c>
      <c r="E2" s="8" t="s">
        <v>21</v>
      </c>
      <c r="F2" s="8" t="s">
        <v>1</v>
      </c>
      <c r="G2" s="8" t="s">
        <v>14</v>
      </c>
      <c r="H2" s="8" t="s">
        <v>15</v>
      </c>
      <c r="I2" s="8" t="s">
        <v>16</v>
      </c>
      <c r="J2" s="8" t="s">
        <v>17</v>
      </c>
      <c r="K2" s="8" t="s">
        <v>18</v>
      </c>
      <c r="L2" s="8" t="s">
        <v>22</v>
      </c>
      <c r="M2" s="8" t="s">
        <v>19</v>
      </c>
      <c r="N2" s="9" t="s">
        <v>2</v>
      </c>
      <c r="O2" s="9" t="s">
        <v>24</v>
      </c>
      <c r="P2" s="10" t="s">
        <v>20</v>
      </c>
      <c r="Q2" s="27"/>
    </row>
    <row r="3" spans="1:17" ht="16" customHeight="1" thickBot="1">
      <c r="A3" s="3">
        <v>1</v>
      </c>
      <c r="B3" s="3">
        <v>2026</v>
      </c>
      <c r="C3" s="3">
        <v>46204</v>
      </c>
      <c r="D3" s="28">
        <v>46143</v>
      </c>
      <c r="E3" s="3" t="s">
        <v>3</v>
      </c>
      <c r="F3" s="3" t="s">
        <v>5</v>
      </c>
      <c r="G3" s="4" t="s">
        <v>257</v>
      </c>
      <c r="H3" s="4" t="s">
        <v>238</v>
      </c>
      <c r="I3" s="5">
        <v>55000</v>
      </c>
      <c r="J3" s="5">
        <v>2264350</v>
      </c>
      <c r="K3" s="5">
        <v>0</v>
      </c>
      <c r="L3" s="5">
        <v>-675935.7618651255</v>
      </c>
      <c r="M3" s="5">
        <v>0</v>
      </c>
      <c r="N3" s="6">
        <v>1</v>
      </c>
      <c r="O3" s="11">
        <v>1</v>
      </c>
      <c r="P3" s="7" t="str">
        <f>IF(N3=1, "implements", "non-implements")</f>
        <v>implements</v>
      </c>
    </row>
    <row r="4" spans="1:17" ht="16" customHeight="1" thickBot="1">
      <c r="A4" s="3">
        <v>2</v>
      </c>
      <c r="B4" s="3">
        <v>2026</v>
      </c>
      <c r="C4" s="3">
        <v>46204</v>
      </c>
      <c r="D4" s="28">
        <v>46143</v>
      </c>
      <c r="E4" s="3" t="s">
        <v>3</v>
      </c>
      <c r="F4" s="3" t="s">
        <v>5</v>
      </c>
      <c r="G4" s="4" t="s">
        <v>260</v>
      </c>
      <c r="H4" s="4" t="s">
        <v>167</v>
      </c>
      <c r="I4" s="5">
        <v>44200</v>
      </c>
      <c r="J4" s="5">
        <v>6212752</v>
      </c>
      <c r="K4" s="5">
        <v>-177173.22916665187</v>
      </c>
      <c r="L4" s="5">
        <v>752606.99479799066</v>
      </c>
      <c r="M4" s="5">
        <v>-64532</v>
      </c>
      <c r="N4" s="6">
        <v>1</v>
      </c>
      <c r="O4" s="11">
        <v>1</v>
      </c>
      <c r="P4" s="7" t="str">
        <f t="shared" ref="P4:P50" si="0">IF(N4=1, "implements", "non-implements")</f>
        <v>implements</v>
      </c>
    </row>
    <row r="5" spans="1:17" ht="16" customHeight="1" thickBot="1">
      <c r="A5" s="3">
        <v>3</v>
      </c>
      <c r="B5" s="3">
        <v>2026</v>
      </c>
      <c r="C5" s="3">
        <v>46204</v>
      </c>
      <c r="D5" s="28">
        <v>46143</v>
      </c>
      <c r="E5" s="3" t="s">
        <v>3</v>
      </c>
      <c r="F5" s="3" t="s">
        <v>5</v>
      </c>
      <c r="G5" s="4" t="s">
        <v>262</v>
      </c>
      <c r="H5" s="4" t="s">
        <v>153</v>
      </c>
      <c r="I5" s="5">
        <v>77000</v>
      </c>
      <c r="J5" s="5">
        <v>7197190</v>
      </c>
      <c r="K5" s="5">
        <v>5677.0833333616265</v>
      </c>
      <c r="L5" s="5">
        <v>-382341.93034971971</v>
      </c>
      <c r="M5" s="5">
        <v>-199430</v>
      </c>
      <c r="N5" s="6">
        <v>1</v>
      </c>
      <c r="O5" s="11">
        <v>1</v>
      </c>
      <c r="P5" s="7" t="str">
        <f t="shared" si="0"/>
        <v>implements</v>
      </c>
    </row>
    <row r="6" spans="1:17" ht="16" customHeight="1" thickBot="1">
      <c r="A6" s="3">
        <v>4</v>
      </c>
      <c r="B6" s="3">
        <v>2026</v>
      </c>
      <c r="C6" s="3">
        <v>46204</v>
      </c>
      <c r="D6" s="28">
        <v>46143</v>
      </c>
      <c r="E6" s="3" t="s">
        <v>3</v>
      </c>
      <c r="F6" s="3" t="s">
        <v>5</v>
      </c>
      <c r="G6" s="4" t="s">
        <v>265</v>
      </c>
      <c r="H6" s="4" t="s">
        <v>158</v>
      </c>
      <c r="I6" s="5">
        <v>67016</v>
      </c>
      <c r="J6" s="5">
        <v>3508957.76</v>
      </c>
      <c r="K6" s="5">
        <v>-1391.282661101312</v>
      </c>
      <c r="L6" s="5">
        <v>-296938.84176892741</v>
      </c>
      <c r="M6" s="5">
        <v>0</v>
      </c>
      <c r="N6" s="6">
        <v>1</v>
      </c>
      <c r="O6" s="11">
        <v>1</v>
      </c>
      <c r="P6" s="7" t="str">
        <f t="shared" si="0"/>
        <v>implements</v>
      </c>
    </row>
    <row r="7" spans="1:17" ht="16" customHeight="1" thickBot="1">
      <c r="A7" s="3">
        <v>5</v>
      </c>
      <c r="B7" s="3">
        <v>2026</v>
      </c>
      <c r="C7" s="3">
        <v>46204</v>
      </c>
      <c r="D7" s="28">
        <v>46143</v>
      </c>
      <c r="E7" s="3" t="s">
        <v>3</v>
      </c>
      <c r="F7" s="3" t="s">
        <v>4</v>
      </c>
      <c r="G7" s="4" t="s">
        <v>267</v>
      </c>
      <c r="H7" s="4" t="s">
        <v>268</v>
      </c>
      <c r="I7" s="5">
        <v>78700</v>
      </c>
      <c r="J7" s="5">
        <v>7892823</v>
      </c>
      <c r="K7" s="5">
        <v>-22107.222222249547</v>
      </c>
      <c r="L7" s="5">
        <v>2094872.4408373246</v>
      </c>
      <c r="M7" s="5">
        <v>390352</v>
      </c>
      <c r="N7" s="6">
        <v>1</v>
      </c>
      <c r="O7" s="11">
        <v>1</v>
      </c>
      <c r="P7" s="7" t="str">
        <f t="shared" si="0"/>
        <v>implements</v>
      </c>
    </row>
    <row r="8" spans="1:17" ht="16" customHeight="1" thickBot="1">
      <c r="A8" s="3">
        <v>6</v>
      </c>
      <c r="B8" s="3">
        <v>2026</v>
      </c>
      <c r="C8" s="3">
        <v>46204</v>
      </c>
      <c r="D8" s="28">
        <v>46143</v>
      </c>
      <c r="E8" s="3" t="s">
        <v>3</v>
      </c>
      <c r="F8" s="3" t="s">
        <v>5</v>
      </c>
      <c r="G8" s="4" t="s">
        <v>270</v>
      </c>
      <c r="H8" s="4" t="s">
        <v>153</v>
      </c>
      <c r="I8" s="5">
        <v>73600</v>
      </c>
      <c r="J8" s="5">
        <v>6849216</v>
      </c>
      <c r="K8" s="5">
        <v>-35430.000000017455</v>
      </c>
      <c r="L8" s="5">
        <v>-498232.23216789123</v>
      </c>
      <c r="M8" s="5">
        <v>-170016</v>
      </c>
      <c r="N8" s="6">
        <v>1</v>
      </c>
      <c r="O8" s="11">
        <v>1</v>
      </c>
      <c r="P8" s="7" t="str">
        <f t="shared" si="0"/>
        <v>implements</v>
      </c>
    </row>
    <row r="9" spans="1:17" ht="16" customHeight="1" thickBot="1">
      <c r="A9" s="3">
        <v>7</v>
      </c>
      <c r="B9" s="3">
        <v>2026</v>
      </c>
      <c r="C9" s="3">
        <v>46204</v>
      </c>
      <c r="D9" s="28">
        <v>46143</v>
      </c>
      <c r="E9" s="3" t="s">
        <v>3</v>
      </c>
      <c r="F9" s="3" t="s">
        <v>5</v>
      </c>
      <c r="G9" s="4" t="s">
        <v>272</v>
      </c>
      <c r="H9" s="4" t="s">
        <v>238</v>
      </c>
      <c r="I9" s="5">
        <v>52000</v>
      </c>
      <c r="J9" s="5">
        <v>2140840</v>
      </c>
      <c r="K9" s="5">
        <v>0</v>
      </c>
      <c r="L9" s="5">
        <v>-695984.67754007084</v>
      </c>
      <c r="M9" s="5">
        <v>0</v>
      </c>
      <c r="N9" s="6">
        <v>0</v>
      </c>
      <c r="O9" s="11">
        <v>0</v>
      </c>
      <c r="P9" s="7" t="str">
        <f t="shared" si="0"/>
        <v>non-implements</v>
      </c>
    </row>
    <row r="10" spans="1:17" ht="16" customHeight="1" thickBot="1">
      <c r="A10" s="3">
        <v>8</v>
      </c>
      <c r="B10" s="3">
        <v>2026</v>
      </c>
      <c r="C10" s="3">
        <v>46204</v>
      </c>
      <c r="D10" s="28">
        <v>46143</v>
      </c>
      <c r="E10" s="3" t="s">
        <v>3</v>
      </c>
      <c r="F10" s="3" t="s">
        <v>5</v>
      </c>
      <c r="G10" s="4" t="s">
        <v>274</v>
      </c>
      <c r="H10" s="4" t="s">
        <v>184</v>
      </c>
      <c r="I10" s="5">
        <v>64999</v>
      </c>
      <c r="J10" s="5">
        <v>6227554.1899999995</v>
      </c>
      <c r="K10" s="5">
        <v>-5725.1249998556905</v>
      </c>
      <c r="L10" s="5">
        <v>-360876.15849849489</v>
      </c>
      <c r="M10" s="5">
        <v>29899.54</v>
      </c>
      <c r="N10" s="6">
        <v>1</v>
      </c>
      <c r="O10" s="11">
        <v>1</v>
      </c>
      <c r="P10" s="7" t="str">
        <f t="shared" si="0"/>
        <v>implements</v>
      </c>
    </row>
    <row r="11" spans="1:17" ht="16" customHeight="1" thickBot="1">
      <c r="A11" s="3">
        <v>9</v>
      </c>
      <c r="B11" s="3">
        <v>2026</v>
      </c>
      <c r="C11" s="3">
        <v>46204</v>
      </c>
      <c r="D11" s="28">
        <v>46143</v>
      </c>
      <c r="E11" s="3" t="s">
        <v>3</v>
      </c>
      <c r="F11" s="3" t="s">
        <v>5</v>
      </c>
      <c r="G11" s="4" t="s">
        <v>157</v>
      </c>
      <c r="H11" s="4" t="s">
        <v>158</v>
      </c>
      <c r="I11" s="5">
        <v>67007</v>
      </c>
      <c r="J11" s="5">
        <v>3452200.64</v>
      </c>
      <c r="K11" s="5">
        <v>-16389.005044361158</v>
      </c>
      <c r="L11" s="5">
        <v>-367957.73245442985</v>
      </c>
      <c r="M11" s="5">
        <v>0</v>
      </c>
      <c r="N11" s="6">
        <v>1</v>
      </c>
      <c r="O11" s="11">
        <v>1</v>
      </c>
      <c r="P11" s="7" t="str">
        <f t="shared" si="0"/>
        <v>implements</v>
      </c>
    </row>
    <row r="12" spans="1:17" ht="16" customHeight="1" thickBot="1">
      <c r="A12" s="3">
        <v>10</v>
      </c>
      <c r="B12" s="3">
        <v>2026</v>
      </c>
      <c r="C12" s="3">
        <v>46204</v>
      </c>
      <c r="D12" s="28">
        <v>46143</v>
      </c>
      <c r="E12" s="3" t="s">
        <v>3</v>
      </c>
      <c r="F12" s="3" t="s">
        <v>5</v>
      </c>
      <c r="G12" s="4" t="s">
        <v>227</v>
      </c>
      <c r="H12" s="4" t="s">
        <v>158</v>
      </c>
      <c r="I12" s="5">
        <v>67023</v>
      </c>
      <c r="J12" s="5">
        <v>3476483.01</v>
      </c>
      <c r="K12" s="5">
        <v>6950.0162166740165</v>
      </c>
      <c r="L12" s="5">
        <v>-321338.26374109415</v>
      </c>
      <c r="M12" s="5">
        <v>0</v>
      </c>
      <c r="N12" s="6">
        <v>1</v>
      </c>
      <c r="O12" s="11">
        <v>1</v>
      </c>
      <c r="P12" s="7" t="str">
        <f t="shared" si="0"/>
        <v>implements</v>
      </c>
    </row>
    <row r="13" spans="1:17" ht="16" customHeight="1" thickBot="1">
      <c r="A13" s="3">
        <v>11</v>
      </c>
      <c r="B13" s="3">
        <v>2026</v>
      </c>
      <c r="C13" s="3">
        <v>46204</v>
      </c>
      <c r="D13" s="28">
        <v>46143</v>
      </c>
      <c r="E13" s="3" t="s">
        <v>3</v>
      </c>
      <c r="F13" s="3" t="s">
        <v>5</v>
      </c>
      <c r="G13" s="4" t="s">
        <v>278</v>
      </c>
      <c r="H13" s="4" t="s">
        <v>156</v>
      </c>
      <c r="I13" s="5">
        <v>63050</v>
      </c>
      <c r="J13" s="5">
        <v>4852328</v>
      </c>
      <c r="K13" s="5">
        <v>-14791.944444504918</v>
      </c>
      <c r="L13" s="5">
        <v>-601610.36244686972</v>
      </c>
      <c r="M13" s="5">
        <v>-54223</v>
      </c>
      <c r="N13" s="6">
        <v>0</v>
      </c>
      <c r="O13" s="11">
        <v>0</v>
      </c>
      <c r="P13" s="7" t="str">
        <f t="shared" si="0"/>
        <v>non-implements</v>
      </c>
    </row>
    <row r="14" spans="1:17" ht="16" customHeight="1" thickBot="1">
      <c r="A14" s="3">
        <v>12</v>
      </c>
      <c r="B14" s="3">
        <v>2026</v>
      </c>
      <c r="C14" s="3">
        <v>46204</v>
      </c>
      <c r="D14" s="28">
        <v>46143</v>
      </c>
      <c r="E14" s="3" t="s">
        <v>3</v>
      </c>
      <c r="F14" s="3" t="s">
        <v>5</v>
      </c>
      <c r="G14" s="4" t="s">
        <v>280</v>
      </c>
      <c r="H14" s="4" t="s">
        <v>158</v>
      </c>
      <c r="I14" s="5">
        <v>67006</v>
      </c>
      <c r="J14" s="5">
        <v>3472250.92</v>
      </c>
      <c r="K14" s="5">
        <v>7918.9647527606285</v>
      </c>
      <c r="L14" s="5">
        <v>-323623.11953778146</v>
      </c>
      <c r="M14" s="5">
        <v>0</v>
      </c>
      <c r="N14" s="6">
        <v>1</v>
      </c>
      <c r="O14" s="11">
        <v>1</v>
      </c>
      <c r="P14" s="7" t="str">
        <f t="shared" si="0"/>
        <v>implements</v>
      </c>
    </row>
    <row r="15" spans="1:17" ht="16" customHeight="1" thickBot="1">
      <c r="A15" s="3">
        <v>13</v>
      </c>
      <c r="B15" s="3">
        <v>2026</v>
      </c>
      <c r="C15" s="3">
        <v>46204</v>
      </c>
      <c r="D15" s="28">
        <v>46143</v>
      </c>
      <c r="E15" s="3" t="s">
        <v>3</v>
      </c>
      <c r="F15" s="3" t="s">
        <v>5</v>
      </c>
      <c r="G15" s="4" t="s">
        <v>282</v>
      </c>
      <c r="H15" s="4" t="s">
        <v>158</v>
      </c>
      <c r="I15" s="5">
        <v>67020</v>
      </c>
      <c r="J15" s="5">
        <v>3543347.4</v>
      </c>
      <c r="K15" s="5">
        <v>7275.4260277459325</v>
      </c>
      <c r="L15" s="5">
        <v>-254246.24426524155</v>
      </c>
      <c r="M15" s="5">
        <v>0</v>
      </c>
      <c r="N15" s="6">
        <v>1</v>
      </c>
      <c r="O15" s="11">
        <v>1</v>
      </c>
      <c r="P15" s="7" t="str">
        <f t="shared" si="0"/>
        <v>implements</v>
      </c>
    </row>
    <row r="16" spans="1:17" ht="16" customHeight="1" thickBot="1">
      <c r="A16" s="3">
        <v>14</v>
      </c>
      <c r="B16" s="3">
        <v>2026</v>
      </c>
      <c r="C16" s="3">
        <v>46204</v>
      </c>
      <c r="D16" s="28">
        <v>46143</v>
      </c>
      <c r="E16" s="3" t="s">
        <v>3</v>
      </c>
      <c r="F16" s="3" t="s">
        <v>5</v>
      </c>
      <c r="G16" s="4" t="s">
        <v>284</v>
      </c>
      <c r="H16" s="4" t="s">
        <v>159</v>
      </c>
      <c r="I16" s="5">
        <v>64999.999999999993</v>
      </c>
      <c r="J16" s="5">
        <v>5967649.9999999991</v>
      </c>
      <c r="K16" s="5">
        <v>3263.8888888322981</v>
      </c>
      <c r="L16" s="5">
        <v>-554049.86892097164</v>
      </c>
      <c r="M16" s="5">
        <v>-140400</v>
      </c>
      <c r="N16" s="6">
        <v>1</v>
      </c>
      <c r="O16" s="11">
        <v>1</v>
      </c>
      <c r="P16" s="7" t="str">
        <f t="shared" si="0"/>
        <v>implements</v>
      </c>
    </row>
    <row r="17" spans="1:16" ht="16" customHeight="1" thickBot="1">
      <c r="A17" s="3">
        <v>15</v>
      </c>
      <c r="B17" s="3">
        <v>2026</v>
      </c>
      <c r="C17" s="3">
        <v>46204</v>
      </c>
      <c r="D17" s="28">
        <v>46143</v>
      </c>
      <c r="E17" s="3" t="s">
        <v>3</v>
      </c>
      <c r="F17" s="3" t="s">
        <v>5</v>
      </c>
      <c r="G17" s="4" t="s">
        <v>272</v>
      </c>
      <c r="H17" s="4" t="s">
        <v>238</v>
      </c>
      <c r="I17" s="5">
        <v>52000</v>
      </c>
      <c r="J17" s="5">
        <v>2140840</v>
      </c>
      <c r="K17" s="5">
        <v>0</v>
      </c>
      <c r="L17" s="5">
        <v>-698299.63442367502</v>
      </c>
      <c r="M17" s="5">
        <v>0</v>
      </c>
      <c r="N17" s="6">
        <v>1</v>
      </c>
      <c r="O17" s="11">
        <v>1</v>
      </c>
      <c r="P17" s="7" t="str">
        <f t="shared" si="0"/>
        <v>implements</v>
      </c>
    </row>
    <row r="18" spans="1:16" ht="16" customHeight="1" thickBot="1">
      <c r="A18" s="3">
        <v>16</v>
      </c>
      <c r="B18" s="3">
        <v>2026</v>
      </c>
      <c r="C18" s="3">
        <v>46204</v>
      </c>
      <c r="D18" s="28">
        <v>46143</v>
      </c>
      <c r="E18" s="3" t="s">
        <v>3</v>
      </c>
      <c r="F18" s="3" t="s">
        <v>5</v>
      </c>
      <c r="G18" s="4" t="s">
        <v>10</v>
      </c>
      <c r="H18" s="4" t="s">
        <v>167</v>
      </c>
      <c r="I18" s="5">
        <v>44600</v>
      </c>
      <c r="J18" s="5">
        <v>6359514</v>
      </c>
      <c r="K18" s="5">
        <v>-38711.701388861766</v>
      </c>
      <c r="L18" s="5">
        <v>849254.68936773296</v>
      </c>
      <c r="M18" s="5">
        <v>25421.999999999996</v>
      </c>
      <c r="N18" s="6">
        <v>1</v>
      </c>
      <c r="O18" s="11">
        <v>1</v>
      </c>
      <c r="P18" s="7" t="str">
        <f t="shared" si="0"/>
        <v>implements</v>
      </c>
    </row>
    <row r="19" spans="1:16" ht="16" customHeight="1" thickBot="1">
      <c r="A19" s="3">
        <v>17</v>
      </c>
      <c r="B19" s="3">
        <v>2026</v>
      </c>
      <c r="C19" s="3">
        <v>46204</v>
      </c>
      <c r="D19" s="28">
        <v>46143</v>
      </c>
      <c r="E19" s="3" t="s">
        <v>3</v>
      </c>
      <c r="F19" s="3" t="s">
        <v>5</v>
      </c>
      <c r="G19" s="4" t="s">
        <v>288</v>
      </c>
      <c r="H19" s="4" t="s">
        <v>289</v>
      </c>
      <c r="I19" s="5">
        <v>7502.62</v>
      </c>
      <c r="J19" s="5">
        <v>308882.86540000001</v>
      </c>
      <c r="K19" s="5">
        <v>0</v>
      </c>
      <c r="L19" s="5">
        <v>-72162.551786074589</v>
      </c>
      <c r="M19" s="5">
        <v>0</v>
      </c>
      <c r="N19" s="6">
        <v>1</v>
      </c>
      <c r="O19" s="11">
        <v>1</v>
      </c>
      <c r="P19" s="7" t="str">
        <f t="shared" si="0"/>
        <v>implements</v>
      </c>
    </row>
    <row r="20" spans="1:16" ht="16" customHeight="1" thickBot="1">
      <c r="A20" s="3">
        <v>18</v>
      </c>
      <c r="B20" s="3">
        <v>2026</v>
      </c>
      <c r="C20" s="3">
        <v>46204</v>
      </c>
      <c r="D20" s="28">
        <v>46143</v>
      </c>
      <c r="E20" s="3" t="s">
        <v>3</v>
      </c>
      <c r="F20" s="3" t="s">
        <v>5</v>
      </c>
      <c r="G20" s="4" t="s">
        <v>291</v>
      </c>
      <c r="H20" s="4" t="s">
        <v>289</v>
      </c>
      <c r="I20" s="5">
        <v>7509.15</v>
      </c>
      <c r="J20" s="5">
        <v>309151.70549999998</v>
      </c>
      <c r="K20" s="5">
        <v>0</v>
      </c>
      <c r="L20" s="5">
        <v>-72252.215824463405</v>
      </c>
      <c r="M20" s="5">
        <v>0</v>
      </c>
      <c r="N20" s="6">
        <v>1</v>
      </c>
      <c r="O20" s="11">
        <v>1</v>
      </c>
      <c r="P20" s="7" t="str">
        <f t="shared" si="0"/>
        <v>implements</v>
      </c>
    </row>
    <row r="21" spans="1:16" ht="16" customHeight="1" thickBot="1">
      <c r="A21" s="3">
        <v>19</v>
      </c>
      <c r="B21" s="3">
        <v>2026</v>
      </c>
      <c r="C21" s="3">
        <v>46204</v>
      </c>
      <c r="D21" s="28">
        <v>46143</v>
      </c>
      <c r="E21" s="3" t="s">
        <v>3</v>
      </c>
      <c r="F21" s="3" t="s">
        <v>5</v>
      </c>
      <c r="G21" s="4" t="s">
        <v>293</v>
      </c>
      <c r="H21" s="4" t="s">
        <v>289</v>
      </c>
      <c r="I21" s="5">
        <v>7517.71</v>
      </c>
      <c r="J21" s="5">
        <v>309504.12070000003</v>
      </c>
      <c r="K21" s="5">
        <v>0</v>
      </c>
      <c r="L21" s="5">
        <v>-72373.441905805084</v>
      </c>
      <c r="M21" s="5">
        <v>0</v>
      </c>
      <c r="N21" s="6">
        <v>1</v>
      </c>
      <c r="O21" s="11">
        <v>1</v>
      </c>
      <c r="P21" s="7" t="str">
        <f t="shared" si="0"/>
        <v>implements</v>
      </c>
    </row>
    <row r="22" spans="1:16" ht="16" customHeight="1" thickBot="1">
      <c r="A22" s="3">
        <v>20</v>
      </c>
      <c r="B22" s="3">
        <v>2026</v>
      </c>
      <c r="C22" s="3">
        <v>46204</v>
      </c>
      <c r="D22" s="28">
        <v>46143</v>
      </c>
      <c r="E22" s="3" t="s">
        <v>3</v>
      </c>
      <c r="F22" s="3" t="s">
        <v>5</v>
      </c>
      <c r="G22" s="4" t="s">
        <v>295</v>
      </c>
      <c r="H22" s="4" t="s">
        <v>289</v>
      </c>
      <c r="I22" s="5">
        <v>7512.7800000000007</v>
      </c>
      <c r="J22" s="5">
        <v>309301.15260000003</v>
      </c>
      <c r="K22" s="5">
        <v>0</v>
      </c>
      <c r="L22" s="5">
        <v>-72284.928105652216</v>
      </c>
      <c r="M22" s="5">
        <v>0</v>
      </c>
      <c r="N22" s="6">
        <v>1</v>
      </c>
      <c r="O22" s="11">
        <v>1</v>
      </c>
      <c r="P22" s="7" t="str">
        <f t="shared" si="0"/>
        <v>implements</v>
      </c>
    </row>
    <row r="23" spans="1:16" ht="16" customHeight="1" thickBot="1">
      <c r="A23" s="3">
        <v>21</v>
      </c>
      <c r="B23" s="3">
        <v>2026</v>
      </c>
      <c r="C23" s="3">
        <v>46204</v>
      </c>
      <c r="D23" s="28">
        <v>46143</v>
      </c>
      <c r="E23" s="3" t="s">
        <v>3</v>
      </c>
      <c r="F23" s="3" t="s">
        <v>5</v>
      </c>
      <c r="G23" s="4" t="s">
        <v>297</v>
      </c>
      <c r="H23" s="4" t="s">
        <v>289</v>
      </c>
      <c r="I23" s="5">
        <v>7526.68</v>
      </c>
      <c r="J23" s="5">
        <v>309873.41560000001</v>
      </c>
      <c r="K23" s="5">
        <v>0</v>
      </c>
      <c r="L23" s="5">
        <v>-72536.631960185769</v>
      </c>
      <c r="M23" s="5">
        <v>0</v>
      </c>
      <c r="N23" s="6">
        <v>1</v>
      </c>
      <c r="O23" s="11">
        <v>1</v>
      </c>
      <c r="P23" s="7" t="str">
        <f t="shared" si="0"/>
        <v>implements</v>
      </c>
    </row>
    <row r="24" spans="1:16" ht="16" customHeight="1" thickBot="1">
      <c r="A24" s="3">
        <v>22</v>
      </c>
      <c r="B24" s="3">
        <v>2026</v>
      </c>
      <c r="C24" s="3">
        <v>46204</v>
      </c>
      <c r="D24" s="28">
        <v>46143</v>
      </c>
      <c r="E24" s="3" t="s">
        <v>3</v>
      </c>
      <c r="F24" s="3" t="s">
        <v>5</v>
      </c>
      <c r="G24" s="4" t="s">
        <v>299</v>
      </c>
      <c r="H24" s="4" t="s">
        <v>289</v>
      </c>
      <c r="I24" s="5">
        <v>7513.45</v>
      </c>
      <c r="J24" s="5">
        <v>309328.7365</v>
      </c>
      <c r="K24" s="5">
        <v>0</v>
      </c>
      <c r="L24" s="5">
        <v>-72330.934507837868</v>
      </c>
      <c r="M24" s="5">
        <v>0</v>
      </c>
      <c r="N24" s="6">
        <v>1</v>
      </c>
      <c r="O24" s="11">
        <v>1</v>
      </c>
      <c r="P24" s="7" t="str">
        <f t="shared" si="0"/>
        <v>implements</v>
      </c>
    </row>
    <row r="25" spans="1:16" ht="16" customHeight="1" thickBot="1">
      <c r="A25" s="3">
        <v>23</v>
      </c>
      <c r="B25" s="3">
        <v>2026</v>
      </c>
      <c r="C25" s="3">
        <v>46204</v>
      </c>
      <c r="D25" s="28">
        <v>46143</v>
      </c>
      <c r="E25" s="3" t="s">
        <v>3</v>
      </c>
      <c r="F25" s="3" t="s">
        <v>5</v>
      </c>
      <c r="G25" s="4" t="s">
        <v>301</v>
      </c>
      <c r="H25" s="4" t="s">
        <v>289</v>
      </c>
      <c r="I25" s="5">
        <v>7511.6399999999994</v>
      </c>
      <c r="J25" s="5">
        <v>309254.21879999997</v>
      </c>
      <c r="K25" s="5">
        <v>0</v>
      </c>
      <c r="L25" s="5">
        <v>-72302.79298185528</v>
      </c>
      <c r="M25" s="5">
        <v>0</v>
      </c>
      <c r="N25" s="6">
        <v>1</v>
      </c>
      <c r="O25" s="11">
        <v>1</v>
      </c>
      <c r="P25" s="7" t="str">
        <f t="shared" si="0"/>
        <v>implements</v>
      </c>
    </row>
    <row r="26" spans="1:16" ht="16" customHeight="1" thickBot="1">
      <c r="A26" s="3">
        <v>24</v>
      </c>
      <c r="B26" s="3">
        <v>2026</v>
      </c>
      <c r="C26" s="3">
        <v>46204</v>
      </c>
      <c r="D26" s="28">
        <v>46143</v>
      </c>
      <c r="E26" s="3" t="s">
        <v>3</v>
      </c>
      <c r="F26" s="3" t="s">
        <v>5</v>
      </c>
      <c r="G26" s="4" t="s">
        <v>303</v>
      </c>
      <c r="H26" s="4" t="s">
        <v>289</v>
      </c>
      <c r="I26" s="5">
        <v>7511.9</v>
      </c>
      <c r="J26" s="5">
        <v>309264.92300000001</v>
      </c>
      <c r="K26" s="5">
        <v>0</v>
      </c>
      <c r="L26" s="5">
        <v>-72306.835411001986</v>
      </c>
      <c r="M26" s="5">
        <v>0</v>
      </c>
      <c r="N26" s="6">
        <v>1</v>
      </c>
      <c r="O26" s="11">
        <v>1</v>
      </c>
      <c r="P26" s="7" t="str">
        <f t="shared" si="0"/>
        <v>implements</v>
      </c>
    </row>
    <row r="27" spans="1:16" ht="16" customHeight="1" thickBot="1">
      <c r="A27" s="3">
        <v>25</v>
      </c>
      <c r="B27" s="3">
        <v>2026</v>
      </c>
      <c r="C27" s="3">
        <v>46204</v>
      </c>
      <c r="D27" s="28">
        <v>46143</v>
      </c>
      <c r="E27" s="3" t="s">
        <v>3</v>
      </c>
      <c r="F27" s="3" t="s">
        <v>5</v>
      </c>
      <c r="G27" s="4" t="s">
        <v>305</v>
      </c>
      <c r="H27" s="4" t="s">
        <v>289</v>
      </c>
      <c r="I27" s="5">
        <v>7503</v>
      </c>
      <c r="J27" s="5">
        <v>308898.51</v>
      </c>
      <c r="K27" s="5">
        <v>0</v>
      </c>
      <c r="L27" s="5">
        <v>-72168.459951750527</v>
      </c>
      <c r="M27" s="5">
        <v>0</v>
      </c>
      <c r="N27" s="6">
        <v>1</v>
      </c>
      <c r="O27" s="11">
        <v>1</v>
      </c>
      <c r="P27" s="7" t="str">
        <f t="shared" si="0"/>
        <v>implements</v>
      </c>
    </row>
    <row r="28" spans="1:16" ht="16" customHeight="1" thickBot="1">
      <c r="A28" s="3">
        <v>26</v>
      </c>
      <c r="B28" s="3">
        <v>2026</v>
      </c>
      <c r="C28" s="3">
        <v>46204</v>
      </c>
      <c r="D28" s="28">
        <v>46143</v>
      </c>
      <c r="E28" s="3" t="s">
        <v>3</v>
      </c>
      <c r="F28" s="3" t="s">
        <v>5</v>
      </c>
      <c r="G28" s="4" t="s">
        <v>307</v>
      </c>
      <c r="H28" s="4" t="s">
        <v>289</v>
      </c>
      <c r="I28" s="5">
        <v>7503</v>
      </c>
      <c r="J28" s="5">
        <v>308898.51</v>
      </c>
      <c r="K28" s="5">
        <v>0</v>
      </c>
      <c r="L28" s="5">
        <v>-72168.459951750527</v>
      </c>
      <c r="M28" s="5">
        <v>0</v>
      </c>
      <c r="N28" s="6">
        <v>1</v>
      </c>
      <c r="O28" s="11">
        <v>1</v>
      </c>
      <c r="P28" s="7" t="str">
        <f t="shared" si="0"/>
        <v>implements</v>
      </c>
    </row>
    <row r="29" spans="1:16" ht="16" customHeight="1" thickBot="1">
      <c r="A29" s="3">
        <v>27</v>
      </c>
      <c r="B29" s="3">
        <v>2026</v>
      </c>
      <c r="C29" s="3">
        <v>46204</v>
      </c>
      <c r="D29" s="28">
        <v>46143</v>
      </c>
      <c r="E29" s="3" t="s">
        <v>162</v>
      </c>
      <c r="F29" s="3" t="s">
        <v>5</v>
      </c>
      <c r="G29" s="4" t="s">
        <v>309</v>
      </c>
      <c r="H29" s="4" t="s">
        <v>310</v>
      </c>
      <c r="I29" s="5">
        <v>70968</v>
      </c>
      <c r="J29" s="5">
        <v>7437446.4000000004</v>
      </c>
      <c r="K29" s="5">
        <v>-33539.92666651617</v>
      </c>
      <c r="L29" s="5">
        <v>-405443.35001267865</v>
      </c>
      <c r="M29" s="5">
        <v>61742.159999999996</v>
      </c>
      <c r="N29" s="6">
        <v>1</v>
      </c>
      <c r="O29" s="11">
        <v>1</v>
      </c>
      <c r="P29" s="7" t="str">
        <f t="shared" si="0"/>
        <v>implements</v>
      </c>
    </row>
    <row r="30" spans="1:16" ht="16" customHeight="1" thickBot="1">
      <c r="A30" s="3">
        <v>28</v>
      </c>
      <c r="B30" s="3">
        <v>2026</v>
      </c>
      <c r="C30" s="3">
        <v>46204</v>
      </c>
      <c r="D30" s="28">
        <v>46143</v>
      </c>
      <c r="E30" s="3" t="s">
        <v>162</v>
      </c>
      <c r="F30" s="3" t="s">
        <v>5</v>
      </c>
      <c r="G30" s="4" t="s">
        <v>312</v>
      </c>
      <c r="H30" s="4" t="s">
        <v>239</v>
      </c>
      <c r="I30" s="5">
        <v>68700</v>
      </c>
      <c r="J30" s="5">
        <v>9239463</v>
      </c>
      <c r="K30" s="5">
        <v>-14679.436944411029</v>
      </c>
      <c r="L30" s="5">
        <v>871401.44433826301</v>
      </c>
      <c r="M30" s="5">
        <v>311211</v>
      </c>
      <c r="N30" s="6">
        <v>1</v>
      </c>
      <c r="O30" s="11">
        <v>1</v>
      </c>
      <c r="P30" s="7" t="str">
        <f t="shared" si="0"/>
        <v>implements</v>
      </c>
    </row>
    <row r="31" spans="1:16" ht="16" customHeight="1" thickBot="1">
      <c r="A31" s="3">
        <v>29</v>
      </c>
      <c r="B31" s="3">
        <v>2026</v>
      </c>
      <c r="C31" s="3">
        <v>46204</v>
      </c>
      <c r="D31" s="28">
        <v>46143</v>
      </c>
      <c r="E31" s="3" t="s">
        <v>162</v>
      </c>
      <c r="F31" s="3" t="s">
        <v>5</v>
      </c>
      <c r="G31" s="4" t="s">
        <v>314</v>
      </c>
      <c r="H31" s="4" t="s">
        <v>315</v>
      </c>
      <c r="I31" s="5">
        <v>57400</v>
      </c>
      <c r="J31" s="5">
        <v>7614684</v>
      </c>
      <c r="K31" s="5">
        <v>2732.0454222608232</v>
      </c>
      <c r="L31" s="5">
        <v>533868.49038329441</v>
      </c>
      <c r="M31" s="5">
        <v>98728</v>
      </c>
      <c r="N31" s="6">
        <v>1</v>
      </c>
      <c r="O31" s="11">
        <v>1</v>
      </c>
      <c r="P31" s="7" t="str">
        <f t="shared" si="0"/>
        <v>implements</v>
      </c>
    </row>
    <row r="32" spans="1:16" ht="16" customHeight="1" thickBot="1">
      <c r="A32" s="3">
        <v>30</v>
      </c>
      <c r="B32" s="3">
        <v>2026</v>
      </c>
      <c r="C32" s="3">
        <v>46204</v>
      </c>
      <c r="D32" s="28">
        <v>46143</v>
      </c>
      <c r="E32" s="3" t="s">
        <v>162</v>
      </c>
      <c r="F32" s="3" t="s">
        <v>5</v>
      </c>
      <c r="G32" s="4" t="s">
        <v>317</v>
      </c>
      <c r="H32" s="4" t="s">
        <v>318</v>
      </c>
      <c r="I32" s="5">
        <v>55599.999999999985</v>
      </c>
      <c r="J32" s="5">
        <v>7841267.9999999981</v>
      </c>
      <c r="K32" s="5">
        <v>-23667.623636278258</v>
      </c>
      <c r="L32" s="5">
        <v>1122709.0196252326</v>
      </c>
      <c r="M32" s="5">
        <v>225735.99999999991</v>
      </c>
      <c r="N32" s="6">
        <v>1</v>
      </c>
      <c r="O32" s="11">
        <v>1</v>
      </c>
      <c r="P32" s="7" t="str">
        <f t="shared" si="0"/>
        <v>implements</v>
      </c>
    </row>
    <row r="33" spans="1:16" ht="16" customHeight="1" thickBot="1">
      <c r="A33" s="3">
        <v>31</v>
      </c>
      <c r="B33" s="3">
        <v>2026</v>
      </c>
      <c r="C33" s="3">
        <v>46204</v>
      </c>
      <c r="D33" s="28">
        <v>46143</v>
      </c>
      <c r="E33" s="3" t="s">
        <v>162</v>
      </c>
      <c r="F33" s="3" t="s">
        <v>5</v>
      </c>
      <c r="G33" s="4" t="s">
        <v>320</v>
      </c>
      <c r="H33" s="4" t="s">
        <v>185</v>
      </c>
      <c r="I33" s="5">
        <v>51315</v>
      </c>
      <c r="J33" s="5">
        <v>7491990.0000000009</v>
      </c>
      <c r="K33" s="5">
        <v>-43831.621433403066</v>
      </c>
      <c r="L33" s="5">
        <v>1241679.5087937079</v>
      </c>
      <c r="M33" s="5">
        <v>114432.45</v>
      </c>
      <c r="N33" s="6">
        <v>1</v>
      </c>
      <c r="O33" s="11">
        <v>1</v>
      </c>
      <c r="P33" s="7" t="str">
        <f t="shared" si="0"/>
        <v>implements</v>
      </c>
    </row>
    <row r="34" spans="1:16" ht="16" customHeight="1" thickBot="1">
      <c r="A34" s="3">
        <v>32</v>
      </c>
      <c r="B34" s="3">
        <v>2026</v>
      </c>
      <c r="C34" s="3">
        <v>46204</v>
      </c>
      <c r="D34" s="28">
        <v>46143</v>
      </c>
      <c r="E34" s="3" t="s">
        <v>162</v>
      </c>
      <c r="F34" s="3" t="s">
        <v>5</v>
      </c>
      <c r="G34" s="4" t="s">
        <v>320</v>
      </c>
      <c r="H34" s="4" t="s">
        <v>322</v>
      </c>
      <c r="I34" s="5">
        <v>21815</v>
      </c>
      <c r="J34" s="5">
        <v>2592276.4500000002</v>
      </c>
      <c r="K34" s="5">
        <v>-67809.47222222772</v>
      </c>
      <c r="L34" s="5">
        <v>69957.931973411702</v>
      </c>
      <c r="M34" s="5">
        <v>41448.5</v>
      </c>
      <c r="N34" s="6">
        <v>1</v>
      </c>
      <c r="O34" s="11">
        <v>1</v>
      </c>
      <c r="P34" s="7" t="str">
        <f t="shared" si="0"/>
        <v>implements</v>
      </c>
    </row>
    <row r="35" spans="1:16" ht="16" customHeight="1" thickBot="1">
      <c r="A35" s="3">
        <v>33</v>
      </c>
      <c r="B35" s="3">
        <v>2026</v>
      </c>
      <c r="C35" s="3">
        <v>46204</v>
      </c>
      <c r="D35" s="28">
        <v>46143</v>
      </c>
      <c r="E35" s="3" t="s">
        <v>162</v>
      </c>
      <c r="F35" s="3" t="s">
        <v>5</v>
      </c>
      <c r="G35" s="4" t="s">
        <v>324</v>
      </c>
      <c r="H35" s="4" t="s">
        <v>325</v>
      </c>
      <c r="I35" s="5">
        <v>77000.000000000015</v>
      </c>
      <c r="J35" s="5">
        <v>7958720.0000000019</v>
      </c>
      <c r="K35" s="5">
        <v>10165.972222189886</v>
      </c>
      <c r="L35" s="5">
        <v>-170690.04785005376</v>
      </c>
      <c r="M35" s="5">
        <v>243320.00000000006</v>
      </c>
      <c r="N35" s="6">
        <v>1</v>
      </c>
      <c r="O35" s="11">
        <v>1</v>
      </c>
      <c r="P35" s="7" t="str">
        <f t="shared" si="0"/>
        <v>implements</v>
      </c>
    </row>
    <row r="36" spans="1:16" ht="16" customHeight="1" thickBot="1">
      <c r="A36" s="3">
        <v>34</v>
      </c>
      <c r="B36" s="3">
        <v>2026</v>
      </c>
      <c r="C36" s="3">
        <v>46204</v>
      </c>
      <c r="D36" s="28">
        <v>46143</v>
      </c>
      <c r="E36" s="3" t="s">
        <v>162</v>
      </c>
      <c r="F36" s="3" t="s">
        <v>5</v>
      </c>
      <c r="G36" s="4" t="s">
        <v>327</v>
      </c>
      <c r="H36" s="4" t="s">
        <v>328</v>
      </c>
      <c r="I36" s="5">
        <v>52500</v>
      </c>
      <c r="J36" s="5">
        <v>2161425</v>
      </c>
      <c r="K36" s="5">
        <v>0</v>
      </c>
      <c r="L36" s="5">
        <v>-824649.42156609893</v>
      </c>
      <c r="M36" s="5">
        <v>0</v>
      </c>
      <c r="N36" s="6">
        <v>1</v>
      </c>
      <c r="O36" s="11">
        <v>1</v>
      </c>
      <c r="P36" s="7" t="str">
        <f t="shared" si="0"/>
        <v>implements</v>
      </c>
    </row>
    <row r="37" spans="1:16" ht="16" customHeight="1" thickBot="1">
      <c r="A37" s="3">
        <v>35</v>
      </c>
      <c r="B37" s="3">
        <v>2026</v>
      </c>
      <c r="C37" s="3">
        <v>46204</v>
      </c>
      <c r="D37" s="28">
        <v>46143</v>
      </c>
      <c r="E37" s="3" t="s">
        <v>162</v>
      </c>
      <c r="F37" s="3" t="s">
        <v>5</v>
      </c>
      <c r="G37" s="4" t="s">
        <v>330</v>
      </c>
      <c r="H37" s="4" t="s">
        <v>187</v>
      </c>
      <c r="I37" s="5">
        <v>69404</v>
      </c>
      <c r="J37" s="5">
        <v>6907780.1200000001</v>
      </c>
      <c r="K37" s="5">
        <v>3090.7138889681182</v>
      </c>
      <c r="L37" s="5">
        <v>-87314.158888808452</v>
      </c>
      <c r="M37" s="5">
        <v>172121.92</v>
      </c>
      <c r="N37" s="6">
        <v>0</v>
      </c>
      <c r="O37" s="11">
        <v>0</v>
      </c>
      <c r="P37" s="7" t="str">
        <f t="shared" si="0"/>
        <v>non-implements</v>
      </c>
    </row>
    <row r="38" spans="1:16" ht="16" customHeight="1" thickBot="1">
      <c r="A38" s="3">
        <v>36</v>
      </c>
      <c r="B38" s="3">
        <v>2026</v>
      </c>
      <c r="C38" s="3">
        <v>46204</v>
      </c>
      <c r="D38" s="28">
        <v>46143</v>
      </c>
      <c r="E38" s="3" t="s">
        <v>162</v>
      </c>
      <c r="F38" s="3" t="s">
        <v>5</v>
      </c>
      <c r="G38" s="4" t="s">
        <v>332</v>
      </c>
      <c r="H38" s="4" t="s">
        <v>231</v>
      </c>
      <c r="I38" s="5">
        <v>73190.000000000015</v>
      </c>
      <c r="J38" s="5">
        <v>8282180.4000000022</v>
      </c>
      <c r="K38" s="5">
        <v>-3111.3920416860519</v>
      </c>
      <c r="L38" s="5">
        <v>-273005.46949057654</v>
      </c>
      <c r="M38" s="5">
        <v>413523.50000000012</v>
      </c>
      <c r="N38" s="6">
        <v>1</v>
      </c>
      <c r="O38" s="11">
        <v>1</v>
      </c>
      <c r="P38" s="7" t="str">
        <f t="shared" si="0"/>
        <v>implements</v>
      </c>
    </row>
    <row r="39" spans="1:16" ht="16" customHeight="1" thickBot="1">
      <c r="A39" s="3">
        <v>37</v>
      </c>
      <c r="B39" s="3">
        <v>2026</v>
      </c>
      <c r="C39" s="3">
        <v>46204</v>
      </c>
      <c r="D39" s="28">
        <v>46143</v>
      </c>
      <c r="E39" s="3" t="s">
        <v>162</v>
      </c>
      <c r="F39" s="3" t="s">
        <v>5</v>
      </c>
      <c r="G39" s="4" t="s">
        <v>334</v>
      </c>
      <c r="H39" s="4" t="s">
        <v>232</v>
      </c>
      <c r="I39" s="5">
        <v>88070</v>
      </c>
      <c r="J39" s="5">
        <v>12298975.500000002</v>
      </c>
      <c r="K39" s="5">
        <v>-1648.6166667279056</v>
      </c>
      <c r="L39" s="5">
        <v>1487771.1183033492</v>
      </c>
      <c r="M39" s="5">
        <v>236908.3</v>
      </c>
      <c r="N39" s="6">
        <v>1</v>
      </c>
      <c r="O39" s="11">
        <v>1</v>
      </c>
      <c r="P39" s="7" t="str">
        <f t="shared" si="0"/>
        <v>implements</v>
      </c>
    </row>
    <row r="40" spans="1:16" ht="20" customHeight="1" thickBot="1">
      <c r="A40" s="3">
        <v>38</v>
      </c>
      <c r="B40" s="3">
        <v>2026</v>
      </c>
      <c r="C40" s="3">
        <v>46204</v>
      </c>
      <c r="D40" s="28">
        <v>46143</v>
      </c>
      <c r="E40" s="3" t="s">
        <v>162</v>
      </c>
      <c r="F40" s="3" t="s">
        <v>5</v>
      </c>
      <c r="G40" s="4" t="s">
        <v>336</v>
      </c>
      <c r="H40" s="4" t="s">
        <v>245</v>
      </c>
      <c r="I40" s="5">
        <v>65200</v>
      </c>
      <c r="J40" s="5">
        <v>8808520</v>
      </c>
      <c r="K40" s="5">
        <v>5396.9333333495815</v>
      </c>
      <c r="L40" s="5">
        <v>818650.1038355371</v>
      </c>
      <c r="M40" s="5">
        <v>54116</v>
      </c>
      <c r="N40" s="6">
        <v>1</v>
      </c>
      <c r="O40" s="11">
        <v>1</v>
      </c>
      <c r="P40" s="7" t="str">
        <f t="shared" si="0"/>
        <v>implements</v>
      </c>
    </row>
    <row r="41" spans="1:16" ht="15" thickBot="1">
      <c r="A41" s="3">
        <v>39</v>
      </c>
      <c r="B41" s="3">
        <v>2026</v>
      </c>
      <c r="C41" s="3">
        <v>46204</v>
      </c>
      <c r="D41" s="28">
        <v>46143</v>
      </c>
      <c r="E41" s="3" t="s">
        <v>162</v>
      </c>
      <c r="F41" s="3" t="s">
        <v>5</v>
      </c>
      <c r="G41" s="4" t="s">
        <v>338</v>
      </c>
      <c r="H41" s="4" t="s">
        <v>310</v>
      </c>
      <c r="I41" s="5">
        <v>71949.999999999985</v>
      </c>
      <c r="J41" s="5">
        <v>7375594.4999999981</v>
      </c>
      <c r="K41" s="5">
        <v>16670.761398206276</v>
      </c>
      <c r="L41" s="5">
        <v>-171398.1375424657</v>
      </c>
      <c r="M41" s="5">
        <v>133107.49999999997</v>
      </c>
      <c r="N41" s="6">
        <v>1</v>
      </c>
      <c r="O41" s="11">
        <v>1</v>
      </c>
      <c r="P41" s="7" t="str">
        <f t="shared" si="0"/>
        <v>implements</v>
      </c>
    </row>
    <row r="42" spans="1:16" ht="15" thickBot="1">
      <c r="A42" s="3">
        <v>40</v>
      </c>
      <c r="B42" s="3">
        <v>2026</v>
      </c>
      <c r="C42" s="3">
        <v>46204</v>
      </c>
      <c r="D42" s="28">
        <v>46143</v>
      </c>
      <c r="E42" s="3" t="s">
        <v>162</v>
      </c>
      <c r="F42" s="3" t="s">
        <v>6</v>
      </c>
      <c r="G42" s="4" t="s">
        <v>340</v>
      </c>
      <c r="H42" s="4" t="s">
        <v>341</v>
      </c>
      <c r="I42" s="5">
        <v>33000</v>
      </c>
      <c r="J42" s="5">
        <v>4156350</v>
      </c>
      <c r="K42" s="5">
        <v>-21531.249999919964</v>
      </c>
      <c r="L42" s="5">
        <v>1519649.2323094755</v>
      </c>
      <c r="M42" s="5">
        <v>98340</v>
      </c>
      <c r="N42" s="6">
        <v>1</v>
      </c>
      <c r="O42" s="11">
        <v>1</v>
      </c>
      <c r="P42" s="7" t="str">
        <f t="shared" si="0"/>
        <v>implements</v>
      </c>
    </row>
    <row r="43" spans="1:16" ht="15" thickBot="1">
      <c r="A43" s="3">
        <v>41</v>
      </c>
      <c r="B43" s="3">
        <v>2026</v>
      </c>
      <c r="C43" s="3">
        <v>46204</v>
      </c>
      <c r="D43" s="28">
        <v>46143</v>
      </c>
      <c r="E43" s="3" t="s">
        <v>162</v>
      </c>
      <c r="F43" s="3" t="s">
        <v>5</v>
      </c>
      <c r="G43" s="4" t="s">
        <v>343</v>
      </c>
      <c r="H43" s="4" t="s">
        <v>315</v>
      </c>
      <c r="I43" s="5">
        <v>59900</v>
      </c>
      <c r="J43" s="5">
        <v>8800508</v>
      </c>
      <c r="K43" s="5">
        <v>-17487.152777878749</v>
      </c>
      <c r="L43" s="5">
        <v>1336896.1170191523</v>
      </c>
      <c r="M43" s="5">
        <v>293510</v>
      </c>
      <c r="N43" s="6">
        <v>1</v>
      </c>
      <c r="O43" s="11">
        <v>1</v>
      </c>
      <c r="P43" s="7" t="str">
        <f t="shared" si="0"/>
        <v>implements</v>
      </c>
    </row>
    <row r="44" spans="1:16" ht="15" thickBot="1">
      <c r="A44" s="3">
        <v>42</v>
      </c>
      <c r="B44" s="3">
        <v>2026</v>
      </c>
      <c r="C44" s="3">
        <v>46204</v>
      </c>
      <c r="D44" s="28">
        <v>46143</v>
      </c>
      <c r="E44" s="3" t="s">
        <v>162</v>
      </c>
      <c r="F44" s="3" t="s">
        <v>6</v>
      </c>
      <c r="G44" s="4" t="s">
        <v>345</v>
      </c>
      <c r="H44" s="4" t="s">
        <v>346</v>
      </c>
      <c r="I44" s="5">
        <v>79925</v>
      </c>
      <c r="J44" s="5">
        <v>9833172.75</v>
      </c>
      <c r="K44" s="5">
        <v>-19231.269583368219</v>
      </c>
      <c r="L44" s="5">
        <v>3699384.003895741</v>
      </c>
      <c r="M44" s="5">
        <v>0</v>
      </c>
      <c r="N44" s="6">
        <v>1</v>
      </c>
      <c r="O44" s="11">
        <v>1</v>
      </c>
      <c r="P44" s="7" t="str">
        <f t="shared" si="0"/>
        <v>implements</v>
      </c>
    </row>
    <row r="45" spans="1:16" ht="15" thickBot="1">
      <c r="A45" s="3">
        <v>43</v>
      </c>
      <c r="B45" s="3">
        <v>2026</v>
      </c>
      <c r="C45" s="3">
        <v>46204</v>
      </c>
      <c r="D45" s="28">
        <v>46143</v>
      </c>
      <c r="E45" s="3" t="s">
        <v>162</v>
      </c>
      <c r="F45" s="3" t="s">
        <v>5</v>
      </c>
      <c r="G45" s="4" t="s">
        <v>349</v>
      </c>
      <c r="H45" s="4" t="s">
        <v>245</v>
      </c>
      <c r="I45" s="5">
        <v>61180</v>
      </c>
      <c r="J45" s="5">
        <v>7876313.2000000002</v>
      </c>
      <c r="K45" s="5">
        <v>-37358.171769527835</v>
      </c>
      <c r="L45" s="5">
        <v>264812.01349127479</v>
      </c>
      <c r="M45" s="5">
        <v>195776</v>
      </c>
      <c r="N45" s="6">
        <v>1</v>
      </c>
      <c r="O45" s="11">
        <v>1</v>
      </c>
      <c r="P45" s="7" t="str">
        <f t="shared" si="0"/>
        <v>implements</v>
      </c>
    </row>
    <row r="46" spans="1:16" ht="15" thickBot="1">
      <c r="A46" s="3">
        <v>44</v>
      </c>
      <c r="B46" s="3">
        <v>2026</v>
      </c>
      <c r="C46" s="3">
        <v>46204</v>
      </c>
      <c r="D46" s="28">
        <v>46143</v>
      </c>
      <c r="E46" s="3" t="s">
        <v>162</v>
      </c>
      <c r="F46" s="3" t="s">
        <v>5</v>
      </c>
      <c r="G46" s="4" t="s">
        <v>351</v>
      </c>
      <c r="H46" s="4" t="s">
        <v>241</v>
      </c>
      <c r="I46" s="5">
        <v>78700</v>
      </c>
      <c r="J46" s="5">
        <v>9665934</v>
      </c>
      <c r="K46" s="5">
        <v>-77448.285230589623</v>
      </c>
      <c r="L46" s="5">
        <v>1125594.9776940588</v>
      </c>
      <c r="M46" s="5">
        <v>220360</v>
      </c>
      <c r="N46" s="6">
        <v>1</v>
      </c>
      <c r="O46" s="11">
        <v>1</v>
      </c>
      <c r="P46" s="7" t="str">
        <f t="shared" si="0"/>
        <v>implements</v>
      </c>
    </row>
    <row r="47" spans="1:16" ht="15" thickBot="1">
      <c r="A47" s="3">
        <v>45</v>
      </c>
      <c r="B47" s="3">
        <v>2026</v>
      </c>
      <c r="C47" s="3">
        <v>46204</v>
      </c>
      <c r="D47" s="28">
        <v>46143</v>
      </c>
      <c r="E47" s="3" t="s">
        <v>162</v>
      </c>
      <c r="F47" s="3" t="s">
        <v>5</v>
      </c>
      <c r="G47" s="4" t="s">
        <v>353</v>
      </c>
      <c r="H47" s="4" t="s">
        <v>239</v>
      </c>
      <c r="I47" s="5">
        <v>69913</v>
      </c>
      <c r="J47" s="5">
        <v>9183771.6799999997</v>
      </c>
      <c r="K47" s="5">
        <v>-11459.405866475801</v>
      </c>
      <c r="L47" s="5">
        <v>816093.59946287982</v>
      </c>
      <c r="M47" s="5">
        <v>97878.2</v>
      </c>
      <c r="N47" s="6">
        <v>0</v>
      </c>
      <c r="O47" s="11">
        <v>0</v>
      </c>
      <c r="P47" s="7" t="str">
        <f t="shared" si="0"/>
        <v>non-implements</v>
      </c>
    </row>
    <row r="48" spans="1:16" ht="15" thickBot="1">
      <c r="A48" s="3">
        <v>46</v>
      </c>
      <c r="B48" s="3">
        <v>2026</v>
      </c>
      <c r="C48" s="3">
        <v>46204</v>
      </c>
      <c r="D48" s="28">
        <v>46143</v>
      </c>
      <c r="E48" s="3" t="s">
        <v>162</v>
      </c>
      <c r="F48" s="3" t="s">
        <v>5</v>
      </c>
      <c r="G48" s="4" t="s">
        <v>355</v>
      </c>
      <c r="H48" s="4" t="s">
        <v>246</v>
      </c>
      <c r="I48" s="5">
        <v>65240</v>
      </c>
      <c r="J48" s="5">
        <v>9099675.1999999993</v>
      </c>
      <c r="K48" s="5">
        <v>-4017.4166666454439</v>
      </c>
      <c r="L48" s="5">
        <v>1418314.1294331383</v>
      </c>
      <c r="M48" s="5">
        <v>-125260.79999999999</v>
      </c>
      <c r="N48" s="6">
        <v>1</v>
      </c>
      <c r="O48" s="11">
        <v>1</v>
      </c>
      <c r="P48" s="7" t="str">
        <f t="shared" si="0"/>
        <v>implements</v>
      </c>
    </row>
    <row r="49" spans="1:16" ht="15" thickBot="1">
      <c r="A49" s="3">
        <v>47</v>
      </c>
      <c r="B49" s="3">
        <v>2026</v>
      </c>
      <c r="C49" s="3">
        <v>46204</v>
      </c>
      <c r="D49" s="28">
        <v>46143</v>
      </c>
      <c r="E49" s="3" t="s">
        <v>162</v>
      </c>
      <c r="F49" s="3" t="s">
        <v>5</v>
      </c>
      <c r="G49" s="4" t="s">
        <v>357</v>
      </c>
      <c r="H49" s="4" t="s">
        <v>310</v>
      </c>
      <c r="I49" s="5">
        <v>73449.999999999985</v>
      </c>
      <c r="J49" s="5">
        <v>7333247.9999999991</v>
      </c>
      <c r="K49" s="5">
        <v>2278.0555555838491</v>
      </c>
      <c r="L49" s="5">
        <v>-685329.20102215279</v>
      </c>
      <c r="M49" s="5">
        <v>-55087.499999999985</v>
      </c>
      <c r="N49" s="6">
        <v>1</v>
      </c>
      <c r="O49" s="11">
        <v>1</v>
      </c>
      <c r="P49" s="7" t="str">
        <f t="shared" si="0"/>
        <v>implements</v>
      </c>
    </row>
    <row r="50" spans="1:16">
      <c r="A50" s="3">
        <v>48</v>
      </c>
      <c r="B50" s="3">
        <v>2026</v>
      </c>
      <c r="C50" s="3">
        <v>46204</v>
      </c>
      <c r="D50" s="28">
        <v>46143</v>
      </c>
      <c r="E50" s="3" t="s">
        <v>244</v>
      </c>
      <c r="F50" s="3" t="s">
        <v>8</v>
      </c>
      <c r="G50" s="4" t="s">
        <v>359</v>
      </c>
      <c r="H50" s="4" t="s">
        <v>243</v>
      </c>
      <c r="I50" s="5">
        <v>7608.1299999999992</v>
      </c>
      <c r="J50" s="5">
        <v>716914.0898999999</v>
      </c>
      <c r="K50" s="5">
        <v>0</v>
      </c>
      <c r="L50" s="5">
        <v>28996.140958780423</v>
      </c>
      <c r="M50" s="5">
        <v>0</v>
      </c>
      <c r="N50" s="6">
        <v>1</v>
      </c>
      <c r="O50" s="11">
        <v>1</v>
      </c>
      <c r="P50" s="7" t="str">
        <f t="shared" si="0"/>
        <v>implements</v>
      </c>
    </row>
  </sheetData>
  <mergeCells count="1">
    <mergeCell ref="A1:N1"/>
  </mergeCells>
  <phoneticPr fontId="5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B53-8FE7-4EF1-8F1C-3F2844140FD5}">
  <dimension ref="B1:Q7"/>
  <sheetViews>
    <sheetView zoomScale="108" workbookViewId="0">
      <selection activeCell="Q2" sqref="Q2:Q4"/>
    </sheetView>
  </sheetViews>
  <sheetFormatPr defaultRowHeight="14.5"/>
  <cols>
    <col min="2" max="4" width="16" customWidth="1"/>
    <col min="5" max="5" width="14.08984375" customWidth="1"/>
    <col min="6" max="6" width="15.453125" customWidth="1"/>
    <col min="7" max="7" width="16.90625" customWidth="1"/>
    <col min="8" max="8" width="18.08984375" customWidth="1"/>
    <col min="9" max="9" width="14.81640625" customWidth="1"/>
    <col min="10" max="10" width="13.54296875" customWidth="1"/>
    <col min="11" max="11" width="12.36328125" customWidth="1"/>
    <col min="12" max="12" width="14.36328125" customWidth="1"/>
    <col min="13" max="13" width="18.453125" customWidth="1"/>
    <col min="14" max="14" width="16" customWidth="1"/>
    <col min="15" max="15" width="12.81640625" customWidth="1"/>
    <col min="16" max="16" width="26.54296875" customWidth="1"/>
    <col min="17" max="17" width="16.81640625" customWidth="1"/>
    <col min="19" max="19" width="12.453125" customWidth="1"/>
  </cols>
  <sheetData>
    <row r="1" spans="2:17" ht="29">
      <c r="B1" s="16" t="s">
        <v>188</v>
      </c>
      <c r="C1" s="16" t="s">
        <v>198</v>
      </c>
      <c r="D1" s="16" t="s">
        <v>199</v>
      </c>
      <c r="E1" s="16" t="s">
        <v>189</v>
      </c>
      <c r="F1" s="16" t="s">
        <v>190</v>
      </c>
      <c r="G1" s="17" t="s">
        <v>191</v>
      </c>
      <c r="H1" s="17" t="s">
        <v>192</v>
      </c>
      <c r="I1" s="23" t="s">
        <v>193</v>
      </c>
      <c r="J1" s="17" t="s">
        <v>194</v>
      </c>
      <c r="K1" s="17" t="s">
        <v>195</v>
      </c>
      <c r="L1" s="18" t="s">
        <v>7</v>
      </c>
      <c r="M1" s="17" t="s">
        <v>196</v>
      </c>
      <c r="N1" s="23" t="s">
        <v>197</v>
      </c>
      <c r="O1" s="17" t="s">
        <v>224</v>
      </c>
      <c r="P1" s="23" t="s">
        <v>225</v>
      </c>
      <c r="Q1" s="23" t="s">
        <v>226</v>
      </c>
    </row>
    <row r="2" spans="2:17">
      <c r="B2" s="19">
        <f>ROWS(Fact_Shipments!H3:H50)</f>
        <v>48</v>
      </c>
      <c r="C2" s="22">
        <f>COUNTIF(Fact_Shipments!E2:E50,"BOCT")</f>
        <v>26</v>
      </c>
      <c r="D2" s="22">
        <f>COUNTIF(Fact_Shipments!E3:E50,"&lt;&gt;boct")</f>
        <v>22</v>
      </c>
      <c r="E2" s="20">
        <f>SUM(Fact_Shipments!I3:I50)</f>
        <v>2432361.0599999996</v>
      </c>
      <c r="F2" s="20">
        <f>SUM(Fact_Shipments!J3:J50)</f>
        <v>241326865.36799997</v>
      </c>
      <c r="G2" s="20">
        <f>SUM(Fact_Shipments!K3:K50)</f>
        <v>-617120.69039332657</v>
      </c>
      <c r="H2" s="20">
        <f>SUM(Fact_Shipments!L3:L50)</f>
        <v>10680360.089780839</v>
      </c>
      <c r="I2" s="20">
        <f>SUM(Fact_Shipments!M3:M50)* -1</f>
        <v>-2648983.7700000005</v>
      </c>
      <c r="J2" s="21">
        <f>SUM(Fact_Shipments!N3:N50)</f>
        <v>44</v>
      </c>
      <c r="K2">
        <f>J2/C2*100</f>
        <v>169.23076923076923</v>
      </c>
      <c r="L2">
        <f>J2/D2*100</f>
        <v>200</v>
      </c>
      <c r="M2" s="29">
        <f>J2/B2*100</f>
        <v>91.666666666666657</v>
      </c>
      <c r="N2" s="30">
        <f>(B2-J2)/B2*100</f>
        <v>8.3333333333333321</v>
      </c>
      <c r="O2" t="s">
        <v>3</v>
      </c>
      <c r="P2" s="26">
        <v>-4.2472754254558103</v>
      </c>
      <c r="Q2">
        <v>0.193057973884355</v>
      </c>
    </row>
    <row r="3" spans="2:17">
      <c r="C3" s="22"/>
      <c r="D3" s="22"/>
      <c r="E3" s="15"/>
      <c r="F3" s="15"/>
      <c r="G3" s="15"/>
      <c r="H3" s="15"/>
      <c r="I3" s="15"/>
      <c r="L3" s="13"/>
      <c r="O3" t="s">
        <v>7</v>
      </c>
      <c r="P3" s="26">
        <f>SUMIF(Fact_Shipments!E3:E50,"&lt;&gt;BoCT",Fact_Shipments!K3:K50) * -1</f>
        <v>336486.55968509725</v>
      </c>
      <c r="Q3">
        <v>0.37950282689995302</v>
      </c>
    </row>
    <row r="4" spans="2:17">
      <c r="C4" s="22"/>
      <c r="D4" s="22"/>
      <c r="L4" s="2"/>
      <c r="O4" t="s">
        <v>23</v>
      </c>
      <c r="P4" s="26">
        <f>SUM(P2:P3)</f>
        <v>336482.31240967178</v>
      </c>
      <c r="Q4">
        <v>0.31060466876056603</v>
      </c>
    </row>
    <row r="5" spans="2:17">
      <c r="L5" s="2"/>
    </row>
    <row r="6" spans="2:17">
      <c r="B6" s="12"/>
      <c r="C6" s="12"/>
      <c r="D6" s="12"/>
      <c r="E6" s="12"/>
      <c r="F6" s="12"/>
      <c r="G6" s="12"/>
      <c r="H6" s="12"/>
      <c r="I6" s="12"/>
      <c r="J6" s="12"/>
      <c r="L6" s="14"/>
    </row>
    <row r="7" spans="2:17">
      <c r="B7" s="15"/>
      <c r="C7" s="15"/>
      <c r="D7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A771-C802-473B-AB23-DB3F8C0AA551}">
  <dimension ref="A1:GK456"/>
  <sheetViews>
    <sheetView topLeftCell="B1" zoomScale="56" workbookViewId="0">
      <pane xSplit="7" topLeftCell="BS1" activePane="topRight" state="frozen"/>
      <selection activeCell="B1" sqref="B1"/>
      <selection pane="topRight" sqref="A1:GK76"/>
    </sheetView>
  </sheetViews>
  <sheetFormatPr defaultColWidth="9.453125" defaultRowHeight="15" customHeight="1" outlineLevelCol="1"/>
  <cols>
    <col min="1" max="1" width="9.453125" hidden="1" customWidth="1"/>
    <col min="2" max="2" width="5.54296875" customWidth="1"/>
    <col min="3" max="3" width="6.453125" customWidth="1"/>
    <col min="4" max="4" width="7" customWidth="1"/>
    <col min="5" max="5" width="24.36328125" bestFit="1" customWidth="1"/>
    <col min="6" max="6" width="39.6328125" customWidth="1"/>
    <col min="7" max="7" width="37.6328125" customWidth="1"/>
    <col min="8" max="8" width="12.08984375" bestFit="1" customWidth="1"/>
    <col min="9" max="9" width="0.54296875" customWidth="1" outlineLevel="1"/>
    <col min="10" max="12" width="17.453125" customWidth="1" outlineLevel="1"/>
    <col min="13" max="13" width="1" customWidth="1" outlineLevel="1"/>
    <col min="14" max="14" width="18.1796875" bestFit="1" customWidth="1" outlineLevel="1"/>
    <col min="15" max="15" width="18.6328125" bestFit="1" customWidth="1" outlineLevel="1"/>
    <col min="16" max="16" width="17.90625" bestFit="1" customWidth="1" outlineLevel="1"/>
    <col min="17" max="17" width="18.36328125" bestFit="1" customWidth="1" outlineLevel="1"/>
    <col min="18" max="18" width="18" bestFit="1" customWidth="1" outlineLevel="1"/>
    <col min="19" max="19" width="14.453125" customWidth="1" outlineLevel="1"/>
    <col min="20" max="20" width="15.453125" customWidth="1" outlineLevel="1"/>
    <col min="21" max="21" width="15.6328125" customWidth="1" outlineLevel="1"/>
    <col min="22" max="22" width="14.36328125" customWidth="1" outlineLevel="1"/>
    <col min="23" max="23" width="11" customWidth="1" outlineLevel="1"/>
    <col min="24" max="24" width="9.453125" outlineLevel="1"/>
    <col min="25" max="25" width="16" bestFit="1" customWidth="1" outlineLevel="1"/>
    <col min="26" max="26" width="15.81640625" bestFit="1" customWidth="1" outlineLevel="1"/>
    <col min="27" max="29" width="9.453125" outlineLevel="1"/>
    <col min="30" max="30" width="5.6328125" customWidth="1" outlineLevel="1"/>
    <col min="31" max="34" width="9.453125" outlineLevel="1"/>
    <col min="35" max="35" width="8.36328125" customWidth="1" outlineLevel="1"/>
    <col min="36" max="36" width="9.453125" outlineLevel="1"/>
    <col min="37" max="37" width="8.36328125" customWidth="1" outlineLevel="1"/>
    <col min="38" max="39" width="9.453125" outlineLevel="1"/>
    <col min="40" max="40" width="7.453125" customWidth="1" outlineLevel="1"/>
    <col min="41" max="41" width="8.36328125" customWidth="1" outlineLevel="1"/>
    <col min="42" max="42" width="8.54296875" customWidth="1" outlineLevel="1"/>
    <col min="43" max="43" width="9.453125" outlineLevel="1"/>
    <col min="44" max="44" width="6.6328125" customWidth="1" outlineLevel="1"/>
    <col min="45" max="47" width="9.453125" outlineLevel="1"/>
    <col min="48" max="48" width="4.6328125" customWidth="1" outlineLevel="1"/>
    <col min="49" max="49" width="7.453125" customWidth="1" outlineLevel="1"/>
    <col min="50" max="50" width="9.453125" outlineLevel="1"/>
    <col min="51" max="51" width="8" customWidth="1" outlineLevel="1"/>
    <col min="52" max="52" width="6.453125" customWidth="1" outlineLevel="1"/>
    <col min="53" max="53" width="8.36328125" customWidth="1" outlineLevel="1"/>
    <col min="54" max="54" width="9.6328125" customWidth="1" outlineLevel="1"/>
    <col min="55" max="55" width="8" customWidth="1" outlineLevel="1"/>
    <col min="56" max="56" width="7.6328125" customWidth="1" outlineLevel="1"/>
    <col min="57" max="57" width="7.453125" customWidth="1" outlineLevel="1"/>
    <col min="58" max="58" width="10.6328125" customWidth="1" outlineLevel="1"/>
    <col min="59" max="59" width="14.36328125" customWidth="1" outlineLevel="1"/>
    <col min="60" max="60" width="8.36328125" customWidth="1" outlineLevel="1"/>
    <col min="61" max="61" width="9.453125" outlineLevel="1"/>
    <col min="62" max="62" width="12.54296875" customWidth="1"/>
    <col min="63" max="63" width="1.453125" customWidth="1" outlineLevel="1"/>
    <col min="64" max="64" width="9.453125" outlineLevel="1"/>
    <col min="65" max="65" width="10.36328125" customWidth="1" outlineLevel="1"/>
    <col min="66" max="66" width="1.453125" customWidth="1"/>
    <col min="67" max="67" width="10.453125" bestFit="1" customWidth="1"/>
    <col min="68" max="68" width="1.453125" customWidth="1"/>
    <col min="69" max="69" width="12.453125" customWidth="1"/>
    <col min="70" max="70" width="1.453125" customWidth="1"/>
    <col min="71" max="71" width="39.453125" bestFit="1" customWidth="1"/>
    <col min="72" max="72" width="2.54296875" customWidth="1"/>
    <col min="81" max="81" width="10.54296875" customWidth="1"/>
    <col min="82" max="82" width="1.54296875" customWidth="1"/>
    <col min="83" max="83" width="1.453125" hidden="1" customWidth="1"/>
    <col min="84" max="84" width="10.6328125" customWidth="1"/>
    <col min="85" max="89" width="9.453125" hidden="1" customWidth="1"/>
    <col min="91" max="91" width="1.453125" customWidth="1"/>
    <col min="93" max="97" width="9.453125" hidden="1" customWidth="1"/>
    <col min="99" max="99" width="2.453125" customWidth="1"/>
    <col min="100" max="100" width="9.54296875" hidden="1" customWidth="1"/>
    <col min="101" max="101" width="1.54296875" hidden="1" customWidth="1"/>
    <col min="102" max="103" width="6.453125" hidden="1" customWidth="1"/>
    <col min="104" max="106" width="6.54296875" hidden="1" customWidth="1"/>
    <col min="107" max="108" width="6.453125" hidden="1" customWidth="1"/>
    <col min="109" max="109" width="1.54296875" hidden="1" customWidth="1"/>
    <col min="110" max="111" width="8.54296875" hidden="1" customWidth="1" outlineLevel="1"/>
    <col min="112" max="112" width="12.54296875" hidden="1" customWidth="1" outlineLevel="1"/>
    <col min="113" max="136" width="8.54296875" hidden="1" customWidth="1" outlineLevel="1"/>
    <col min="137" max="137" width="1.54296875" hidden="1" customWidth="1" outlineLevel="1"/>
    <col min="138" max="164" width="8.54296875" hidden="1" customWidth="1" outlineLevel="1"/>
    <col min="165" max="165" width="1.54296875" hidden="1" customWidth="1" outlineLevel="1"/>
    <col min="166" max="166" width="6.453125" hidden="1" customWidth="1" collapsed="1"/>
    <col min="167" max="167" width="6.453125" hidden="1" customWidth="1"/>
    <col min="168" max="170" width="6.54296875" hidden="1" customWidth="1"/>
    <col min="171" max="172" width="6.453125" hidden="1" customWidth="1"/>
    <col min="173" max="173" width="1.54296875" hidden="1" customWidth="1"/>
    <col min="175" max="175" width="1.54296875" hidden="1" customWidth="1" outlineLevel="1"/>
    <col min="176" max="176" width="1.54296875" customWidth="1" outlineLevel="1"/>
    <col min="177" max="177" width="10.453125" bestFit="1" customWidth="1"/>
    <col min="178" max="179" width="21.54296875" customWidth="1"/>
    <col min="180" max="180" width="18.36328125" bestFit="1" customWidth="1"/>
    <col min="181" max="182" width="21.453125" customWidth="1"/>
    <col min="183" max="184" width="23.6328125" customWidth="1"/>
    <col min="185" max="190" width="23.36328125" bestFit="1" customWidth="1"/>
    <col min="191" max="191" width="12.6328125" bestFit="1" customWidth="1"/>
    <col min="192" max="192" width="1.453125" customWidth="1"/>
    <col min="193" max="193" width="7.81640625" bestFit="1" customWidth="1"/>
    <col min="194" max="194" width="9.453125" customWidth="1"/>
  </cols>
  <sheetData>
    <row r="1" spans="1:193" ht="17.75" customHeight="1">
      <c r="A1" t="s">
        <v>26</v>
      </c>
    </row>
    <row r="2" spans="1:193" ht="17.399999999999999" customHeight="1">
      <c r="A2" t="s">
        <v>27</v>
      </c>
    </row>
    <row r="3" spans="1:193" ht="15" customHeight="1">
      <c r="B3" t="s">
        <v>251</v>
      </c>
    </row>
    <row r="4" spans="1:193" ht="15" customHeight="1">
      <c r="B4" t="s">
        <v>15</v>
      </c>
      <c r="J4" t="s">
        <v>28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8</v>
      </c>
      <c r="T4" t="s">
        <v>8</v>
      </c>
      <c r="U4" t="s">
        <v>6</v>
      </c>
      <c r="V4" t="s">
        <v>6</v>
      </c>
      <c r="W4" t="s">
        <v>6</v>
      </c>
      <c r="X4" t="s">
        <v>29</v>
      </c>
      <c r="Y4" t="s">
        <v>9</v>
      </c>
      <c r="Z4" t="s">
        <v>30</v>
      </c>
      <c r="AA4" t="s">
        <v>30</v>
      </c>
      <c r="AB4" t="s">
        <v>31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23</v>
      </c>
      <c r="BL4" t="s">
        <v>32</v>
      </c>
      <c r="BO4" t="s">
        <v>33</v>
      </c>
      <c r="BQ4" t="s">
        <v>34</v>
      </c>
      <c r="BS4" t="s">
        <v>35</v>
      </c>
      <c r="BU4" t="s">
        <v>36</v>
      </c>
      <c r="CF4" t="s">
        <v>37</v>
      </c>
      <c r="CN4" t="s">
        <v>38</v>
      </c>
      <c r="CV4" t="s">
        <v>15</v>
      </c>
      <c r="CX4" t="s">
        <v>39</v>
      </c>
      <c r="DF4" t="s">
        <v>40</v>
      </c>
      <c r="DG4" t="s">
        <v>40</v>
      </c>
      <c r="DH4" t="s">
        <v>40</v>
      </c>
      <c r="DI4" t="s">
        <v>40</v>
      </c>
      <c r="DJ4" t="s">
        <v>40</v>
      </c>
      <c r="DK4" t="s">
        <v>40</v>
      </c>
      <c r="DL4" t="s">
        <v>40</v>
      </c>
      <c r="DM4" t="s">
        <v>40</v>
      </c>
      <c r="DN4" t="s">
        <v>40</v>
      </c>
      <c r="DO4" t="s">
        <v>40</v>
      </c>
      <c r="DP4" t="s">
        <v>40</v>
      </c>
      <c r="DQ4" t="s">
        <v>40</v>
      </c>
      <c r="DR4" t="s">
        <v>40</v>
      </c>
      <c r="DS4" t="s">
        <v>40</v>
      </c>
      <c r="DT4" t="s">
        <v>40</v>
      </c>
      <c r="DU4" t="s">
        <v>40</v>
      </c>
      <c r="DV4" t="s">
        <v>40</v>
      </c>
      <c r="DW4" t="s">
        <v>40</v>
      </c>
      <c r="DX4" t="s">
        <v>40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40</v>
      </c>
      <c r="EH4" t="s">
        <v>40</v>
      </c>
      <c r="EI4" t="s">
        <v>40</v>
      </c>
      <c r="EJ4" t="s">
        <v>40</v>
      </c>
      <c r="EK4" t="s">
        <v>40</v>
      </c>
      <c r="EL4" t="s">
        <v>40</v>
      </c>
      <c r="EM4" t="s">
        <v>40</v>
      </c>
      <c r="EN4" t="s">
        <v>40</v>
      </c>
      <c r="EO4" t="s">
        <v>40</v>
      </c>
      <c r="EP4" t="s">
        <v>40</v>
      </c>
      <c r="EQ4" t="s">
        <v>40</v>
      </c>
      <c r="ER4" t="s">
        <v>40</v>
      </c>
      <c r="ES4" t="s">
        <v>40</v>
      </c>
      <c r="ET4" t="s">
        <v>40</v>
      </c>
      <c r="EU4" t="s">
        <v>40</v>
      </c>
      <c r="EV4" t="s">
        <v>40</v>
      </c>
      <c r="EW4" t="s">
        <v>40</v>
      </c>
      <c r="EX4" t="s">
        <v>40</v>
      </c>
      <c r="EY4" t="s">
        <v>40</v>
      </c>
      <c r="EZ4" t="s">
        <v>40</v>
      </c>
      <c r="FA4" t="s">
        <v>40</v>
      </c>
      <c r="FB4" t="s">
        <v>40</v>
      </c>
      <c r="FC4" t="s">
        <v>40</v>
      </c>
      <c r="FD4" t="s">
        <v>40</v>
      </c>
      <c r="FE4" t="s">
        <v>40</v>
      </c>
      <c r="FF4" t="s">
        <v>40</v>
      </c>
      <c r="FG4" t="s">
        <v>40</v>
      </c>
      <c r="FH4" t="s">
        <v>40</v>
      </c>
      <c r="FJ4" t="s">
        <v>41</v>
      </c>
      <c r="FR4" t="s">
        <v>42</v>
      </c>
      <c r="FU4" t="s">
        <v>43</v>
      </c>
      <c r="FV4" t="s">
        <v>44</v>
      </c>
      <c r="FW4" t="s">
        <v>45</v>
      </c>
      <c r="FX4" t="s">
        <v>46</v>
      </c>
      <c r="FY4" t="s">
        <v>38</v>
      </c>
      <c r="FZ4" t="s">
        <v>47</v>
      </c>
      <c r="GA4" t="s">
        <v>48</v>
      </c>
      <c r="GB4" t="s">
        <v>49</v>
      </c>
      <c r="GC4" t="s">
        <v>50</v>
      </c>
      <c r="GD4" t="s">
        <v>51</v>
      </c>
      <c r="GE4" t="s">
        <v>52</v>
      </c>
      <c r="GF4" t="s">
        <v>53</v>
      </c>
      <c r="GG4" t="s">
        <v>53</v>
      </c>
      <c r="GH4" t="s">
        <v>54</v>
      </c>
      <c r="GI4" t="s">
        <v>54</v>
      </c>
      <c r="GK4" t="s">
        <v>55</v>
      </c>
    </row>
    <row r="5" spans="1:193" ht="15" customHeight="1">
      <c r="B5" t="s">
        <v>56</v>
      </c>
      <c r="C5" t="s">
        <v>57</v>
      </c>
      <c r="D5" t="s">
        <v>1</v>
      </c>
      <c r="E5" t="s">
        <v>58</v>
      </c>
      <c r="F5" t="s">
        <v>59</v>
      </c>
      <c r="G5" t="s">
        <v>60</v>
      </c>
      <c r="H5" t="s">
        <v>61</v>
      </c>
      <c r="J5" t="s">
        <v>62</v>
      </c>
      <c r="K5" t="s">
        <v>63</v>
      </c>
      <c r="L5" t="s">
        <v>64</v>
      </c>
      <c r="N5" t="s">
        <v>65</v>
      </c>
      <c r="O5" t="s">
        <v>252</v>
      </c>
      <c r="P5" t="s">
        <v>66</v>
      </c>
      <c r="Q5" t="s">
        <v>67</v>
      </c>
      <c r="R5" t="s">
        <v>68</v>
      </c>
      <c r="S5" t="s">
        <v>69</v>
      </c>
      <c r="T5" t="s">
        <v>70</v>
      </c>
      <c r="U5" t="s">
        <v>253</v>
      </c>
      <c r="V5" t="s">
        <v>254</v>
      </c>
      <c r="W5" t="s">
        <v>71</v>
      </c>
      <c r="X5" t="s">
        <v>29</v>
      </c>
      <c r="Y5" t="s">
        <v>9</v>
      </c>
      <c r="Z5" t="s">
        <v>72</v>
      </c>
      <c r="AA5" t="s">
        <v>73</v>
      </c>
      <c r="AB5" t="s">
        <v>31</v>
      </c>
      <c r="AC5" t="s">
        <v>74</v>
      </c>
      <c r="AD5" t="s">
        <v>75</v>
      </c>
      <c r="AE5" t="s">
        <v>76</v>
      </c>
      <c r="AF5" t="s">
        <v>77</v>
      </c>
      <c r="AG5" t="s">
        <v>78</v>
      </c>
      <c r="AH5" t="s">
        <v>79</v>
      </c>
      <c r="AI5" t="s">
        <v>80</v>
      </c>
      <c r="AJ5" t="s">
        <v>81</v>
      </c>
      <c r="AK5" t="s">
        <v>81</v>
      </c>
      <c r="AL5" t="s">
        <v>82</v>
      </c>
      <c r="AM5" t="s">
        <v>83</v>
      </c>
      <c r="AN5" t="s">
        <v>84</v>
      </c>
      <c r="AO5" t="s">
        <v>85</v>
      </c>
      <c r="AP5" t="s">
        <v>86</v>
      </c>
      <c r="AQ5" t="s">
        <v>87</v>
      </c>
      <c r="AR5" t="s">
        <v>88</v>
      </c>
      <c r="AS5" t="s">
        <v>89</v>
      </c>
      <c r="AT5" t="s">
        <v>90</v>
      </c>
      <c r="AU5" t="s">
        <v>91</v>
      </c>
      <c r="AV5" t="s">
        <v>236</v>
      </c>
      <c r="AW5" t="s">
        <v>237</v>
      </c>
      <c r="AX5" t="s">
        <v>92</v>
      </c>
      <c r="AY5" t="s">
        <v>93</v>
      </c>
      <c r="AZ5" t="s">
        <v>229</v>
      </c>
      <c r="BA5" t="s">
        <v>230</v>
      </c>
      <c r="BB5" t="s">
        <v>94</v>
      </c>
      <c r="BC5" t="s">
        <v>95</v>
      </c>
      <c r="BD5" t="s">
        <v>96</v>
      </c>
      <c r="BE5" t="s">
        <v>97</v>
      </c>
      <c r="BF5" t="s">
        <v>98</v>
      </c>
      <c r="BG5" t="s">
        <v>99</v>
      </c>
      <c r="BH5" t="s">
        <v>100</v>
      </c>
      <c r="BI5" t="s">
        <v>101</v>
      </c>
      <c r="BJ5" t="s">
        <v>23</v>
      </c>
      <c r="BL5" t="s">
        <v>102</v>
      </c>
      <c r="BM5" t="s">
        <v>103</v>
      </c>
      <c r="BO5" t="s">
        <v>104</v>
      </c>
      <c r="BQ5" t="s">
        <v>34</v>
      </c>
      <c r="BS5" t="s">
        <v>105</v>
      </c>
      <c r="BU5" t="s">
        <v>106</v>
      </c>
      <c r="BV5" t="s">
        <v>107</v>
      </c>
      <c r="BW5" t="s">
        <v>108</v>
      </c>
      <c r="BX5" t="s">
        <v>109</v>
      </c>
      <c r="BY5" t="s">
        <v>110</v>
      </c>
      <c r="BZ5" t="s">
        <v>111</v>
      </c>
      <c r="CA5" t="s">
        <v>112</v>
      </c>
      <c r="CB5" t="s">
        <v>113</v>
      </c>
      <c r="CC5" t="s">
        <v>114</v>
      </c>
      <c r="CF5" t="s">
        <v>115</v>
      </c>
      <c r="CG5" t="s">
        <v>116</v>
      </c>
      <c r="CH5" t="s">
        <v>117</v>
      </c>
      <c r="CI5" t="s">
        <v>118</v>
      </c>
      <c r="CJ5" t="s">
        <v>119</v>
      </c>
      <c r="CK5" t="s">
        <v>120</v>
      </c>
      <c r="CL5" t="s">
        <v>121</v>
      </c>
      <c r="CN5" t="s">
        <v>115</v>
      </c>
      <c r="CO5" t="s">
        <v>116</v>
      </c>
      <c r="CP5" t="s">
        <v>117</v>
      </c>
      <c r="CQ5" t="s">
        <v>118</v>
      </c>
      <c r="CR5" t="s">
        <v>119</v>
      </c>
      <c r="CS5" t="s">
        <v>120</v>
      </c>
      <c r="CT5" t="s">
        <v>121</v>
      </c>
      <c r="CV5" t="s">
        <v>122</v>
      </c>
      <c r="CX5" t="s">
        <v>115</v>
      </c>
      <c r="CY5" t="s">
        <v>116</v>
      </c>
      <c r="CZ5" t="s">
        <v>117</v>
      </c>
      <c r="DA5" t="s">
        <v>118</v>
      </c>
      <c r="DB5" t="s">
        <v>119</v>
      </c>
      <c r="DC5" t="s">
        <v>120</v>
      </c>
      <c r="DD5" t="s">
        <v>121</v>
      </c>
      <c r="DF5" t="s">
        <v>123</v>
      </c>
      <c r="DG5" t="s">
        <v>124</v>
      </c>
      <c r="DH5" t="s">
        <v>125</v>
      </c>
      <c r="DI5" t="s">
        <v>126</v>
      </c>
      <c r="DJ5" t="s">
        <v>127</v>
      </c>
      <c r="DK5" t="s">
        <v>128</v>
      </c>
      <c r="DL5" t="s">
        <v>129</v>
      </c>
      <c r="DM5" t="s">
        <v>130</v>
      </c>
      <c r="DN5" t="s">
        <v>131</v>
      </c>
      <c r="DO5" t="s">
        <v>132</v>
      </c>
      <c r="DP5" t="s">
        <v>133</v>
      </c>
      <c r="DQ5" t="s">
        <v>134</v>
      </c>
      <c r="DR5" t="s">
        <v>29</v>
      </c>
      <c r="DS5" t="s">
        <v>135</v>
      </c>
      <c r="DT5" t="s">
        <v>136</v>
      </c>
      <c r="DU5" t="s">
        <v>137</v>
      </c>
      <c r="DV5" t="s">
        <v>138</v>
      </c>
      <c r="DW5" t="s">
        <v>139</v>
      </c>
      <c r="DX5" t="s">
        <v>140</v>
      </c>
      <c r="DY5" t="s">
        <v>141</v>
      </c>
      <c r="DZ5" t="s">
        <v>142</v>
      </c>
      <c r="EA5" t="s">
        <v>143</v>
      </c>
      <c r="EB5" t="s">
        <v>144</v>
      </c>
      <c r="EC5" t="s">
        <v>145</v>
      </c>
      <c r="ED5" t="s">
        <v>146</v>
      </c>
      <c r="EE5" t="s">
        <v>147</v>
      </c>
      <c r="EF5" t="s">
        <v>148</v>
      </c>
      <c r="EH5" t="s">
        <v>123</v>
      </c>
      <c r="EI5" t="s">
        <v>124</v>
      </c>
      <c r="EJ5" t="s">
        <v>125</v>
      </c>
      <c r="EK5" t="s">
        <v>126</v>
      </c>
      <c r="EL5" t="s">
        <v>127</v>
      </c>
      <c r="EM5" t="s">
        <v>128</v>
      </c>
      <c r="EN5" t="s">
        <v>129</v>
      </c>
      <c r="EO5" t="s">
        <v>130</v>
      </c>
      <c r="EP5" t="s">
        <v>131</v>
      </c>
      <c r="EQ5" t="s">
        <v>132</v>
      </c>
      <c r="ER5" t="s">
        <v>133</v>
      </c>
      <c r="ES5" t="s">
        <v>134</v>
      </c>
      <c r="ET5" t="s">
        <v>29</v>
      </c>
      <c r="EU5" t="s">
        <v>135</v>
      </c>
      <c r="EV5" t="s">
        <v>136</v>
      </c>
      <c r="EW5" t="s">
        <v>137</v>
      </c>
      <c r="EX5" t="s">
        <v>138</v>
      </c>
      <c r="EY5" t="s">
        <v>139</v>
      </c>
      <c r="EZ5" t="s">
        <v>140</v>
      </c>
      <c r="FA5" t="s">
        <v>141</v>
      </c>
      <c r="FB5" t="s">
        <v>142</v>
      </c>
      <c r="FC5" t="s">
        <v>143</v>
      </c>
      <c r="FD5" t="s">
        <v>144</v>
      </c>
      <c r="FE5" t="s">
        <v>145</v>
      </c>
      <c r="FF5" t="s">
        <v>146</v>
      </c>
      <c r="FG5" t="s">
        <v>147</v>
      </c>
      <c r="FH5" t="s">
        <v>148</v>
      </c>
      <c r="FJ5" t="s">
        <v>115</v>
      </c>
      <c r="FK5" t="s">
        <v>116</v>
      </c>
      <c r="FL5" t="s">
        <v>117</v>
      </c>
      <c r="FM5" t="s">
        <v>118</v>
      </c>
      <c r="FN5" t="s">
        <v>119</v>
      </c>
      <c r="FO5" t="s">
        <v>120</v>
      </c>
      <c r="FP5" t="s">
        <v>121</v>
      </c>
      <c r="FR5" t="s">
        <v>149</v>
      </c>
      <c r="FU5" t="s">
        <v>150</v>
      </c>
      <c r="FV5" t="s">
        <v>151</v>
      </c>
      <c r="FW5" t="s">
        <v>151</v>
      </c>
      <c r="FX5" t="s">
        <v>151</v>
      </c>
      <c r="FY5" t="s">
        <v>151</v>
      </c>
      <c r="FZ5" t="s">
        <v>151</v>
      </c>
      <c r="GA5" t="s">
        <v>151</v>
      </c>
      <c r="GC5" t="s">
        <v>151</v>
      </c>
      <c r="GD5" t="s">
        <v>151</v>
      </c>
      <c r="GE5" t="s">
        <v>151</v>
      </c>
      <c r="GF5" t="s">
        <v>151</v>
      </c>
      <c r="GG5" t="s">
        <v>150</v>
      </c>
      <c r="GH5" t="s">
        <v>151</v>
      </c>
      <c r="GI5" t="s">
        <v>150</v>
      </c>
      <c r="GK5" t="s">
        <v>152</v>
      </c>
    </row>
    <row r="6" spans="1:193" ht="15" customHeight="1">
      <c r="B6">
        <v>1</v>
      </c>
      <c r="C6">
        <v>46204</v>
      </c>
      <c r="D6" t="s">
        <v>5</v>
      </c>
      <c r="E6" t="s">
        <v>257</v>
      </c>
      <c r="F6" t="s">
        <v>238</v>
      </c>
      <c r="G6" t="s">
        <v>258</v>
      </c>
      <c r="H6" t="s">
        <v>3</v>
      </c>
      <c r="J6">
        <v>46201</v>
      </c>
      <c r="K6">
        <v>46203.375</v>
      </c>
      <c r="L6">
        <v>46204.807291666664</v>
      </c>
      <c r="R6">
        <v>24998</v>
      </c>
      <c r="AT6">
        <v>7500</v>
      </c>
      <c r="BI6">
        <v>22502</v>
      </c>
      <c r="BJ6">
        <v>55000</v>
      </c>
      <c r="BL6">
        <v>46200</v>
      </c>
      <c r="BM6">
        <v>46209</v>
      </c>
      <c r="BO6">
        <v>0.54549090909090914</v>
      </c>
      <c r="BQ6" t="s">
        <v>154</v>
      </c>
      <c r="BU6">
        <v>33.030830067351843</v>
      </c>
      <c r="BV6">
        <v>13.622765339023749</v>
      </c>
      <c r="BW6">
        <v>6.36177224007535</v>
      </c>
      <c r="BX6">
        <v>4.8673453651897844</v>
      </c>
      <c r="BY6">
        <v>1.2044698181818181</v>
      </c>
      <c r="BZ6">
        <v>1.1071120606668501</v>
      </c>
      <c r="CA6">
        <v>5683.980754492648</v>
      </c>
      <c r="CB6">
        <v>4463.7860865214334</v>
      </c>
      <c r="CC6">
        <v>4105.5628765048968</v>
      </c>
      <c r="CF6">
        <v>0</v>
      </c>
      <c r="CN6">
        <v>0</v>
      </c>
      <c r="FR6">
        <v>1600.0000000027094</v>
      </c>
      <c r="FU6">
        <v>40.352002530844672</v>
      </c>
      <c r="FV6">
        <v>2219360.1391964569</v>
      </c>
      <c r="FW6">
        <v>0</v>
      </c>
      <c r="FX6">
        <v>2219360.1391964569</v>
      </c>
      <c r="FY6">
        <v>0</v>
      </c>
      <c r="FZ6">
        <v>0</v>
      </c>
      <c r="GA6">
        <v>-2756729.3840079778</v>
      </c>
      <c r="GB6">
        <v>-165000</v>
      </c>
      <c r="GC6">
        <v>0</v>
      </c>
      <c r="GD6">
        <v>-8877.4405567858284</v>
      </c>
      <c r="GE6">
        <v>-7150</v>
      </c>
      <c r="GF6">
        <v>-2937756.8245647638</v>
      </c>
      <c r="GG6">
        <v>-53.413760446632068</v>
      </c>
      <c r="GH6">
        <v>-718396.68536830693</v>
      </c>
      <c r="GI6">
        <v>-13.061757915787398</v>
      </c>
      <c r="GK6" t="s">
        <v>259</v>
      </c>
    </row>
    <row r="7" spans="1:193" ht="15" customHeight="1">
      <c r="B7">
        <v>2</v>
      </c>
      <c r="C7">
        <v>46204</v>
      </c>
      <c r="D7" t="s">
        <v>5</v>
      </c>
      <c r="E7" t="s">
        <v>260</v>
      </c>
      <c r="F7" t="s">
        <v>167</v>
      </c>
      <c r="G7" t="s">
        <v>261</v>
      </c>
      <c r="H7" t="s">
        <v>3</v>
      </c>
      <c r="J7">
        <v>46193.3125</v>
      </c>
      <c r="K7">
        <v>46204.953125</v>
      </c>
      <c r="L7">
        <v>46205.87395833333</v>
      </c>
      <c r="N7">
        <v>5191.4700000000012</v>
      </c>
      <c r="R7">
        <v>1500</v>
      </c>
      <c r="S7">
        <v>4500</v>
      </c>
      <c r="T7">
        <v>3000</v>
      </c>
      <c r="U7">
        <v>15000</v>
      </c>
      <c r="AB7">
        <v>7500</v>
      </c>
      <c r="AH7">
        <v>7508.53</v>
      </c>
      <c r="BJ7">
        <v>44200</v>
      </c>
      <c r="BL7">
        <v>46192</v>
      </c>
      <c r="BM7">
        <v>46201</v>
      </c>
      <c r="BO7">
        <v>0.1698762443438914</v>
      </c>
      <c r="BQ7" t="s">
        <v>154</v>
      </c>
      <c r="BU7">
        <v>15.51974237532716</v>
      </c>
      <c r="BV7">
        <v>9.6215491767290864</v>
      </c>
      <c r="BW7">
        <v>4.3130610204909283</v>
      </c>
      <c r="BX7">
        <v>4.0312184063807166</v>
      </c>
      <c r="BY7">
        <v>0.93754071355203361</v>
      </c>
      <c r="BZ7">
        <v>0.8773559130958839</v>
      </c>
      <c r="CA7">
        <v>6623.6967126665932</v>
      </c>
      <c r="CB7">
        <v>6191.9859848325477</v>
      </c>
      <c r="CC7">
        <v>5904.0709080171246</v>
      </c>
      <c r="CF7">
        <v>0.78132411999999996</v>
      </c>
      <c r="CN7">
        <v>-3.7802260086715287</v>
      </c>
      <c r="FR7">
        <v>2000.0000000073746</v>
      </c>
      <c r="FU7">
        <v>133.09999999999997</v>
      </c>
      <c r="FV7">
        <v>5883019.9999999981</v>
      </c>
      <c r="FW7">
        <v>34534.526103999997</v>
      </c>
      <c r="FX7">
        <v>5917554.5261039985</v>
      </c>
      <c r="FY7">
        <v>-167085.98958328157</v>
      </c>
      <c r="FZ7">
        <v>-41044.924314567412</v>
      </c>
      <c r="GA7">
        <v>-5086653.3808917161</v>
      </c>
      <c r="GB7">
        <v>-132600</v>
      </c>
      <c r="GC7">
        <v>0</v>
      </c>
      <c r="GD7">
        <v>-23532.079999999994</v>
      </c>
      <c r="GE7">
        <v>-5746</v>
      </c>
      <c r="GF7">
        <v>-5456662.3747895649</v>
      </c>
      <c r="GG7">
        <v>-123.45389988211686</v>
      </c>
      <c r="GH7">
        <v>460892.15131443366</v>
      </c>
      <c r="GI7">
        <v>10.427424237883114</v>
      </c>
      <c r="GK7" t="s">
        <v>55</v>
      </c>
    </row>
    <row r="8" spans="1:193" ht="15" customHeight="1">
      <c r="B8">
        <v>3</v>
      </c>
      <c r="C8">
        <v>46204</v>
      </c>
      <c r="D8" t="s">
        <v>4</v>
      </c>
      <c r="E8" t="s">
        <v>362</v>
      </c>
      <c r="F8" t="s">
        <v>268</v>
      </c>
      <c r="G8" t="s">
        <v>269</v>
      </c>
      <c r="H8" t="s">
        <v>3</v>
      </c>
      <c r="J8">
        <v>46202</v>
      </c>
      <c r="K8">
        <v>46206.019791666666</v>
      </c>
      <c r="L8">
        <v>46207.507886904757</v>
      </c>
      <c r="N8">
        <v>12000</v>
      </c>
      <c r="Q8">
        <v>8000</v>
      </c>
      <c r="R8">
        <v>55000</v>
      </c>
      <c r="BJ8">
        <v>75000</v>
      </c>
      <c r="BL8">
        <v>46198</v>
      </c>
      <c r="BM8">
        <v>46207</v>
      </c>
      <c r="BO8">
        <v>1</v>
      </c>
      <c r="BQ8" t="s">
        <v>154</v>
      </c>
      <c r="BU8">
        <v>14.962666666666667</v>
      </c>
      <c r="BV8">
        <v>11.2072</v>
      </c>
      <c r="BW8">
        <v>5.8326666666666673</v>
      </c>
      <c r="BX8">
        <v>5.587488183117534</v>
      </c>
      <c r="BY8">
        <v>2.0140000000000002</v>
      </c>
      <c r="BZ8">
        <v>1.9304812274048371</v>
      </c>
      <c r="CA8">
        <v>6256.8666666666668</v>
      </c>
      <c r="CB8">
        <v>5991.9203018070993</v>
      </c>
      <c r="CC8">
        <v>5691.4275853974996</v>
      </c>
      <c r="CF8">
        <v>0.72393242000000002</v>
      </c>
      <c r="CN8">
        <v>-0.54303373015796141</v>
      </c>
      <c r="FR8">
        <v>2100.0000000048894</v>
      </c>
      <c r="FU8">
        <v>96.431579999999997</v>
      </c>
      <c r="FV8">
        <v>7232368.5</v>
      </c>
      <c r="FW8">
        <v>54294.931499999999</v>
      </c>
      <c r="FX8">
        <v>7286663.4314999999</v>
      </c>
      <c r="FY8">
        <v>-40727.529761847109</v>
      </c>
      <c r="FZ8">
        <v>0</v>
      </c>
      <c r="GA8">
        <v>-4532094.7430799995</v>
      </c>
      <c r="GB8">
        <v>0</v>
      </c>
      <c r="GC8">
        <v>-976369.74749999994</v>
      </c>
      <c r="GD8">
        <v>0</v>
      </c>
      <c r="GE8">
        <v>0</v>
      </c>
      <c r="GF8">
        <v>-5549192.0203418462</v>
      </c>
      <c r="GG8">
        <v>-73.989226937891289</v>
      </c>
      <c r="GH8">
        <v>1737471.4111581538</v>
      </c>
      <c r="GI8">
        <v>23.166285482108716</v>
      </c>
      <c r="GK8" t="s">
        <v>264</v>
      </c>
    </row>
    <row r="9" spans="1:193" ht="15" customHeight="1">
      <c r="B9">
        <v>4</v>
      </c>
      <c r="C9">
        <v>46204</v>
      </c>
      <c r="D9" t="s">
        <v>5</v>
      </c>
      <c r="E9" t="s">
        <v>262</v>
      </c>
      <c r="F9" t="s">
        <v>153</v>
      </c>
      <c r="G9" t="s">
        <v>263</v>
      </c>
      <c r="H9" t="s">
        <v>3</v>
      </c>
      <c r="J9">
        <v>46204.5</v>
      </c>
      <c r="K9">
        <v>46207.653720238093</v>
      </c>
      <c r="L9">
        <v>46209.257886904757</v>
      </c>
      <c r="R9">
        <v>64295.05</v>
      </c>
      <c r="Y9">
        <v>7500</v>
      </c>
      <c r="AX9">
        <v>5204.95</v>
      </c>
      <c r="BJ9">
        <v>77000</v>
      </c>
      <c r="BL9">
        <v>46196</v>
      </c>
      <c r="BM9">
        <v>46205</v>
      </c>
      <c r="BO9">
        <v>6.7596753246753238E-2</v>
      </c>
      <c r="BQ9" t="s">
        <v>154</v>
      </c>
      <c r="BU9">
        <v>19.824883058152849</v>
      </c>
      <c r="BV9">
        <v>12.666229341424655</v>
      </c>
      <c r="BW9">
        <v>6.2371373041954481</v>
      </c>
      <c r="BX9">
        <v>5.721434159552329</v>
      </c>
      <c r="BY9">
        <v>1.9898299672641513</v>
      </c>
      <c r="BZ9">
        <v>1.9012110744221657</v>
      </c>
      <c r="CA9">
        <v>6001.6437866681099</v>
      </c>
      <c r="CB9">
        <v>5529.469651592839</v>
      </c>
      <c r="CC9">
        <v>5215.5989698065241</v>
      </c>
      <c r="CF9">
        <v>0.51033450000000002</v>
      </c>
      <c r="CN9">
        <v>-0.7574308132329447</v>
      </c>
      <c r="FR9">
        <v>2000.0000000030238</v>
      </c>
      <c r="FU9">
        <v>96.148936170212764</v>
      </c>
      <c r="FV9">
        <v>7403468.0851063831</v>
      </c>
      <c r="FW9">
        <v>39295.756500000003</v>
      </c>
      <c r="FX9">
        <v>7442763.8416063832</v>
      </c>
      <c r="FY9">
        <v>-58322.17261893674</v>
      </c>
      <c r="FZ9">
        <v>0</v>
      </c>
      <c r="GA9">
        <v>-7314747.4150705766</v>
      </c>
      <c r="GB9">
        <v>-231000</v>
      </c>
      <c r="GC9">
        <v>0</v>
      </c>
      <c r="GD9">
        <v>-29613.872340425532</v>
      </c>
      <c r="GE9">
        <v>-10010</v>
      </c>
      <c r="GF9">
        <v>-7643693.4600299392</v>
      </c>
      <c r="GG9">
        <v>-99.26874623415506</v>
      </c>
      <c r="GH9">
        <v>-200929.61842355598</v>
      </c>
      <c r="GI9">
        <v>-2.6094755639422855</v>
      </c>
      <c r="GK9" t="s">
        <v>264</v>
      </c>
    </row>
    <row r="10" spans="1:193" ht="15" customHeight="1">
      <c r="B10">
        <v>5</v>
      </c>
      <c r="C10">
        <v>46204</v>
      </c>
      <c r="D10" t="s">
        <v>5</v>
      </c>
      <c r="E10" t="s">
        <v>317</v>
      </c>
      <c r="F10" t="s">
        <v>318</v>
      </c>
      <c r="G10" t="s">
        <v>319</v>
      </c>
      <c r="H10" t="s">
        <v>3</v>
      </c>
      <c r="J10">
        <v>46205</v>
      </c>
      <c r="K10">
        <v>46209.653720238093</v>
      </c>
      <c r="L10">
        <v>46210.757886904757</v>
      </c>
      <c r="N10">
        <v>1900</v>
      </c>
      <c r="R10">
        <v>3000</v>
      </c>
      <c r="S10">
        <v>15000</v>
      </c>
      <c r="AB10">
        <v>15000</v>
      </c>
      <c r="AH10">
        <v>7500</v>
      </c>
      <c r="AL10">
        <v>5300</v>
      </c>
      <c r="AS10">
        <v>5300</v>
      </c>
      <c r="BJ10">
        <v>53000</v>
      </c>
      <c r="BL10">
        <v>46205</v>
      </c>
      <c r="BM10">
        <v>46214</v>
      </c>
      <c r="BO10">
        <v>0.34150943396226413</v>
      </c>
      <c r="BQ10" t="s">
        <v>154</v>
      </c>
      <c r="BU10">
        <v>17.399358400089216</v>
      </c>
      <c r="BV10">
        <v>9.641951489661988</v>
      </c>
      <c r="BW10">
        <v>4.4628844117492461</v>
      </c>
      <c r="BX10">
        <v>4.022967733266217</v>
      </c>
      <c r="BY10">
        <v>1.0267823095260455</v>
      </c>
      <c r="BZ10">
        <v>0.94600275263447897</v>
      </c>
      <c r="CA10">
        <v>6570.4623007198752</v>
      </c>
      <c r="CB10">
        <v>6023.9589035340941</v>
      </c>
      <c r="CC10">
        <v>5729.5009812781036</v>
      </c>
      <c r="CF10">
        <v>1.1023547</v>
      </c>
      <c r="CN10">
        <v>-1.3356974393515935</v>
      </c>
      <c r="FR10">
        <v>2000.0000000043931</v>
      </c>
      <c r="FU10">
        <v>128.50711800063272</v>
      </c>
      <c r="FV10">
        <v>6810877.2540335339</v>
      </c>
      <c r="FW10">
        <v>58424.799100000004</v>
      </c>
      <c r="FX10">
        <v>6869302.0531335343</v>
      </c>
      <c r="FY10">
        <v>-70791.964285634458</v>
      </c>
      <c r="FZ10">
        <v>-89755.769063087064</v>
      </c>
      <c r="GA10">
        <v>-5920886.2692715498</v>
      </c>
      <c r="GB10">
        <v>-159000</v>
      </c>
      <c r="GC10">
        <v>0</v>
      </c>
      <c r="GD10">
        <v>-27243.509016134136</v>
      </c>
      <c r="GE10">
        <v>-6890</v>
      </c>
      <c r="GF10">
        <v>-6274567.5116364053</v>
      </c>
      <c r="GG10">
        <v>-118.38806625729066</v>
      </c>
      <c r="GH10">
        <v>594734.54149712902</v>
      </c>
      <c r="GI10">
        <v>11.221406443342056</v>
      </c>
      <c r="GK10" t="s">
        <v>55</v>
      </c>
    </row>
    <row r="11" spans="1:193" ht="15" customHeight="1">
      <c r="B11">
        <v>6</v>
      </c>
      <c r="C11">
        <v>46204</v>
      </c>
      <c r="D11" t="s">
        <v>5</v>
      </c>
      <c r="E11" t="s">
        <v>157</v>
      </c>
      <c r="F11" t="s">
        <v>158</v>
      </c>
      <c r="G11" t="s">
        <v>266</v>
      </c>
      <c r="H11" t="s">
        <v>3</v>
      </c>
      <c r="J11">
        <v>46206</v>
      </c>
      <c r="K11">
        <v>46210.903720238093</v>
      </c>
      <c r="L11">
        <v>46212.45464616402</v>
      </c>
      <c r="R11">
        <v>52000</v>
      </c>
      <c r="Y11">
        <v>15000</v>
      </c>
      <c r="BJ11">
        <v>67000</v>
      </c>
      <c r="BL11">
        <v>46206</v>
      </c>
      <c r="BM11">
        <v>46215</v>
      </c>
      <c r="BO11">
        <v>0</v>
      </c>
      <c r="BQ11" t="s">
        <v>154</v>
      </c>
      <c r="BU11">
        <v>21.925866239967554</v>
      </c>
      <c r="BV11">
        <v>12.656579215822662</v>
      </c>
      <c r="BW11">
        <v>7.7223873388031654</v>
      </c>
      <c r="BX11">
        <v>6.8841684266355481</v>
      </c>
      <c r="BY11">
        <v>1.8935513823979508</v>
      </c>
      <c r="BZ11">
        <v>1.7560105759176436</v>
      </c>
      <c r="CA11">
        <v>5923.6472123012927</v>
      </c>
      <c r="CB11">
        <v>5312.0882545691229</v>
      </c>
      <c r="CC11">
        <v>4992.4988507553871</v>
      </c>
      <c r="CF11">
        <v>0</v>
      </c>
      <c r="CN11">
        <v>-0.9677749109115007</v>
      </c>
      <c r="FR11">
        <v>1799.999999998749</v>
      </c>
      <c r="FU11">
        <v>49.05</v>
      </c>
      <c r="FV11">
        <v>3286350</v>
      </c>
      <c r="FW11">
        <v>0</v>
      </c>
      <c r="FX11">
        <v>3286350</v>
      </c>
      <c r="FY11">
        <v>-64840.919031070545</v>
      </c>
      <c r="FZ11">
        <v>0</v>
      </c>
      <c r="GA11">
        <v>-3579854.5680183503</v>
      </c>
      <c r="GB11">
        <v>-201000</v>
      </c>
      <c r="GC11">
        <v>0</v>
      </c>
      <c r="GD11">
        <v>-13145.4</v>
      </c>
      <c r="GE11">
        <v>-8710</v>
      </c>
      <c r="GF11">
        <v>-3867550.8870494207</v>
      </c>
      <c r="GG11">
        <v>-57.724640105215236</v>
      </c>
      <c r="GH11">
        <v>-581200.88704942074</v>
      </c>
      <c r="GI11">
        <v>-8.6746401052152358</v>
      </c>
      <c r="GK11" t="s">
        <v>264</v>
      </c>
    </row>
    <row r="12" spans="1:193" ht="15" customHeight="1">
      <c r="B12">
        <v>7</v>
      </c>
      <c r="C12">
        <v>46204</v>
      </c>
      <c r="D12" t="s">
        <v>5</v>
      </c>
      <c r="E12" t="s">
        <v>155</v>
      </c>
      <c r="F12" t="s">
        <v>153</v>
      </c>
      <c r="G12" t="s">
        <v>271</v>
      </c>
      <c r="H12" t="s">
        <v>3</v>
      </c>
      <c r="J12">
        <v>46208</v>
      </c>
      <c r="K12">
        <v>46212.850479497356</v>
      </c>
      <c r="L12">
        <v>46214.308812830692</v>
      </c>
      <c r="Q12">
        <v>3000</v>
      </c>
      <c r="R12">
        <v>56700</v>
      </c>
      <c r="AV12">
        <v>5300</v>
      </c>
      <c r="AX12">
        <v>5000</v>
      </c>
      <c r="BJ12">
        <v>70000</v>
      </c>
      <c r="BL12">
        <v>46208</v>
      </c>
      <c r="BM12">
        <v>46217</v>
      </c>
      <c r="BO12">
        <v>0.14714285714285713</v>
      </c>
      <c r="BQ12" t="s">
        <v>154</v>
      </c>
      <c r="BU12">
        <v>20.143310496923828</v>
      </c>
      <c r="BV12">
        <v>10.734331682581452</v>
      </c>
      <c r="BW12">
        <v>7.6213463029085133</v>
      </c>
      <c r="BX12">
        <v>6.8575563611863402</v>
      </c>
      <c r="BY12">
        <v>2.0565016581973157</v>
      </c>
      <c r="BZ12">
        <v>1.9025795055887984</v>
      </c>
      <c r="CA12">
        <v>6089.2005922632479</v>
      </c>
      <c r="CB12">
        <v>5465.5228821953715</v>
      </c>
      <c r="CC12">
        <v>5150.4729800820405</v>
      </c>
      <c r="CF12">
        <v>-0.592835</v>
      </c>
      <c r="CN12">
        <v>-1.0436947278921642</v>
      </c>
      <c r="FR12">
        <v>1999.9999999966738</v>
      </c>
      <c r="FU12">
        <v>96.148936170212764</v>
      </c>
      <c r="FV12">
        <v>6730425.5319148935</v>
      </c>
      <c r="FW12">
        <v>-41498.449999999997</v>
      </c>
      <c r="FX12">
        <v>6688927.0819148934</v>
      </c>
      <c r="FY12">
        <v>-73058.630952451495</v>
      </c>
      <c r="FZ12">
        <v>0</v>
      </c>
      <c r="GA12">
        <v>-6786679.5965321632</v>
      </c>
      <c r="GB12">
        <v>-210000</v>
      </c>
      <c r="GC12">
        <v>0</v>
      </c>
      <c r="GD12">
        <v>-26921.702127659573</v>
      </c>
      <c r="GE12">
        <v>-9100</v>
      </c>
      <c r="GF12">
        <v>-7105759.9296122743</v>
      </c>
      <c r="GG12">
        <v>-101.5108561373182</v>
      </c>
      <c r="GH12">
        <v>-416832.84769738093</v>
      </c>
      <c r="GI12">
        <v>-5.9547549671054423</v>
      </c>
      <c r="GK12" t="s">
        <v>264</v>
      </c>
    </row>
    <row r="13" spans="1:193" ht="15" customHeight="1">
      <c r="B13">
        <v>8</v>
      </c>
      <c r="C13">
        <v>46204</v>
      </c>
      <c r="D13" t="s">
        <v>5</v>
      </c>
      <c r="E13" t="s">
        <v>155</v>
      </c>
      <c r="F13" t="s">
        <v>238</v>
      </c>
      <c r="G13" t="s">
        <v>273</v>
      </c>
      <c r="H13" t="s">
        <v>3</v>
      </c>
      <c r="J13">
        <v>46210</v>
      </c>
      <c r="K13">
        <v>46214.704646164028</v>
      </c>
      <c r="L13">
        <v>46216.136937830692</v>
      </c>
      <c r="R13">
        <v>17500</v>
      </c>
      <c r="U13">
        <v>7500</v>
      </c>
      <c r="Y13">
        <v>15000</v>
      </c>
      <c r="BI13">
        <v>15000</v>
      </c>
      <c r="BJ13">
        <v>55000</v>
      </c>
      <c r="BL13">
        <v>46210</v>
      </c>
      <c r="BM13">
        <v>46219</v>
      </c>
      <c r="BO13">
        <v>0.27272727272727271</v>
      </c>
      <c r="BQ13" t="s">
        <v>154</v>
      </c>
      <c r="BU13">
        <v>32.553264627124697</v>
      </c>
      <c r="BV13">
        <v>14.728431206165595</v>
      </c>
      <c r="BW13">
        <v>6.9485829468786413</v>
      </c>
      <c r="BX13">
        <v>5.4493413013925647</v>
      </c>
      <c r="BY13">
        <v>0.95686338991702491</v>
      </c>
      <c r="BZ13">
        <v>0.85652705172305499</v>
      </c>
      <c r="CA13">
        <v>5633.7690845972184</v>
      </c>
      <c r="CB13">
        <v>4504.660886292766</v>
      </c>
      <c r="CC13">
        <v>4149.4442565182435</v>
      </c>
      <c r="CF13">
        <v>0</v>
      </c>
      <c r="CN13">
        <v>0</v>
      </c>
      <c r="FR13">
        <v>1600.0000000027094</v>
      </c>
      <c r="FU13">
        <v>40.352002530844672</v>
      </c>
      <c r="FV13">
        <v>2219360.1391964569</v>
      </c>
      <c r="FW13">
        <v>0</v>
      </c>
      <c r="FX13">
        <v>2219360.1391964569</v>
      </c>
      <c r="FY13">
        <v>0</v>
      </c>
      <c r="FZ13">
        <v>0</v>
      </c>
      <c r="GA13">
        <v>-2824196.3849859978</v>
      </c>
      <c r="GB13">
        <v>-165000</v>
      </c>
      <c r="GC13">
        <v>0</v>
      </c>
      <c r="GD13">
        <v>-8877.4405567858284</v>
      </c>
      <c r="GE13">
        <v>-7150</v>
      </c>
      <c r="GF13">
        <v>-3005223.8255427838</v>
      </c>
      <c r="GG13">
        <v>-54.640433191686981</v>
      </c>
      <c r="GH13">
        <v>-785863.68634632695</v>
      </c>
      <c r="GI13">
        <v>-14.288430660842309</v>
      </c>
      <c r="GK13" t="s">
        <v>259</v>
      </c>
    </row>
    <row r="14" spans="1:193" ht="15" customHeight="1">
      <c r="B14">
        <v>9</v>
      </c>
      <c r="C14">
        <v>46204</v>
      </c>
      <c r="D14" t="s">
        <v>5</v>
      </c>
      <c r="E14" t="s">
        <v>155</v>
      </c>
      <c r="F14" t="s">
        <v>184</v>
      </c>
      <c r="G14" t="s">
        <v>275</v>
      </c>
      <c r="H14" t="s">
        <v>3</v>
      </c>
      <c r="J14">
        <v>46213</v>
      </c>
      <c r="K14">
        <v>46216.282771164028</v>
      </c>
      <c r="L14">
        <v>46217.741104497363</v>
      </c>
      <c r="R14">
        <v>47500</v>
      </c>
      <c r="U14">
        <v>7500</v>
      </c>
      <c r="AQ14">
        <v>7500</v>
      </c>
      <c r="AT14">
        <v>7500</v>
      </c>
      <c r="BJ14">
        <v>70000</v>
      </c>
      <c r="BL14">
        <v>46213</v>
      </c>
      <c r="BM14">
        <v>46222</v>
      </c>
      <c r="BO14">
        <v>0.21428571428571427</v>
      </c>
      <c r="BQ14" t="s">
        <v>154</v>
      </c>
      <c r="BU14">
        <v>20.961608351514368</v>
      </c>
      <c r="BV14">
        <v>11.564131602387427</v>
      </c>
      <c r="BW14">
        <v>6.7155433354133853</v>
      </c>
      <c r="BX14">
        <v>6.0728477302977559</v>
      </c>
      <c r="BY14">
        <v>1.7077995842613871</v>
      </c>
      <c r="BZ14">
        <v>1.5850944794731421</v>
      </c>
      <c r="CA14">
        <v>6056.6577597414707</v>
      </c>
      <c r="CB14">
        <v>5429.1286841662068</v>
      </c>
      <c r="CC14">
        <v>5109.1172577993684</v>
      </c>
      <c r="CF14">
        <v>-0.89353249999999995</v>
      </c>
      <c r="CN14">
        <v>-0.64056972789341149</v>
      </c>
      <c r="FR14">
        <v>1999.9999999966738</v>
      </c>
      <c r="FU14">
        <v>96.64893617021275</v>
      </c>
      <c r="FV14">
        <v>6765425.5319148926</v>
      </c>
      <c r="FW14">
        <v>-62547.274999999994</v>
      </c>
      <c r="FX14">
        <v>6702878.2569148922</v>
      </c>
      <c r="FY14">
        <v>-44839.880952538806</v>
      </c>
      <c r="FZ14">
        <v>-31821.533119184958</v>
      </c>
      <c r="GA14">
        <v>-6728575.3536541034</v>
      </c>
      <c r="GB14">
        <v>-210000</v>
      </c>
      <c r="GC14">
        <v>0</v>
      </c>
      <c r="GD14">
        <v>-27061.70212765957</v>
      </c>
      <c r="GE14">
        <v>-9100</v>
      </c>
      <c r="GF14">
        <v>-7051398.4698534869</v>
      </c>
      <c r="GG14">
        <v>-100.73426385504982</v>
      </c>
      <c r="GH14">
        <v>-348520.21293859463</v>
      </c>
      <c r="GI14">
        <v>-4.9788601848370666</v>
      </c>
      <c r="GK14" t="s">
        <v>264</v>
      </c>
    </row>
    <row r="15" spans="1:193" ht="15" customHeight="1">
      <c r="B15">
        <v>10</v>
      </c>
      <c r="C15">
        <v>46204</v>
      </c>
      <c r="D15" t="s">
        <v>5</v>
      </c>
      <c r="E15" t="s">
        <v>155</v>
      </c>
      <c r="F15" t="s">
        <v>238</v>
      </c>
      <c r="G15" t="s">
        <v>286</v>
      </c>
      <c r="H15" t="s">
        <v>3</v>
      </c>
      <c r="J15">
        <v>46215</v>
      </c>
      <c r="K15">
        <v>46217.886937830699</v>
      </c>
      <c r="L15">
        <v>46219.319229497363</v>
      </c>
      <c r="R15">
        <v>2500</v>
      </c>
      <c r="U15">
        <v>7500</v>
      </c>
      <c r="V15">
        <v>15000</v>
      </c>
      <c r="Y15">
        <v>7500</v>
      </c>
      <c r="BI15">
        <v>22500</v>
      </c>
      <c r="BJ15">
        <v>55000</v>
      </c>
      <c r="BL15">
        <v>46215</v>
      </c>
      <c r="BM15">
        <v>46224</v>
      </c>
      <c r="BO15">
        <v>0.40909090909090912</v>
      </c>
      <c r="BQ15" t="s">
        <v>154</v>
      </c>
      <c r="BU15">
        <v>34.181439833158549</v>
      </c>
      <c r="BV15">
        <v>14.042670209676217</v>
      </c>
      <c r="BW15">
        <v>6.2036102115525846</v>
      </c>
      <c r="BX15">
        <v>4.6044551587492837</v>
      </c>
      <c r="BY15">
        <v>0.7947644810016844</v>
      </c>
      <c r="BZ15">
        <v>0.69303990614553812</v>
      </c>
      <c r="CA15">
        <v>5720.8213860056894</v>
      </c>
      <c r="CB15">
        <v>4444.895878258244</v>
      </c>
      <c r="CC15">
        <v>4078.3674203401824</v>
      </c>
      <c r="CF15">
        <v>0</v>
      </c>
      <c r="CN15">
        <v>0</v>
      </c>
      <c r="FR15">
        <v>1600.0000000027094</v>
      </c>
      <c r="FU15">
        <v>40.352002530844672</v>
      </c>
      <c r="FV15">
        <v>2219360.1391964569</v>
      </c>
      <c r="FW15">
        <v>0</v>
      </c>
      <c r="FX15">
        <v>2219360.1391964569</v>
      </c>
      <c r="FY15">
        <v>0</v>
      </c>
      <c r="FZ15">
        <v>0</v>
      </c>
      <c r="GA15">
        <v>-2740270.2776180939</v>
      </c>
      <c r="GB15">
        <v>-165000</v>
      </c>
      <c r="GC15">
        <v>0</v>
      </c>
      <c r="GD15">
        <v>-8877.4405567858284</v>
      </c>
      <c r="GE15">
        <v>-7150</v>
      </c>
      <c r="GF15">
        <v>-2921297.7181748799</v>
      </c>
      <c r="GG15">
        <v>-53.114503966815995</v>
      </c>
      <c r="GH15">
        <v>-701937.57897842303</v>
      </c>
      <c r="GI15">
        <v>-12.762501435971329</v>
      </c>
      <c r="GK15" t="s">
        <v>259</v>
      </c>
    </row>
    <row r="16" spans="1:193" ht="15" customHeight="1">
      <c r="B16">
        <v>11</v>
      </c>
      <c r="C16">
        <v>46204</v>
      </c>
      <c r="D16" t="s">
        <v>5</v>
      </c>
      <c r="E16" t="s">
        <v>282</v>
      </c>
      <c r="F16" t="s">
        <v>158</v>
      </c>
      <c r="G16" t="s">
        <v>276</v>
      </c>
      <c r="H16" t="s">
        <v>3</v>
      </c>
      <c r="J16">
        <v>46216</v>
      </c>
      <c r="K16">
        <v>46219.715062830699</v>
      </c>
      <c r="L16">
        <v>46221.265988756626</v>
      </c>
      <c r="R16">
        <v>52000</v>
      </c>
      <c r="Y16">
        <v>15000</v>
      </c>
      <c r="BJ16">
        <v>67000</v>
      </c>
      <c r="BL16">
        <v>46216</v>
      </c>
      <c r="BM16">
        <v>46225</v>
      </c>
      <c r="BO16">
        <v>0</v>
      </c>
      <c r="BQ16" t="s">
        <v>154</v>
      </c>
      <c r="BU16">
        <v>21.925866239967554</v>
      </c>
      <c r="BV16">
        <v>12.656579215822662</v>
      </c>
      <c r="BW16">
        <v>7.7223873388031654</v>
      </c>
      <c r="BX16">
        <v>6.8841684266355481</v>
      </c>
      <c r="BY16">
        <v>1.8935513823979508</v>
      </c>
      <c r="BZ16">
        <v>1.7560105759176436</v>
      </c>
      <c r="CA16">
        <v>5923.6472123012927</v>
      </c>
      <c r="CB16">
        <v>5312.0882545691229</v>
      </c>
      <c r="CC16">
        <v>4992.4988507553871</v>
      </c>
      <c r="CF16">
        <v>0</v>
      </c>
      <c r="CN16">
        <v>-0.69897866644240259</v>
      </c>
      <c r="FR16">
        <v>1799.999999998749</v>
      </c>
      <c r="FU16">
        <v>49.05</v>
      </c>
      <c r="FV16">
        <v>3286350</v>
      </c>
      <c r="FW16">
        <v>0</v>
      </c>
      <c r="FX16">
        <v>3286350</v>
      </c>
      <c r="FY16">
        <v>-46831.57065164097</v>
      </c>
      <c r="FZ16">
        <v>0</v>
      </c>
      <c r="GA16">
        <v>-3579854.5680183503</v>
      </c>
      <c r="GB16">
        <v>-201000</v>
      </c>
      <c r="GC16">
        <v>0</v>
      </c>
      <c r="GD16">
        <v>-13145.4</v>
      </c>
      <c r="GE16">
        <v>-8710</v>
      </c>
      <c r="GF16">
        <v>-3849541.5386699913</v>
      </c>
      <c r="GG16">
        <v>-57.455843860746135</v>
      </c>
      <c r="GH16">
        <v>-563191.53866999131</v>
      </c>
      <c r="GI16">
        <v>-8.4058438607461383</v>
      </c>
      <c r="GK16" t="s">
        <v>264</v>
      </c>
    </row>
    <row r="17" spans="2:193" ht="15" customHeight="1">
      <c r="B17">
        <v>12</v>
      </c>
      <c r="C17">
        <v>46204</v>
      </c>
      <c r="D17" t="s">
        <v>5</v>
      </c>
      <c r="E17" t="s">
        <v>155</v>
      </c>
      <c r="F17" t="s">
        <v>156</v>
      </c>
      <c r="G17" t="s">
        <v>279</v>
      </c>
      <c r="H17" t="s">
        <v>3</v>
      </c>
      <c r="J17">
        <v>46218</v>
      </c>
      <c r="K17">
        <v>46221.411822089962</v>
      </c>
      <c r="L17">
        <v>46223.356266534407</v>
      </c>
      <c r="R17">
        <v>35000</v>
      </c>
      <c r="Y17">
        <v>7500</v>
      </c>
      <c r="AQ17">
        <v>7500</v>
      </c>
      <c r="AT17">
        <v>15000</v>
      </c>
      <c r="AX17">
        <v>5000</v>
      </c>
      <c r="BJ17">
        <v>70000</v>
      </c>
      <c r="BL17">
        <v>46218</v>
      </c>
      <c r="BM17">
        <v>46227</v>
      </c>
      <c r="BO17">
        <v>0.39285714285714285</v>
      </c>
      <c r="BQ17" t="s">
        <v>154</v>
      </c>
      <c r="BU17">
        <v>28.287131800160779</v>
      </c>
      <c r="BV17">
        <v>13.539464906365467</v>
      </c>
      <c r="BW17">
        <v>6.5752509704922701</v>
      </c>
      <c r="BX17">
        <v>5.5619367355069231</v>
      </c>
      <c r="BY17">
        <v>1.2768042466000682</v>
      </c>
      <c r="BZ17">
        <v>1.1714073761401969</v>
      </c>
      <c r="CA17">
        <v>5748.0143063069463</v>
      </c>
      <c r="CB17">
        <v>4792.7707169310443</v>
      </c>
      <c r="CC17">
        <v>4454.5368827939728</v>
      </c>
      <c r="CF17">
        <v>0.20593620000000001</v>
      </c>
      <c r="CN17">
        <v>-0.79875425170466774</v>
      </c>
      <c r="FR17">
        <v>1499.9999999993763</v>
      </c>
      <c r="FU17">
        <v>79.435531914893616</v>
      </c>
      <c r="FV17">
        <v>5560487.2340425532</v>
      </c>
      <c r="FW17">
        <v>14415.534000000001</v>
      </c>
      <c r="FX17">
        <v>5574902.7680425532</v>
      </c>
      <c r="FY17">
        <v>-55912.797619326739</v>
      </c>
      <c r="FZ17">
        <v>-31821.533119184958</v>
      </c>
      <c r="GA17">
        <v>-5705695.8210038021</v>
      </c>
      <c r="GB17">
        <v>-210000</v>
      </c>
      <c r="GC17">
        <v>0</v>
      </c>
      <c r="GD17">
        <v>-22241.948936170214</v>
      </c>
      <c r="GE17">
        <v>-9100</v>
      </c>
      <c r="GF17">
        <v>-6034772.100678484</v>
      </c>
      <c r="GG17">
        <v>-86.211030009692621</v>
      </c>
      <c r="GH17">
        <v>-459869.33263593074</v>
      </c>
      <c r="GI17">
        <v>-6.5695618947990102</v>
      </c>
      <c r="GK17" t="s">
        <v>259</v>
      </c>
    </row>
    <row r="18" spans="2:193" ht="15" customHeight="1">
      <c r="B18">
        <v>13</v>
      </c>
      <c r="C18">
        <v>46204</v>
      </c>
      <c r="D18" t="s">
        <v>5</v>
      </c>
      <c r="E18" t="s">
        <v>155</v>
      </c>
      <c r="F18" t="s">
        <v>238</v>
      </c>
      <c r="G18" t="s">
        <v>363</v>
      </c>
      <c r="H18" t="s">
        <v>3</v>
      </c>
      <c r="J18">
        <v>46220</v>
      </c>
      <c r="K18">
        <v>46223.502099867743</v>
      </c>
      <c r="L18">
        <v>46224.934391534407</v>
      </c>
      <c r="R18">
        <v>2500</v>
      </c>
      <c r="U18">
        <v>7500</v>
      </c>
      <c r="V18">
        <v>15000</v>
      </c>
      <c r="Y18">
        <v>7500</v>
      </c>
      <c r="BI18">
        <v>22500</v>
      </c>
      <c r="BJ18">
        <v>55000</v>
      </c>
      <c r="BL18">
        <v>46220</v>
      </c>
      <c r="BM18">
        <v>46229</v>
      </c>
      <c r="BO18">
        <v>0.40909090909090912</v>
      </c>
      <c r="BQ18" t="s">
        <v>154</v>
      </c>
      <c r="BU18">
        <v>34.181439833158549</v>
      </c>
      <c r="BV18">
        <v>14.042670209676217</v>
      </c>
      <c r="BW18">
        <v>6.2036102115525846</v>
      </c>
      <c r="BX18">
        <v>4.6044551587492837</v>
      </c>
      <c r="BY18">
        <v>0.7947644810016844</v>
      </c>
      <c r="BZ18">
        <v>0.69303990614553812</v>
      </c>
      <c r="CA18">
        <v>5720.8213860056894</v>
      </c>
      <c r="CB18">
        <v>4444.895878258244</v>
      </c>
      <c r="CC18">
        <v>4078.3674203401824</v>
      </c>
      <c r="CF18">
        <v>0</v>
      </c>
      <c r="CN18">
        <v>0</v>
      </c>
      <c r="FR18">
        <v>1600.0000000027094</v>
      </c>
      <c r="FU18">
        <v>40.352002530844672</v>
      </c>
      <c r="FV18">
        <v>2219360.1391964569</v>
      </c>
      <c r="FW18">
        <v>0</v>
      </c>
      <c r="FX18">
        <v>2219360.1391964569</v>
      </c>
      <c r="FY18">
        <v>0</v>
      </c>
      <c r="FZ18">
        <v>0</v>
      </c>
      <c r="GA18">
        <v>-2740270.2776180939</v>
      </c>
      <c r="GB18">
        <v>-165000</v>
      </c>
      <c r="GC18">
        <v>0</v>
      </c>
      <c r="GD18">
        <v>-8877.4405567858284</v>
      </c>
      <c r="GE18">
        <v>-7150</v>
      </c>
      <c r="GF18">
        <v>-2921297.7181748799</v>
      </c>
      <c r="GG18">
        <v>-53.114503966815995</v>
      </c>
      <c r="GH18">
        <v>-701937.57897842303</v>
      </c>
      <c r="GI18">
        <v>-12.762501435971329</v>
      </c>
      <c r="GK18" t="s">
        <v>259</v>
      </c>
    </row>
    <row r="19" spans="2:193" ht="15" customHeight="1">
      <c r="B19">
        <v>14</v>
      </c>
      <c r="C19">
        <v>46204</v>
      </c>
      <c r="D19" t="s">
        <v>5</v>
      </c>
      <c r="E19" t="s">
        <v>155</v>
      </c>
      <c r="F19" t="s">
        <v>159</v>
      </c>
      <c r="G19" t="s">
        <v>285</v>
      </c>
      <c r="H19" t="s">
        <v>3</v>
      </c>
      <c r="J19">
        <v>46222</v>
      </c>
      <c r="K19">
        <v>46225.080224867743</v>
      </c>
      <c r="L19">
        <v>46226.434391534407</v>
      </c>
      <c r="Q19">
        <v>5000</v>
      </c>
      <c r="R19">
        <v>49700</v>
      </c>
      <c r="AV19">
        <v>5300</v>
      </c>
      <c r="AX19">
        <v>5000</v>
      </c>
      <c r="BJ19">
        <v>65000</v>
      </c>
      <c r="BL19">
        <v>46222</v>
      </c>
      <c r="BM19">
        <v>46231</v>
      </c>
      <c r="BO19">
        <v>0.15846153846153846</v>
      </c>
      <c r="BQ19" t="s">
        <v>154</v>
      </c>
      <c r="BU19">
        <v>20.435010203196516</v>
      </c>
      <c r="BV19">
        <v>10.779660115822221</v>
      </c>
      <c r="BW19">
        <v>7.5892617771845652</v>
      </c>
      <c r="BX19">
        <v>6.8093908444994184</v>
      </c>
      <c r="BY19">
        <v>2.0063781005836328</v>
      </c>
      <c r="BZ19">
        <v>1.8549523043328753</v>
      </c>
      <c r="CA19">
        <v>6081.1310144292675</v>
      </c>
      <c r="CB19">
        <v>5442.3901035897989</v>
      </c>
      <c r="CC19">
        <v>5126.6221368126562</v>
      </c>
      <c r="CF19">
        <v>-0.71092350000000004</v>
      </c>
      <c r="CN19">
        <v>-0.63952380952810373</v>
      </c>
      <c r="FR19">
        <v>2000.000000003582</v>
      </c>
      <c r="FU19">
        <v>96.14893617021275</v>
      </c>
      <c r="FV19">
        <v>6249680.8510638289</v>
      </c>
      <c r="FW19">
        <v>-46210.027500000004</v>
      </c>
      <c r="FX19">
        <v>6203470.8235638291</v>
      </c>
      <c r="FY19">
        <v>-41569.047619326739</v>
      </c>
      <c r="FZ19">
        <v>0</v>
      </c>
      <c r="GA19">
        <v>-6271844.0853252672</v>
      </c>
      <c r="GB19">
        <v>-195000</v>
      </c>
      <c r="GC19">
        <v>0</v>
      </c>
      <c r="GD19">
        <v>-24998.723404255317</v>
      </c>
      <c r="GE19">
        <v>-8450</v>
      </c>
      <c r="GF19">
        <v>-6541861.8563488498</v>
      </c>
      <c r="GG19">
        <v>-100.64402855921307</v>
      </c>
      <c r="GH19">
        <v>-338391.03278502077</v>
      </c>
      <c r="GI19">
        <v>-5.2060158890003194</v>
      </c>
      <c r="GK19" t="s">
        <v>264</v>
      </c>
    </row>
    <row r="20" spans="2:193" ht="14" customHeight="1">
      <c r="B20">
        <v>15</v>
      </c>
      <c r="C20">
        <v>46204</v>
      </c>
      <c r="D20" t="s">
        <v>5</v>
      </c>
      <c r="E20" t="s">
        <v>155</v>
      </c>
      <c r="F20" t="s">
        <v>238</v>
      </c>
      <c r="G20" t="s">
        <v>364</v>
      </c>
      <c r="H20" t="s">
        <v>3</v>
      </c>
      <c r="J20">
        <v>46224</v>
      </c>
      <c r="K20">
        <v>46226.580224867743</v>
      </c>
      <c r="L20">
        <v>46228.012516534407</v>
      </c>
      <c r="R20">
        <v>2500</v>
      </c>
      <c r="U20">
        <v>7500</v>
      </c>
      <c r="V20">
        <v>15000</v>
      </c>
      <c r="Y20">
        <v>15000</v>
      </c>
      <c r="BI20">
        <v>15000</v>
      </c>
      <c r="BJ20">
        <v>55000</v>
      </c>
      <c r="BL20">
        <v>46224</v>
      </c>
      <c r="BM20">
        <v>46233</v>
      </c>
      <c r="BO20">
        <v>0.27272727272727271</v>
      </c>
      <c r="BQ20" t="s">
        <v>154</v>
      </c>
      <c r="BU20">
        <v>32.830245069329763</v>
      </c>
      <c r="BV20">
        <v>14.787684128639462</v>
      </c>
      <c r="BW20">
        <v>6.289452209307937</v>
      </c>
      <c r="BX20">
        <v>4.8219919273748477</v>
      </c>
      <c r="BY20">
        <v>0.78374218671068185</v>
      </c>
      <c r="BZ20">
        <v>0.69092520252877576</v>
      </c>
      <c r="CA20">
        <v>5682.8030320011076</v>
      </c>
      <c r="CB20">
        <v>4534.5212737599586</v>
      </c>
      <c r="CC20">
        <v>4175.0440603745119</v>
      </c>
      <c r="CF20">
        <v>0</v>
      </c>
      <c r="CN20">
        <v>0</v>
      </c>
      <c r="FR20">
        <v>1600.0000000027094</v>
      </c>
      <c r="FU20">
        <v>40.352002530844672</v>
      </c>
      <c r="FV20">
        <v>2219360.1391964569</v>
      </c>
      <c r="FW20">
        <v>0</v>
      </c>
      <c r="FX20">
        <v>2219360.1391964569</v>
      </c>
      <c r="FY20">
        <v>0</v>
      </c>
      <c r="FZ20">
        <v>0</v>
      </c>
      <c r="GA20">
        <v>-2829496.326960199</v>
      </c>
      <c r="GB20">
        <v>-165000</v>
      </c>
      <c r="GC20">
        <v>0</v>
      </c>
      <c r="GD20">
        <v>-8877.4405567858284</v>
      </c>
      <c r="GE20">
        <v>-7150</v>
      </c>
      <c r="GF20">
        <v>-3010523.7675169851</v>
      </c>
      <c r="GG20">
        <v>-54.736795773036093</v>
      </c>
      <c r="GH20">
        <v>-791163.62832052819</v>
      </c>
      <c r="GI20">
        <v>-14.384793242191421</v>
      </c>
      <c r="GK20" t="s">
        <v>259</v>
      </c>
    </row>
    <row r="21" spans="2:193" ht="14" customHeight="1">
      <c r="B21">
        <v>16</v>
      </c>
      <c r="C21">
        <v>46204</v>
      </c>
      <c r="D21" t="s">
        <v>5</v>
      </c>
      <c r="E21" t="s">
        <v>227</v>
      </c>
      <c r="F21" t="s">
        <v>158</v>
      </c>
      <c r="G21" t="s">
        <v>277</v>
      </c>
      <c r="H21" t="s">
        <v>3</v>
      </c>
      <c r="J21">
        <v>46226</v>
      </c>
      <c r="K21">
        <v>46228.158349867743</v>
      </c>
      <c r="L21">
        <v>46229.70927579367</v>
      </c>
      <c r="R21">
        <v>52000</v>
      </c>
      <c r="Y21">
        <v>15000</v>
      </c>
      <c r="BJ21">
        <v>67000</v>
      </c>
      <c r="BL21">
        <v>46220</v>
      </c>
      <c r="BM21">
        <v>46229</v>
      </c>
      <c r="BO21">
        <v>0</v>
      </c>
      <c r="BQ21" t="s">
        <v>154</v>
      </c>
      <c r="BU21">
        <v>21.925866239967554</v>
      </c>
      <c r="BV21">
        <v>12.656579215822662</v>
      </c>
      <c r="BW21">
        <v>7.7223873388031654</v>
      </c>
      <c r="BX21">
        <v>6.8841684266355481</v>
      </c>
      <c r="BY21">
        <v>1.8935513823979508</v>
      </c>
      <c r="BZ21">
        <v>1.7560105759176436</v>
      </c>
      <c r="CA21">
        <v>5923.6472123012927</v>
      </c>
      <c r="CB21">
        <v>5312.0882545691229</v>
      </c>
      <c r="CC21">
        <v>4992.4988507553871</v>
      </c>
      <c r="CF21">
        <v>0</v>
      </c>
      <c r="CN21">
        <v>-0.34695242611777899</v>
      </c>
      <c r="FR21">
        <v>1799.999999998749</v>
      </c>
      <c r="FU21">
        <v>49.05</v>
      </c>
      <c r="FV21">
        <v>3286350</v>
      </c>
      <c r="FW21">
        <v>0</v>
      </c>
      <c r="FX21">
        <v>3286350</v>
      </c>
      <c r="FY21">
        <v>-23245.812549891194</v>
      </c>
      <c r="FZ21">
        <v>0</v>
      </c>
      <c r="GA21">
        <v>-3579854.5680183503</v>
      </c>
      <c r="GB21">
        <v>-201000</v>
      </c>
      <c r="GC21">
        <v>0</v>
      </c>
      <c r="GD21">
        <v>-13145.4</v>
      </c>
      <c r="GE21">
        <v>-8710</v>
      </c>
      <c r="GF21">
        <v>-3825955.7805682416</v>
      </c>
      <c r="GG21">
        <v>-57.103817620421516</v>
      </c>
      <c r="GH21">
        <v>-539605.78056824161</v>
      </c>
      <c r="GI21">
        <v>-8.0538176204215173</v>
      </c>
      <c r="GK21" t="s">
        <v>264</v>
      </c>
    </row>
    <row r="22" spans="2:193" ht="14" customHeight="1">
      <c r="B22">
        <v>17</v>
      </c>
      <c r="C22">
        <v>46204</v>
      </c>
      <c r="D22" t="s">
        <v>5</v>
      </c>
      <c r="E22" t="s">
        <v>155</v>
      </c>
      <c r="F22" t="s">
        <v>238</v>
      </c>
      <c r="G22" t="s">
        <v>365</v>
      </c>
      <c r="H22" t="s">
        <v>3</v>
      </c>
      <c r="J22">
        <v>46228</v>
      </c>
      <c r="K22">
        <v>46230.105109127006</v>
      </c>
      <c r="L22">
        <v>46231.53740079367</v>
      </c>
      <c r="R22">
        <v>10000</v>
      </c>
      <c r="U22">
        <v>15000</v>
      </c>
      <c r="Y22">
        <v>15000</v>
      </c>
      <c r="BI22">
        <v>15000</v>
      </c>
      <c r="BJ22">
        <v>55000</v>
      </c>
      <c r="BL22">
        <v>46228</v>
      </c>
      <c r="BM22">
        <v>46237</v>
      </c>
      <c r="BO22">
        <v>0.27272727272727271</v>
      </c>
      <c r="BQ22" t="s">
        <v>154</v>
      </c>
      <c r="BU22">
        <v>32.499181381419291</v>
      </c>
      <c r="BV22">
        <v>14.795597058336023</v>
      </c>
      <c r="BW22">
        <v>6.4696974311919444</v>
      </c>
      <c r="BX22">
        <v>5.008859674777943</v>
      </c>
      <c r="BY22">
        <v>0.70431686673185057</v>
      </c>
      <c r="BZ22">
        <v>0.62196973436774128</v>
      </c>
      <c r="CA22">
        <v>5674.7295868042784</v>
      </c>
      <c r="CB22">
        <v>4551.3185288820532</v>
      </c>
      <c r="CC22">
        <v>4195.1562894009803</v>
      </c>
      <c r="CF22">
        <v>0</v>
      </c>
      <c r="CN22">
        <v>0</v>
      </c>
      <c r="FR22">
        <v>1600.0000000027094</v>
      </c>
      <c r="FU22">
        <v>40.352002530844672</v>
      </c>
      <c r="FV22">
        <v>2219360.1391964569</v>
      </c>
      <c r="FW22">
        <v>0</v>
      </c>
      <c r="FX22">
        <v>2219360.1391964569</v>
      </c>
      <c r="FY22">
        <v>0</v>
      </c>
      <c r="FZ22">
        <v>0</v>
      </c>
      <c r="GA22">
        <v>-2887562.5610309867</v>
      </c>
      <c r="GB22">
        <v>-165000</v>
      </c>
      <c r="GC22">
        <v>0</v>
      </c>
      <c r="GD22">
        <v>-8877.4405567858284</v>
      </c>
      <c r="GE22">
        <v>-7150</v>
      </c>
      <c r="GF22">
        <v>-3068590.0015877727</v>
      </c>
      <c r="GG22">
        <v>-55.792545483414052</v>
      </c>
      <c r="GH22">
        <v>-849229.86239131587</v>
      </c>
      <c r="GI22">
        <v>-15.440542952569379</v>
      </c>
      <c r="GK22" t="s">
        <v>259</v>
      </c>
    </row>
    <row r="23" spans="2:193" ht="15" customHeight="1">
      <c r="B23">
        <v>18</v>
      </c>
      <c r="C23">
        <v>46204</v>
      </c>
      <c r="D23" t="s">
        <v>5</v>
      </c>
      <c r="E23" t="s">
        <v>155</v>
      </c>
      <c r="F23" t="s">
        <v>167</v>
      </c>
      <c r="G23" t="s">
        <v>287</v>
      </c>
      <c r="H23" t="s">
        <v>3</v>
      </c>
      <c r="J23">
        <v>46229</v>
      </c>
      <c r="K23">
        <v>46231.683234127006</v>
      </c>
      <c r="L23">
        <v>46232.579067460341</v>
      </c>
      <c r="N23">
        <v>5500</v>
      </c>
      <c r="S23">
        <v>15000</v>
      </c>
      <c r="AB23">
        <v>7500</v>
      </c>
      <c r="AH23">
        <v>7500</v>
      </c>
      <c r="AJ23">
        <v>7500</v>
      </c>
      <c r="BJ23">
        <v>43000</v>
      </c>
      <c r="BL23">
        <v>46229</v>
      </c>
      <c r="BM23">
        <v>46238</v>
      </c>
      <c r="BO23">
        <v>0.34883720930232559</v>
      </c>
      <c r="BQ23" t="s">
        <v>154</v>
      </c>
      <c r="BU23">
        <v>16.490127639540358</v>
      </c>
      <c r="BV23">
        <v>9.5337229166115343</v>
      </c>
      <c r="BW23">
        <v>4.5634637981256221</v>
      </c>
      <c r="BX23">
        <v>4.191180246045155</v>
      </c>
      <c r="BY23">
        <v>0.86360473735794208</v>
      </c>
      <c r="BZ23">
        <v>0.80235625297303559</v>
      </c>
      <c r="CA23">
        <v>6598.8441799269658</v>
      </c>
      <c r="CB23">
        <v>6099.5468019311393</v>
      </c>
      <c r="CC23">
        <v>5838.3833353578839</v>
      </c>
      <c r="CF23">
        <v>1.6823431</v>
      </c>
      <c r="CN23">
        <v>-0.83891196014287861</v>
      </c>
      <c r="FR23">
        <v>1999.9999999945853</v>
      </c>
      <c r="FU23">
        <v>133.09999999999997</v>
      </c>
      <c r="FV23">
        <v>5723299.9999999981</v>
      </c>
      <c r="FW23">
        <v>72340.753299999997</v>
      </c>
      <c r="FX23">
        <v>5795640.7532999981</v>
      </c>
      <c r="FY23">
        <v>-36073.214286143782</v>
      </c>
      <c r="FZ23">
        <v>-72130.028724436255</v>
      </c>
      <c r="GA23">
        <v>-4937160.8346726429</v>
      </c>
      <c r="GB23">
        <v>-129000</v>
      </c>
      <c r="GC23">
        <v>0</v>
      </c>
      <c r="GD23">
        <v>-22893.199999999993</v>
      </c>
      <c r="GE23">
        <v>-5590</v>
      </c>
      <c r="GF23">
        <v>-5202847.2776832227</v>
      </c>
      <c r="GG23">
        <v>-120.99644831821448</v>
      </c>
      <c r="GH23">
        <v>592793.47561677545</v>
      </c>
      <c r="GI23">
        <v>13.785894781785476</v>
      </c>
      <c r="GK23" t="s">
        <v>55</v>
      </c>
    </row>
    <row r="24" spans="2:193" ht="15" customHeight="1">
      <c r="B24">
        <v>19</v>
      </c>
      <c r="C24">
        <v>46204</v>
      </c>
      <c r="D24" t="s">
        <v>5</v>
      </c>
      <c r="E24" t="s">
        <v>155</v>
      </c>
      <c r="F24" t="s">
        <v>238</v>
      </c>
      <c r="G24" t="s">
        <v>366</v>
      </c>
      <c r="H24" t="s">
        <v>3</v>
      </c>
      <c r="J24">
        <v>46231</v>
      </c>
      <c r="K24">
        <v>46232.724900793677</v>
      </c>
      <c r="L24">
        <v>46234.157192460341</v>
      </c>
      <c r="R24">
        <v>10000</v>
      </c>
      <c r="U24">
        <v>15000</v>
      </c>
      <c r="Y24">
        <v>15000</v>
      </c>
      <c r="BI24">
        <v>15000</v>
      </c>
      <c r="BJ24">
        <v>55000</v>
      </c>
      <c r="BL24">
        <v>46231</v>
      </c>
      <c r="BM24">
        <v>46240</v>
      </c>
      <c r="BO24">
        <v>0.27272727272727271</v>
      </c>
      <c r="BQ24" t="s">
        <v>154</v>
      </c>
      <c r="BU24">
        <v>32.499181381419291</v>
      </c>
      <c r="BV24">
        <v>14.795597058336023</v>
      </c>
      <c r="BW24">
        <v>6.4696974311919444</v>
      </c>
      <c r="BX24">
        <v>5.008859674777943</v>
      </c>
      <c r="BY24">
        <v>0.70431686673185057</v>
      </c>
      <c r="BZ24">
        <v>0.62196973436774128</v>
      </c>
      <c r="CA24">
        <v>5674.7295868042784</v>
      </c>
      <c r="CB24">
        <v>4551.3185288820532</v>
      </c>
      <c r="CC24">
        <v>4195.1562894009803</v>
      </c>
      <c r="CF24">
        <v>0</v>
      </c>
      <c r="CN24">
        <v>0</v>
      </c>
      <c r="FR24">
        <v>1600.0000000027094</v>
      </c>
      <c r="FU24">
        <v>40.352002530844672</v>
      </c>
      <c r="FV24">
        <v>2219360.1391964569</v>
      </c>
      <c r="FW24">
        <v>0</v>
      </c>
      <c r="FX24">
        <v>2219360.1391964569</v>
      </c>
      <c r="FY24">
        <v>0</v>
      </c>
      <c r="FZ24">
        <v>0</v>
      </c>
      <c r="GA24">
        <v>-2887562.5610309867</v>
      </c>
      <c r="GB24">
        <v>-165000</v>
      </c>
      <c r="GC24">
        <v>0</v>
      </c>
      <c r="GD24">
        <v>-8877.4405567858284</v>
      </c>
      <c r="GE24">
        <v>-7150</v>
      </c>
      <c r="GF24">
        <v>-3068590.0015877727</v>
      </c>
      <c r="GG24">
        <v>-55.792545483414052</v>
      </c>
      <c r="GH24">
        <v>-849229.86239131587</v>
      </c>
      <c r="GI24">
        <v>-15.440542952569379</v>
      </c>
      <c r="GK24" t="s">
        <v>259</v>
      </c>
    </row>
    <row r="25" spans="2:193" ht="15" customHeight="1">
      <c r="B25">
        <v>20</v>
      </c>
      <c r="C25">
        <v>46204</v>
      </c>
      <c r="D25" t="s">
        <v>5</v>
      </c>
      <c r="E25" t="s">
        <v>168</v>
      </c>
      <c r="F25" t="s">
        <v>289</v>
      </c>
      <c r="G25" t="s">
        <v>290</v>
      </c>
      <c r="H25" t="s">
        <v>3</v>
      </c>
      <c r="J25">
        <v>46216</v>
      </c>
      <c r="K25">
        <v>46216</v>
      </c>
      <c r="L25">
        <v>46216.208333333336</v>
      </c>
      <c r="R25">
        <v>3750</v>
      </c>
      <c r="BI25">
        <v>3750</v>
      </c>
      <c r="BJ25">
        <v>7500</v>
      </c>
      <c r="BO25">
        <v>0.5</v>
      </c>
      <c r="BQ25" t="s">
        <v>154</v>
      </c>
      <c r="BU25">
        <v>33.731492793454592</v>
      </c>
      <c r="BV25">
        <v>12.925596931253406</v>
      </c>
      <c r="BW25">
        <v>7.3018177426961142</v>
      </c>
      <c r="BX25">
        <v>5.6063148566951178</v>
      </c>
      <c r="BY25">
        <v>1.3275999518526249</v>
      </c>
      <c r="BZ25">
        <v>1.1891941623275664</v>
      </c>
      <c r="CA25">
        <v>5713.6844205848402</v>
      </c>
      <c r="CB25">
        <v>4404.0155438815673</v>
      </c>
      <c r="CC25">
        <v>4040.901313562325</v>
      </c>
      <c r="CF25">
        <v>0</v>
      </c>
      <c r="CN25">
        <v>0</v>
      </c>
      <c r="FR25">
        <v>1499.9999999825377</v>
      </c>
      <c r="FU25">
        <v>40.352002530844672</v>
      </c>
      <c r="FV25">
        <v>302640.01898133504</v>
      </c>
      <c r="FW25">
        <v>0</v>
      </c>
      <c r="FX25">
        <v>302640.01898133504</v>
      </c>
      <c r="FY25">
        <v>0</v>
      </c>
      <c r="FZ25">
        <v>0</v>
      </c>
      <c r="GA25">
        <v>-356186.71653851971</v>
      </c>
      <c r="GB25">
        <v>-22500</v>
      </c>
      <c r="GC25">
        <v>0</v>
      </c>
      <c r="GD25">
        <v>-1210.5600759253402</v>
      </c>
      <c r="GE25">
        <v>-975</v>
      </c>
      <c r="GF25">
        <v>-380872.27661444503</v>
      </c>
      <c r="GG25">
        <v>-50.78297021525934</v>
      </c>
      <c r="GH25">
        <v>-78232.257633109984</v>
      </c>
      <c r="GI25">
        <v>-10.430967684414664</v>
      </c>
      <c r="GK25" t="s">
        <v>259</v>
      </c>
    </row>
    <row r="26" spans="2:193" ht="15" customHeight="1">
      <c r="B26">
        <v>21</v>
      </c>
      <c r="C26">
        <v>46204</v>
      </c>
      <c r="D26" t="s">
        <v>5</v>
      </c>
      <c r="E26" t="s">
        <v>168</v>
      </c>
      <c r="F26" t="s">
        <v>289</v>
      </c>
      <c r="G26" t="s">
        <v>292</v>
      </c>
      <c r="H26" t="s">
        <v>3</v>
      </c>
      <c r="J26">
        <v>46218</v>
      </c>
      <c r="K26">
        <v>46218</v>
      </c>
      <c r="L26">
        <v>46218.208333333336</v>
      </c>
      <c r="R26">
        <v>3750</v>
      </c>
      <c r="BI26">
        <v>3750</v>
      </c>
      <c r="BJ26">
        <v>7500</v>
      </c>
      <c r="BO26">
        <v>0.5</v>
      </c>
      <c r="BQ26" t="s">
        <v>154</v>
      </c>
      <c r="BU26">
        <v>33.731492793454592</v>
      </c>
      <c r="BV26">
        <v>12.925596931253406</v>
      </c>
      <c r="BW26">
        <v>7.3018177426961142</v>
      </c>
      <c r="BX26">
        <v>5.6063148566951178</v>
      </c>
      <c r="BY26">
        <v>1.3275999518526249</v>
      </c>
      <c r="BZ26">
        <v>1.1891941623275664</v>
      </c>
      <c r="CA26">
        <v>5713.6844205848402</v>
      </c>
      <c r="CB26">
        <v>4404.0155438815673</v>
      </c>
      <c r="CC26">
        <v>4040.901313562325</v>
      </c>
      <c r="CF26">
        <v>0</v>
      </c>
      <c r="CN26">
        <v>0</v>
      </c>
      <c r="FR26">
        <v>1499.9999999825377</v>
      </c>
      <c r="FU26">
        <v>40.352002530844672</v>
      </c>
      <c r="FV26">
        <v>302640.01898133504</v>
      </c>
      <c r="FW26">
        <v>0</v>
      </c>
      <c r="FX26">
        <v>302640.01898133504</v>
      </c>
      <c r="FY26">
        <v>0</v>
      </c>
      <c r="FZ26">
        <v>0</v>
      </c>
      <c r="GA26">
        <v>-356186.71653851971</v>
      </c>
      <c r="GB26">
        <v>-22500</v>
      </c>
      <c r="GC26">
        <v>0</v>
      </c>
      <c r="GD26">
        <v>-1210.5600759253402</v>
      </c>
      <c r="GE26">
        <v>-975</v>
      </c>
      <c r="GF26">
        <v>-380872.27661444503</v>
      </c>
      <c r="GG26">
        <v>-50.78297021525934</v>
      </c>
      <c r="GH26">
        <v>-78232.257633109984</v>
      </c>
      <c r="GI26">
        <v>-10.430967684414664</v>
      </c>
      <c r="GK26" t="s">
        <v>259</v>
      </c>
    </row>
    <row r="27" spans="2:193" ht="15" customHeight="1">
      <c r="B27">
        <v>22</v>
      </c>
      <c r="C27">
        <v>46204</v>
      </c>
      <c r="D27" t="s">
        <v>5</v>
      </c>
      <c r="E27" t="s">
        <v>168</v>
      </c>
      <c r="F27" t="s">
        <v>289</v>
      </c>
      <c r="G27" t="s">
        <v>294</v>
      </c>
      <c r="H27" t="s">
        <v>3</v>
      </c>
      <c r="J27">
        <v>46220</v>
      </c>
      <c r="K27">
        <v>46220</v>
      </c>
      <c r="L27">
        <v>46220.208333333336</v>
      </c>
      <c r="R27">
        <v>3750</v>
      </c>
      <c r="BI27">
        <v>3750</v>
      </c>
      <c r="BJ27">
        <v>7500</v>
      </c>
      <c r="BO27">
        <v>0.5</v>
      </c>
      <c r="BQ27" t="s">
        <v>154</v>
      </c>
      <c r="BU27">
        <v>33.731492793454592</v>
      </c>
      <c r="BV27">
        <v>12.925596931253406</v>
      </c>
      <c r="BW27">
        <v>7.3018177426961142</v>
      </c>
      <c r="BX27">
        <v>5.6063148566951178</v>
      </c>
      <c r="BY27">
        <v>1.3275999518526249</v>
      </c>
      <c r="BZ27">
        <v>1.1891941623275664</v>
      </c>
      <c r="CA27">
        <v>5713.6844205848402</v>
      </c>
      <c r="CB27">
        <v>4404.0155438815673</v>
      </c>
      <c r="CC27">
        <v>4040.901313562325</v>
      </c>
      <c r="CF27">
        <v>0</v>
      </c>
      <c r="CN27">
        <v>0</v>
      </c>
      <c r="FR27">
        <v>1499.9999999825377</v>
      </c>
      <c r="FU27">
        <v>40.352002530844672</v>
      </c>
      <c r="FV27">
        <v>302640.01898133504</v>
      </c>
      <c r="FW27">
        <v>0</v>
      </c>
      <c r="FX27">
        <v>302640.01898133504</v>
      </c>
      <c r="FY27">
        <v>0</v>
      </c>
      <c r="FZ27">
        <v>0</v>
      </c>
      <c r="GA27">
        <v>-356186.71653851971</v>
      </c>
      <c r="GB27">
        <v>-22500</v>
      </c>
      <c r="GC27">
        <v>0</v>
      </c>
      <c r="GD27">
        <v>-1210.5600759253402</v>
      </c>
      <c r="GE27">
        <v>-975</v>
      </c>
      <c r="GF27">
        <v>-380872.27661444503</v>
      </c>
      <c r="GG27">
        <v>-50.78297021525934</v>
      </c>
      <c r="GH27">
        <v>-78232.257633109984</v>
      </c>
      <c r="GI27">
        <v>-10.430967684414664</v>
      </c>
      <c r="GK27" t="s">
        <v>259</v>
      </c>
    </row>
    <row r="28" spans="2:193" ht="15" customHeight="1">
      <c r="B28">
        <v>23</v>
      </c>
      <c r="C28">
        <v>46204</v>
      </c>
      <c r="D28" t="s">
        <v>5</v>
      </c>
      <c r="E28" t="s">
        <v>168</v>
      </c>
      <c r="F28" t="s">
        <v>289</v>
      </c>
      <c r="G28" t="s">
        <v>296</v>
      </c>
      <c r="H28" t="s">
        <v>3</v>
      </c>
      <c r="J28">
        <v>46222</v>
      </c>
      <c r="K28">
        <v>46222</v>
      </c>
      <c r="L28">
        <v>46222.208333333336</v>
      </c>
      <c r="R28">
        <v>3750</v>
      </c>
      <c r="BI28">
        <v>3750</v>
      </c>
      <c r="BJ28">
        <v>7500</v>
      </c>
      <c r="BO28">
        <v>0.5</v>
      </c>
      <c r="BQ28" t="s">
        <v>154</v>
      </c>
      <c r="BU28">
        <v>33.731492793454592</v>
      </c>
      <c r="BV28">
        <v>12.925596931253406</v>
      </c>
      <c r="BW28">
        <v>7.3018177426961142</v>
      </c>
      <c r="BX28">
        <v>5.6063148566951178</v>
      </c>
      <c r="BY28">
        <v>1.3275999518526249</v>
      </c>
      <c r="BZ28">
        <v>1.1891941623275664</v>
      </c>
      <c r="CA28">
        <v>5713.6844205848402</v>
      </c>
      <c r="CB28">
        <v>4404.0155438815673</v>
      </c>
      <c r="CC28">
        <v>4040.901313562325</v>
      </c>
      <c r="CF28">
        <v>0</v>
      </c>
      <c r="CN28">
        <v>0</v>
      </c>
      <c r="FR28">
        <v>1499.9999999825377</v>
      </c>
      <c r="FU28">
        <v>40.352002530844672</v>
      </c>
      <c r="FV28">
        <v>302640.01898133504</v>
      </c>
      <c r="FW28">
        <v>0</v>
      </c>
      <c r="FX28">
        <v>302640.01898133504</v>
      </c>
      <c r="FY28">
        <v>0</v>
      </c>
      <c r="FZ28">
        <v>0</v>
      </c>
      <c r="GA28">
        <v>-356186.71653851971</v>
      </c>
      <c r="GB28">
        <v>-22500</v>
      </c>
      <c r="GC28">
        <v>0</v>
      </c>
      <c r="GD28">
        <v>-1210.5600759253402</v>
      </c>
      <c r="GE28">
        <v>-975</v>
      </c>
      <c r="GF28">
        <v>-380872.27661444503</v>
      </c>
      <c r="GG28">
        <v>-50.78297021525934</v>
      </c>
      <c r="GH28">
        <v>-78232.257633109984</v>
      </c>
      <c r="GI28">
        <v>-10.430967684414664</v>
      </c>
      <c r="GK28" t="s">
        <v>259</v>
      </c>
    </row>
    <row r="29" spans="2:193" ht="15" customHeight="1">
      <c r="B29">
        <v>24</v>
      </c>
      <c r="C29">
        <v>46204</v>
      </c>
      <c r="D29" t="s">
        <v>5</v>
      </c>
      <c r="E29" t="s">
        <v>168</v>
      </c>
      <c r="F29" t="s">
        <v>289</v>
      </c>
      <c r="G29" t="s">
        <v>298</v>
      </c>
      <c r="H29" t="s">
        <v>3</v>
      </c>
      <c r="J29">
        <v>46224</v>
      </c>
      <c r="K29">
        <v>46224</v>
      </c>
      <c r="L29">
        <v>46224.208333333336</v>
      </c>
      <c r="R29">
        <v>3750</v>
      </c>
      <c r="BI29">
        <v>3750</v>
      </c>
      <c r="BJ29">
        <v>7500</v>
      </c>
      <c r="BO29">
        <v>0.5</v>
      </c>
      <c r="BQ29" t="s">
        <v>154</v>
      </c>
      <c r="BU29">
        <v>33.731492793454592</v>
      </c>
      <c r="BV29">
        <v>12.925596931253406</v>
      </c>
      <c r="BW29">
        <v>7.3018177426961142</v>
      </c>
      <c r="BX29">
        <v>5.6063148566951178</v>
      </c>
      <c r="BY29">
        <v>1.3275999518526249</v>
      </c>
      <c r="BZ29">
        <v>1.1891941623275664</v>
      </c>
      <c r="CA29">
        <v>5713.6844205848402</v>
      </c>
      <c r="CB29">
        <v>4404.0155438815673</v>
      </c>
      <c r="CC29">
        <v>4040.901313562325</v>
      </c>
      <c r="CF29">
        <v>0</v>
      </c>
      <c r="CN29">
        <v>0</v>
      </c>
      <c r="FR29">
        <v>1499.9999999825377</v>
      </c>
      <c r="FU29">
        <v>40.352002530844672</v>
      </c>
      <c r="FV29">
        <v>302640.01898133504</v>
      </c>
      <c r="FW29">
        <v>0</v>
      </c>
      <c r="FX29">
        <v>302640.01898133504</v>
      </c>
      <c r="FY29">
        <v>0</v>
      </c>
      <c r="FZ29">
        <v>0</v>
      </c>
      <c r="GA29">
        <v>-356186.71653851971</v>
      </c>
      <c r="GB29">
        <v>-22500</v>
      </c>
      <c r="GC29">
        <v>0</v>
      </c>
      <c r="GD29">
        <v>-1210.5600759253402</v>
      </c>
      <c r="GE29">
        <v>-975</v>
      </c>
      <c r="GF29">
        <v>-380872.27661444503</v>
      </c>
      <c r="GG29">
        <v>-50.78297021525934</v>
      </c>
      <c r="GH29">
        <v>-78232.257633109984</v>
      </c>
      <c r="GI29">
        <v>-10.430967684414664</v>
      </c>
      <c r="GK29" t="s">
        <v>259</v>
      </c>
    </row>
    <row r="30" spans="2:193" ht="15" customHeight="1">
      <c r="B30">
        <v>25</v>
      </c>
      <c r="C30">
        <v>46204</v>
      </c>
      <c r="D30" t="s">
        <v>5</v>
      </c>
      <c r="E30" t="s">
        <v>168</v>
      </c>
      <c r="F30" t="s">
        <v>289</v>
      </c>
      <c r="G30" t="s">
        <v>300</v>
      </c>
      <c r="H30" t="s">
        <v>3</v>
      </c>
      <c r="J30">
        <v>46226</v>
      </c>
      <c r="K30">
        <v>46226</v>
      </c>
      <c r="L30">
        <v>46226.208333333336</v>
      </c>
      <c r="R30">
        <v>3750</v>
      </c>
      <c r="BI30">
        <v>3750</v>
      </c>
      <c r="BJ30">
        <v>7500</v>
      </c>
      <c r="BO30">
        <v>0.5</v>
      </c>
      <c r="BQ30" t="s">
        <v>154</v>
      </c>
      <c r="BU30">
        <v>33.731492793454592</v>
      </c>
      <c r="BV30">
        <v>12.925596931253406</v>
      </c>
      <c r="BW30">
        <v>7.3018177426961142</v>
      </c>
      <c r="BX30">
        <v>5.6063148566951178</v>
      </c>
      <c r="BY30">
        <v>1.3275999518526249</v>
      </c>
      <c r="BZ30">
        <v>1.1891941623275664</v>
      </c>
      <c r="CA30">
        <v>5713.6844205848402</v>
      </c>
      <c r="CB30">
        <v>4404.0155438815673</v>
      </c>
      <c r="CC30">
        <v>4040.901313562325</v>
      </c>
      <c r="CF30">
        <v>0</v>
      </c>
      <c r="CN30">
        <v>0</v>
      </c>
      <c r="FR30">
        <v>1499.9999999825377</v>
      </c>
      <c r="FU30">
        <v>40.352002530844672</v>
      </c>
      <c r="FV30">
        <v>302640.01898133504</v>
      </c>
      <c r="FW30">
        <v>0</v>
      </c>
      <c r="FX30">
        <v>302640.01898133504</v>
      </c>
      <c r="FY30">
        <v>0</v>
      </c>
      <c r="FZ30">
        <v>0</v>
      </c>
      <c r="GA30">
        <v>-356186.71653851971</v>
      </c>
      <c r="GB30">
        <v>-22500</v>
      </c>
      <c r="GC30">
        <v>0</v>
      </c>
      <c r="GD30">
        <v>-1210.5600759253402</v>
      </c>
      <c r="GE30">
        <v>-975</v>
      </c>
      <c r="GF30">
        <v>-380872.27661444503</v>
      </c>
      <c r="GG30">
        <v>-50.78297021525934</v>
      </c>
      <c r="GH30">
        <v>-78232.257633109984</v>
      </c>
      <c r="GI30">
        <v>-10.430967684414664</v>
      </c>
      <c r="GK30" t="s">
        <v>259</v>
      </c>
    </row>
    <row r="31" spans="2:193" ht="16" customHeight="1">
      <c r="B31">
        <v>26</v>
      </c>
      <c r="C31">
        <v>46204</v>
      </c>
      <c r="D31" t="s">
        <v>5</v>
      </c>
      <c r="E31" t="s">
        <v>168</v>
      </c>
      <c r="F31" t="s">
        <v>289</v>
      </c>
      <c r="G31" t="s">
        <v>302</v>
      </c>
      <c r="H31" t="s">
        <v>3</v>
      </c>
      <c r="J31">
        <v>46228</v>
      </c>
      <c r="K31">
        <v>46228</v>
      </c>
      <c r="L31">
        <v>46228.208333333336</v>
      </c>
      <c r="R31">
        <v>3750</v>
      </c>
      <c r="BI31">
        <v>3750</v>
      </c>
      <c r="BJ31">
        <v>7500</v>
      </c>
      <c r="BO31">
        <v>0.5</v>
      </c>
      <c r="BQ31" t="s">
        <v>154</v>
      </c>
      <c r="BU31">
        <v>33.731492793454592</v>
      </c>
      <c r="BV31">
        <v>12.925596931253406</v>
      </c>
      <c r="BW31">
        <v>7.3018177426961142</v>
      </c>
      <c r="BX31">
        <v>5.6063148566951178</v>
      </c>
      <c r="BY31">
        <v>1.3275999518526249</v>
      </c>
      <c r="BZ31">
        <v>1.1891941623275664</v>
      </c>
      <c r="CA31">
        <v>5713.6844205848402</v>
      </c>
      <c r="CB31">
        <v>4404.0155438815673</v>
      </c>
      <c r="CC31">
        <v>4040.901313562325</v>
      </c>
      <c r="CF31">
        <v>0</v>
      </c>
      <c r="CN31">
        <v>0</v>
      </c>
      <c r="FR31">
        <v>1499.9999999825377</v>
      </c>
      <c r="FU31">
        <v>40.352002530844672</v>
      </c>
      <c r="FV31">
        <v>302640.01898133504</v>
      </c>
      <c r="FW31">
        <v>0</v>
      </c>
      <c r="FX31">
        <v>302640.01898133504</v>
      </c>
      <c r="FY31">
        <v>0</v>
      </c>
      <c r="FZ31">
        <v>0</v>
      </c>
      <c r="GA31">
        <v>-356186.71653851971</v>
      </c>
      <c r="GB31">
        <v>-22500</v>
      </c>
      <c r="GC31">
        <v>0</v>
      </c>
      <c r="GD31">
        <v>-1210.5600759253402</v>
      </c>
      <c r="GE31">
        <v>-975</v>
      </c>
      <c r="GF31">
        <v>-380872.27661444503</v>
      </c>
      <c r="GG31">
        <v>-50.78297021525934</v>
      </c>
      <c r="GH31">
        <v>-78232.257633109984</v>
      </c>
      <c r="GI31">
        <v>-10.430967684414664</v>
      </c>
      <c r="GK31" t="s">
        <v>259</v>
      </c>
    </row>
    <row r="32" spans="2:193" ht="16" customHeight="1">
      <c r="B32">
        <v>27</v>
      </c>
      <c r="C32">
        <v>46204</v>
      </c>
      <c r="D32" t="s">
        <v>5</v>
      </c>
      <c r="E32" t="s">
        <v>168</v>
      </c>
      <c r="F32" t="s">
        <v>289</v>
      </c>
      <c r="G32" t="s">
        <v>304</v>
      </c>
      <c r="H32" t="s">
        <v>3</v>
      </c>
      <c r="J32">
        <v>46230</v>
      </c>
      <c r="K32">
        <v>46230</v>
      </c>
      <c r="L32">
        <v>46230.208333333336</v>
      </c>
      <c r="R32">
        <v>3750</v>
      </c>
      <c r="BI32">
        <v>3750</v>
      </c>
      <c r="BJ32">
        <v>7500</v>
      </c>
      <c r="BO32">
        <v>0.5</v>
      </c>
      <c r="BQ32" t="s">
        <v>154</v>
      </c>
      <c r="BU32">
        <v>33.731492793454592</v>
      </c>
      <c r="BV32">
        <v>12.925596931253406</v>
      </c>
      <c r="BW32">
        <v>7.3018177426961142</v>
      </c>
      <c r="BX32">
        <v>5.6063148566951178</v>
      </c>
      <c r="BY32">
        <v>1.3275999518526249</v>
      </c>
      <c r="BZ32">
        <v>1.1891941623275664</v>
      </c>
      <c r="CA32">
        <v>5713.6844205848402</v>
      </c>
      <c r="CB32">
        <v>4404.0155438815673</v>
      </c>
      <c r="CC32">
        <v>4040.901313562325</v>
      </c>
      <c r="CF32">
        <v>0</v>
      </c>
      <c r="CN32">
        <v>0</v>
      </c>
      <c r="FR32">
        <v>1499.9999999825377</v>
      </c>
      <c r="FU32">
        <v>40.352002530844672</v>
      </c>
      <c r="FV32">
        <v>302640.01898133504</v>
      </c>
      <c r="FW32">
        <v>0</v>
      </c>
      <c r="FX32">
        <v>302640.01898133504</v>
      </c>
      <c r="FY32">
        <v>0</v>
      </c>
      <c r="FZ32">
        <v>0</v>
      </c>
      <c r="GA32">
        <v>-356186.71653851971</v>
      </c>
      <c r="GB32">
        <v>-22500</v>
      </c>
      <c r="GC32">
        <v>0</v>
      </c>
      <c r="GD32">
        <v>-1210.5600759253402</v>
      </c>
      <c r="GE32">
        <v>-975</v>
      </c>
      <c r="GF32">
        <v>-380872.27661444503</v>
      </c>
      <c r="GG32">
        <v>-50.78297021525934</v>
      </c>
      <c r="GH32">
        <v>-78232.257633109984</v>
      </c>
      <c r="GI32">
        <v>-10.430967684414664</v>
      </c>
      <c r="GK32" t="s">
        <v>259</v>
      </c>
    </row>
    <row r="33" spans="2:193" ht="16" customHeight="1">
      <c r="B33">
        <v>28</v>
      </c>
      <c r="C33">
        <v>46204</v>
      </c>
      <c r="D33" t="s">
        <v>5</v>
      </c>
      <c r="E33" t="s">
        <v>168</v>
      </c>
      <c r="F33" t="s">
        <v>289</v>
      </c>
      <c r="G33" t="s">
        <v>308</v>
      </c>
      <c r="H33" t="s">
        <v>3</v>
      </c>
      <c r="J33">
        <v>46232</v>
      </c>
      <c r="K33">
        <v>46232</v>
      </c>
      <c r="L33">
        <v>46232.208333333336</v>
      </c>
      <c r="R33">
        <v>3750</v>
      </c>
      <c r="BI33">
        <v>3750</v>
      </c>
      <c r="BJ33">
        <v>7500</v>
      </c>
      <c r="BO33">
        <v>0.5</v>
      </c>
      <c r="BQ33" t="s">
        <v>154</v>
      </c>
      <c r="BU33">
        <v>33.731492793454592</v>
      </c>
      <c r="BV33">
        <v>12.925596931253406</v>
      </c>
      <c r="BW33">
        <v>7.3018177426961142</v>
      </c>
      <c r="BX33">
        <v>5.6063148566951178</v>
      </c>
      <c r="BY33">
        <v>1.3275999518526249</v>
      </c>
      <c r="BZ33">
        <v>1.1891941623275664</v>
      </c>
      <c r="CA33">
        <v>5713.6844205848402</v>
      </c>
      <c r="CB33">
        <v>4404.0155438815673</v>
      </c>
      <c r="CC33">
        <v>4040.901313562325</v>
      </c>
      <c r="CF33">
        <v>0</v>
      </c>
      <c r="CN33">
        <v>0</v>
      </c>
      <c r="FR33">
        <v>1499.9999999825377</v>
      </c>
      <c r="FU33">
        <v>40.352002530844672</v>
      </c>
      <c r="FV33">
        <v>302640.01898133504</v>
      </c>
      <c r="FW33">
        <v>0</v>
      </c>
      <c r="FX33">
        <v>302640.01898133504</v>
      </c>
      <c r="FY33">
        <v>0</v>
      </c>
      <c r="FZ33">
        <v>0</v>
      </c>
      <c r="GA33">
        <v>-356186.71653851971</v>
      </c>
      <c r="GB33">
        <v>-22500</v>
      </c>
      <c r="GC33">
        <v>0</v>
      </c>
      <c r="GD33">
        <v>-1210.5600759253402</v>
      </c>
      <c r="GE33">
        <v>-975</v>
      </c>
      <c r="GF33">
        <v>-380872.27661444503</v>
      </c>
      <c r="GG33">
        <v>-50.78297021525934</v>
      </c>
      <c r="GH33">
        <v>-78232.257633109984</v>
      </c>
      <c r="GI33">
        <v>-10.430967684414664</v>
      </c>
      <c r="GK33" t="s">
        <v>259</v>
      </c>
    </row>
    <row r="34" spans="2:193" ht="16" customHeight="1">
      <c r="B34">
        <v>29</v>
      </c>
      <c r="C34">
        <v>46204</v>
      </c>
      <c r="D34" t="s">
        <v>5</v>
      </c>
      <c r="E34" t="s">
        <v>168</v>
      </c>
      <c r="F34" t="s">
        <v>289</v>
      </c>
      <c r="G34" t="s">
        <v>306</v>
      </c>
      <c r="H34" t="s">
        <v>3</v>
      </c>
      <c r="J34">
        <v>46234</v>
      </c>
      <c r="K34">
        <v>46234</v>
      </c>
      <c r="L34">
        <v>46234.208333333336</v>
      </c>
      <c r="R34">
        <v>3750</v>
      </c>
      <c r="BI34">
        <v>3750</v>
      </c>
      <c r="BJ34">
        <v>7500</v>
      </c>
      <c r="BO34">
        <v>0.5</v>
      </c>
      <c r="BQ34" t="s">
        <v>154</v>
      </c>
      <c r="BU34">
        <v>33.731492793454592</v>
      </c>
      <c r="BV34">
        <v>12.925596931253406</v>
      </c>
      <c r="BW34">
        <v>7.3018177426961142</v>
      </c>
      <c r="BX34">
        <v>5.6063148566951178</v>
      </c>
      <c r="BY34">
        <v>1.3275999518526249</v>
      </c>
      <c r="BZ34">
        <v>1.1891941623275664</v>
      </c>
      <c r="CA34">
        <v>5713.6844205848402</v>
      </c>
      <c r="CB34">
        <v>4404.0155438815673</v>
      </c>
      <c r="CC34">
        <v>4040.901313562325</v>
      </c>
      <c r="CF34">
        <v>0</v>
      </c>
      <c r="CN34">
        <v>0</v>
      </c>
      <c r="FR34">
        <v>1499.9999999825377</v>
      </c>
      <c r="FU34">
        <v>40.352002530844672</v>
      </c>
      <c r="FV34">
        <v>302640.01898133504</v>
      </c>
      <c r="FW34">
        <v>0</v>
      </c>
      <c r="FX34">
        <v>302640.01898133504</v>
      </c>
      <c r="FY34">
        <v>0</v>
      </c>
      <c r="FZ34">
        <v>0</v>
      </c>
      <c r="GA34">
        <v>-356186.71653851971</v>
      </c>
      <c r="GB34">
        <v>-22500</v>
      </c>
      <c r="GC34">
        <v>0</v>
      </c>
      <c r="GD34">
        <v>-1210.5600759253402</v>
      </c>
      <c r="GE34">
        <v>-975</v>
      </c>
      <c r="GF34">
        <v>-380872.27661444503</v>
      </c>
      <c r="GG34">
        <v>-50.78297021525934</v>
      </c>
      <c r="GH34">
        <v>-78232.257633109984</v>
      </c>
      <c r="GI34">
        <v>-10.430967684414664</v>
      </c>
      <c r="GK34" t="s">
        <v>259</v>
      </c>
    </row>
    <row r="35" spans="2:193" ht="16" customHeight="1">
      <c r="B35">
        <v>30</v>
      </c>
      <c r="C35">
        <v>46204</v>
      </c>
      <c r="D35" t="s">
        <v>4</v>
      </c>
      <c r="E35" t="s">
        <v>160</v>
      </c>
      <c r="F35" t="s">
        <v>161</v>
      </c>
      <c r="G35" t="s">
        <v>367</v>
      </c>
      <c r="H35" t="s">
        <v>3</v>
      </c>
      <c r="J35">
        <v>46228</v>
      </c>
      <c r="K35">
        <v>46228</v>
      </c>
      <c r="L35">
        <v>46229.666666666664</v>
      </c>
      <c r="Q35">
        <v>2000</v>
      </c>
      <c r="BJ35">
        <v>2000</v>
      </c>
      <c r="BO35">
        <v>1</v>
      </c>
      <c r="BQ35" t="s">
        <v>154</v>
      </c>
      <c r="BU35">
        <v>16.419771617870239</v>
      </c>
      <c r="BV35">
        <v>10.419771617870239</v>
      </c>
      <c r="BW35">
        <v>7.2325303683338884</v>
      </c>
      <c r="BX35">
        <v>6.7481022417958654</v>
      </c>
      <c r="BY35">
        <v>1.577929895030397</v>
      </c>
      <c r="BZ35">
        <v>1.472241624960402</v>
      </c>
      <c r="CA35">
        <v>6238.9392239269291</v>
      </c>
      <c r="CB35">
        <v>5821.0609039043693</v>
      </c>
      <c r="CC35">
        <v>5516.9309858338502</v>
      </c>
      <c r="CF35">
        <v>1.2934854</v>
      </c>
      <c r="CN35">
        <v>0</v>
      </c>
      <c r="FR35">
        <v>50.00000000007276</v>
      </c>
      <c r="FU35">
        <v>77.19</v>
      </c>
      <c r="FV35">
        <v>154380</v>
      </c>
      <c r="FW35">
        <v>2586.9708000000001</v>
      </c>
      <c r="FX35">
        <v>156966.97080000001</v>
      </c>
      <c r="FY35">
        <v>0</v>
      </c>
      <c r="FZ35">
        <v>0</v>
      </c>
      <c r="GA35">
        <v>-115734.54763902452</v>
      </c>
      <c r="GB35">
        <v>0</v>
      </c>
      <c r="GC35">
        <v>-23346.9</v>
      </c>
      <c r="GD35">
        <v>0</v>
      </c>
      <c r="GE35">
        <v>0</v>
      </c>
      <c r="GF35">
        <v>-139081.44763902453</v>
      </c>
      <c r="GG35">
        <v>-69.540723819512266</v>
      </c>
      <c r="GH35">
        <v>17885.523160975485</v>
      </c>
      <c r="GI35">
        <v>8.9427615804877423</v>
      </c>
      <c r="GK35" t="s">
        <v>264</v>
      </c>
    </row>
    <row r="36" spans="2:193" ht="16" customHeight="1">
      <c r="B36">
        <v>31</v>
      </c>
      <c r="C36">
        <v>46204</v>
      </c>
      <c r="D36" t="s">
        <v>5</v>
      </c>
      <c r="E36" t="s">
        <v>312</v>
      </c>
      <c r="F36" t="s">
        <v>239</v>
      </c>
      <c r="G36" t="s">
        <v>313</v>
      </c>
      <c r="H36" t="s">
        <v>162</v>
      </c>
      <c r="J36">
        <v>46201.104166666657</v>
      </c>
      <c r="K36">
        <v>46201.666666666657</v>
      </c>
      <c r="L36">
        <v>46204.418666666657</v>
      </c>
      <c r="S36">
        <v>17528</v>
      </c>
      <c r="T36">
        <v>13772</v>
      </c>
      <c r="AB36">
        <v>15000</v>
      </c>
      <c r="AH36">
        <v>15000</v>
      </c>
      <c r="AJ36">
        <v>7500</v>
      </c>
      <c r="BJ36">
        <v>68800</v>
      </c>
      <c r="BL36">
        <v>46194</v>
      </c>
      <c r="BM36">
        <v>46203</v>
      </c>
      <c r="BO36">
        <v>0.32703488372093026</v>
      </c>
      <c r="BQ36" t="s">
        <v>163</v>
      </c>
      <c r="BS36" t="s">
        <v>166</v>
      </c>
      <c r="BU36">
        <v>15.7463429506994</v>
      </c>
      <c r="BV36">
        <v>8.9443478834693</v>
      </c>
      <c r="BW36">
        <v>4.4094107088123442</v>
      </c>
      <c r="BX36">
        <v>4.0800210532163446</v>
      </c>
      <c r="BY36">
        <v>1.14152544327489</v>
      </c>
      <c r="BZ36">
        <v>1.0562517644445371</v>
      </c>
      <c r="CA36">
        <v>6654.5619754071777</v>
      </c>
      <c r="CB36">
        <v>6157.4561211394112</v>
      </c>
      <c r="CC36">
        <v>5856.8184409604337</v>
      </c>
      <c r="CF36">
        <v>3.9689637487902298</v>
      </c>
      <c r="CN36">
        <v>-1.466388081404907E-2</v>
      </c>
      <c r="FR36">
        <v>1041.6666666665124</v>
      </c>
      <c r="FU36">
        <v>121.39199999999998</v>
      </c>
      <c r="FV36">
        <v>8351769.5999999987</v>
      </c>
      <c r="FW36">
        <v>273064.70591676782</v>
      </c>
      <c r="FX36">
        <v>8624834.3059167657</v>
      </c>
      <c r="FY36">
        <v>-1008.875000006576</v>
      </c>
      <c r="FZ36">
        <v>-113128.32431082342</v>
      </c>
      <c r="GA36">
        <v>-7946510.7711373074</v>
      </c>
      <c r="GB36">
        <v>-214040.5258723328</v>
      </c>
      <c r="GC36">
        <v>0</v>
      </c>
      <c r="GD36">
        <v>-33407.078399999999</v>
      </c>
      <c r="GE36">
        <v>-8944</v>
      </c>
      <c r="GF36">
        <v>-8317039.5747204702</v>
      </c>
      <c r="GG36">
        <v>-120.88720312093707</v>
      </c>
      <c r="GH36">
        <v>307794.73119629547</v>
      </c>
      <c r="GI36">
        <v>4.4737606278531317</v>
      </c>
      <c r="GK36" t="s">
        <v>55</v>
      </c>
    </row>
    <row r="37" spans="2:193" ht="16" customHeight="1">
      <c r="B37">
        <v>32</v>
      </c>
      <c r="C37">
        <v>46204</v>
      </c>
      <c r="D37" t="s">
        <v>5</v>
      </c>
      <c r="E37" t="s">
        <v>309</v>
      </c>
      <c r="F37" t="s">
        <v>310</v>
      </c>
      <c r="G37" t="s">
        <v>311</v>
      </c>
      <c r="H37" t="s">
        <v>162</v>
      </c>
      <c r="J37">
        <v>46198.5</v>
      </c>
      <c r="K37">
        <v>46202.983159722222</v>
      </c>
      <c r="L37">
        <v>46205.843159722222</v>
      </c>
      <c r="R37">
        <v>7500</v>
      </c>
      <c r="T37">
        <v>7500</v>
      </c>
      <c r="U37">
        <v>36200</v>
      </c>
      <c r="V37">
        <v>7500</v>
      </c>
      <c r="W37">
        <v>7500</v>
      </c>
      <c r="AW37">
        <v>5300</v>
      </c>
      <c r="BJ37">
        <v>71500</v>
      </c>
      <c r="BL37">
        <v>46198</v>
      </c>
      <c r="BM37">
        <v>46207</v>
      </c>
      <c r="BO37">
        <v>7.4125874125874125E-2</v>
      </c>
      <c r="BQ37" t="s">
        <v>163</v>
      </c>
      <c r="BS37" t="s">
        <v>165</v>
      </c>
      <c r="BU37">
        <v>18.03</v>
      </c>
      <c r="BV37">
        <v>11.37</v>
      </c>
      <c r="BW37">
        <v>4.92</v>
      </c>
      <c r="BX37">
        <v>4.55</v>
      </c>
      <c r="BY37">
        <v>0.96</v>
      </c>
      <c r="BZ37">
        <v>0.89</v>
      </c>
      <c r="CA37">
        <v>6331</v>
      </c>
      <c r="CB37">
        <v>5856</v>
      </c>
      <c r="CC37">
        <v>5548</v>
      </c>
      <c r="CF37">
        <v>0.51164931300000005</v>
      </c>
      <c r="CN37">
        <v>-1.3927131895882801</v>
      </c>
      <c r="FR37">
        <v>1041.6666666664546</v>
      </c>
      <c r="FU37">
        <v>105.32608695652172</v>
      </c>
      <c r="FV37">
        <v>7530815.2173913028</v>
      </c>
      <c r="FW37">
        <v>36582.925879500006</v>
      </c>
      <c r="FX37">
        <v>7567398.1432708027</v>
      </c>
      <c r="FY37">
        <v>-99578.993055562023</v>
      </c>
      <c r="FZ37">
        <v>0</v>
      </c>
      <c r="GA37">
        <v>-7578007.2570195235</v>
      </c>
      <c r="GB37">
        <v>-263120</v>
      </c>
      <c r="GC37">
        <v>0</v>
      </c>
      <c r="GD37">
        <v>-30123.260869565212</v>
      </c>
      <c r="GE37">
        <v>-9295</v>
      </c>
      <c r="GF37">
        <v>-7980124.5109446505</v>
      </c>
      <c r="GG37">
        <v>-111.6101330202049</v>
      </c>
      <c r="GH37">
        <v>-412726.36767384782</v>
      </c>
      <c r="GI37">
        <v>-5.7723967506831864</v>
      </c>
      <c r="GK37" t="s">
        <v>264</v>
      </c>
    </row>
    <row r="38" spans="2:193" ht="16" customHeight="1">
      <c r="B38">
        <v>33</v>
      </c>
      <c r="C38">
        <v>46204</v>
      </c>
      <c r="D38" t="s">
        <v>5</v>
      </c>
      <c r="E38" t="s">
        <v>314</v>
      </c>
      <c r="F38" t="s">
        <v>315</v>
      </c>
      <c r="G38" t="s">
        <v>316</v>
      </c>
      <c r="H38" t="s">
        <v>162</v>
      </c>
      <c r="J38">
        <v>46202</v>
      </c>
      <c r="K38">
        <v>46202.958333333343</v>
      </c>
      <c r="L38">
        <v>46205.254333333345</v>
      </c>
      <c r="S38">
        <v>27400</v>
      </c>
      <c r="U38">
        <v>15000</v>
      </c>
      <c r="AC38">
        <v>7500</v>
      </c>
      <c r="AH38">
        <v>7500</v>
      </c>
      <c r="BJ38">
        <v>57400</v>
      </c>
      <c r="BL38">
        <v>46196</v>
      </c>
      <c r="BM38">
        <v>46205</v>
      </c>
      <c r="BO38">
        <v>0.26132404181184671</v>
      </c>
      <c r="BQ38" t="s">
        <v>163</v>
      </c>
      <c r="BS38" t="s">
        <v>164</v>
      </c>
      <c r="BU38">
        <v>14.863968157504781</v>
      </c>
      <c r="BV38">
        <v>8.6001327534731491</v>
      </c>
      <c r="BW38">
        <v>4.4537490829787272</v>
      </c>
      <c r="BX38">
        <v>4.1485237907866788</v>
      </c>
      <c r="BY38">
        <v>0.69934972163552767</v>
      </c>
      <c r="BZ38">
        <v>0.65142173576258589</v>
      </c>
      <c r="CA38">
        <v>6720.3209367332074</v>
      </c>
      <c r="CB38">
        <v>6259.7624536839439</v>
      </c>
      <c r="CC38">
        <v>5949.6870787158223</v>
      </c>
      <c r="CF38">
        <v>2.6264946564885494</v>
      </c>
      <c r="CN38">
        <v>-0.2155923345003225</v>
      </c>
      <c r="FR38">
        <v>1041.6666666657159</v>
      </c>
      <c r="FU38">
        <v>133.29738805970149</v>
      </c>
      <c r="FV38">
        <v>7651270.0746268658</v>
      </c>
      <c r="FW38">
        <v>150760.79328244273</v>
      </c>
      <c r="FX38">
        <v>7802030.8679093085</v>
      </c>
      <c r="FY38">
        <v>-12375.000000318512</v>
      </c>
      <c r="FZ38">
        <v>-80285.278655965871</v>
      </c>
      <c r="GA38">
        <v>-6785701.6623662841</v>
      </c>
      <c r="GB38">
        <v>-178574.50850395206</v>
      </c>
      <c r="GC38">
        <v>0</v>
      </c>
      <c r="GD38">
        <v>-30605.080298507462</v>
      </c>
      <c r="GE38">
        <v>-7462</v>
      </c>
      <c r="GF38">
        <v>-7095003.529825028</v>
      </c>
      <c r="GG38">
        <v>-123.60633327221304</v>
      </c>
      <c r="GH38">
        <v>707027.33808428049</v>
      </c>
      <c r="GI38">
        <v>12.317549443977011</v>
      </c>
      <c r="GK38" t="s">
        <v>55</v>
      </c>
    </row>
    <row r="39" spans="2:193" ht="16" customHeight="1">
      <c r="B39">
        <v>34</v>
      </c>
      <c r="C39">
        <v>46204</v>
      </c>
      <c r="D39" t="s">
        <v>5</v>
      </c>
      <c r="E39" t="s">
        <v>324</v>
      </c>
      <c r="F39" t="s">
        <v>325</v>
      </c>
      <c r="G39" t="s">
        <v>326</v>
      </c>
      <c r="H39" t="s">
        <v>162</v>
      </c>
      <c r="J39">
        <v>46205</v>
      </c>
      <c r="K39">
        <v>46205.666666666664</v>
      </c>
      <c r="L39">
        <v>46208.746666666666</v>
      </c>
      <c r="R39">
        <v>7500</v>
      </c>
      <c r="U39">
        <v>38900</v>
      </c>
      <c r="W39">
        <v>17800</v>
      </c>
      <c r="Y39">
        <v>7500</v>
      </c>
      <c r="AV39">
        <v>5300</v>
      </c>
      <c r="BJ39">
        <v>77000</v>
      </c>
      <c r="BL39">
        <v>46200</v>
      </c>
      <c r="BM39">
        <v>46209</v>
      </c>
      <c r="BO39">
        <v>6.8831168831168826E-2</v>
      </c>
      <c r="BQ39" t="s">
        <v>154</v>
      </c>
      <c r="BS39" t="s">
        <v>166</v>
      </c>
      <c r="BU39">
        <v>20.604135175697571</v>
      </c>
      <c r="BV39">
        <v>12.455148261033848</v>
      </c>
      <c r="BW39">
        <v>5.1511277188222513</v>
      </c>
      <c r="BX39">
        <v>4.5637182625705925</v>
      </c>
      <c r="BY39">
        <v>0.62813176328140319</v>
      </c>
      <c r="BZ39">
        <v>0.57594735961171928</v>
      </c>
      <c r="CA39">
        <v>6171.1771814320282</v>
      </c>
      <c r="CB39">
        <v>5620.8307361661364</v>
      </c>
      <c r="CC39">
        <v>5297.7198810699501</v>
      </c>
      <c r="CF39">
        <v>0.41491042929999999</v>
      </c>
      <c r="CN39">
        <v>-4.3290043289866888E-2</v>
      </c>
      <c r="FR39">
        <v>1041.666666666076</v>
      </c>
      <c r="FU39">
        <v>100.71739130434783</v>
      </c>
      <c r="FV39">
        <v>7755239.1304347832</v>
      </c>
      <c r="FW39">
        <v>31948.103056100001</v>
      </c>
      <c r="FX39">
        <v>7787187.2334908834</v>
      </c>
      <c r="FY39">
        <v>-3333.3333333197502</v>
      </c>
      <c r="FZ39">
        <v>0</v>
      </c>
      <c r="GA39">
        <v>-7807541.4076080555</v>
      </c>
      <c r="GB39">
        <v>-239551.16994432596</v>
      </c>
      <c r="GC39">
        <v>0</v>
      </c>
      <c r="GD39">
        <v>-31020.956521739132</v>
      </c>
      <c r="GE39">
        <v>-10010</v>
      </c>
      <c r="GF39">
        <v>-8091456.8674074411</v>
      </c>
      <c r="GG39">
        <v>-105.08385542087586</v>
      </c>
      <c r="GH39">
        <v>-304269.63391655777</v>
      </c>
      <c r="GI39">
        <v>-3.951553687228023</v>
      </c>
      <c r="GK39" t="s">
        <v>264</v>
      </c>
    </row>
    <row r="40" spans="2:193" ht="16" customHeight="1">
      <c r="B40">
        <v>35</v>
      </c>
      <c r="C40">
        <v>46204</v>
      </c>
      <c r="D40" t="s">
        <v>5</v>
      </c>
      <c r="E40" t="s">
        <v>155</v>
      </c>
      <c r="F40" t="s">
        <v>328</v>
      </c>
      <c r="G40" t="s">
        <v>329</v>
      </c>
      <c r="H40" t="s">
        <v>162</v>
      </c>
      <c r="J40">
        <v>46206</v>
      </c>
      <c r="K40">
        <v>46206.833333333336</v>
      </c>
      <c r="L40">
        <v>46210.3</v>
      </c>
      <c r="U40">
        <v>22000</v>
      </c>
      <c r="Y40">
        <v>22500</v>
      </c>
      <c r="BI40">
        <v>7500</v>
      </c>
      <c r="BJ40">
        <v>52000</v>
      </c>
      <c r="BL40">
        <v>46199</v>
      </c>
      <c r="BM40">
        <v>46208</v>
      </c>
      <c r="BO40">
        <v>0.14423076923076922</v>
      </c>
      <c r="BQ40" t="s">
        <v>154</v>
      </c>
      <c r="BS40" t="s">
        <v>348</v>
      </c>
      <c r="BU40">
        <v>32.869999999999997</v>
      </c>
      <c r="BV40">
        <v>13.71</v>
      </c>
      <c r="BW40">
        <v>5.83</v>
      </c>
      <c r="BX40">
        <v>4.53</v>
      </c>
      <c r="BY40">
        <v>0.33</v>
      </c>
      <c r="BZ40">
        <v>0.26</v>
      </c>
      <c r="CA40">
        <v>5768</v>
      </c>
      <c r="CB40">
        <v>4487</v>
      </c>
      <c r="CC40">
        <v>4073</v>
      </c>
      <c r="CF40">
        <v>0</v>
      </c>
      <c r="CN40">
        <v>-0.11538461538562279</v>
      </c>
      <c r="FR40">
        <v>624.99999999991257</v>
      </c>
      <c r="FU40">
        <v>40.352002530844672</v>
      </c>
      <c r="FV40">
        <v>2098304.1316039232</v>
      </c>
      <c r="FW40">
        <v>0</v>
      </c>
      <c r="FX40">
        <v>2098304.1316039232</v>
      </c>
      <c r="FY40">
        <v>-6000.0000000523851</v>
      </c>
      <c r="FZ40">
        <v>0</v>
      </c>
      <c r="GA40">
        <v>-2875661.0014509326</v>
      </c>
      <c r="GB40">
        <v>-102440</v>
      </c>
      <c r="GC40">
        <v>0</v>
      </c>
      <c r="GD40">
        <v>-8393.216526415692</v>
      </c>
      <c r="GE40">
        <v>-6760</v>
      </c>
      <c r="GF40">
        <v>-2999254.2179774004</v>
      </c>
      <c r="GG40">
        <v>-57.67796573033462</v>
      </c>
      <c r="GH40">
        <v>-900950.08637347724</v>
      </c>
      <c r="GI40">
        <v>-17.325963199489948</v>
      </c>
      <c r="GK40" t="s">
        <v>259</v>
      </c>
    </row>
    <row r="41" spans="2:193" ht="16" customHeight="1">
      <c r="B41">
        <v>36</v>
      </c>
      <c r="C41">
        <v>46204</v>
      </c>
      <c r="D41" t="s">
        <v>5</v>
      </c>
      <c r="E41" t="s">
        <v>155</v>
      </c>
      <c r="F41" t="s">
        <v>240</v>
      </c>
      <c r="G41" t="s">
        <v>368</v>
      </c>
      <c r="H41" t="s">
        <v>162</v>
      </c>
      <c r="J41">
        <v>46204</v>
      </c>
      <c r="K41">
        <v>46206.008911481476</v>
      </c>
      <c r="L41">
        <v>46209.248911481474</v>
      </c>
      <c r="S41">
        <v>15000</v>
      </c>
      <c r="T41">
        <v>15000</v>
      </c>
      <c r="U41">
        <v>21000</v>
      </c>
      <c r="AB41">
        <v>22500</v>
      </c>
      <c r="AF41">
        <v>7500</v>
      </c>
      <c r="BJ41">
        <v>81000</v>
      </c>
      <c r="BL41">
        <v>46204</v>
      </c>
      <c r="BM41">
        <v>46213</v>
      </c>
      <c r="BO41">
        <v>9.2592592592592587E-2</v>
      </c>
      <c r="BQ41" t="s">
        <v>154</v>
      </c>
      <c r="BS41" t="s">
        <v>165</v>
      </c>
      <c r="BU41">
        <v>13.854569323760796</v>
      </c>
      <c r="BV41">
        <v>7.9021543120205067</v>
      </c>
      <c r="BW41">
        <v>4.115582204691334</v>
      </c>
      <c r="BX41">
        <v>3.8392623044407785</v>
      </c>
      <c r="BY41">
        <v>1.1575418434720639</v>
      </c>
      <c r="BZ41">
        <v>1.081995334484001</v>
      </c>
      <c r="CA41">
        <v>6828.6613848177467</v>
      </c>
      <c r="CB41">
        <v>6389.8772317433841</v>
      </c>
      <c r="CC41">
        <v>6080.4546477318845</v>
      </c>
      <c r="CF41">
        <v>3.4910429299999999</v>
      </c>
      <c r="CN41">
        <v>-0.33531366254985584</v>
      </c>
      <c r="FR41">
        <v>1041.6666666673216</v>
      </c>
      <c r="FU41">
        <v>127.9118158810503</v>
      </c>
      <c r="FV41">
        <v>10360857.086365074</v>
      </c>
      <c r="FW41">
        <v>282774.47732999997</v>
      </c>
      <c r="FX41">
        <v>10643631.563695073</v>
      </c>
      <c r="FY41">
        <v>-27160.406666538322</v>
      </c>
      <c r="FZ41">
        <v>-29923.588969750519</v>
      </c>
      <c r="GA41">
        <v>-9497361.1718032937</v>
      </c>
      <c r="GB41">
        <v>-298080</v>
      </c>
      <c r="GC41">
        <v>0</v>
      </c>
      <c r="GD41">
        <v>-41443.428345460299</v>
      </c>
      <c r="GE41">
        <v>-10530</v>
      </c>
      <c r="GF41">
        <v>-9904498.5957850423</v>
      </c>
      <c r="GG41">
        <v>-122.27776044179065</v>
      </c>
      <c r="GH41">
        <v>739132.96791003086</v>
      </c>
      <c r="GI41">
        <v>9.125098369259641</v>
      </c>
      <c r="GK41" t="s">
        <v>55</v>
      </c>
    </row>
    <row r="42" spans="2:193" ht="16" customHeight="1">
      <c r="B42">
        <v>37</v>
      </c>
      <c r="C42">
        <v>46204</v>
      </c>
      <c r="D42" t="s">
        <v>5</v>
      </c>
      <c r="E42" t="s">
        <v>155</v>
      </c>
      <c r="F42" t="s">
        <v>231</v>
      </c>
      <c r="G42" t="s">
        <v>333</v>
      </c>
      <c r="H42" t="s">
        <v>162</v>
      </c>
      <c r="J42">
        <v>46206</v>
      </c>
      <c r="K42">
        <v>46208.666666666664</v>
      </c>
      <c r="L42">
        <v>46211.466666666667</v>
      </c>
      <c r="S42">
        <v>15000</v>
      </c>
      <c r="T42">
        <v>5000</v>
      </c>
      <c r="U42">
        <v>35000</v>
      </c>
      <c r="AH42">
        <v>15000</v>
      </c>
      <c r="BJ42">
        <v>70000</v>
      </c>
      <c r="BL42">
        <v>46206</v>
      </c>
      <c r="BM42">
        <v>46215</v>
      </c>
      <c r="BO42">
        <v>0.21428571428571427</v>
      </c>
      <c r="BQ42" t="s">
        <v>154</v>
      </c>
      <c r="BS42" t="s">
        <v>164</v>
      </c>
      <c r="BU42">
        <v>16.124327470318384</v>
      </c>
      <c r="BV42">
        <v>10.377763320417113</v>
      </c>
      <c r="BW42">
        <v>4.457021529368923</v>
      </c>
      <c r="BX42">
        <v>4.1666487950707829</v>
      </c>
      <c r="BY42">
        <v>0.75902772676089891</v>
      </c>
      <c r="BZ42">
        <v>0.70991295378137342</v>
      </c>
      <c r="CA42">
        <v>6513.5433351987394</v>
      </c>
      <c r="CB42">
        <v>6097.1699099457628</v>
      </c>
      <c r="CC42">
        <v>5813.7658415854585</v>
      </c>
      <c r="CF42">
        <v>5.9122500000000002</v>
      </c>
      <c r="CN42">
        <v>-0.55714285714298206</v>
      </c>
      <c r="FR42">
        <v>1041.666666665584</v>
      </c>
      <c r="FU42">
        <v>120.3667193925973</v>
      </c>
      <c r="FV42">
        <v>8425670.3574818112</v>
      </c>
      <c r="FW42">
        <v>413857.5</v>
      </c>
      <c r="FX42">
        <v>8839527.8574818112</v>
      </c>
      <c r="FY42">
        <v>-39000.000000008746</v>
      </c>
      <c r="FZ42">
        <v>-81996.591172774322</v>
      </c>
      <c r="GA42">
        <v>-7908255.6976757329</v>
      </c>
      <c r="GB42">
        <v>-217773.79085847814</v>
      </c>
      <c r="GC42">
        <v>0</v>
      </c>
      <c r="GD42">
        <v>-33702.681429927245</v>
      </c>
      <c r="GE42">
        <v>-9100</v>
      </c>
      <c r="GF42">
        <v>-8289828.7611369211</v>
      </c>
      <c r="GG42">
        <v>-118.42612515909887</v>
      </c>
      <c r="GH42">
        <v>549699.09634489007</v>
      </c>
      <c r="GI42">
        <v>7.8528442334984296</v>
      </c>
      <c r="GK42" t="s">
        <v>55</v>
      </c>
    </row>
    <row r="43" spans="2:193" ht="16" customHeight="1">
      <c r="B43">
        <v>38</v>
      </c>
      <c r="C43">
        <v>46204</v>
      </c>
      <c r="D43" t="s">
        <v>5</v>
      </c>
      <c r="E43" t="s">
        <v>336</v>
      </c>
      <c r="F43" t="s">
        <v>245</v>
      </c>
      <c r="G43" t="s">
        <v>350</v>
      </c>
      <c r="H43" t="s">
        <v>162</v>
      </c>
      <c r="J43">
        <v>46209</v>
      </c>
      <c r="K43">
        <v>46209.914537037039</v>
      </c>
      <c r="L43">
        <v>46212.522537037039</v>
      </c>
      <c r="S43">
        <v>22100</v>
      </c>
      <c r="T43">
        <v>10000</v>
      </c>
      <c r="AB43">
        <v>15000</v>
      </c>
      <c r="AH43">
        <v>7500</v>
      </c>
      <c r="AL43">
        <v>5300</v>
      </c>
      <c r="AM43">
        <v>5300</v>
      </c>
      <c r="BJ43">
        <v>65200</v>
      </c>
      <c r="BL43">
        <v>46204</v>
      </c>
      <c r="BM43">
        <v>46213</v>
      </c>
      <c r="BO43">
        <v>0.27760736196319019</v>
      </c>
      <c r="BQ43" t="s">
        <v>154</v>
      </c>
      <c r="BS43" t="s">
        <v>165</v>
      </c>
      <c r="BU43">
        <v>16.148684737169365</v>
      </c>
      <c r="BV43">
        <v>8.8251175085276401</v>
      </c>
      <c r="BW43">
        <v>4.2873490758795887</v>
      </c>
      <c r="BX43">
        <v>3.8994682070321511</v>
      </c>
      <c r="BY43">
        <v>1.110000398258882</v>
      </c>
      <c r="BZ43">
        <v>1.0282321553771241</v>
      </c>
      <c r="CA43">
        <v>6676.1351297897018</v>
      </c>
      <c r="CB43">
        <v>6154.2203576727052</v>
      </c>
      <c r="CC43">
        <v>5856.1544275917886</v>
      </c>
      <c r="CF43">
        <v>-1.1911190230599999</v>
      </c>
      <c r="CN43">
        <v>-0.11444274028684079</v>
      </c>
      <c r="FR43">
        <v>1041.6666666665969</v>
      </c>
      <c r="FU43">
        <v>122.878175</v>
      </c>
      <c r="FV43">
        <v>8011657.0099999998</v>
      </c>
      <c r="FW43">
        <v>-77660.960303511994</v>
      </c>
      <c r="FX43">
        <v>7933996.0496964874</v>
      </c>
      <c r="FY43">
        <v>-7461.666666702019</v>
      </c>
      <c r="FZ43">
        <v>-94251.950940859708</v>
      </c>
      <c r="GA43">
        <v>-7456017.0962697016</v>
      </c>
      <c r="GB43">
        <v>-239935.99999999997</v>
      </c>
      <c r="GC43">
        <v>0</v>
      </c>
      <c r="GD43">
        <v>-32046.62804</v>
      </c>
      <c r="GE43">
        <v>-8476</v>
      </c>
      <c r="GF43">
        <v>-7838189.3419172633</v>
      </c>
      <c r="GG43">
        <v>-120.21762794351631</v>
      </c>
      <c r="GH43">
        <v>95806.707779224031</v>
      </c>
      <c r="GI43">
        <v>1.4694280334236816</v>
      </c>
      <c r="GK43" t="s">
        <v>55</v>
      </c>
    </row>
    <row r="44" spans="2:193" ht="16" customHeight="1">
      <c r="B44">
        <v>39</v>
      </c>
      <c r="C44">
        <v>46204</v>
      </c>
      <c r="D44" t="s">
        <v>5</v>
      </c>
      <c r="E44" t="s">
        <v>369</v>
      </c>
      <c r="F44" t="s">
        <v>322</v>
      </c>
      <c r="G44" t="s">
        <v>323</v>
      </c>
      <c r="H44" t="s">
        <v>162</v>
      </c>
      <c r="J44">
        <v>46209</v>
      </c>
      <c r="K44">
        <v>46209.666666666664</v>
      </c>
      <c r="L44">
        <v>46210.546666666662</v>
      </c>
      <c r="Q44">
        <v>4500</v>
      </c>
      <c r="R44">
        <v>3000</v>
      </c>
      <c r="U44">
        <v>2000</v>
      </c>
      <c r="W44">
        <v>12500</v>
      </c>
      <c r="BJ44">
        <v>22000</v>
      </c>
      <c r="BL44">
        <v>46207</v>
      </c>
      <c r="BM44">
        <v>46216</v>
      </c>
      <c r="BO44">
        <v>0</v>
      </c>
      <c r="BQ44" t="s">
        <v>154</v>
      </c>
      <c r="BS44" t="s">
        <v>166</v>
      </c>
      <c r="BU44">
        <v>17.871205775217582</v>
      </c>
      <c r="BV44">
        <v>12.288041391992538</v>
      </c>
      <c r="BW44">
        <v>5.1453850779573678</v>
      </c>
      <c r="BX44">
        <v>4.8133373395310377</v>
      </c>
      <c r="BY44">
        <v>0.86046606986975727</v>
      </c>
      <c r="BZ44">
        <v>0.80355621485591311</v>
      </c>
      <c r="CA44">
        <v>6218.1901964607932</v>
      </c>
      <c r="CB44">
        <v>5822.6844749023248</v>
      </c>
      <c r="CC44">
        <v>5505.2147778730068</v>
      </c>
      <c r="CF44">
        <v>1.1491042929999999</v>
      </c>
      <c r="CN44">
        <v>-0.13636363635950888</v>
      </c>
      <c r="FR44">
        <v>1041.6666666697672</v>
      </c>
      <c r="FU44">
        <v>134.84999999999997</v>
      </c>
      <c r="FV44">
        <v>2966699.9999999991</v>
      </c>
      <c r="FW44">
        <v>25280.294446</v>
      </c>
      <c r="FX44">
        <v>2991980.294445999</v>
      </c>
      <c r="FY44">
        <v>-2999.9999999091951</v>
      </c>
      <c r="FZ44">
        <v>0</v>
      </c>
      <c r="GA44">
        <v>-2395784.290212363</v>
      </c>
      <c r="GB44">
        <v>-68443.191412664557</v>
      </c>
      <c r="GC44">
        <v>0</v>
      </c>
      <c r="GD44">
        <v>-11866.799999999996</v>
      </c>
      <c r="GE44">
        <v>-2860</v>
      </c>
      <c r="GF44">
        <v>-2481954.2816249365</v>
      </c>
      <c r="GG44">
        <v>-112.81610371022438</v>
      </c>
      <c r="GH44">
        <v>510026.01282106247</v>
      </c>
      <c r="GI44">
        <v>23.183000582775566</v>
      </c>
      <c r="GK44" t="s">
        <v>264</v>
      </c>
    </row>
    <row r="45" spans="2:193" ht="16" customHeight="1">
      <c r="B45">
        <v>40</v>
      </c>
      <c r="C45">
        <v>46204</v>
      </c>
      <c r="D45" t="s">
        <v>5</v>
      </c>
      <c r="E45" t="s">
        <v>369</v>
      </c>
      <c r="F45" t="s">
        <v>185</v>
      </c>
      <c r="G45" t="s">
        <v>321</v>
      </c>
      <c r="H45" t="s">
        <v>162</v>
      </c>
      <c r="J45">
        <v>46209</v>
      </c>
      <c r="K45">
        <v>46210.666666666664</v>
      </c>
      <c r="L45">
        <v>46212.866666666661</v>
      </c>
      <c r="T45">
        <v>15000</v>
      </c>
      <c r="U45">
        <v>5000</v>
      </c>
      <c r="W45">
        <v>5000</v>
      </c>
      <c r="AB45">
        <v>22500</v>
      </c>
      <c r="AF45">
        <v>7500</v>
      </c>
      <c r="BJ45">
        <v>55000</v>
      </c>
      <c r="BL45">
        <v>46207</v>
      </c>
      <c r="BM45">
        <v>46216</v>
      </c>
      <c r="BO45">
        <v>0.13636363636363635</v>
      </c>
      <c r="BQ45" t="s">
        <v>154</v>
      </c>
      <c r="BS45" t="s">
        <v>164</v>
      </c>
      <c r="BU45">
        <v>14.163080116390354</v>
      </c>
      <c r="BV45">
        <v>7.9775009183974266</v>
      </c>
      <c r="BW45">
        <v>4.1550324495497684</v>
      </c>
      <c r="BX45">
        <v>3.8606961533144482</v>
      </c>
      <c r="BY45">
        <v>1.3387250421132584</v>
      </c>
      <c r="BZ45">
        <v>1.2492805829731681</v>
      </c>
      <c r="CA45">
        <v>6812.2514134049379</v>
      </c>
      <c r="CB45">
        <v>6358.1253420762378</v>
      </c>
      <c r="CC45">
        <v>6044.780279548314</v>
      </c>
      <c r="CF45">
        <v>2.1911190230600002</v>
      </c>
      <c r="CN45">
        <v>-0.38181818181643551</v>
      </c>
      <c r="FR45">
        <v>1041.6666666680446</v>
      </c>
      <c r="FU45">
        <v>134.85</v>
      </c>
      <c r="FV45">
        <v>7416750</v>
      </c>
      <c r="FW45">
        <v>120511.54626830001</v>
      </c>
      <c r="FX45">
        <v>7537261.5462683002</v>
      </c>
      <c r="FY45">
        <v>-20999.999999903954</v>
      </c>
      <c r="FZ45">
        <v>-29923.588969750519</v>
      </c>
      <c r="GA45">
        <v>-6396544.0755554838</v>
      </c>
      <c r="GB45">
        <v>-171107.97853166139</v>
      </c>
      <c r="GC45">
        <v>0</v>
      </c>
      <c r="GD45">
        <v>-29667</v>
      </c>
      <c r="GE45">
        <v>-7150</v>
      </c>
      <c r="GF45">
        <v>-6655392.6430567997</v>
      </c>
      <c r="GG45">
        <v>-121.00713896466908</v>
      </c>
      <c r="GH45">
        <v>881868.9032115005</v>
      </c>
      <c r="GI45">
        <v>16.033980058390917</v>
      </c>
      <c r="GK45" t="s">
        <v>55</v>
      </c>
    </row>
    <row r="46" spans="2:193" ht="16" customHeight="1">
      <c r="B46">
        <v>41</v>
      </c>
      <c r="C46">
        <v>46204</v>
      </c>
      <c r="D46" t="s">
        <v>5</v>
      </c>
      <c r="E46" t="s">
        <v>155</v>
      </c>
      <c r="F46" t="s">
        <v>232</v>
      </c>
      <c r="G46" t="s">
        <v>335</v>
      </c>
      <c r="H46" t="s">
        <v>162</v>
      </c>
      <c r="J46">
        <v>46208</v>
      </c>
      <c r="K46">
        <v>46212.188374050929</v>
      </c>
      <c r="L46">
        <v>46215.468374050928</v>
      </c>
      <c r="S46">
        <v>36000</v>
      </c>
      <c r="T46">
        <v>9000</v>
      </c>
      <c r="U46">
        <v>7000</v>
      </c>
      <c r="W46">
        <v>7500</v>
      </c>
      <c r="AB46">
        <v>7500</v>
      </c>
      <c r="AH46">
        <v>7500</v>
      </c>
      <c r="AJ46">
        <v>7500</v>
      </c>
      <c r="BJ46">
        <v>82000</v>
      </c>
      <c r="BL46">
        <v>46208</v>
      </c>
      <c r="BM46">
        <v>46217</v>
      </c>
      <c r="BO46">
        <v>0.18292682926829268</v>
      </c>
      <c r="BQ46" t="s">
        <v>154</v>
      </c>
      <c r="BS46" t="s">
        <v>165</v>
      </c>
      <c r="BU46">
        <v>15.185337835241373</v>
      </c>
      <c r="BV46">
        <v>8.9146957871947006</v>
      </c>
      <c r="BW46">
        <v>4.1808885331300907</v>
      </c>
      <c r="BX46">
        <v>3.8793296554077017</v>
      </c>
      <c r="BY46">
        <v>0.91069893583562089</v>
      </c>
      <c r="BZ46">
        <v>0.850831091814226</v>
      </c>
      <c r="CA46">
        <v>6681.2444652491804</v>
      </c>
      <c r="CB46">
        <v>6225.8911603386769</v>
      </c>
      <c r="CC46">
        <v>5942.6159948698969</v>
      </c>
      <c r="CF46">
        <v>2.2911871923399998</v>
      </c>
      <c r="CN46">
        <v>-0.80964308435007182</v>
      </c>
      <c r="FR46">
        <v>1041.6666666670365</v>
      </c>
      <c r="FU46">
        <v>128.173663397659</v>
      </c>
      <c r="FV46">
        <v>10510240.398608038</v>
      </c>
      <c r="FW46">
        <v>187877.34977187999</v>
      </c>
      <c r="FX46">
        <v>10698117.748379918</v>
      </c>
      <c r="FY46">
        <v>-66390.732916705892</v>
      </c>
      <c r="FZ46">
        <v>-72130.028724436255</v>
      </c>
      <c r="GA46">
        <v>-9581526.4110653065</v>
      </c>
      <c r="GB46">
        <v>-301760</v>
      </c>
      <c r="GC46">
        <v>0</v>
      </c>
      <c r="GD46">
        <v>-42040.961594432156</v>
      </c>
      <c r="GE46">
        <v>-10660</v>
      </c>
      <c r="GF46">
        <v>-10074508.134300882</v>
      </c>
      <c r="GG46">
        <v>-122.85985529635222</v>
      </c>
      <c r="GH46">
        <v>623609.61407903582</v>
      </c>
      <c r="GI46">
        <v>7.6049952936467786</v>
      </c>
      <c r="GK46" t="s">
        <v>55</v>
      </c>
    </row>
    <row r="47" spans="2:193" ht="16" customHeight="1">
      <c r="B47">
        <v>42</v>
      </c>
      <c r="C47">
        <v>46204</v>
      </c>
      <c r="D47" t="s">
        <v>5</v>
      </c>
      <c r="E47" t="s">
        <v>155</v>
      </c>
      <c r="F47" t="s">
        <v>187</v>
      </c>
      <c r="G47" t="s">
        <v>331</v>
      </c>
      <c r="H47" t="s">
        <v>162</v>
      </c>
      <c r="J47">
        <v>46212</v>
      </c>
      <c r="K47">
        <v>46214</v>
      </c>
      <c r="L47">
        <v>46217</v>
      </c>
      <c r="U47">
        <v>40000</v>
      </c>
      <c r="V47">
        <v>9700</v>
      </c>
      <c r="W47">
        <v>5000</v>
      </c>
      <c r="AM47">
        <v>5300</v>
      </c>
      <c r="AQ47">
        <v>7500</v>
      </c>
      <c r="AT47">
        <v>7500</v>
      </c>
      <c r="BJ47">
        <v>75000</v>
      </c>
      <c r="BL47">
        <v>46212</v>
      </c>
      <c r="BM47">
        <v>46221</v>
      </c>
      <c r="BO47">
        <v>0.27066666666666667</v>
      </c>
      <c r="BQ47" t="s">
        <v>154</v>
      </c>
      <c r="BS47" t="s">
        <v>166</v>
      </c>
      <c r="BU47">
        <v>22.202472937036489</v>
      </c>
      <c r="BV47">
        <v>12.530609594367251</v>
      </c>
      <c r="BW47">
        <v>4.5573083088893682</v>
      </c>
      <c r="BX47">
        <v>4.0252051151304471</v>
      </c>
      <c r="BY47">
        <v>0.60451795539416109</v>
      </c>
      <c r="BZ47">
        <v>0.55133284337328137</v>
      </c>
      <c r="CA47">
        <v>6145.5796447900784</v>
      </c>
      <c r="CB47">
        <v>5493.1993679668785</v>
      </c>
      <c r="CC47">
        <v>5162.8987098401449</v>
      </c>
      <c r="CF47">
        <v>-0.31234162549569899</v>
      </c>
      <c r="CN47">
        <v>-0.36</v>
      </c>
      <c r="FR47">
        <v>1041.6666666666667</v>
      </c>
      <c r="FU47">
        <v>100.71739130434781</v>
      </c>
      <c r="FV47">
        <v>7553804.347826086</v>
      </c>
      <c r="FW47">
        <v>-23425.621912177423</v>
      </c>
      <c r="FX47">
        <v>7530378.7259139083</v>
      </c>
      <c r="FY47">
        <v>-27000</v>
      </c>
      <c r="FZ47">
        <v>-56825.726535541748</v>
      </c>
      <c r="GA47">
        <v>-7314023.6836866448</v>
      </c>
      <c r="GB47">
        <v>-233329.06163408372</v>
      </c>
      <c r="GC47">
        <v>0</v>
      </c>
      <c r="GD47">
        <v>-30215.217391304344</v>
      </c>
      <c r="GE47">
        <v>-9750</v>
      </c>
      <c r="GF47">
        <v>-7671143.6892475747</v>
      </c>
      <c r="GG47">
        <v>-102.28191585663433</v>
      </c>
      <c r="GH47">
        <v>-140764.96333366632</v>
      </c>
      <c r="GI47">
        <v>-1.8768661777822178</v>
      </c>
      <c r="GK47" t="s">
        <v>264</v>
      </c>
    </row>
    <row r="48" spans="2:193" ht="16" customHeight="1">
      <c r="B48">
        <v>43</v>
      </c>
      <c r="C48">
        <v>46204</v>
      </c>
      <c r="D48" t="s">
        <v>6</v>
      </c>
      <c r="E48" t="s">
        <v>155</v>
      </c>
      <c r="F48" t="s">
        <v>341</v>
      </c>
      <c r="G48" t="s">
        <v>342</v>
      </c>
      <c r="H48" t="s">
        <v>162</v>
      </c>
      <c r="J48">
        <v>46214</v>
      </c>
      <c r="K48">
        <v>46215.666666666664</v>
      </c>
      <c r="L48">
        <v>46217.666666666664</v>
      </c>
      <c r="U48">
        <v>22500</v>
      </c>
      <c r="V48">
        <v>7500</v>
      </c>
      <c r="BJ48">
        <v>30000</v>
      </c>
      <c r="BL48">
        <v>46214</v>
      </c>
      <c r="BM48">
        <v>46223</v>
      </c>
      <c r="BO48">
        <v>1</v>
      </c>
      <c r="BQ48" t="s">
        <v>154</v>
      </c>
      <c r="BS48" t="s">
        <v>348</v>
      </c>
      <c r="BU48">
        <v>16.327243003398952</v>
      </c>
      <c r="BV48">
        <v>10.647277864157124</v>
      </c>
      <c r="BW48">
        <v>4.5701102623691163</v>
      </c>
      <c r="BX48">
        <v>4.2758157761281028</v>
      </c>
      <c r="BY48">
        <v>0.83749958991430917</v>
      </c>
      <c r="BZ48">
        <v>0.78001146795099119</v>
      </c>
      <c r="CA48">
        <v>6477.1453998846118</v>
      </c>
      <c r="CB48">
        <v>6065.8986029642738</v>
      </c>
      <c r="CC48">
        <v>5751.5300512358608</v>
      </c>
      <c r="CF48">
        <v>0.11362</v>
      </c>
      <c r="CN48">
        <v>-0.69999999999854479</v>
      </c>
      <c r="FR48">
        <v>625</v>
      </c>
      <c r="FU48">
        <v>130.46785714285716</v>
      </c>
      <c r="FV48">
        <v>3914035.7142857146</v>
      </c>
      <c r="FW48">
        <v>3408.6</v>
      </c>
      <c r="FX48">
        <v>3917444.3142857146</v>
      </c>
      <c r="FY48">
        <v>-20999.999999956344</v>
      </c>
      <c r="FZ48">
        <v>-160938.065764186</v>
      </c>
      <c r="GA48">
        <v>-1600534.5987</v>
      </c>
      <c r="GB48">
        <v>-59100</v>
      </c>
      <c r="GC48">
        <v>-528394.82142857159</v>
      </c>
      <c r="GD48">
        <v>0</v>
      </c>
      <c r="GE48">
        <v>0</v>
      </c>
      <c r="GF48">
        <v>-2369967.485892714</v>
      </c>
      <c r="GG48">
        <v>-78.998916196423806</v>
      </c>
      <c r="GH48">
        <v>1547476.8283930006</v>
      </c>
      <c r="GI48">
        <v>51.582560946433354</v>
      </c>
      <c r="GK48" t="s">
        <v>55</v>
      </c>
    </row>
    <row r="49" spans="2:193" ht="16" customHeight="1">
      <c r="B49">
        <v>44</v>
      </c>
      <c r="C49">
        <v>46204</v>
      </c>
      <c r="D49" t="s">
        <v>5</v>
      </c>
      <c r="E49" t="s">
        <v>155</v>
      </c>
      <c r="F49" t="s">
        <v>245</v>
      </c>
      <c r="G49" t="s">
        <v>337</v>
      </c>
      <c r="H49" t="s">
        <v>162</v>
      </c>
      <c r="J49">
        <v>46217</v>
      </c>
      <c r="K49">
        <v>46218.144873229168</v>
      </c>
      <c r="L49">
        <v>46221.144873229168</v>
      </c>
      <c r="S49">
        <v>22200</v>
      </c>
      <c r="T49">
        <v>17500</v>
      </c>
      <c r="AB49">
        <v>17200</v>
      </c>
      <c r="AJ49">
        <v>7500</v>
      </c>
      <c r="AL49">
        <v>5300</v>
      </c>
      <c r="AM49">
        <v>5300</v>
      </c>
      <c r="BJ49">
        <v>75000</v>
      </c>
      <c r="BL49">
        <v>46217</v>
      </c>
      <c r="BM49">
        <v>46226</v>
      </c>
      <c r="BO49">
        <v>0.24133333333333334</v>
      </c>
      <c r="BQ49" t="s">
        <v>154</v>
      </c>
      <c r="BS49" t="s">
        <v>166</v>
      </c>
      <c r="BU49">
        <v>16.042436741966327</v>
      </c>
      <c r="BV49">
        <v>8.4581857757508985</v>
      </c>
      <c r="BW49">
        <v>4.4059710121593936</v>
      </c>
      <c r="BX49">
        <v>3.9963213938587687</v>
      </c>
      <c r="BY49">
        <v>1.1824314083114809</v>
      </c>
      <c r="BZ49">
        <v>1.0960779626271733</v>
      </c>
      <c r="CA49">
        <v>6690.1559263917216</v>
      </c>
      <c r="CB49">
        <v>6151.5894076974782</v>
      </c>
      <c r="CC49">
        <v>5853.4023885341239</v>
      </c>
      <c r="CF49">
        <v>-1.15283454</v>
      </c>
      <c r="CN49">
        <v>-0.15476957500039135</v>
      </c>
      <c r="FR49">
        <v>1041.6666666666667</v>
      </c>
      <c r="FU49">
        <v>118.894475</v>
      </c>
      <c r="FV49">
        <v>8917085.625</v>
      </c>
      <c r="FW49">
        <v>-86462.590499999991</v>
      </c>
      <c r="FX49">
        <v>8830623.0344999991</v>
      </c>
      <c r="FY49">
        <v>-11607.718125029351</v>
      </c>
      <c r="FZ49">
        <v>-84385.388492521655</v>
      </c>
      <c r="GA49">
        <v>-8520552.8333023489</v>
      </c>
      <c r="GB49">
        <v>-233329.06163408372</v>
      </c>
      <c r="GC49">
        <v>0</v>
      </c>
      <c r="GD49">
        <v>-35668.342499999999</v>
      </c>
      <c r="GE49">
        <v>-9750</v>
      </c>
      <c r="GF49">
        <v>-8895293.3440539837</v>
      </c>
      <c r="GG49">
        <v>-118.60391125405312</v>
      </c>
      <c r="GH49">
        <v>-64670.309553984553</v>
      </c>
      <c r="GI49">
        <v>-0.86227079405312734</v>
      </c>
      <c r="GK49" t="s">
        <v>55</v>
      </c>
    </row>
    <row r="50" spans="2:193" ht="14.5">
      <c r="B50">
        <v>45</v>
      </c>
      <c r="C50">
        <v>46204</v>
      </c>
      <c r="D50" t="s">
        <v>6</v>
      </c>
      <c r="E50" t="s">
        <v>155</v>
      </c>
      <c r="F50" t="s">
        <v>346</v>
      </c>
      <c r="G50" t="s">
        <v>347</v>
      </c>
      <c r="H50" t="s">
        <v>162</v>
      </c>
      <c r="J50">
        <v>46217</v>
      </c>
      <c r="K50">
        <v>46220.666666666664</v>
      </c>
      <c r="L50">
        <v>46223.866666666661</v>
      </c>
      <c r="U50">
        <v>65000</v>
      </c>
      <c r="V50">
        <v>15000</v>
      </c>
      <c r="BJ50">
        <v>80000</v>
      </c>
      <c r="BL50">
        <v>46217</v>
      </c>
      <c r="BM50">
        <v>46226</v>
      </c>
      <c r="BO50">
        <v>1</v>
      </c>
      <c r="BQ50" t="s">
        <v>154</v>
      </c>
      <c r="BS50" t="s">
        <v>165</v>
      </c>
      <c r="BU50">
        <v>16.238980164445312</v>
      </c>
      <c r="BV50">
        <v>10.664483418334974</v>
      </c>
      <c r="BW50">
        <v>4.5016718617060008</v>
      </c>
      <c r="BX50">
        <v>4.2176959288087943</v>
      </c>
      <c r="BY50">
        <v>0.7614227091892245</v>
      </c>
      <c r="BZ50">
        <v>0.71045645460349482</v>
      </c>
      <c r="CA50">
        <v>6484.6820171161235</v>
      </c>
      <c r="CB50">
        <v>6080.4403503564654</v>
      </c>
      <c r="CC50">
        <v>5766.614777923387</v>
      </c>
      <c r="CF50">
        <v>0.10299999999999999</v>
      </c>
      <c r="CN50">
        <v>-0.71249999999879932</v>
      </c>
      <c r="FR50">
        <v>1041.666666667614</v>
      </c>
      <c r="FU50">
        <v>122.88709677419355</v>
      </c>
      <c r="FV50">
        <v>9830967.7419354841</v>
      </c>
      <c r="FW50">
        <v>8240</v>
      </c>
      <c r="FX50">
        <v>9839207.7419354841</v>
      </c>
      <c r="FY50">
        <v>-56999.999999903943</v>
      </c>
      <c r="FZ50">
        <v>-429168.17537116265</v>
      </c>
      <c r="GA50">
        <v>-4322309.3763999995</v>
      </c>
      <c r="GB50">
        <v>-216000</v>
      </c>
      <c r="GC50">
        <v>-1327180.6451612904</v>
      </c>
      <c r="GD50">
        <v>0</v>
      </c>
      <c r="GE50">
        <v>0</v>
      </c>
      <c r="GF50">
        <v>-6351658.1969323568</v>
      </c>
      <c r="GG50">
        <v>-79.395727461654459</v>
      </c>
      <c r="GH50">
        <v>3487549.5450031273</v>
      </c>
      <c r="GI50">
        <v>43.594369312539094</v>
      </c>
      <c r="GK50" t="s">
        <v>55</v>
      </c>
    </row>
    <row r="51" spans="2:193" ht="14.5">
      <c r="B51">
        <v>46</v>
      </c>
      <c r="C51">
        <v>46204</v>
      </c>
      <c r="D51" t="s">
        <v>5</v>
      </c>
      <c r="E51" t="s">
        <v>155</v>
      </c>
      <c r="F51" t="s">
        <v>246</v>
      </c>
      <c r="G51" t="s">
        <v>356</v>
      </c>
      <c r="H51" t="s">
        <v>162</v>
      </c>
      <c r="J51">
        <v>46219</v>
      </c>
      <c r="K51">
        <v>46221.5</v>
      </c>
      <c r="L51">
        <v>46223.9</v>
      </c>
      <c r="S51">
        <v>5000</v>
      </c>
      <c r="T51">
        <v>2500</v>
      </c>
      <c r="U51">
        <v>37500</v>
      </c>
      <c r="AC51">
        <v>7500</v>
      </c>
      <c r="AH51">
        <v>7500</v>
      </c>
      <c r="BJ51">
        <v>60000</v>
      </c>
      <c r="BL51">
        <v>46219</v>
      </c>
      <c r="BM51">
        <v>46233</v>
      </c>
      <c r="BO51">
        <v>0.25</v>
      </c>
      <c r="BQ51" t="s">
        <v>154</v>
      </c>
      <c r="BS51" t="s">
        <v>164</v>
      </c>
      <c r="BU51">
        <v>15.879892827674482</v>
      </c>
      <c r="BV51">
        <v>10.12241645791439</v>
      </c>
      <c r="BW51">
        <v>4.7527492357461947</v>
      </c>
      <c r="BX51">
        <v>4.4421306768884463</v>
      </c>
      <c r="BY51">
        <v>0.64926638239705314</v>
      </c>
      <c r="BZ51">
        <v>0.60741702706304035</v>
      </c>
      <c r="CA51">
        <v>6519.4088841928651</v>
      </c>
      <c r="CB51">
        <v>6102.633793539726</v>
      </c>
      <c r="CC51">
        <v>5811.7656226138488</v>
      </c>
      <c r="CF51">
        <v>0.271538</v>
      </c>
      <c r="CN51">
        <v>-0.60000000000043652</v>
      </c>
      <c r="FR51">
        <v>1041.6666666660351</v>
      </c>
      <c r="FU51">
        <v>126.38717543133868</v>
      </c>
      <c r="FV51">
        <v>7583230.5258803209</v>
      </c>
      <c r="FW51">
        <v>16292.28</v>
      </c>
      <c r="FX51">
        <v>7599522.8058803212</v>
      </c>
      <c r="FY51">
        <v>-36000.000000026193</v>
      </c>
      <c r="FZ51">
        <v>-80285.278655965871</v>
      </c>
      <c r="GA51">
        <v>-6758939.5931559447</v>
      </c>
      <c r="GB51">
        <v>-186663.24930726696</v>
      </c>
      <c r="GC51">
        <v>0</v>
      </c>
      <c r="GD51">
        <v>-30332.922103521283</v>
      </c>
      <c r="GE51">
        <v>-7800</v>
      </c>
      <c r="GF51">
        <v>-7100021.0432227254</v>
      </c>
      <c r="GG51">
        <v>-118.33368405371209</v>
      </c>
      <c r="GH51">
        <v>499501.7626575958</v>
      </c>
      <c r="GI51">
        <v>8.3250293776265973</v>
      </c>
      <c r="GK51" t="s">
        <v>55</v>
      </c>
    </row>
    <row r="52" spans="2:193" ht="15" customHeight="1">
      <c r="B52">
        <v>47</v>
      </c>
      <c r="C52">
        <v>46204</v>
      </c>
      <c r="D52" t="s">
        <v>5</v>
      </c>
      <c r="E52" t="s">
        <v>155</v>
      </c>
      <c r="F52" t="s">
        <v>310</v>
      </c>
      <c r="G52" t="s">
        <v>339</v>
      </c>
      <c r="H52" t="s">
        <v>162</v>
      </c>
      <c r="J52">
        <v>46219</v>
      </c>
      <c r="K52">
        <v>46223.532314814816</v>
      </c>
      <c r="L52">
        <v>46226.532314814816</v>
      </c>
      <c r="R52">
        <v>7500</v>
      </c>
      <c r="T52">
        <v>7500</v>
      </c>
      <c r="U52">
        <v>22500</v>
      </c>
      <c r="V52">
        <v>15000</v>
      </c>
      <c r="W52">
        <v>15000</v>
      </c>
      <c r="AT52">
        <v>7500</v>
      </c>
      <c r="BJ52">
        <v>75000</v>
      </c>
      <c r="BL52">
        <v>46219</v>
      </c>
      <c r="BM52">
        <v>46228</v>
      </c>
      <c r="BO52">
        <v>0.1</v>
      </c>
      <c r="BQ52" t="s">
        <v>154</v>
      </c>
      <c r="BS52" t="s">
        <v>165</v>
      </c>
      <c r="BU52">
        <v>18.792786581116605</v>
      </c>
      <c r="BV52">
        <v>11.167501758774337</v>
      </c>
      <c r="BW52">
        <v>5.0420615267100306</v>
      </c>
      <c r="BX52">
        <v>4.5912998637629272</v>
      </c>
      <c r="BY52">
        <v>1.0329521762442109</v>
      </c>
      <c r="BZ52">
        <v>0.95812526720312474</v>
      </c>
      <c r="CA52">
        <v>6314.0061785126927</v>
      </c>
      <c r="CB52">
        <v>5785.6476116080457</v>
      </c>
      <c r="CC52">
        <v>5465.2237417198885</v>
      </c>
      <c r="CF52">
        <v>-0.29190255999999998</v>
      </c>
      <c r="CN52">
        <v>-0.96775555555592296</v>
      </c>
      <c r="FR52">
        <v>1041.6666666666667</v>
      </c>
      <c r="FU52">
        <v>105.32608695652172</v>
      </c>
      <c r="FV52">
        <v>7899456.521739129</v>
      </c>
      <c r="FW52">
        <v>-21892.691999999999</v>
      </c>
      <c r="FX52">
        <v>7877563.8297391292</v>
      </c>
      <c r="FY52">
        <v>-72581.666666694218</v>
      </c>
      <c r="FZ52">
        <v>0</v>
      </c>
      <c r="GA52">
        <v>-7864188.5492778346</v>
      </c>
      <c r="GB52">
        <v>-276000</v>
      </c>
      <c r="GC52">
        <v>0</v>
      </c>
      <c r="GD52">
        <v>-31597.826086956517</v>
      </c>
      <c r="GE52">
        <v>-9750</v>
      </c>
      <c r="GF52">
        <v>-8254118.0420314847</v>
      </c>
      <c r="GG52">
        <v>-110.05490722708646</v>
      </c>
      <c r="GH52">
        <v>-376554.21229235549</v>
      </c>
      <c r="GI52">
        <v>-5.0207228305647398</v>
      </c>
      <c r="GK52" t="s">
        <v>264</v>
      </c>
    </row>
    <row r="53" spans="2:193" ht="15" customHeight="1">
      <c r="B53">
        <v>48</v>
      </c>
      <c r="C53">
        <v>46204</v>
      </c>
      <c r="D53" t="s">
        <v>5</v>
      </c>
      <c r="E53" t="s">
        <v>155</v>
      </c>
      <c r="F53" t="s">
        <v>242</v>
      </c>
      <c r="G53" t="s">
        <v>344</v>
      </c>
      <c r="H53" t="s">
        <v>162</v>
      </c>
      <c r="J53">
        <v>46220</v>
      </c>
      <c r="K53">
        <v>46224.310578703706</v>
      </c>
      <c r="L53">
        <v>46226.710578703707</v>
      </c>
      <c r="S53">
        <v>37500</v>
      </c>
      <c r="AC53">
        <v>15000</v>
      </c>
      <c r="AH53">
        <v>7500</v>
      </c>
      <c r="BJ53">
        <v>60000</v>
      </c>
      <c r="BL53">
        <v>46220</v>
      </c>
      <c r="BM53">
        <v>46229</v>
      </c>
      <c r="BO53">
        <v>0.375</v>
      </c>
      <c r="BQ53" t="s">
        <v>154</v>
      </c>
      <c r="BS53" t="s">
        <v>166</v>
      </c>
      <c r="BU53">
        <v>13.656990687731339</v>
      </c>
      <c r="BV53">
        <v>7.4899916155653141</v>
      </c>
      <c r="BW53">
        <v>4.7126107041752689</v>
      </c>
      <c r="BX53">
        <v>4.3877022757722326</v>
      </c>
      <c r="BY53">
        <v>0.76548893292533582</v>
      </c>
      <c r="BZ53">
        <v>0.7153591600001854</v>
      </c>
      <c r="CA53">
        <v>6806.8612852306578</v>
      </c>
      <c r="CB53">
        <v>6354.6593068760958</v>
      </c>
      <c r="CC53">
        <v>6076.6548464026828</v>
      </c>
      <c r="CF53">
        <v>0.87192340000000002</v>
      </c>
      <c r="CN53">
        <v>-1.1431736111121427</v>
      </c>
      <c r="FR53">
        <v>1041.6666666660351</v>
      </c>
      <c r="FU53">
        <v>133.29738805970149</v>
      </c>
      <c r="FV53">
        <v>7997843.2835820895</v>
      </c>
      <c r="FW53">
        <v>52315.404000000002</v>
      </c>
      <c r="FX53">
        <v>8050158.6875820896</v>
      </c>
      <c r="FY53">
        <v>-68590.416666728561</v>
      </c>
      <c r="FZ53">
        <v>-119572.26172554458</v>
      </c>
      <c r="GA53">
        <v>-7299362.4343247842</v>
      </c>
      <c r="GB53">
        <v>-186663.24930726696</v>
      </c>
      <c r="GC53">
        <v>0</v>
      </c>
      <c r="GD53">
        <v>-31991.373134328358</v>
      </c>
      <c r="GE53">
        <v>-7800</v>
      </c>
      <c r="GF53">
        <v>-7713979.735158653</v>
      </c>
      <c r="GG53">
        <v>-128.56632891931088</v>
      </c>
      <c r="GH53">
        <v>336178.95242343657</v>
      </c>
      <c r="GI53">
        <v>5.6029825403906095</v>
      </c>
      <c r="GK53" t="s">
        <v>55</v>
      </c>
    </row>
    <row r="54" spans="2:193" ht="15" customHeight="1">
      <c r="B54">
        <v>49</v>
      </c>
      <c r="C54">
        <v>46204</v>
      </c>
      <c r="D54" t="s">
        <v>5</v>
      </c>
      <c r="E54" t="s">
        <v>155</v>
      </c>
      <c r="F54" t="s">
        <v>241</v>
      </c>
      <c r="G54" t="s">
        <v>370</v>
      </c>
      <c r="H54" t="s">
        <v>162</v>
      </c>
      <c r="J54">
        <v>46222</v>
      </c>
      <c r="K54">
        <v>46227.56590277778</v>
      </c>
      <c r="L54">
        <v>46230.765902777777</v>
      </c>
      <c r="S54">
        <v>4500</v>
      </c>
      <c r="T54">
        <v>3000</v>
      </c>
      <c r="U54">
        <v>34700</v>
      </c>
      <c r="V54">
        <v>10000</v>
      </c>
      <c r="W54">
        <v>5300</v>
      </c>
      <c r="AF54">
        <v>15000</v>
      </c>
      <c r="AQ54">
        <v>7500</v>
      </c>
      <c r="BJ54">
        <v>80000</v>
      </c>
      <c r="BL54">
        <v>46222</v>
      </c>
      <c r="BM54">
        <v>46231</v>
      </c>
      <c r="BO54">
        <v>0.28125</v>
      </c>
      <c r="BQ54" t="s">
        <v>154</v>
      </c>
      <c r="BS54" t="s">
        <v>164</v>
      </c>
      <c r="BU54">
        <v>19.424027692645772</v>
      </c>
      <c r="BV54">
        <v>11.80278906440914</v>
      </c>
      <c r="BW54">
        <v>4.6767294062975875</v>
      </c>
      <c r="BX54">
        <v>4.2728849291199058</v>
      </c>
      <c r="BY54">
        <v>0.81254490541222313</v>
      </c>
      <c r="BZ54">
        <v>0.7481735997845762</v>
      </c>
      <c r="CA54">
        <v>6256.8716615957519</v>
      </c>
      <c r="CB54">
        <v>5728.5294253488437</v>
      </c>
      <c r="CC54">
        <v>5403.207280706034</v>
      </c>
      <c r="CF54">
        <v>0.41236273420000003</v>
      </c>
      <c r="CN54">
        <v>-1.1398281249998763</v>
      </c>
      <c r="FR54">
        <v>1041.666666667614</v>
      </c>
      <c r="FU54">
        <v>119.89655172413792</v>
      </c>
      <c r="FV54">
        <v>9591724.137931034</v>
      </c>
      <c r="FW54">
        <v>32989.018736000005</v>
      </c>
      <c r="FX54">
        <v>9624713.1566670332</v>
      </c>
      <c r="FY54">
        <v>-91186.249999990105</v>
      </c>
      <c r="FZ54">
        <v>-91668.711058685993</v>
      </c>
      <c r="GA54">
        <v>-8222791.3458586335</v>
      </c>
      <c r="GB54">
        <v>-248884.33240968929</v>
      </c>
      <c r="GC54">
        <v>0</v>
      </c>
      <c r="GD54">
        <v>-38366.896551724138</v>
      </c>
      <c r="GE54">
        <v>-10400</v>
      </c>
      <c r="GF54">
        <v>-8703297.5358787235</v>
      </c>
      <c r="GG54">
        <v>-108.79121919848404</v>
      </c>
      <c r="GH54">
        <v>921415.62078830972</v>
      </c>
      <c r="GI54">
        <v>11.517695259853872</v>
      </c>
      <c r="GK54" t="s">
        <v>264</v>
      </c>
    </row>
    <row r="55" spans="2:193" ht="15" customHeight="1">
      <c r="B55">
        <v>50</v>
      </c>
      <c r="C55">
        <v>46204</v>
      </c>
      <c r="D55" t="s">
        <v>5</v>
      </c>
      <c r="E55" t="s">
        <v>155</v>
      </c>
      <c r="F55" t="s">
        <v>239</v>
      </c>
      <c r="G55" t="s">
        <v>354</v>
      </c>
      <c r="H55" t="s">
        <v>162</v>
      </c>
      <c r="J55">
        <v>46223</v>
      </c>
      <c r="K55">
        <v>46230.916666666664</v>
      </c>
      <c r="L55">
        <v>46233.916666666664</v>
      </c>
      <c r="S55">
        <v>7500</v>
      </c>
      <c r="T55">
        <v>15000</v>
      </c>
      <c r="U55">
        <v>17200</v>
      </c>
      <c r="AB55">
        <v>15000</v>
      </c>
      <c r="AH55">
        <v>7500</v>
      </c>
      <c r="AJ55">
        <v>7500</v>
      </c>
      <c r="AL55">
        <v>5300</v>
      </c>
      <c r="BJ55">
        <v>75000</v>
      </c>
      <c r="BL55">
        <v>46223</v>
      </c>
      <c r="BM55">
        <v>46232</v>
      </c>
      <c r="BO55">
        <v>0.27066666666666667</v>
      </c>
      <c r="BQ55" t="s">
        <v>154</v>
      </c>
      <c r="BS55" t="s">
        <v>166</v>
      </c>
      <c r="BU55">
        <v>16.202431939118323</v>
      </c>
      <c r="BV55">
        <v>9.4477794928393202</v>
      </c>
      <c r="BW55">
        <v>4.5046038582147601</v>
      </c>
      <c r="BX55">
        <v>4.1458347651591136</v>
      </c>
      <c r="BY55">
        <v>1.0548961027296726</v>
      </c>
      <c r="BZ55">
        <v>0.98208151753861783</v>
      </c>
      <c r="CA55">
        <v>6588.8283309532708</v>
      </c>
      <c r="CB55">
        <v>6104.692422887405</v>
      </c>
      <c r="CC55">
        <v>5819.5030026619606</v>
      </c>
      <c r="CF55">
        <v>3.7930299999999999</v>
      </c>
      <c r="CN55">
        <v>-1.7799999999994178</v>
      </c>
      <c r="FR55">
        <v>1041.6666666666667</v>
      </c>
      <c r="FU55">
        <v>121.39199999999998</v>
      </c>
      <c r="FV55">
        <v>9104399.9999999981</v>
      </c>
      <c r="FW55">
        <v>284477.25</v>
      </c>
      <c r="FX55">
        <v>9388877.2499999981</v>
      </c>
      <c r="FY55">
        <v>-133499.99999995634</v>
      </c>
      <c r="FZ55">
        <v>-100379.49066255202</v>
      </c>
      <c r="GA55">
        <v>-8419813.3604777977</v>
      </c>
      <c r="GB55">
        <v>-233329.06163408372</v>
      </c>
      <c r="GC55">
        <v>0</v>
      </c>
      <c r="GD55">
        <v>-36417.599999999991</v>
      </c>
      <c r="GE55">
        <v>-9750</v>
      </c>
      <c r="GF55">
        <v>-8933189.5127743892</v>
      </c>
      <c r="GG55">
        <v>-119.10919350365852</v>
      </c>
      <c r="GH55">
        <v>455687.7372256089</v>
      </c>
      <c r="GI55">
        <v>6.0758364963414522</v>
      </c>
      <c r="GK55" t="s">
        <v>55</v>
      </c>
    </row>
    <row r="56" spans="2:193" ht="15" customHeight="1">
      <c r="B56">
        <v>51</v>
      </c>
      <c r="C56">
        <v>46204</v>
      </c>
      <c r="D56" t="s">
        <v>8</v>
      </c>
      <c r="E56" t="s">
        <v>168</v>
      </c>
      <c r="F56" t="s">
        <v>243</v>
      </c>
      <c r="G56" t="s">
        <v>360</v>
      </c>
      <c r="H56" t="s">
        <v>244</v>
      </c>
      <c r="J56">
        <v>46224</v>
      </c>
      <c r="K56">
        <v>46224.041666666657</v>
      </c>
      <c r="L56">
        <v>46224.34166666666</v>
      </c>
      <c r="S56">
        <v>3272.28</v>
      </c>
      <c r="T56">
        <v>4227.72</v>
      </c>
      <c r="BJ56">
        <v>7500</v>
      </c>
      <c r="BO56">
        <v>1</v>
      </c>
      <c r="BQ56" t="s">
        <v>154</v>
      </c>
      <c r="BU56">
        <v>12.12738655338919</v>
      </c>
      <c r="BV56">
        <v>6.3512632448712747</v>
      </c>
      <c r="BW56">
        <v>4.805791287292287</v>
      </c>
      <c r="BX56">
        <v>4.5082383464583122</v>
      </c>
      <c r="BY56">
        <v>1.5500006438020326</v>
      </c>
      <c r="BZ56">
        <v>1.4536929069926847</v>
      </c>
      <c r="CA56">
        <v>6929.0009676267928</v>
      </c>
      <c r="CB56">
        <v>6501.7315526428101</v>
      </c>
      <c r="CC56">
        <v>6198.2054809322262</v>
      </c>
      <c r="CF56">
        <v>0</v>
      </c>
      <c r="CN56">
        <v>0</v>
      </c>
      <c r="FR56">
        <v>1041.6666666565611</v>
      </c>
      <c r="FU56">
        <v>80.65000000000002</v>
      </c>
      <c r="FV56">
        <v>604875.00000000012</v>
      </c>
      <c r="FW56">
        <v>0</v>
      </c>
      <c r="FX56">
        <v>604875.00000000012</v>
      </c>
      <c r="FY56">
        <v>0</v>
      </c>
      <c r="FZ56">
        <v>0</v>
      </c>
      <c r="GA56">
        <v>-513972.35899517289</v>
      </c>
      <c r="GB56">
        <v>0</v>
      </c>
      <c r="GC56">
        <v>-124405.87500000001</v>
      </c>
      <c r="GD56">
        <v>0</v>
      </c>
      <c r="GE56">
        <v>0</v>
      </c>
      <c r="GF56">
        <v>-638378.23399517289</v>
      </c>
      <c r="GG56">
        <v>-85.117097866023059</v>
      </c>
      <c r="GH56">
        <v>-33503.233995172777</v>
      </c>
      <c r="GI56">
        <v>-4.4670978660230372</v>
      </c>
      <c r="GK56" t="s">
        <v>55</v>
      </c>
    </row>
    <row r="57" spans="2:193" ht="15" hidden="1" customHeight="1">
      <c r="GH57">
        <v>3204491.4036519332</v>
      </c>
    </row>
    <row r="58" spans="2:193" ht="15" hidden="1" customHeight="1">
      <c r="L58" t="s">
        <v>169</v>
      </c>
      <c r="N58">
        <v>24591.47</v>
      </c>
      <c r="O58">
        <v>0</v>
      </c>
      <c r="P58">
        <v>0</v>
      </c>
      <c r="Q58">
        <v>18000</v>
      </c>
      <c r="R58">
        <v>576193.05000000005</v>
      </c>
      <c r="S58">
        <v>34500</v>
      </c>
      <c r="T58">
        <v>3000</v>
      </c>
      <c r="U58">
        <v>82500</v>
      </c>
      <c r="V58">
        <v>45000</v>
      </c>
      <c r="W58">
        <v>0</v>
      </c>
      <c r="X58">
        <v>0</v>
      </c>
      <c r="Y58">
        <v>135000</v>
      </c>
      <c r="Z58">
        <v>0</v>
      </c>
      <c r="AA58">
        <v>0</v>
      </c>
      <c r="AB58">
        <v>30000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22508.53</v>
      </c>
      <c r="AI58">
        <v>0</v>
      </c>
      <c r="AJ58">
        <v>7500</v>
      </c>
      <c r="AK58">
        <v>0</v>
      </c>
      <c r="AL58">
        <v>5300</v>
      </c>
      <c r="AM58">
        <v>0</v>
      </c>
      <c r="AN58">
        <v>0</v>
      </c>
      <c r="AO58">
        <v>0</v>
      </c>
      <c r="AP58">
        <v>0</v>
      </c>
      <c r="AQ58">
        <v>15000</v>
      </c>
      <c r="AR58">
        <v>0</v>
      </c>
      <c r="AS58">
        <v>5300</v>
      </c>
      <c r="AT58">
        <v>30000</v>
      </c>
      <c r="AU58">
        <v>0</v>
      </c>
      <c r="AV58">
        <v>10600</v>
      </c>
      <c r="AW58">
        <v>0</v>
      </c>
      <c r="AX58">
        <v>20204.95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165002</v>
      </c>
      <c r="BJ58">
        <v>1230200</v>
      </c>
      <c r="CF58">
        <v>-3.8234656881807841E-2</v>
      </c>
      <c r="CN58">
        <v>-0.58795279622182584</v>
      </c>
      <c r="FR58">
        <v>1800.0000000013576</v>
      </c>
    </row>
    <row r="59" spans="2:193" ht="15" hidden="1" customHeight="1">
      <c r="L59" t="s">
        <v>170</v>
      </c>
      <c r="N59">
        <v>0</v>
      </c>
      <c r="O59">
        <v>0</v>
      </c>
      <c r="P59">
        <v>0</v>
      </c>
      <c r="Q59">
        <v>4500</v>
      </c>
      <c r="R59">
        <v>25500</v>
      </c>
      <c r="S59">
        <v>213000.28</v>
      </c>
      <c r="T59">
        <v>124999.72</v>
      </c>
      <c r="U59">
        <v>421500</v>
      </c>
      <c r="V59">
        <v>64700</v>
      </c>
      <c r="W59">
        <v>75600</v>
      </c>
      <c r="X59">
        <v>0</v>
      </c>
      <c r="Y59">
        <v>30000</v>
      </c>
      <c r="Z59">
        <v>0</v>
      </c>
      <c r="AA59">
        <v>0</v>
      </c>
      <c r="AB59">
        <v>114700</v>
      </c>
      <c r="AC59">
        <v>30000</v>
      </c>
      <c r="AD59">
        <v>0</v>
      </c>
      <c r="AE59">
        <v>0</v>
      </c>
      <c r="AF59">
        <v>30000</v>
      </c>
      <c r="AG59">
        <v>0</v>
      </c>
      <c r="AH59">
        <v>75000</v>
      </c>
      <c r="AI59">
        <v>0</v>
      </c>
      <c r="AJ59">
        <v>30000</v>
      </c>
      <c r="AK59">
        <v>0</v>
      </c>
      <c r="AL59">
        <v>15900</v>
      </c>
      <c r="AM59">
        <v>15900</v>
      </c>
      <c r="AN59">
        <v>0</v>
      </c>
      <c r="AO59">
        <v>0</v>
      </c>
      <c r="AP59">
        <v>0</v>
      </c>
      <c r="AQ59">
        <v>15000</v>
      </c>
      <c r="AR59">
        <v>0</v>
      </c>
      <c r="AS59">
        <v>0</v>
      </c>
      <c r="AT59">
        <v>15000</v>
      </c>
      <c r="AU59">
        <v>0</v>
      </c>
      <c r="AV59">
        <v>5300</v>
      </c>
      <c r="AW59">
        <v>5300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7500</v>
      </c>
      <c r="BJ59">
        <v>1319400</v>
      </c>
      <c r="CF59">
        <v>0.53216467751682661</v>
      </c>
      <c r="CN59">
        <v>-0.60995532749531034</v>
      </c>
      <c r="FR59">
        <v>1001.984126983788</v>
      </c>
    </row>
    <row r="60" spans="2:193" ht="17.399999999999999" customHeight="1">
      <c r="J60" t="s">
        <v>171</v>
      </c>
      <c r="N60">
        <v>24591.47</v>
      </c>
      <c r="O60">
        <v>0</v>
      </c>
      <c r="P60">
        <v>0</v>
      </c>
      <c r="Q60">
        <v>22500</v>
      </c>
      <c r="R60">
        <v>601693.05000000005</v>
      </c>
      <c r="S60">
        <v>247500.28</v>
      </c>
      <c r="T60">
        <v>127999.72</v>
      </c>
      <c r="U60">
        <v>504000</v>
      </c>
      <c r="V60">
        <v>109700</v>
      </c>
      <c r="W60">
        <v>75600</v>
      </c>
      <c r="X60">
        <v>0</v>
      </c>
      <c r="Y60">
        <v>165000</v>
      </c>
      <c r="Z60">
        <v>0</v>
      </c>
      <c r="AA60">
        <v>0</v>
      </c>
      <c r="AB60">
        <v>144700</v>
      </c>
      <c r="AC60">
        <v>30000</v>
      </c>
      <c r="AD60">
        <v>0</v>
      </c>
      <c r="AE60">
        <v>0</v>
      </c>
      <c r="AF60">
        <v>30000</v>
      </c>
      <c r="AG60">
        <v>0</v>
      </c>
      <c r="AH60">
        <v>97508.53</v>
      </c>
      <c r="AI60">
        <v>0</v>
      </c>
      <c r="AJ60">
        <v>37500</v>
      </c>
      <c r="AK60">
        <v>0</v>
      </c>
      <c r="AL60">
        <v>21200</v>
      </c>
      <c r="AM60">
        <v>15900</v>
      </c>
      <c r="AN60">
        <v>0</v>
      </c>
      <c r="AO60">
        <v>0</v>
      </c>
      <c r="AP60">
        <v>0</v>
      </c>
      <c r="AQ60">
        <v>30000</v>
      </c>
      <c r="AR60">
        <v>0</v>
      </c>
      <c r="AS60">
        <v>5300</v>
      </c>
      <c r="AT60">
        <v>45000</v>
      </c>
      <c r="AU60">
        <v>0</v>
      </c>
      <c r="AV60">
        <v>15900</v>
      </c>
      <c r="AW60">
        <v>5300</v>
      </c>
      <c r="AX60">
        <v>20204.95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172502</v>
      </c>
      <c r="BJ60">
        <v>2549600</v>
      </c>
      <c r="BK60">
        <v>0</v>
      </c>
      <c r="CF60">
        <v>0.25694297168955954</v>
      </c>
      <c r="CN60">
        <v>-0.59933895081950217</v>
      </c>
    </row>
    <row r="61" spans="2:193" ht="15" hidden="1" customHeight="1"/>
    <row r="62" spans="2:193" ht="15" hidden="1" customHeight="1">
      <c r="L62" t="s">
        <v>172</v>
      </c>
      <c r="CF62">
        <v>0.52726489291539069</v>
      </c>
    </row>
    <row r="63" spans="2:193" ht="15" hidden="1" customHeight="1">
      <c r="L63" t="s">
        <v>173</v>
      </c>
      <c r="N63">
        <v>31590.25</v>
      </c>
      <c r="O63">
        <v>1531.9499999999971</v>
      </c>
      <c r="P63">
        <v>0</v>
      </c>
      <c r="Q63">
        <v>38585.955000000009</v>
      </c>
      <c r="R63">
        <v>248951.61999999994</v>
      </c>
      <c r="S63">
        <v>141221.87847086199</v>
      </c>
      <c r="T63">
        <v>137430.56575886067</v>
      </c>
      <c r="U63">
        <v>155122.72465614392</v>
      </c>
      <c r="V63">
        <v>25281.87364775411</v>
      </c>
      <c r="W63">
        <v>25000</v>
      </c>
      <c r="X63">
        <v>1370.3389999999999</v>
      </c>
      <c r="Y63">
        <v>79934.32890000008</v>
      </c>
      <c r="Z63">
        <v>0</v>
      </c>
      <c r="AA63">
        <v>0</v>
      </c>
      <c r="AB63">
        <v>88705.093847770011</v>
      </c>
      <c r="AC63">
        <v>7500</v>
      </c>
      <c r="AD63">
        <v>0</v>
      </c>
      <c r="AE63">
        <v>0</v>
      </c>
      <c r="AF63">
        <v>0</v>
      </c>
      <c r="AG63">
        <v>0</v>
      </c>
      <c r="AH63">
        <v>45000</v>
      </c>
      <c r="AI63">
        <v>0</v>
      </c>
      <c r="AJ63">
        <v>15000</v>
      </c>
      <c r="AK63">
        <v>0</v>
      </c>
      <c r="AL63">
        <v>10600</v>
      </c>
      <c r="AM63">
        <v>10600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5300</v>
      </c>
      <c r="AT63">
        <v>29999.929999999993</v>
      </c>
      <c r="AU63">
        <v>0</v>
      </c>
      <c r="AV63">
        <v>5300</v>
      </c>
      <c r="AW63">
        <v>5300.3700000000008</v>
      </c>
      <c r="AX63">
        <v>15000.05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22500</v>
      </c>
      <c r="BJ63">
        <v>1146826.9292813907</v>
      </c>
      <c r="CF63">
        <v>1.389235</v>
      </c>
    </row>
    <row r="64" spans="2:193" ht="15" hidden="1" customHeight="1">
      <c r="L64" t="s">
        <v>174</v>
      </c>
      <c r="BJ64">
        <v>0</v>
      </c>
    </row>
    <row r="65" spans="12:62" ht="15" hidden="1" customHeight="1">
      <c r="L65" t="s">
        <v>175</v>
      </c>
      <c r="BJ65">
        <v>0</v>
      </c>
    </row>
    <row r="66" spans="12:62" ht="15" hidden="1" customHeight="1">
      <c r="L66" t="s">
        <v>176</v>
      </c>
      <c r="BJ66">
        <v>0</v>
      </c>
    </row>
    <row r="67" spans="12:62" ht="15" hidden="1" customHeight="1">
      <c r="L67" t="s">
        <v>177</v>
      </c>
      <c r="N67">
        <v>30628.428541608682</v>
      </c>
      <c r="O67">
        <v>0</v>
      </c>
      <c r="P67">
        <v>0</v>
      </c>
      <c r="Q67">
        <v>0.19880684712552465</v>
      </c>
      <c r="R67">
        <v>583639.37265154417</v>
      </c>
      <c r="S67">
        <v>150000</v>
      </c>
      <c r="T67">
        <v>63000</v>
      </c>
      <c r="U67">
        <v>480000</v>
      </c>
      <c r="V67">
        <v>150000</v>
      </c>
      <c r="W67">
        <v>70000</v>
      </c>
      <c r="X67">
        <v>0</v>
      </c>
      <c r="Y67">
        <v>160000</v>
      </c>
      <c r="Z67">
        <v>0</v>
      </c>
      <c r="AA67">
        <v>0</v>
      </c>
      <c r="AB67">
        <v>70000</v>
      </c>
      <c r="AC67">
        <v>30000</v>
      </c>
      <c r="AD67">
        <v>0</v>
      </c>
      <c r="AE67">
        <v>0</v>
      </c>
      <c r="AF67">
        <v>30000</v>
      </c>
      <c r="AG67">
        <v>0</v>
      </c>
      <c r="AH67">
        <v>60000</v>
      </c>
      <c r="AI67">
        <v>0</v>
      </c>
      <c r="AJ67">
        <v>22500</v>
      </c>
      <c r="AK67">
        <v>0</v>
      </c>
      <c r="AL67">
        <v>15900</v>
      </c>
      <c r="AM67">
        <v>15900</v>
      </c>
      <c r="AN67">
        <v>0</v>
      </c>
      <c r="AO67">
        <v>0</v>
      </c>
      <c r="AP67">
        <v>0</v>
      </c>
      <c r="AQ67">
        <v>30000</v>
      </c>
      <c r="AR67">
        <v>0</v>
      </c>
      <c r="AS67">
        <v>5300</v>
      </c>
      <c r="AT67">
        <v>45000</v>
      </c>
      <c r="AU67">
        <v>0</v>
      </c>
      <c r="AV67">
        <v>15900</v>
      </c>
      <c r="AW67">
        <v>10600</v>
      </c>
      <c r="AX67">
        <v>15000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150000</v>
      </c>
      <c r="BJ67">
        <v>2203368</v>
      </c>
    </row>
    <row r="68" spans="12:62" ht="15" customHeight="1">
      <c r="L68" t="s">
        <v>178</v>
      </c>
    </row>
    <row r="69" spans="12:62" ht="15" customHeight="1">
      <c r="L69" t="s">
        <v>174</v>
      </c>
      <c r="BJ69">
        <v>0</v>
      </c>
    </row>
    <row r="70" spans="12:62" ht="15" customHeight="1">
      <c r="L70" t="s">
        <v>175</v>
      </c>
      <c r="BJ70">
        <v>0</v>
      </c>
    </row>
    <row r="71" spans="12:62" ht="15" hidden="1" customHeight="1">
      <c r="L71" t="s">
        <v>176</v>
      </c>
      <c r="BJ71">
        <v>0</v>
      </c>
    </row>
    <row r="72" spans="12:62" ht="15" hidden="1" customHeight="1">
      <c r="L72" t="s">
        <v>179</v>
      </c>
      <c r="BJ72">
        <v>0</v>
      </c>
    </row>
    <row r="73" spans="12:62" ht="15" hidden="1" customHeight="1">
      <c r="L73" t="s">
        <v>180</v>
      </c>
      <c r="BJ73">
        <v>0</v>
      </c>
    </row>
    <row r="74" spans="12:62" ht="15" hidden="1" customHeight="1">
      <c r="L74" t="s">
        <v>181</v>
      </c>
      <c r="N74">
        <v>30628.428541608682</v>
      </c>
      <c r="O74">
        <v>0</v>
      </c>
      <c r="P74">
        <v>0</v>
      </c>
      <c r="Q74">
        <v>0.19880684712552465</v>
      </c>
      <c r="R74">
        <v>583639.37265154417</v>
      </c>
      <c r="S74">
        <v>150000</v>
      </c>
      <c r="T74">
        <v>63000</v>
      </c>
      <c r="U74">
        <v>480000</v>
      </c>
      <c r="V74">
        <v>150000</v>
      </c>
      <c r="W74">
        <v>70000</v>
      </c>
      <c r="X74">
        <v>0</v>
      </c>
      <c r="Y74">
        <v>160000</v>
      </c>
      <c r="Z74">
        <v>0</v>
      </c>
      <c r="AA74">
        <v>0</v>
      </c>
      <c r="AB74">
        <v>70000</v>
      </c>
      <c r="AC74">
        <v>30000</v>
      </c>
      <c r="AD74">
        <v>0</v>
      </c>
      <c r="AE74">
        <v>0</v>
      </c>
      <c r="AF74">
        <v>30000</v>
      </c>
      <c r="AG74">
        <v>0</v>
      </c>
      <c r="AH74">
        <v>60000</v>
      </c>
      <c r="AI74">
        <v>0</v>
      </c>
      <c r="AJ74">
        <v>22500</v>
      </c>
      <c r="AK74">
        <v>0</v>
      </c>
      <c r="AL74">
        <v>15900</v>
      </c>
      <c r="AM74">
        <v>15900</v>
      </c>
      <c r="AN74">
        <v>0</v>
      </c>
      <c r="AO74">
        <v>0</v>
      </c>
      <c r="AP74">
        <v>0</v>
      </c>
      <c r="AQ74">
        <v>30000</v>
      </c>
      <c r="AR74">
        <v>0</v>
      </c>
      <c r="AS74">
        <v>5300</v>
      </c>
      <c r="AT74">
        <v>45000</v>
      </c>
      <c r="AU74">
        <v>0</v>
      </c>
      <c r="AV74">
        <v>15900</v>
      </c>
      <c r="AW74">
        <v>10600</v>
      </c>
      <c r="AX74">
        <v>15000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150000</v>
      </c>
      <c r="BJ74">
        <v>2203368</v>
      </c>
    </row>
    <row r="75" spans="12:62" ht="15" hidden="1" customHeight="1">
      <c r="L75" t="s">
        <v>182</v>
      </c>
    </row>
    <row r="76" spans="12:62" ht="15" hidden="1" customHeight="1">
      <c r="L76" t="s">
        <v>183</v>
      </c>
      <c r="N76">
        <v>37627.208541608677</v>
      </c>
      <c r="O76">
        <v>1531.9499999999971</v>
      </c>
      <c r="P76">
        <v>0</v>
      </c>
      <c r="Q76">
        <v>16086.153806847135</v>
      </c>
      <c r="R76">
        <v>230897.942651544</v>
      </c>
      <c r="S76">
        <v>43721.598470861994</v>
      </c>
      <c r="T76">
        <v>72430.845758860669</v>
      </c>
      <c r="U76">
        <v>131122.72465614392</v>
      </c>
      <c r="V76">
        <v>65581.87364775411</v>
      </c>
      <c r="W76">
        <v>19400</v>
      </c>
      <c r="X76">
        <v>1370.3389999999999</v>
      </c>
      <c r="Y76">
        <v>74934.32890000008</v>
      </c>
      <c r="Z76">
        <v>0</v>
      </c>
      <c r="AA76">
        <v>0</v>
      </c>
      <c r="AB76">
        <v>14005.093847770011</v>
      </c>
      <c r="AC76">
        <v>7500</v>
      </c>
      <c r="AD76">
        <v>0</v>
      </c>
      <c r="AE76">
        <v>0</v>
      </c>
      <c r="AF76">
        <v>0</v>
      </c>
      <c r="AG76">
        <v>0</v>
      </c>
      <c r="AH76">
        <v>7500.4700000000012</v>
      </c>
      <c r="AI76">
        <v>0</v>
      </c>
      <c r="AJ76">
        <v>0</v>
      </c>
      <c r="AK76">
        <v>0</v>
      </c>
      <c r="AL76">
        <v>5300</v>
      </c>
      <c r="AM76">
        <v>10600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5300</v>
      </c>
      <c r="AT76">
        <v>29999.929999999993</v>
      </c>
      <c r="AU76">
        <v>0</v>
      </c>
      <c r="AV76">
        <v>5300</v>
      </c>
      <c r="AW76">
        <v>10600.37</v>
      </c>
      <c r="AX76">
        <v>10000.099999999999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800810.9292813905</v>
      </c>
    </row>
    <row r="77" spans="12:62" ht="15" hidden="1" customHeight="1"/>
    <row r="78" spans="12:62" ht="15" hidden="1" customHeight="1"/>
    <row r="79" spans="12:62" ht="15" hidden="1" customHeight="1"/>
    <row r="80" spans="12:62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  <row r="281" ht="15" hidden="1" customHeight="1"/>
    <row r="282" ht="15" hidden="1" customHeight="1"/>
    <row r="283" ht="15" hidden="1" customHeight="1"/>
    <row r="284" ht="15" hidden="1" customHeight="1"/>
    <row r="285" ht="15" hidden="1" customHeight="1"/>
    <row r="286" ht="15" hidden="1" customHeight="1"/>
    <row r="287" ht="15" hidden="1" customHeight="1"/>
    <row r="288" ht="15" hidden="1" customHeight="1"/>
    <row r="289" ht="15" hidden="1" customHeight="1"/>
    <row r="290" ht="15" hidden="1" customHeight="1"/>
    <row r="291" ht="15" hidden="1" customHeight="1"/>
    <row r="292" ht="15" hidden="1" customHeight="1"/>
    <row r="293" ht="15" hidden="1" customHeight="1"/>
    <row r="294" ht="15" hidden="1" customHeight="1"/>
    <row r="295" ht="15" hidden="1" customHeight="1"/>
    <row r="296" ht="15" hidden="1" customHeight="1"/>
    <row r="297" ht="15" hidden="1" customHeight="1"/>
    <row r="298" ht="15" hidden="1" customHeight="1"/>
    <row r="299" ht="15" hidden="1" customHeight="1"/>
    <row r="300" ht="15" hidden="1" customHeight="1"/>
    <row r="301" ht="15" hidden="1" customHeight="1"/>
    <row r="302" ht="15" hidden="1" customHeight="1"/>
    <row r="303" ht="15" hidden="1" customHeight="1"/>
    <row r="304" ht="15" hidden="1" customHeight="1"/>
    <row r="305" ht="15" hidden="1" customHeight="1"/>
    <row r="306" ht="15" hidden="1" customHeight="1"/>
    <row r="307" ht="15" hidden="1" customHeight="1"/>
    <row r="308" ht="15" hidden="1" customHeight="1"/>
    <row r="309" ht="15" hidden="1" customHeight="1"/>
    <row r="310" ht="15" hidden="1" customHeight="1"/>
    <row r="311" ht="15" hidden="1" customHeight="1"/>
    <row r="312" ht="15" hidden="1" customHeight="1"/>
    <row r="313" ht="15" hidden="1" customHeight="1"/>
    <row r="314" ht="15" hidden="1" customHeight="1"/>
    <row r="315" ht="15" hidden="1" customHeight="1"/>
    <row r="316" ht="15" hidden="1" customHeight="1"/>
    <row r="317" ht="15" hidden="1" customHeight="1"/>
    <row r="318" ht="15" hidden="1" customHeight="1"/>
    <row r="319" ht="15" hidden="1" customHeight="1"/>
    <row r="320" ht="15" hidden="1" customHeight="1"/>
    <row r="321" ht="15" hidden="1" customHeight="1"/>
    <row r="322" ht="15" hidden="1" customHeight="1"/>
    <row r="323" ht="15" hidden="1" customHeight="1"/>
    <row r="324" ht="15" hidden="1" customHeight="1"/>
    <row r="325" ht="15" hidden="1" customHeight="1"/>
    <row r="326" ht="15" hidden="1" customHeight="1"/>
    <row r="327" ht="15" hidden="1" customHeight="1"/>
    <row r="328" ht="15" hidden="1" customHeight="1"/>
    <row r="329" ht="15" hidden="1" customHeight="1"/>
    <row r="330" ht="15" hidden="1" customHeight="1"/>
    <row r="331" ht="15" hidden="1" customHeight="1"/>
    <row r="332" ht="15" hidden="1" customHeight="1"/>
    <row r="333" ht="15" hidden="1" customHeight="1"/>
    <row r="334" ht="15" hidden="1" customHeight="1"/>
    <row r="335" ht="15" hidden="1" customHeight="1"/>
    <row r="336" ht="15" hidden="1" customHeight="1"/>
    <row r="337" ht="15" hidden="1" customHeight="1"/>
    <row r="338" ht="15" hidden="1" customHeight="1"/>
    <row r="339" ht="15" hidden="1" customHeight="1"/>
    <row r="340" ht="15" hidden="1" customHeight="1"/>
    <row r="341" ht="15" hidden="1" customHeight="1"/>
    <row r="342" ht="15" hidden="1" customHeight="1"/>
    <row r="343" ht="15" hidden="1" customHeight="1"/>
    <row r="344" ht="15" hidden="1" customHeight="1"/>
    <row r="345" ht="15" hidden="1" customHeight="1"/>
    <row r="346" ht="15" hidden="1" customHeight="1"/>
    <row r="347" ht="15" hidden="1" customHeight="1"/>
    <row r="348" ht="15" hidden="1" customHeight="1"/>
    <row r="349" ht="15" hidden="1" customHeight="1"/>
    <row r="350" ht="15" hidden="1" customHeight="1"/>
    <row r="351" ht="15" hidden="1" customHeight="1"/>
    <row r="352" ht="15" hidden="1" customHeight="1"/>
    <row r="353" ht="15" hidden="1" customHeight="1"/>
    <row r="354" ht="15" hidden="1" customHeight="1"/>
    <row r="355" ht="15" hidden="1" customHeight="1"/>
    <row r="356" ht="15" hidden="1" customHeight="1"/>
    <row r="357" ht="15" hidden="1" customHeight="1"/>
    <row r="358" ht="15" hidden="1" customHeight="1"/>
    <row r="359" ht="15" hidden="1" customHeight="1"/>
    <row r="360" ht="15" hidden="1" customHeight="1"/>
    <row r="361" ht="15" hidden="1" customHeight="1"/>
    <row r="362" ht="15" hidden="1" customHeight="1"/>
    <row r="363" ht="15" hidden="1" customHeight="1"/>
    <row r="364" ht="15" hidden="1" customHeight="1"/>
    <row r="365" ht="15" hidden="1" customHeight="1"/>
    <row r="366" ht="15" hidden="1" customHeight="1"/>
    <row r="367" ht="15" hidden="1" customHeight="1"/>
    <row r="368" ht="15" hidden="1" customHeight="1"/>
    <row r="369" ht="15" hidden="1" customHeight="1"/>
    <row r="370" ht="15" hidden="1" customHeight="1"/>
    <row r="371" ht="15" hidden="1" customHeight="1"/>
    <row r="372" ht="15" hidden="1" customHeight="1"/>
    <row r="373" ht="15" hidden="1" customHeight="1"/>
    <row r="374" ht="15" hidden="1" customHeight="1"/>
    <row r="375" ht="15" hidden="1" customHeight="1"/>
    <row r="376" ht="15" hidden="1" customHeight="1"/>
    <row r="377" ht="15" hidden="1" customHeight="1"/>
    <row r="378" ht="15" hidden="1" customHeight="1"/>
    <row r="379" ht="15" hidden="1" customHeight="1"/>
    <row r="380" ht="15" hidden="1" customHeight="1"/>
    <row r="381" ht="15" hidden="1" customHeight="1"/>
    <row r="382" ht="15" hidden="1" customHeight="1"/>
    <row r="383" ht="15" hidden="1" customHeight="1"/>
    <row r="384" ht="15" hidden="1" customHeight="1"/>
    <row r="385" ht="15" hidden="1" customHeight="1"/>
    <row r="386" ht="15" hidden="1" customHeight="1"/>
    <row r="387" ht="15" hidden="1" customHeight="1"/>
    <row r="388" ht="15" hidden="1" customHeight="1"/>
    <row r="389" ht="15" hidden="1" customHeight="1"/>
    <row r="390" ht="15" hidden="1" customHeight="1"/>
    <row r="391" ht="15" hidden="1" customHeight="1"/>
    <row r="392" ht="15" hidden="1" customHeight="1"/>
    <row r="393" ht="15" hidden="1" customHeight="1"/>
    <row r="394" ht="15" hidden="1" customHeight="1"/>
    <row r="395" ht="15" hidden="1" customHeight="1"/>
    <row r="396" ht="15" hidden="1" customHeight="1"/>
    <row r="397" ht="15" hidden="1" customHeight="1"/>
    <row r="398" ht="15" hidden="1" customHeight="1"/>
    <row r="399" ht="15" hidden="1" customHeight="1"/>
    <row r="400" ht="15" hidden="1" customHeight="1"/>
    <row r="401" ht="15" hidden="1" customHeight="1"/>
    <row r="402" ht="15" hidden="1" customHeight="1"/>
    <row r="403" ht="15" hidden="1" customHeight="1"/>
    <row r="404" ht="15" hidden="1" customHeight="1"/>
    <row r="405" ht="15" hidden="1" customHeight="1"/>
    <row r="406" ht="15" hidden="1" customHeight="1"/>
    <row r="407" ht="15" hidden="1" customHeight="1"/>
    <row r="408" ht="15" hidden="1" customHeight="1"/>
    <row r="409" ht="15" hidden="1" customHeight="1"/>
    <row r="410" ht="15" hidden="1" customHeight="1"/>
    <row r="411" ht="15" hidden="1" customHeight="1"/>
    <row r="412" ht="15" hidden="1" customHeight="1"/>
    <row r="413" ht="15" hidden="1" customHeight="1"/>
    <row r="414" ht="15" hidden="1" customHeight="1"/>
    <row r="415" ht="15" hidden="1" customHeight="1"/>
    <row r="416" ht="15" hidden="1" customHeight="1"/>
    <row r="417" ht="15" hidden="1" customHeight="1"/>
    <row r="418" ht="15" hidden="1" customHeight="1"/>
    <row r="419" ht="15" hidden="1" customHeight="1"/>
    <row r="420" ht="15" hidden="1" customHeight="1"/>
    <row r="421" ht="15" hidden="1" customHeight="1"/>
    <row r="422" ht="15" hidden="1" customHeight="1"/>
    <row r="423" ht="15" hidden="1" customHeight="1"/>
    <row r="424" ht="15" hidden="1" customHeight="1"/>
    <row r="425" ht="15" hidden="1" customHeight="1"/>
    <row r="426" ht="15" hidden="1" customHeight="1"/>
    <row r="427" ht="15" hidden="1" customHeight="1"/>
    <row r="428" ht="15" hidden="1" customHeight="1"/>
    <row r="429" ht="15" hidden="1" customHeight="1"/>
    <row r="430" ht="15" hidden="1" customHeight="1"/>
    <row r="431" ht="15" hidden="1" customHeight="1"/>
    <row r="432" ht="15" hidden="1" customHeight="1"/>
    <row r="433" ht="15" hidden="1" customHeight="1"/>
    <row r="434" ht="15" hidden="1" customHeight="1"/>
    <row r="435" ht="15" hidden="1" customHeight="1"/>
    <row r="436" ht="15" hidden="1" customHeight="1"/>
    <row r="437" ht="15" hidden="1" customHeight="1"/>
    <row r="438" ht="15" hidden="1" customHeight="1"/>
    <row r="439" ht="15" hidden="1" customHeight="1"/>
    <row r="440" ht="15" hidden="1" customHeight="1"/>
    <row r="441" ht="15" hidden="1" customHeight="1"/>
    <row r="442" ht="15" hidden="1" customHeight="1"/>
    <row r="443" ht="15" hidden="1" customHeight="1"/>
    <row r="444" ht="15" hidden="1" customHeight="1"/>
    <row r="445" ht="15" hidden="1" customHeight="1"/>
    <row r="446" ht="15" hidden="1" customHeight="1"/>
    <row r="447" ht="15" hidden="1" customHeight="1"/>
    <row r="448" ht="15" hidden="1" customHeight="1"/>
    <row r="449" ht="15" hidden="1" customHeight="1"/>
    <row r="450" ht="15" hidden="1" customHeight="1"/>
    <row r="451" ht="15" hidden="1" customHeight="1"/>
    <row r="452" ht="15" hidden="1" customHeight="1"/>
    <row r="453" ht="15" hidden="1" customHeight="1"/>
    <row r="454" ht="14.4" customHeight="1"/>
    <row r="455" ht="14.4" customHeight="1"/>
    <row r="456" ht="14.4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1345-7753-459E-B6A9-2385847A7F5D}">
  <dimension ref="A1:GK454"/>
  <sheetViews>
    <sheetView topLeftCell="B1" zoomScale="72" zoomScaleNormal="100" workbookViewId="0">
      <pane xSplit="7" topLeftCell="BZ1" activePane="topRight" state="frozen"/>
      <selection activeCell="B1" sqref="B1"/>
      <selection pane="topRight" sqref="A1:GK76"/>
    </sheetView>
  </sheetViews>
  <sheetFormatPr defaultColWidth="9.453125" defaultRowHeight="15" customHeight="1" outlineLevelCol="1"/>
  <cols>
    <col min="1" max="1" width="9.453125" hidden="1" customWidth="1"/>
    <col min="2" max="2" width="5.54296875" customWidth="1"/>
    <col min="3" max="3" width="6.453125" customWidth="1"/>
    <col min="4" max="4" width="7" customWidth="1"/>
    <col min="5" max="5" width="24.36328125" bestFit="1" customWidth="1"/>
    <col min="6" max="6" width="62.90625" hidden="1" customWidth="1"/>
    <col min="7" max="7" width="37.6328125" customWidth="1"/>
    <col min="8" max="8" width="12.08984375" bestFit="1" customWidth="1"/>
    <col min="9" max="9" width="0.54296875" customWidth="1" outlineLevel="1"/>
    <col min="10" max="12" width="17.453125" customWidth="1" outlineLevel="1"/>
    <col min="13" max="13" width="1" customWidth="1" outlineLevel="1"/>
    <col min="14" max="14" width="17.08984375" bestFit="1" customWidth="1" outlineLevel="1"/>
    <col min="15" max="15" width="17.453125" bestFit="1" customWidth="1" outlineLevel="1"/>
    <col min="16" max="16" width="16.6328125" bestFit="1" customWidth="1" outlineLevel="1"/>
    <col min="17" max="17" width="17.08984375" bestFit="1" customWidth="1" outlineLevel="1"/>
    <col min="18" max="18" width="16.90625" bestFit="1" customWidth="1" outlineLevel="1"/>
    <col min="19" max="19" width="14.453125" customWidth="1" outlineLevel="1"/>
    <col min="20" max="20" width="15.453125" customWidth="1" outlineLevel="1"/>
    <col min="21" max="21" width="23" customWidth="1" outlineLevel="1"/>
    <col min="22" max="22" width="15.6328125" customWidth="1" outlineLevel="1"/>
    <col min="23" max="23" width="14.36328125" customWidth="1" outlineLevel="1"/>
    <col min="24" max="24" width="11" customWidth="1" outlineLevel="1"/>
    <col min="25" max="25" width="14.1796875" bestFit="1" customWidth="1" outlineLevel="1"/>
    <col min="26" max="26" width="14.453125" bestFit="1" customWidth="1" outlineLevel="1"/>
    <col min="27" max="29" width="9.453125" outlineLevel="1"/>
    <col min="30" max="30" width="5.6328125" customWidth="1" outlineLevel="1"/>
    <col min="31" max="34" width="9.453125" outlineLevel="1"/>
    <col min="35" max="35" width="8.36328125" hidden="1" customWidth="1" outlineLevel="1"/>
    <col min="36" max="36" width="9.453125" outlineLevel="1"/>
    <col min="37" max="37" width="8.36328125" hidden="1" customWidth="1" outlineLevel="1"/>
    <col min="38" max="39" width="9.453125" outlineLevel="1"/>
    <col min="40" max="40" width="7.453125" hidden="1" customWidth="1" outlineLevel="1"/>
    <col min="41" max="41" width="8.36328125" hidden="1" customWidth="1" outlineLevel="1"/>
    <col min="42" max="42" width="8.54296875" hidden="1" customWidth="1" outlineLevel="1"/>
    <col min="43" max="43" width="9.453125" outlineLevel="1"/>
    <col min="44" max="44" width="6.6328125" hidden="1" customWidth="1" outlineLevel="1"/>
    <col min="45" max="46" width="9.453125" outlineLevel="1"/>
    <col min="47" max="47" width="9.453125" hidden="1" customWidth="1" outlineLevel="1"/>
    <col min="48" max="48" width="4.6328125" hidden="1" customWidth="1" outlineLevel="1"/>
    <col min="49" max="49" width="7.453125" hidden="1" customWidth="1" outlineLevel="1"/>
    <col min="50" max="50" width="9.453125" outlineLevel="1"/>
    <col min="51" max="51" width="8" customWidth="1" outlineLevel="1"/>
    <col min="52" max="52" width="6.453125" hidden="1" customWidth="1" outlineLevel="1"/>
    <col min="53" max="53" width="8.36328125" hidden="1" customWidth="1" outlineLevel="1"/>
    <col min="54" max="54" width="9.6328125" hidden="1" customWidth="1" outlineLevel="1"/>
    <col min="55" max="55" width="8" hidden="1" customWidth="1" outlineLevel="1"/>
    <col min="56" max="56" width="7.6328125" hidden="1" customWidth="1" outlineLevel="1"/>
    <col min="57" max="57" width="7.453125" hidden="1" customWidth="1" outlineLevel="1"/>
    <col min="58" max="58" width="10.6328125" hidden="1" customWidth="1" outlineLevel="1"/>
    <col min="59" max="59" width="14.36328125" hidden="1" customWidth="1" outlineLevel="1"/>
    <col min="60" max="60" width="8.36328125" hidden="1" customWidth="1" outlineLevel="1"/>
    <col min="61" max="61" width="9.453125" outlineLevel="1"/>
    <col min="62" max="62" width="12.54296875" customWidth="1"/>
    <col min="63" max="63" width="1.453125" customWidth="1" outlineLevel="1"/>
    <col min="64" max="64" width="9.453125" outlineLevel="1"/>
    <col min="65" max="65" width="10.36328125" customWidth="1" outlineLevel="1"/>
    <col min="66" max="66" width="1.453125" customWidth="1"/>
    <col min="67" max="67" width="10.453125" bestFit="1" customWidth="1"/>
    <col min="68" max="68" width="1.453125" customWidth="1"/>
    <col min="69" max="69" width="12.453125" customWidth="1"/>
    <col min="70" max="70" width="1.453125" customWidth="1"/>
    <col min="71" max="71" width="39.453125" bestFit="1" customWidth="1"/>
    <col min="72" max="72" width="2.54296875" customWidth="1"/>
    <col min="81" max="81" width="10.54296875" customWidth="1"/>
    <col min="82" max="82" width="1.54296875" customWidth="1"/>
    <col min="83" max="83" width="1.453125" customWidth="1"/>
    <col min="84" max="84" width="10.6328125" customWidth="1"/>
    <col min="85" max="89" width="9.453125" hidden="1" customWidth="1"/>
    <col min="91" max="91" width="1.453125" customWidth="1"/>
    <col min="93" max="97" width="9.453125" hidden="1" customWidth="1"/>
    <col min="99" max="99" width="2.453125" customWidth="1"/>
    <col min="100" max="100" width="9.54296875" hidden="1" customWidth="1"/>
    <col min="101" max="101" width="1.54296875" hidden="1" customWidth="1"/>
    <col min="102" max="103" width="6.453125" hidden="1" customWidth="1"/>
    <col min="104" max="106" width="6.54296875" hidden="1" customWidth="1"/>
    <col min="107" max="108" width="6.453125" hidden="1" customWidth="1"/>
    <col min="109" max="109" width="1.54296875" hidden="1" customWidth="1"/>
    <col min="110" max="111" width="8.54296875" hidden="1" customWidth="1" outlineLevel="1"/>
    <col min="112" max="112" width="12.54296875" hidden="1" customWidth="1" outlineLevel="1"/>
    <col min="113" max="136" width="8.54296875" hidden="1" customWidth="1" outlineLevel="1"/>
    <col min="137" max="137" width="1.54296875" hidden="1" customWidth="1" outlineLevel="1"/>
    <col min="138" max="164" width="8.54296875" hidden="1" customWidth="1" outlineLevel="1"/>
    <col min="165" max="165" width="1.54296875" hidden="1" customWidth="1" outlineLevel="1"/>
    <col min="166" max="166" width="6.453125" hidden="1" customWidth="1" collapsed="1"/>
    <col min="167" max="167" width="6.453125" hidden="1" customWidth="1"/>
    <col min="168" max="170" width="6.54296875" hidden="1" customWidth="1"/>
    <col min="171" max="172" width="6.453125" hidden="1" customWidth="1"/>
    <col min="173" max="173" width="1.54296875" hidden="1" customWidth="1"/>
    <col min="175" max="175" width="1.54296875" hidden="1" customWidth="1" outlineLevel="1"/>
    <col min="176" max="176" width="1.54296875" customWidth="1" outlineLevel="1"/>
    <col min="177" max="177" width="10.453125" bestFit="1" customWidth="1"/>
    <col min="178" max="179" width="21.54296875" customWidth="1"/>
    <col min="180" max="180" width="18.36328125" bestFit="1" customWidth="1"/>
    <col min="181" max="182" width="21.453125" customWidth="1"/>
    <col min="183" max="184" width="23.6328125" customWidth="1"/>
    <col min="185" max="185" width="23.36328125" bestFit="1" customWidth="1"/>
    <col min="186" max="187" width="23.36328125" customWidth="1"/>
    <col min="188" max="190" width="23.36328125" bestFit="1" customWidth="1"/>
    <col min="191" max="191" width="18.1796875" customWidth="1"/>
    <col min="192" max="192" width="1.36328125" customWidth="1"/>
  </cols>
  <sheetData>
    <row r="1" spans="1:193" ht="17.75" customHeight="1">
      <c r="A1" t="s">
        <v>26</v>
      </c>
    </row>
    <row r="2" spans="1:193" ht="17.899999999999999" customHeight="1">
      <c r="A2" t="s">
        <v>27</v>
      </c>
    </row>
    <row r="3" spans="1:193" ht="15" customHeight="1">
      <c r="B3" t="s">
        <v>251</v>
      </c>
    </row>
    <row r="4" spans="1:193" ht="15" customHeight="1">
      <c r="B4" t="s">
        <v>15</v>
      </c>
      <c r="J4" t="s">
        <v>28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8</v>
      </c>
      <c r="T4" t="s">
        <v>8</v>
      </c>
      <c r="U4" t="s">
        <v>6</v>
      </c>
      <c r="V4" t="s">
        <v>6</v>
      </c>
      <c r="W4" t="s">
        <v>6</v>
      </c>
      <c r="X4" t="s">
        <v>29</v>
      </c>
      <c r="Y4" t="s">
        <v>9</v>
      </c>
      <c r="Z4" t="s">
        <v>30</v>
      </c>
      <c r="AA4" t="s">
        <v>30</v>
      </c>
      <c r="AB4" t="s">
        <v>31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23</v>
      </c>
      <c r="BL4" t="s">
        <v>32</v>
      </c>
      <c r="BO4" t="s">
        <v>33</v>
      </c>
      <c r="BQ4" t="s">
        <v>34</v>
      </c>
      <c r="BS4" t="s">
        <v>35</v>
      </c>
      <c r="BU4" t="s">
        <v>36</v>
      </c>
      <c r="CF4" t="s">
        <v>37</v>
      </c>
      <c r="CN4" t="s">
        <v>38</v>
      </c>
      <c r="CV4" t="s">
        <v>15</v>
      </c>
      <c r="CX4" t="s">
        <v>39</v>
      </c>
      <c r="DF4" t="s">
        <v>40</v>
      </c>
      <c r="DG4" t="s">
        <v>40</v>
      </c>
      <c r="DH4" t="s">
        <v>40</v>
      </c>
      <c r="DI4" t="s">
        <v>40</v>
      </c>
      <c r="DJ4" t="s">
        <v>40</v>
      </c>
      <c r="DK4" t="s">
        <v>40</v>
      </c>
      <c r="DL4" t="s">
        <v>40</v>
      </c>
      <c r="DM4" t="s">
        <v>40</v>
      </c>
      <c r="DN4" t="s">
        <v>40</v>
      </c>
      <c r="DO4" t="s">
        <v>40</v>
      </c>
      <c r="DP4" t="s">
        <v>40</v>
      </c>
      <c r="DQ4" t="s">
        <v>40</v>
      </c>
      <c r="DR4" t="s">
        <v>40</v>
      </c>
      <c r="DS4" t="s">
        <v>40</v>
      </c>
      <c r="DT4" t="s">
        <v>40</v>
      </c>
      <c r="DU4" t="s">
        <v>40</v>
      </c>
      <c r="DV4" t="s">
        <v>40</v>
      </c>
      <c r="DW4" t="s">
        <v>40</v>
      </c>
      <c r="DX4" t="s">
        <v>40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40</v>
      </c>
      <c r="EH4" t="s">
        <v>40</v>
      </c>
      <c r="EI4" t="s">
        <v>40</v>
      </c>
      <c r="EJ4" t="s">
        <v>40</v>
      </c>
      <c r="EK4" t="s">
        <v>40</v>
      </c>
      <c r="EL4" t="s">
        <v>40</v>
      </c>
      <c r="EM4" t="s">
        <v>40</v>
      </c>
      <c r="EN4" t="s">
        <v>40</v>
      </c>
      <c r="EO4" t="s">
        <v>40</v>
      </c>
      <c r="EP4" t="s">
        <v>40</v>
      </c>
      <c r="EQ4" t="s">
        <v>40</v>
      </c>
      <c r="ER4" t="s">
        <v>40</v>
      </c>
      <c r="ES4" t="s">
        <v>40</v>
      </c>
      <c r="ET4" t="s">
        <v>40</v>
      </c>
      <c r="EU4" t="s">
        <v>40</v>
      </c>
      <c r="EV4" t="s">
        <v>40</v>
      </c>
      <c r="EW4" t="s">
        <v>40</v>
      </c>
      <c r="EX4" t="s">
        <v>40</v>
      </c>
      <c r="EY4" t="s">
        <v>40</v>
      </c>
      <c r="EZ4" t="s">
        <v>40</v>
      </c>
      <c r="FA4" t="s">
        <v>40</v>
      </c>
      <c r="FB4" t="s">
        <v>40</v>
      </c>
      <c r="FC4" t="s">
        <v>40</v>
      </c>
      <c r="FD4" t="s">
        <v>40</v>
      </c>
      <c r="FE4" t="s">
        <v>40</v>
      </c>
      <c r="FF4" t="s">
        <v>40</v>
      </c>
      <c r="FG4" t="s">
        <v>40</v>
      </c>
      <c r="FH4" t="s">
        <v>40</v>
      </c>
      <c r="FJ4" t="s">
        <v>41</v>
      </c>
      <c r="FR4" t="s">
        <v>42</v>
      </c>
      <c r="FU4" t="s">
        <v>43</v>
      </c>
      <c r="FV4" t="s">
        <v>44</v>
      </c>
      <c r="FW4" t="s">
        <v>45</v>
      </c>
      <c r="FX4" t="s">
        <v>46</v>
      </c>
      <c r="FY4" t="s">
        <v>38</v>
      </c>
      <c r="FZ4" t="s">
        <v>47</v>
      </c>
      <c r="GA4" t="s">
        <v>48</v>
      </c>
      <c r="GB4" t="s">
        <v>49</v>
      </c>
      <c r="GC4" t="s">
        <v>50</v>
      </c>
      <c r="GD4" t="s">
        <v>51</v>
      </c>
      <c r="GE4" t="s">
        <v>52</v>
      </c>
      <c r="GF4" t="s">
        <v>53</v>
      </c>
      <c r="GG4" t="s">
        <v>53</v>
      </c>
      <c r="GH4" t="s">
        <v>54</v>
      </c>
      <c r="GI4" t="s">
        <v>54</v>
      </c>
      <c r="GK4" t="s">
        <v>55</v>
      </c>
    </row>
    <row r="5" spans="1:193" ht="15" customHeight="1">
      <c r="B5" t="s">
        <v>56</v>
      </c>
      <c r="C5" t="s">
        <v>57</v>
      </c>
      <c r="D5" t="s">
        <v>1</v>
      </c>
      <c r="E5" t="s">
        <v>58</v>
      </c>
      <c r="F5" t="s">
        <v>59</v>
      </c>
      <c r="G5" t="s">
        <v>60</v>
      </c>
      <c r="H5" t="s">
        <v>61</v>
      </c>
      <c r="J5" t="s">
        <v>62</v>
      </c>
      <c r="K5" t="s">
        <v>63</v>
      </c>
      <c r="L5" t="s">
        <v>64</v>
      </c>
      <c r="N5" t="s">
        <v>65</v>
      </c>
      <c r="O5" t="s">
        <v>252</v>
      </c>
      <c r="P5" t="s">
        <v>66</v>
      </c>
      <c r="Q5" t="s">
        <v>67</v>
      </c>
      <c r="R5" t="s">
        <v>68</v>
      </c>
      <c r="S5" t="s">
        <v>69</v>
      </c>
      <c r="T5" t="s">
        <v>70</v>
      </c>
      <c r="U5" t="s">
        <v>253</v>
      </c>
      <c r="V5" t="s">
        <v>254</v>
      </c>
      <c r="W5" t="s">
        <v>71</v>
      </c>
      <c r="X5" t="s">
        <v>29</v>
      </c>
      <c r="Y5" t="s">
        <v>9</v>
      </c>
      <c r="Z5" t="s">
        <v>72</v>
      </c>
      <c r="AA5" t="s">
        <v>73</v>
      </c>
      <c r="AB5" t="s">
        <v>31</v>
      </c>
      <c r="AC5" t="s">
        <v>74</v>
      </c>
      <c r="AD5" t="s">
        <v>75</v>
      </c>
      <c r="AE5" t="s">
        <v>76</v>
      </c>
      <c r="AF5" t="s">
        <v>77</v>
      </c>
      <c r="AG5" t="s">
        <v>78</v>
      </c>
      <c r="AH5" t="s">
        <v>79</v>
      </c>
      <c r="AI5" t="s">
        <v>80</v>
      </c>
      <c r="AJ5" t="s">
        <v>81</v>
      </c>
      <c r="AK5" t="s">
        <v>81</v>
      </c>
      <c r="AL5" t="s">
        <v>82</v>
      </c>
      <c r="AM5" t="s">
        <v>83</v>
      </c>
      <c r="AN5" t="s">
        <v>84</v>
      </c>
      <c r="AO5" t="s">
        <v>85</v>
      </c>
      <c r="AP5" t="s">
        <v>86</v>
      </c>
      <c r="AQ5" t="s">
        <v>87</v>
      </c>
      <c r="AR5" t="s">
        <v>88</v>
      </c>
      <c r="AS5" t="s">
        <v>89</v>
      </c>
      <c r="AT5" t="s">
        <v>90</v>
      </c>
      <c r="AU5" t="s">
        <v>255</v>
      </c>
      <c r="AV5" t="s">
        <v>236</v>
      </c>
      <c r="AW5" t="s">
        <v>237</v>
      </c>
      <c r="AX5" t="s">
        <v>92</v>
      </c>
      <c r="AY5" t="s">
        <v>93</v>
      </c>
      <c r="AZ5" t="s">
        <v>229</v>
      </c>
      <c r="BA5" t="s">
        <v>230</v>
      </c>
      <c r="BB5" t="s">
        <v>256</v>
      </c>
      <c r="BC5" t="s">
        <v>95</v>
      </c>
      <c r="BD5" t="s">
        <v>96</v>
      </c>
      <c r="BE5" t="s">
        <v>97</v>
      </c>
      <c r="BF5" t="s">
        <v>98</v>
      </c>
      <c r="BG5" t="s">
        <v>99</v>
      </c>
      <c r="BH5" t="s">
        <v>100</v>
      </c>
      <c r="BI5" t="s">
        <v>101</v>
      </c>
      <c r="BJ5" t="s">
        <v>23</v>
      </c>
      <c r="BL5" t="s">
        <v>102</v>
      </c>
      <c r="BM5" t="s">
        <v>103</v>
      </c>
      <c r="BO5" t="s">
        <v>104</v>
      </c>
      <c r="BQ5" t="s">
        <v>34</v>
      </c>
      <c r="BS5" t="s">
        <v>105</v>
      </c>
      <c r="BU5" t="s">
        <v>106</v>
      </c>
      <c r="BV5" t="s">
        <v>107</v>
      </c>
      <c r="BW5" t="s">
        <v>108</v>
      </c>
      <c r="BX5" t="s">
        <v>109</v>
      </c>
      <c r="BY5" t="s">
        <v>110</v>
      </c>
      <c r="BZ5" t="s">
        <v>111</v>
      </c>
      <c r="CA5" t="s">
        <v>112</v>
      </c>
      <c r="CB5" t="s">
        <v>113</v>
      </c>
      <c r="CC5" t="s">
        <v>114</v>
      </c>
      <c r="CF5" t="s">
        <v>120</v>
      </c>
      <c r="CG5" t="s">
        <v>116</v>
      </c>
      <c r="CH5" t="s">
        <v>117</v>
      </c>
      <c r="CI5" t="s">
        <v>118</v>
      </c>
      <c r="CJ5" t="s">
        <v>119</v>
      </c>
      <c r="CK5" t="s">
        <v>120</v>
      </c>
      <c r="CL5" t="s">
        <v>121</v>
      </c>
      <c r="CN5" t="s">
        <v>120</v>
      </c>
      <c r="CO5" t="s">
        <v>116</v>
      </c>
      <c r="CP5" t="s">
        <v>117</v>
      </c>
      <c r="CQ5" t="s">
        <v>118</v>
      </c>
      <c r="CR5" t="s">
        <v>119</v>
      </c>
      <c r="CS5" t="s">
        <v>120</v>
      </c>
      <c r="CT5" t="s">
        <v>121</v>
      </c>
      <c r="CV5" t="s">
        <v>122</v>
      </c>
      <c r="CX5" t="s">
        <v>115</v>
      </c>
      <c r="CY5" t="s">
        <v>116</v>
      </c>
      <c r="CZ5" t="s">
        <v>117</v>
      </c>
      <c r="DA5" t="s">
        <v>118</v>
      </c>
      <c r="DB5" t="s">
        <v>119</v>
      </c>
      <c r="DC5" t="s">
        <v>120</v>
      </c>
      <c r="DD5" t="s">
        <v>121</v>
      </c>
      <c r="DF5" t="s">
        <v>123</v>
      </c>
      <c r="DG5" t="s">
        <v>124</v>
      </c>
      <c r="DH5" t="s">
        <v>125</v>
      </c>
      <c r="DI5" t="s">
        <v>126</v>
      </c>
      <c r="DJ5" t="s">
        <v>127</v>
      </c>
      <c r="DK5" t="s">
        <v>128</v>
      </c>
      <c r="DL5" t="s">
        <v>129</v>
      </c>
      <c r="DM5" t="s">
        <v>130</v>
      </c>
      <c r="DN5" t="s">
        <v>131</v>
      </c>
      <c r="DO5" t="s">
        <v>132</v>
      </c>
      <c r="DP5" t="s">
        <v>133</v>
      </c>
      <c r="DQ5" t="s">
        <v>134</v>
      </c>
      <c r="DR5" t="s">
        <v>29</v>
      </c>
      <c r="DS5" t="s">
        <v>135</v>
      </c>
      <c r="DT5" t="s">
        <v>136</v>
      </c>
      <c r="DU5" t="s">
        <v>137</v>
      </c>
      <c r="DV5" t="s">
        <v>138</v>
      </c>
      <c r="DW5" t="s">
        <v>139</v>
      </c>
      <c r="DX5" t="s">
        <v>140</v>
      </c>
      <c r="DY5" t="s">
        <v>141</v>
      </c>
      <c r="DZ5" t="s">
        <v>142</v>
      </c>
      <c r="EA5" t="s">
        <v>143</v>
      </c>
      <c r="EB5" t="s">
        <v>144</v>
      </c>
      <c r="EC5" t="s">
        <v>145</v>
      </c>
      <c r="ED5" t="s">
        <v>146</v>
      </c>
      <c r="EE5" t="s">
        <v>147</v>
      </c>
      <c r="EF5" t="s">
        <v>148</v>
      </c>
      <c r="EH5" t="s">
        <v>123</v>
      </c>
      <c r="EI5" t="s">
        <v>124</v>
      </c>
      <c r="EJ5" t="s">
        <v>125</v>
      </c>
      <c r="EK5" t="s">
        <v>126</v>
      </c>
      <c r="EL5" t="s">
        <v>127</v>
      </c>
      <c r="EM5" t="s">
        <v>128</v>
      </c>
      <c r="EN5" t="s">
        <v>129</v>
      </c>
      <c r="EO5" t="s">
        <v>130</v>
      </c>
      <c r="EP5" t="s">
        <v>131</v>
      </c>
      <c r="EQ5" t="s">
        <v>132</v>
      </c>
      <c r="ER5" t="s">
        <v>133</v>
      </c>
      <c r="ES5" t="s">
        <v>134</v>
      </c>
      <c r="ET5" t="s">
        <v>29</v>
      </c>
      <c r="EU5" t="s">
        <v>135</v>
      </c>
      <c r="EV5" t="s">
        <v>136</v>
      </c>
      <c r="EW5" t="s">
        <v>137</v>
      </c>
      <c r="EX5" t="s">
        <v>138</v>
      </c>
      <c r="EY5" t="s">
        <v>139</v>
      </c>
      <c r="EZ5" t="s">
        <v>140</v>
      </c>
      <c r="FA5" t="s">
        <v>141</v>
      </c>
      <c r="FB5" t="s">
        <v>142</v>
      </c>
      <c r="FC5" t="s">
        <v>143</v>
      </c>
      <c r="FD5" t="s">
        <v>144</v>
      </c>
      <c r="FE5" t="s">
        <v>145</v>
      </c>
      <c r="FF5" t="s">
        <v>146</v>
      </c>
      <c r="FG5" t="s">
        <v>147</v>
      </c>
      <c r="FH5" t="s">
        <v>148</v>
      </c>
      <c r="FJ5" t="s">
        <v>115</v>
      </c>
      <c r="FK5" t="s">
        <v>116</v>
      </c>
      <c r="FL5" t="s">
        <v>117</v>
      </c>
      <c r="FM5" t="s">
        <v>118</v>
      </c>
      <c r="FN5" t="s">
        <v>119</v>
      </c>
      <c r="FO5" t="s">
        <v>120</v>
      </c>
      <c r="FP5" t="s">
        <v>121</v>
      </c>
      <c r="FR5" t="s">
        <v>149</v>
      </c>
      <c r="FU5" t="s">
        <v>150</v>
      </c>
      <c r="FV5" t="s">
        <v>151</v>
      </c>
      <c r="FW5" t="s">
        <v>151</v>
      </c>
      <c r="FX5" t="s">
        <v>151</v>
      </c>
      <c r="FY5" t="s">
        <v>151</v>
      </c>
      <c r="FZ5" t="s">
        <v>151</v>
      </c>
      <c r="GA5" t="s">
        <v>151</v>
      </c>
      <c r="GB5" t="s">
        <v>151</v>
      </c>
      <c r="GC5" t="s">
        <v>151</v>
      </c>
      <c r="GD5" t="s">
        <v>151</v>
      </c>
      <c r="GE5" t="s">
        <v>151</v>
      </c>
      <c r="GF5" t="s">
        <v>151</v>
      </c>
      <c r="GG5" t="s">
        <v>150</v>
      </c>
      <c r="GH5" t="s">
        <v>151</v>
      </c>
      <c r="GI5" t="s">
        <v>150</v>
      </c>
      <c r="GK5" t="s">
        <v>152</v>
      </c>
    </row>
    <row r="6" spans="1:193" ht="15" customHeight="1">
      <c r="B6">
        <v>1</v>
      </c>
      <c r="C6">
        <v>46204</v>
      </c>
      <c r="D6" t="s">
        <v>5</v>
      </c>
      <c r="E6" t="s">
        <v>257</v>
      </c>
      <c r="F6" t="s">
        <v>238</v>
      </c>
      <c r="G6" t="s">
        <v>258</v>
      </c>
      <c r="H6" t="s">
        <v>3</v>
      </c>
      <c r="J6">
        <v>46202.25</v>
      </c>
      <c r="K6">
        <v>46203.142361111109</v>
      </c>
      <c r="L6">
        <v>46204.852083333331</v>
      </c>
      <c r="R6">
        <v>25091.86</v>
      </c>
      <c r="AT6">
        <v>7553.14</v>
      </c>
      <c r="BI6">
        <v>22355</v>
      </c>
      <c r="BJ6">
        <v>55000</v>
      </c>
      <c r="BL6">
        <v>46200</v>
      </c>
      <c r="BM6">
        <v>46209</v>
      </c>
      <c r="BO6">
        <v>0.54378436363636362</v>
      </c>
      <c r="BQ6" t="s">
        <v>228</v>
      </c>
      <c r="BU6">
        <v>32.979999999999997</v>
      </c>
      <c r="BV6">
        <v>14.45</v>
      </c>
      <c r="BW6">
        <v>5.54</v>
      </c>
      <c r="BX6">
        <v>4.34</v>
      </c>
      <c r="BY6">
        <v>1.1399999999999999</v>
      </c>
      <c r="BZ6">
        <v>0.89</v>
      </c>
      <c r="CA6">
        <v>5661</v>
      </c>
      <c r="CB6">
        <v>4435</v>
      </c>
      <c r="CC6">
        <v>4078</v>
      </c>
      <c r="CF6">
        <v>0</v>
      </c>
      <c r="CN6">
        <v>0</v>
      </c>
      <c r="FR6">
        <v>1340.3736799352657</v>
      </c>
      <c r="FU6">
        <v>41.17</v>
      </c>
      <c r="FV6">
        <v>2264350</v>
      </c>
      <c r="FW6">
        <v>0</v>
      </c>
      <c r="FX6">
        <v>2264350</v>
      </c>
      <c r="FY6">
        <v>0</v>
      </c>
      <c r="FZ6">
        <v>0</v>
      </c>
      <c r="GA6">
        <v>-2759078.3618651256</v>
      </c>
      <c r="GB6">
        <v>-165000</v>
      </c>
      <c r="GC6">
        <v>0</v>
      </c>
      <c r="GD6">
        <v>-9057.4</v>
      </c>
      <c r="GE6">
        <v>-7150</v>
      </c>
      <c r="GF6">
        <v>-2940285.7618651255</v>
      </c>
      <c r="GG6">
        <v>-53.459741124820461</v>
      </c>
      <c r="GH6">
        <v>-675935.7618651255</v>
      </c>
      <c r="GI6">
        <v>-12.289741124820464</v>
      </c>
      <c r="GK6" t="s">
        <v>259</v>
      </c>
    </row>
    <row r="7" spans="1:193" ht="15" customHeight="1">
      <c r="B7">
        <v>2</v>
      </c>
      <c r="C7">
        <v>46204</v>
      </c>
      <c r="D7" t="s">
        <v>5</v>
      </c>
      <c r="E7" t="s">
        <v>260</v>
      </c>
      <c r="F7" t="s">
        <v>167</v>
      </c>
      <c r="G7" t="s">
        <v>261</v>
      </c>
      <c r="H7" t="s">
        <v>3</v>
      </c>
      <c r="J7">
        <v>46193.3125</v>
      </c>
      <c r="K7">
        <v>46205.048611111109</v>
      </c>
      <c r="L7">
        <v>46205.828472222223</v>
      </c>
      <c r="N7">
        <v>4413.95</v>
      </c>
      <c r="R7">
        <v>1557.58</v>
      </c>
      <c r="S7">
        <v>4517.3900000000003</v>
      </c>
      <c r="T7">
        <v>3011.6</v>
      </c>
      <c r="U7">
        <v>15724.81</v>
      </c>
      <c r="AB7">
        <v>7466.14</v>
      </c>
      <c r="AH7">
        <v>7508.53</v>
      </c>
      <c r="BJ7">
        <v>44200</v>
      </c>
      <c r="BL7">
        <v>46192</v>
      </c>
      <c r="BM7">
        <v>46201</v>
      </c>
      <c r="BO7">
        <v>0.1698762443438914</v>
      </c>
      <c r="BQ7" t="s">
        <v>228</v>
      </c>
      <c r="BU7">
        <v>15.68</v>
      </c>
      <c r="BV7">
        <v>9.6300000000000008</v>
      </c>
      <c r="BW7">
        <v>4.1399999999999997</v>
      </c>
      <c r="BX7">
        <v>3.86</v>
      </c>
      <c r="BY7">
        <v>0.91</v>
      </c>
      <c r="BZ7">
        <v>0.84</v>
      </c>
      <c r="CA7">
        <v>6646</v>
      </c>
      <c r="CB7">
        <v>6201</v>
      </c>
      <c r="CC7">
        <v>5901</v>
      </c>
      <c r="CF7">
        <v>-1.46</v>
      </c>
      <c r="CN7">
        <v>-4.0084440987930288</v>
      </c>
      <c r="FR7">
        <v>2361.5316117459065</v>
      </c>
      <c r="FU7">
        <v>142.02000000000001</v>
      </c>
      <c r="FV7">
        <v>6277284</v>
      </c>
      <c r="FW7">
        <v>-64532</v>
      </c>
      <c r="FX7">
        <v>6212752</v>
      </c>
      <c r="FY7">
        <v>-177173.22916665187</v>
      </c>
      <c r="FZ7">
        <v>-41044.924314567412</v>
      </c>
      <c r="GA7">
        <v>-5078471.7157207904</v>
      </c>
      <c r="GB7">
        <v>-132600</v>
      </c>
      <c r="GC7">
        <v>0</v>
      </c>
      <c r="GD7">
        <v>-25109.136000000002</v>
      </c>
      <c r="GE7">
        <v>-5746</v>
      </c>
      <c r="GF7">
        <v>-5460145.0052020093</v>
      </c>
      <c r="GG7">
        <v>-123.53269242538482</v>
      </c>
      <c r="GH7">
        <v>752606.99479799066</v>
      </c>
      <c r="GI7">
        <v>17.027307574615172</v>
      </c>
      <c r="GK7" t="s">
        <v>55</v>
      </c>
    </row>
    <row r="8" spans="1:193" ht="15" customHeight="1">
      <c r="B8">
        <v>3</v>
      </c>
      <c r="C8">
        <v>46204</v>
      </c>
      <c r="D8" t="s">
        <v>5</v>
      </c>
      <c r="E8" t="s">
        <v>262</v>
      </c>
      <c r="F8" t="s">
        <v>153</v>
      </c>
      <c r="G8" t="s">
        <v>263</v>
      </c>
      <c r="H8" t="s">
        <v>3</v>
      </c>
      <c r="J8">
        <v>46204.479166666657</v>
      </c>
      <c r="K8">
        <v>46205.995138888888</v>
      </c>
      <c r="L8">
        <v>46207.419444444437</v>
      </c>
      <c r="R8">
        <v>64292.38</v>
      </c>
      <c r="Y8">
        <v>7502.67</v>
      </c>
      <c r="AX8">
        <v>5204.95</v>
      </c>
      <c r="BJ8">
        <v>77000</v>
      </c>
      <c r="BL8">
        <v>46196</v>
      </c>
      <c r="BM8">
        <v>46205</v>
      </c>
      <c r="BO8">
        <v>6.7596753246753238E-2</v>
      </c>
      <c r="BQ8" t="s">
        <v>228</v>
      </c>
      <c r="BU8">
        <v>20.100000000000001</v>
      </c>
      <c r="BV8">
        <v>12.38</v>
      </c>
      <c r="BW8">
        <v>6.4</v>
      </c>
      <c r="BX8">
        <v>5.83</v>
      </c>
      <c r="BY8">
        <v>2.02</v>
      </c>
      <c r="BZ8">
        <v>1.84</v>
      </c>
      <c r="CA8">
        <v>5995</v>
      </c>
      <c r="CB8">
        <v>5467</v>
      </c>
      <c r="CC8">
        <v>5152</v>
      </c>
      <c r="CF8">
        <v>-2.59</v>
      </c>
      <c r="CN8">
        <v>7.3728354978722419E-2</v>
      </c>
      <c r="FR8">
        <v>2252.5597269729415</v>
      </c>
      <c r="FU8">
        <v>96.06</v>
      </c>
      <c r="FV8">
        <v>7396620</v>
      </c>
      <c r="FW8">
        <v>-199430</v>
      </c>
      <c r="FX8">
        <v>7197190</v>
      </c>
      <c r="FY8">
        <v>5677.0833333616265</v>
      </c>
      <c r="FZ8">
        <v>0</v>
      </c>
      <c r="GA8">
        <v>-7314612.5336830812</v>
      </c>
      <c r="GB8">
        <v>-231000</v>
      </c>
      <c r="GC8">
        <v>0</v>
      </c>
      <c r="GD8">
        <v>-29586.48</v>
      </c>
      <c r="GE8">
        <v>-10010</v>
      </c>
      <c r="GF8">
        <v>-7579531.9303497197</v>
      </c>
      <c r="GG8">
        <v>-98.435479614931424</v>
      </c>
      <c r="GH8">
        <v>-382341.93034971971</v>
      </c>
      <c r="GI8">
        <v>-4.9654796149314251</v>
      </c>
      <c r="GK8" t="s">
        <v>264</v>
      </c>
    </row>
    <row r="9" spans="1:193" ht="15" customHeight="1">
      <c r="B9">
        <v>4</v>
      </c>
      <c r="C9">
        <v>46204</v>
      </c>
      <c r="D9" t="s">
        <v>5</v>
      </c>
      <c r="E9" t="s">
        <v>265</v>
      </c>
      <c r="F9" t="s">
        <v>158</v>
      </c>
      <c r="G9" t="s">
        <v>266</v>
      </c>
      <c r="H9" t="s">
        <v>3</v>
      </c>
      <c r="J9">
        <v>46205.387499999997</v>
      </c>
      <c r="K9">
        <v>46207.588194444441</v>
      </c>
      <c r="L9">
        <v>46208.8125</v>
      </c>
      <c r="R9">
        <v>52013.919999999998</v>
      </c>
      <c r="Y9">
        <v>15002.08</v>
      </c>
      <c r="BJ9">
        <v>67016</v>
      </c>
      <c r="BL9">
        <v>46206</v>
      </c>
      <c r="BM9">
        <v>46215</v>
      </c>
      <c r="BO9">
        <v>0</v>
      </c>
      <c r="BQ9" t="s">
        <v>228</v>
      </c>
      <c r="BU9">
        <v>20.73</v>
      </c>
      <c r="BV9">
        <v>13.75</v>
      </c>
      <c r="BW9">
        <v>6.96</v>
      </c>
      <c r="BX9">
        <v>6.39</v>
      </c>
      <c r="BY9">
        <v>1.92</v>
      </c>
      <c r="BZ9">
        <v>1.77</v>
      </c>
      <c r="CA9">
        <v>5840</v>
      </c>
      <c r="CB9">
        <v>5367</v>
      </c>
      <c r="CC9">
        <v>5050</v>
      </c>
      <c r="CF9">
        <v>0</v>
      </c>
      <c r="CN9">
        <v>-2.076045513162994E-2</v>
      </c>
      <c r="FR9">
        <v>2280.7487237596811</v>
      </c>
      <c r="FU9">
        <v>52.36</v>
      </c>
      <c r="FV9">
        <v>3508957.76</v>
      </c>
      <c r="FW9">
        <v>0</v>
      </c>
      <c r="FX9">
        <v>3508957.76</v>
      </c>
      <c r="FY9">
        <v>-1391.282661101312</v>
      </c>
      <c r="FZ9">
        <v>0</v>
      </c>
      <c r="GA9">
        <v>-3580709.4080678257</v>
      </c>
      <c r="GB9">
        <v>-201048</v>
      </c>
      <c r="GC9">
        <v>0</v>
      </c>
      <c r="GD9">
        <v>-14035.831039999999</v>
      </c>
      <c r="GE9">
        <v>-8712.08</v>
      </c>
      <c r="GF9">
        <v>-3805896.6017689272</v>
      </c>
      <c r="GG9">
        <v>-56.790864894486795</v>
      </c>
      <c r="GH9">
        <v>-296938.84176892741</v>
      </c>
      <c r="GI9">
        <v>-4.4308648944867999</v>
      </c>
      <c r="GK9" t="s">
        <v>264</v>
      </c>
    </row>
    <row r="10" spans="1:193" ht="15" customHeight="1">
      <c r="B10">
        <v>5</v>
      </c>
      <c r="C10">
        <v>46204</v>
      </c>
      <c r="D10" t="s">
        <v>4</v>
      </c>
      <c r="E10" t="s">
        <v>267</v>
      </c>
      <c r="F10" t="s">
        <v>268</v>
      </c>
      <c r="G10" t="s">
        <v>269</v>
      </c>
      <c r="H10" t="s">
        <v>3</v>
      </c>
      <c r="J10">
        <v>46206.583333333343</v>
      </c>
      <c r="K10">
        <v>46208.989583333343</v>
      </c>
      <c r="L10">
        <v>46210.861111111109</v>
      </c>
      <c r="N10">
        <v>13052.08</v>
      </c>
      <c r="Q10">
        <v>11049.08</v>
      </c>
      <c r="R10">
        <v>54598.84</v>
      </c>
      <c r="BJ10">
        <v>78700</v>
      </c>
      <c r="BL10">
        <v>46198</v>
      </c>
      <c r="BM10">
        <v>46207</v>
      </c>
      <c r="BO10">
        <v>1</v>
      </c>
      <c r="BQ10" t="s">
        <v>228</v>
      </c>
      <c r="BU10">
        <v>14.92</v>
      </c>
      <c r="BV10">
        <v>11.14</v>
      </c>
      <c r="BW10">
        <v>5.76</v>
      </c>
      <c r="BX10">
        <v>5.52</v>
      </c>
      <c r="BY10">
        <v>1.95</v>
      </c>
      <c r="BZ10">
        <v>1.87</v>
      </c>
      <c r="CA10">
        <v>6262</v>
      </c>
      <c r="CB10">
        <v>5995</v>
      </c>
      <c r="CC10">
        <v>5697</v>
      </c>
      <c r="CF10">
        <v>4.96</v>
      </c>
      <c r="CN10">
        <v>-0.28090498376428902</v>
      </c>
      <c r="FR10">
        <v>1752.1335807156054</v>
      </c>
      <c r="FU10">
        <v>95.33</v>
      </c>
      <c r="FV10">
        <v>7502471</v>
      </c>
      <c r="FW10">
        <v>390352</v>
      </c>
      <c r="FX10">
        <v>7892823</v>
      </c>
      <c r="FY10">
        <v>-22107.222222249547</v>
      </c>
      <c r="FZ10">
        <v>0</v>
      </c>
      <c r="GA10">
        <v>-4763009.7519404255</v>
      </c>
      <c r="GB10">
        <v>0</v>
      </c>
      <c r="GC10">
        <v>-1012833.585</v>
      </c>
      <c r="GD10">
        <v>0</v>
      </c>
      <c r="GE10">
        <v>0</v>
      </c>
      <c r="GF10">
        <v>-5797950.5591626754</v>
      </c>
      <c r="GG10">
        <v>-73.671544589106418</v>
      </c>
      <c r="GH10">
        <v>2094872.4408373246</v>
      </c>
      <c r="GI10">
        <v>26.618455410893578</v>
      </c>
      <c r="GK10" t="s">
        <v>264</v>
      </c>
    </row>
    <row r="11" spans="1:193" ht="15" customHeight="1">
      <c r="B11">
        <v>6</v>
      </c>
      <c r="C11">
        <v>46204</v>
      </c>
      <c r="D11" t="s">
        <v>5</v>
      </c>
      <c r="E11" t="s">
        <v>270</v>
      </c>
      <c r="F11" t="s">
        <v>153</v>
      </c>
      <c r="G11" t="s">
        <v>271</v>
      </c>
      <c r="H11" t="s">
        <v>3</v>
      </c>
      <c r="J11">
        <v>46206.833333333343</v>
      </c>
      <c r="K11">
        <v>46211.045138888891</v>
      </c>
      <c r="L11">
        <v>46212.309027777781</v>
      </c>
      <c r="R11">
        <v>60974.81</v>
      </c>
      <c r="AT11">
        <v>7615.2</v>
      </c>
      <c r="AX11">
        <v>5009.99</v>
      </c>
      <c r="BJ11">
        <v>73600</v>
      </c>
      <c r="BL11">
        <v>46208</v>
      </c>
      <c r="BM11">
        <v>46217</v>
      </c>
      <c r="BO11">
        <v>0.17153790760869564</v>
      </c>
      <c r="BQ11" t="s">
        <v>228</v>
      </c>
      <c r="BU11">
        <v>19.71</v>
      </c>
      <c r="BV11">
        <v>11.78</v>
      </c>
      <c r="BW11">
        <v>6.22</v>
      </c>
      <c r="BX11">
        <v>5.66</v>
      </c>
      <c r="BY11">
        <v>2.0099999999999998</v>
      </c>
      <c r="BZ11">
        <v>1.83</v>
      </c>
      <c r="CA11">
        <v>6031</v>
      </c>
      <c r="CB11">
        <v>5489</v>
      </c>
      <c r="CC11">
        <v>5176</v>
      </c>
      <c r="CF11">
        <v>-2.31</v>
      </c>
      <c r="CN11">
        <v>-0.48138586956545459</v>
      </c>
      <c r="FR11">
        <v>2426.3736263705223</v>
      </c>
      <c r="FU11">
        <v>95.37</v>
      </c>
      <c r="FV11">
        <v>7019232</v>
      </c>
      <c r="FW11">
        <v>-170016</v>
      </c>
      <c r="FX11">
        <v>6849216</v>
      </c>
      <c r="FY11">
        <v>-35430.000000017455</v>
      </c>
      <c r="FZ11">
        <v>0</v>
      </c>
      <c r="GA11">
        <v>-7053573.3041678732</v>
      </c>
      <c r="GB11">
        <v>-220800</v>
      </c>
      <c r="GC11">
        <v>0</v>
      </c>
      <c r="GD11">
        <v>-28076.928</v>
      </c>
      <c r="GE11">
        <v>-9568</v>
      </c>
      <c r="GF11">
        <v>-7347448.2321678912</v>
      </c>
      <c r="GG11">
        <v>-99.829459676194176</v>
      </c>
      <c r="GH11">
        <v>-498232.23216789123</v>
      </c>
      <c r="GI11">
        <v>-6.7694596761941739</v>
      </c>
      <c r="GK11" t="s">
        <v>264</v>
      </c>
    </row>
    <row r="12" spans="1:193" ht="15" customHeight="1">
      <c r="B12">
        <v>7</v>
      </c>
      <c r="C12">
        <v>46204</v>
      </c>
      <c r="D12" t="s">
        <v>5</v>
      </c>
      <c r="E12" t="s">
        <v>272</v>
      </c>
      <c r="F12" t="s">
        <v>238</v>
      </c>
      <c r="G12" t="s">
        <v>273</v>
      </c>
      <c r="H12" t="s">
        <v>3</v>
      </c>
      <c r="J12">
        <v>46209.895833333343</v>
      </c>
      <c r="K12">
        <v>46214.916666666657</v>
      </c>
      <c r="L12">
        <v>46216.378472222219</v>
      </c>
      <c r="R12">
        <v>7055.96</v>
      </c>
      <c r="U12">
        <v>7389.3</v>
      </c>
      <c r="V12">
        <v>7538.9</v>
      </c>
      <c r="Y12">
        <v>15002.84</v>
      </c>
      <c r="BI12">
        <v>15013</v>
      </c>
      <c r="BJ12">
        <v>52000</v>
      </c>
      <c r="BL12">
        <v>46209</v>
      </c>
      <c r="BM12">
        <v>46215</v>
      </c>
      <c r="BO12">
        <v>0.28871153846153846</v>
      </c>
      <c r="BQ12" t="s">
        <v>228</v>
      </c>
      <c r="BU12">
        <v>32.43</v>
      </c>
      <c r="BV12">
        <v>16.850000000000001</v>
      </c>
      <c r="BW12">
        <v>5.83</v>
      </c>
      <c r="BX12">
        <v>4.74</v>
      </c>
      <c r="BY12">
        <v>0.85</v>
      </c>
      <c r="BZ12">
        <v>0.69</v>
      </c>
      <c r="CA12">
        <v>5558</v>
      </c>
      <c r="CB12">
        <v>4517</v>
      </c>
      <c r="CC12">
        <v>4177.8079287467626</v>
      </c>
      <c r="CF12">
        <v>0</v>
      </c>
      <c r="CN12">
        <v>0</v>
      </c>
      <c r="FR12">
        <v>1482.1852731525871</v>
      </c>
      <c r="FU12">
        <v>41.17</v>
      </c>
      <c r="FV12">
        <v>2140840</v>
      </c>
      <c r="FW12">
        <v>0</v>
      </c>
      <c r="FX12">
        <v>2140840</v>
      </c>
      <c r="FY12">
        <v>0</v>
      </c>
      <c r="FZ12">
        <v>0</v>
      </c>
      <c r="GA12">
        <v>-2665501.317540071</v>
      </c>
      <c r="GB12">
        <v>-156000</v>
      </c>
      <c r="GC12">
        <v>0</v>
      </c>
      <c r="GD12">
        <v>-8563.36</v>
      </c>
      <c r="GE12">
        <v>-6760</v>
      </c>
      <c r="GF12">
        <v>-2836824.6775400708</v>
      </c>
      <c r="GG12">
        <v>-54.554320721924441</v>
      </c>
      <c r="GH12">
        <v>-695984.67754007084</v>
      </c>
      <c r="GI12">
        <v>-13.384320721924439</v>
      </c>
      <c r="GK12" t="s">
        <v>259</v>
      </c>
    </row>
    <row r="13" spans="1:193" ht="15" customHeight="1">
      <c r="B13">
        <v>8</v>
      </c>
      <c r="C13">
        <v>46204</v>
      </c>
      <c r="D13" t="s">
        <v>5</v>
      </c>
      <c r="E13" t="s">
        <v>274</v>
      </c>
      <c r="F13" t="s">
        <v>184</v>
      </c>
      <c r="G13" t="s">
        <v>275</v>
      </c>
      <c r="H13" t="s">
        <v>3</v>
      </c>
      <c r="J13">
        <v>46211.404166666667</v>
      </c>
      <c r="K13">
        <v>46216.544444444437</v>
      </c>
      <c r="L13">
        <v>46217.972222222219</v>
      </c>
      <c r="Q13">
        <v>4993.54</v>
      </c>
      <c r="R13">
        <v>39911.300000000003</v>
      </c>
      <c r="U13">
        <v>7477.16</v>
      </c>
      <c r="AQ13">
        <v>7507</v>
      </c>
      <c r="AV13">
        <v>5110</v>
      </c>
      <c r="BJ13">
        <v>64999</v>
      </c>
      <c r="BL13">
        <v>46213</v>
      </c>
      <c r="BM13">
        <v>46222</v>
      </c>
      <c r="BO13">
        <v>0.19411067862582501</v>
      </c>
      <c r="BQ13" t="s">
        <v>228</v>
      </c>
      <c r="BU13">
        <v>19.22</v>
      </c>
      <c r="BV13">
        <v>11.8</v>
      </c>
      <c r="BW13">
        <v>6.32</v>
      </c>
      <c r="BX13">
        <v>5.79</v>
      </c>
      <c r="BY13">
        <v>1.86</v>
      </c>
      <c r="BZ13">
        <v>1.7</v>
      </c>
      <c r="CA13">
        <v>6034</v>
      </c>
      <c r="CB13">
        <v>5527</v>
      </c>
      <c r="CC13">
        <v>5215</v>
      </c>
      <c r="CF13">
        <v>0.46</v>
      </c>
      <c r="CN13">
        <v>-8.808020123164495E-2</v>
      </c>
      <c r="FR13">
        <v>1896.857976647467</v>
      </c>
      <c r="FU13">
        <v>95.35</v>
      </c>
      <c r="FV13">
        <v>6197654.6499999994</v>
      </c>
      <c r="FW13">
        <v>29899.54</v>
      </c>
      <c r="FX13">
        <v>6227554.1899999995</v>
      </c>
      <c r="FY13">
        <v>-5725.1249998556905</v>
      </c>
      <c r="FZ13">
        <v>-31851.233216762863</v>
      </c>
      <c r="GA13">
        <v>-6322616.5016818764</v>
      </c>
      <c r="GB13">
        <v>-194997</v>
      </c>
      <c r="GC13">
        <v>0</v>
      </c>
      <c r="GD13">
        <v>-24790.618599999998</v>
      </c>
      <c r="GE13">
        <v>-8449.8700000000008</v>
      </c>
      <c r="GF13">
        <v>-6588430.3484984944</v>
      </c>
      <c r="GG13">
        <v>-101.36202631576631</v>
      </c>
      <c r="GH13">
        <v>-360876.15849849489</v>
      </c>
      <c r="GI13">
        <v>-5.5520263157663177</v>
      </c>
      <c r="GK13" t="s">
        <v>264</v>
      </c>
    </row>
    <row r="14" spans="1:193" ht="15" customHeight="1">
      <c r="B14">
        <v>9</v>
      </c>
      <c r="C14">
        <v>46204</v>
      </c>
      <c r="D14" t="s">
        <v>5</v>
      </c>
      <c r="E14" t="s">
        <v>157</v>
      </c>
      <c r="F14" t="s">
        <v>158</v>
      </c>
      <c r="G14" t="s">
        <v>276</v>
      </c>
      <c r="H14" t="s">
        <v>3</v>
      </c>
      <c r="J14">
        <v>46214.508333333331</v>
      </c>
      <c r="K14">
        <v>46218.566666666673</v>
      </c>
      <c r="L14">
        <v>46219.803472222222</v>
      </c>
      <c r="R14">
        <v>52003.29</v>
      </c>
      <c r="Y14">
        <v>15003.71</v>
      </c>
      <c r="BJ14">
        <v>67007</v>
      </c>
      <c r="BL14">
        <v>46216</v>
      </c>
      <c r="BM14">
        <v>46225</v>
      </c>
      <c r="BO14">
        <v>0</v>
      </c>
      <c r="BQ14" t="s">
        <v>228</v>
      </c>
      <c r="BU14">
        <v>20.66</v>
      </c>
      <c r="BV14">
        <v>13.49</v>
      </c>
      <c r="BW14">
        <v>7.04</v>
      </c>
      <c r="BX14">
        <v>6.46</v>
      </c>
      <c r="BY14">
        <v>1.98</v>
      </c>
      <c r="BZ14">
        <v>1.81</v>
      </c>
      <c r="CA14">
        <v>5841</v>
      </c>
      <c r="CB14">
        <v>5357</v>
      </c>
      <c r="CC14">
        <v>5041</v>
      </c>
      <c r="CF14">
        <v>0</v>
      </c>
      <c r="CN14">
        <v>-0.2445864617780405</v>
      </c>
      <c r="FR14">
        <v>2257.3947220783543</v>
      </c>
      <c r="FU14">
        <v>51.52</v>
      </c>
      <c r="FV14">
        <v>3452200.64</v>
      </c>
      <c r="FW14">
        <v>0</v>
      </c>
      <c r="FX14">
        <v>3452200.64</v>
      </c>
      <c r="FY14">
        <v>-16389.005044361158</v>
      </c>
      <c r="FZ14">
        <v>0</v>
      </c>
      <c r="GA14">
        <v>-3580228.6548500685</v>
      </c>
      <c r="GB14">
        <v>-201021</v>
      </c>
      <c r="GC14">
        <v>0</v>
      </c>
      <c r="GD14">
        <v>-13808.80256</v>
      </c>
      <c r="GE14">
        <v>-8710.91</v>
      </c>
      <c r="GF14">
        <v>-3820158.37245443</v>
      </c>
      <c r="GG14">
        <v>-57.011332733213393</v>
      </c>
      <c r="GH14">
        <v>-367957.73245442985</v>
      </c>
      <c r="GI14">
        <v>-5.491332733213393</v>
      </c>
      <c r="GK14" t="s">
        <v>264</v>
      </c>
    </row>
    <row r="15" spans="1:193" ht="15" customHeight="1">
      <c r="B15">
        <v>10</v>
      </c>
      <c r="C15">
        <v>46204</v>
      </c>
      <c r="D15" t="s">
        <v>5</v>
      </c>
      <c r="E15" t="s">
        <v>227</v>
      </c>
      <c r="F15" t="s">
        <v>158</v>
      </c>
      <c r="G15" t="s">
        <v>277</v>
      </c>
      <c r="H15" t="s">
        <v>3</v>
      </c>
      <c r="J15">
        <v>46219.916666666657</v>
      </c>
      <c r="K15">
        <v>46220.030555555553</v>
      </c>
      <c r="L15">
        <v>46221.333333333343</v>
      </c>
      <c r="R15">
        <v>52020.98</v>
      </c>
      <c r="Y15">
        <v>15002.02</v>
      </c>
      <c r="BJ15">
        <v>67023</v>
      </c>
      <c r="BL15">
        <v>46220</v>
      </c>
      <c r="BM15">
        <v>46229</v>
      </c>
      <c r="BO15">
        <v>0</v>
      </c>
      <c r="BQ15" t="s">
        <v>228</v>
      </c>
      <c r="BU15">
        <v>20.3</v>
      </c>
      <c r="BV15">
        <v>13.29</v>
      </c>
      <c r="BW15">
        <v>6.49</v>
      </c>
      <c r="BX15">
        <v>5.97</v>
      </c>
      <c r="BY15">
        <v>1.99</v>
      </c>
      <c r="BZ15">
        <v>1.82</v>
      </c>
      <c r="CA15">
        <v>5891</v>
      </c>
      <c r="CB15">
        <v>5384</v>
      </c>
      <c r="CC15">
        <v>5098</v>
      </c>
      <c r="CF15">
        <v>0</v>
      </c>
      <c r="CN15">
        <v>0.1036959881932175</v>
      </c>
      <c r="FR15">
        <v>2143.5927505133618</v>
      </c>
      <c r="FU15">
        <v>51.87</v>
      </c>
      <c r="FV15">
        <v>3476483.01</v>
      </c>
      <c r="FW15">
        <v>0</v>
      </c>
      <c r="FX15">
        <v>3476483.01</v>
      </c>
      <c r="FY15">
        <v>6950.0162166740165</v>
      </c>
      <c r="FZ15">
        <v>0</v>
      </c>
      <c r="GA15">
        <v>-3581083.3679177677</v>
      </c>
      <c r="GB15">
        <v>-201069</v>
      </c>
      <c r="GC15">
        <v>0</v>
      </c>
      <c r="GD15">
        <v>-13905.93204</v>
      </c>
      <c r="GE15">
        <v>-8712.99</v>
      </c>
      <c r="GF15">
        <v>-3797821.2737410939</v>
      </c>
      <c r="GG15">
        <v>-56.664447633515273</v>
      </c>
      <c r="GH15">
        <v>-321338.26374109415</v>
      </c>
      <c r="GI15">
        <v>-4.794447633515273</v>
      </c>
      <c r="GK15" t="s">
        <v>264</v>
      </c>
    </row>
    <row r="16" spans="1:193" ht="15" customHeight="1">
      <c r="B16">
        <v>11</v>
      </c>
      <c r="C16">
        <v>46204</v>
      </c>
      <c r="D16" t="s">
        <v>5</v>
      </c>
      <c r="E16" t="s">
        <v>278</v>
      </c>
      <c r="F16" t="s">
        <v>156</v>
      </c>
      <c r="G16" t="s">
        <v>279</v>
      </c>
      <c r="H16" t="s">
        <v>3</v>
      </c>
      <c r="J16">
        <v>46220.54583333333</v>
      </c>
      <c r="K16">
        <v>46221.912499999999</v>
      </c>
      <c r="L16">
        <v>46223.415277777778</v>
      </c>
      <c r="R16">
        <v>35521.89</v>
      </c>
      <c r="Y16">
        <v>15003.14</v>
      </c>
      <c r="AQ16">
        <v>7515</v>
      </c>
      <c r="AX16">
        <v>5009.97</v>
      </c>
      <c r="BJ16">
        <v>63050</v>
      </c>
      <c r="BL16">
        <v>46218</v>
      </c>
      <c r="BM16">
        <v>46227</v>
      </c>
      <c r="BO16">
        <v>0.19865138778747027</v>
      </c>
      <c r="BQ16" t="s">
        <v>228</v>
      </c>
      <c r="BU16">
        <v>26.22</v>
      </c>
      <c r="BV16">
        <v>14.95</v>
      </c>
      <c r="BW16">
        <v>6.48</v>
      </c>
      <c r="BX16">
        <v>5.62</v>
      </c>
      <c r="BY16">
        <v>1.49</v>
      </c>
      <c r="BZ16">
        <v>1.29</v>
      </c>
      <c r="CA16">
        <v>5591</v>
      </c>
      <c r="CB16">
        <v>4850</v>
      </c>
      <c r="CC16">
        <v>4516</v>
      </c>
      <c r="CF16">
        <v>-0.86</v>
      </c>
      <c r="CN16">
        <v>-0.2346065732673262</v>
      </c>
      <c r="FR16">
        <v>1748.1515711624411</v>
      </c>
      <c r="FU16">
        <v>77.819999999999993</v>
      </c>
      <c r="FV16">
        <v>4906551</v>
      </c>
      <c r="FW16">
        <v>-54223</v>
      </c>
      <c r="FX16">
        <v>4852328</v>
      </c>
      <c r="FY16">
        <v>-14791.944444504918</v>
      </c>
      <c r="FZ16">
        <v>-31885.176185423326</v>
      </c>
      <c r="GA16">
        <v>-5190288.5378169417</v>
      </c>
      <c r="GB16">
        <v>-189150</v>
      </c>
      <c r="GC16">
        <v>0</v>
      </c>
      <c r="GD16">
        <v>-19626.204000000002</v>
      </c>
      <c r="GE16">
        <v>-8196.5</v>
      </c>
      <c r="GF16">
        <v>-5453938.3624468697</v>
      </c>
      <c r="GG16">
        <v>-86.50179797695273</v>
      </c>
      <c r="GH16">
        <v>-601610.36244686972</v>
      </c>
      <c r="GI16">
        <v>-9.541797976952731</v>
      </c>
      <c r="GK16" t="s">
        <v>259</v>
      </c>
    </row>
    <row r="17" spans="2:193" ht="15" customHeight="1">
      <c r="B17">
        <v>12</v>
      </c>
      <c r="C17">
        <v>46204</v>
      </c>
      <c r="D17" t="s">
        <v>5</v>
      </c>
      <c r="E17" t="s">
        <v>280</v>
      </c>
      <c r="F17" t="s">
        <v>158</v>
      </c>
      <c r="G17" t="s">
        <v>281</v>
      </c>
      <c r="H17" t="s">
        <v>3</v>
      </c>
      <c r="J17">
        <v>46223.270833333343</v>
      </c>
      <c r="K17">
        <v>46223.841666666667</v>
      </c>
      <c r="L17">
        <v>46225.029861111107</v>
      </c>
      <c r="R17">
        <v>52002.62</v>
      </c>
      <c r="Y17">
        <v>15003.38</v>
      </c>
      <c r="BJ17">
        <v>67006</v>
      </c>
      <c r="BL17">
        <v>46225</v>
      </c>
      <c r="BM17">
        <v>46234</v>
      </c>
      <c r="BO17">
        <v>0</v>
      </c>
      <c r="BQ17" t="s">
        <v>228</v>
      </c>
      <c r="BU17">
        <v>20.58</v>
      </c>
      <c r="BV17">
        <v>13.32</v>
      </c>
      <c r="BW17">
        <v>6.82</v>
      </c>
      <c r="BX17">
        <v>6.24</v>
      </c>
      <c r="BY17">
        <v>1.91</v>
      </c>
      <c r="BZ17">
        <v>1.75</v>
      </c>
      <c r="CA17">
        <v>5872</v>
      </c>
      <c r="CB17">
        <v>5375</v>
      </c>
      <c r="CC17">
        <v>5059</v>
      </c>
      <c r="CF17">
        <v>0</v>
      </c>
      <c r="CN17">
        <v>0.11818292022745169</v>
      </c>
      <c r="FR17">
        <v>2349.7136177772995</v>
      </c>
      <c r="FU17">
        <v>51.82</v>
      </c>
      <c r="FV17">
        <v>3472250.92</v>
      </c>
      <c r="FW17">
        <v>0</v>
      </c>
      <c r="FX17">
        <v>3472250.92</v>
      </c>
      <c r="FY17">
        <v>7918.9647527606285</v>
      </c>
      <c r="FZ17">
        <v>0</v>
      </c>
      <c r="GA17">
        <v>-3580175.2206105422</v>
      </c>
      <c r="GB17">
        <v>-201018</v>
      </c>
      <c r="GC17">
        <v>0</v>
      </c>
      <c r="GD17">
        <v>-13889.00368</v>
      </c>
      <c r="GE17">
        <v>-8710.7800000000007</v>
      </c>
      <c r="GF17">
        <v>-3795874.0395377814</v>
      </c>
      <c r="GG17">
        <v>-56.649763297880511</v>
      </c>
      <c r="GH17">
        <v>-323623.11953778146</v>
      </c>
      <c r="GI17">
        <v>-4.8297632978805103</v>
      </c>
      <c r="GK17" t="s">
        <v>264</v>
      </c>
    </row>
    <row r="18" spans="2:193" ht="15" customHeight="1">
      <c r="B18">
        <v>13</v>
      </c>
      <c r="C18">
        <v>46204</v>
      </c>
      <c r="D18" t="s">
        <v>5</v>
      </c>
      <c r="E18" t="s">
        <v>282</v>
      </c>
      <c r="F18" t="s">
        <v>158</v>
      </c>
      <c r="G18" t="s">
        <v>283</v>
      </c>
      <c r="H18" t="s">
        <v>3</v>
      </c>
      <c r="J18">
        <v>46224.720833333333</v>
      </c>
      <c r="K18">
        <v>46225.18472222222</v>
      </c>
      <c r="L18">
        <v>46226.447916666657</v>
      </c>
      <c r="R18">
        <v>52018.51</v>
      </c>
      <c r="Y18">
        <v>15001.49</v>
      </c>
      <c r="BJ18">
        <v>67020</v>
      </c>
      <c r="BL18">
        <v>46226</v>
      </c>
      <c r="BM18">
        <v>46235</v>
      </c>
      <c r="BO18">
        <v>0</v>
      </c>
      <c r="BQ18" t="s">
        <v>228</v>
      </c>
      <c r="BU18">
        <v>20.58</v>
      </c>
      <c r="BV18">
        <v>13.23</v>
      </c>
      <c r="BW18">
        <v>6.82</v>
      </c>
      <c r="BX18">
        <v>6.24</v>
      </c>
      <c r="BY18">
        <v>1.91</v>
      </c>
      <c r="BZ18">
        <v>1.75</v>
      </c>
      <c r="CA18">
        <v>5872</v>
      </c>
      <c r="CB18">
        <v>5376</v>
      </c>
      <c r="CC18">
        <v>5059</v>
      </c>
      <c r="CF18">
        <v>0</v>
      </c>
      <c r="CN18">
        <v>0.1085560433862419</v>
      </c>
      <c r="FR18">
        <v>2210.6652006735685</v>
      </c>
      <c r="FU18">
        <v>52.87</v>
      </c>
      <c r="FV18">
        <v>3543347.4</v>
      </c>
      <c r="FW18">
        <v>0</v>
      </c>
      <c r="FX18">
        <v>3543347.4</v>
      </c>
      <c r="FY18">
        <v>7275.4260277459325</v>
      </c>
      <c r="FZ18">
        <v>0</v>
      </c>
      <c r="GA18">
        <v>-3580923.0806929874</v>
      </c>
      <c r="GB18">
        <v>-201060</v>
      </c>
      <c r="GC18">
        <v>0</v>
      </c>
      <c r="GD18">
        <v>-14173.3896</v>
      </c>
      <c r="GE18">
        <v>-8712.6</v>
      </c>
      <c r="GF18">
        <v>-3797593.6442652415</v>
      </c>
      <c r="GG18">
        <v>-56.663587649436607</v>
      </c>
      <c r="GH18">
        <v>-254246.24426524155</v>
      </c>
      <c r="GI18">
        <v>-3.793587649436609</v>
      </c>
      <c r="GK18" t="s">
        <v>264</v>
      </c>
    </row>
    <row r="19" spans="2:193" ht="15" customHeight="1">
      <c r="B19">
        <v>14</v>
      </c>
      <c r="C19">
        <v>46204</v>
      </c>
      <c r="D19" t="s">
        <v>5</v>
      </c>
      <c r="E19" t="s">
        <v>284</v>
      </c>
      <c r="F19" t="s">
        <v>159</v>
      </c>
      <c r="G19" t="s">
        <v>285</v>
      </c>
      <c r="H19" t="s">
        <v>3</v>
      </c>
      <c r="J19">
        <v>46226.75</v>
      </c>
      <c r="K19">
        <v>46226.885416666657</v>
      </c>
      <c r="L19">
        <v>46228.184027777781</v>
      </c>
      <c r="Q19">
        <v>14872.56</v>
      </c>
      <c r="R19">
        <v>39897.449999999997</v>
      </c>
      <c r="AV19">
        <v>5130</v>
      </c>
      <c r="AX19">
        <v>5099.99</v>
      </c>
      <c r="BJ19">
        <v>64999.999999999993</v>
      </c>
      <c r="BL19">
        <v>46222</v>
      </c>
      <c r="BM19">
        <v>46231</v>
      </c>
      <c r="BO19">
        <v>0.15738446153846156</v>
      </c>
      <c r="BQ19" t="s">
        <v>228</v>
      </c>
      <c r="BU19">
        <v>19.57</v>
      </c>
      <c r="BV19">
        <v>11.52</v>
      </c>
      <c r="BW19">
        <v>6.51</v>
      </c>
      <c r="BX19">
        <v>5.92</v>
      </c>
      <c r="BY19">
        <v>1.79</v>
      </c>
      <c r="BZ19">
        <v>1.63</v>
      </c>
      <c r="CA19">
        <v>6045</v>
      </c>
      <c r="CB19">
        <v>5495</v>
      </c>
      <c r="CC19">
        <v>5182</v>
      </c>
      <c r="CF19">
        <v>-2.16</v>
      </c>
      <c r="CN19">
        <v>5.0213675212804593E-2</v>
      </c>
      <c r="FR19">
        <v>2085.5614973054294</v>
      </c>
      <c r="FU19">
        <v>93.97</v>
      </c>
      <c r="FV19">
        <v>6108049.9999999991</v>
      </c>
      <c r="FW19">
        <v>-140400</v>
      </c>
      <c r="FX19">
        <v>5967649.9999999991</v>
      </c>
      <c r="FY19">
        <v>3263.8888888322981</v>
      </c>
      <c r="FZ19">
        <v>0</v>
      </c>
      <c r="GA19">
        <v>-6297081.5578098027</v>
      </c>
      <c r="GB19">
        <v>-194999.99999999997</v>
      </c>
      <c r="GC19">
        <v>0</v>
      </c>
      <c r="GD19">
        <v>-24432.199999999997</v>
      </c>
      <c r="GE19">
        <v>-8450</v>
      </c>
      <c r="GF19">
        <v>-6521699.8689209707</v>
      </c>
      <c r="GG19">
        <v>-100.33384413724572</v>
      </c>
      <c r="GH19">
        <v>-554049.86892097164</v>
      </c>
      <c r="GI19">
        <v>-8.5238441372457192</v>
      </c>
      <c r="GK19" t="s">
        <v>264</v>
      </c>
    </row>
    <row r="20" spans="2:193" ht="15" customHeight="1">
      <c r="B20">
        <v>15</v>
      </c>
      <c r="C20">
        <v>46204</v>
      </c>
      <c r="D20" t="s">
        <v>5</v>
      </c>
      <c r="E20" t="s">
        <v>272</v>
      </c>
      <c r="F20" t="s">
        <v>238</v>
      </c>
      <c r="G20" t="s">
        <v>286</v>
      </c>
      <c r="H20" t="s">
        <v>3</v>
      </c>
      <c r="J20">
        <v>46230.340277777781</v>
      </c>
      <c r="K20">
        <v>46230.463888888888</v>
      </c>
      <c r="L20">
        <v>46231.922222222223</v>
      </c>
      <c r="R20">
        <v>6942.74</v>
      </c>
      <c r="U20">
        <v>7652.19</v>
      </c>
      <c r="V20">
        <v>7401.64</v>
      </c>
      <c r="Y20">
        <v>15002.43</v>
      </c>
      <c r="BI20">
        <v>15001</v>
      </c>
      <c r="BJ20">
        <v>52000</v>
      </c>
      <c r="BL20">
        <v>46215</v>
      </c>
      <c r="BM20">
        <v>46221</v>
      </c>
      <c r="BO20">
        <v>0.28848076923076921</v>
      </c>
      <c r="BQ20" t="s">
        <v>228</v>
      </c>
      <c r="BU20">
        <v>32.79</v>
      </c>
      <c r="BV20">
        <v>14.79</v>
      </c>
      <c r="BW20">
        <v>5.71</v>
      </c>
      <c r="BX20">
        <v>4.5</v>
      </c>
      <c r="BY20">
        <v>0.82</v>
      </c>
      <c r="BZ20">
        <v>0.65</v>
      </c>
      <c r="CA20">
        <v>5667</v>
      </c>
      <c r="CB20">
        <v>4469</v>
      </c>
      <c r="CC20">
        <v>4113</v>
      </c>
      <c r="CF20">
        <v>0</v>
      </c>
      <c r="CN20">
        <v>0</v>
      </c>
      <c r="FR20">
        <v>1485.7142857118149</v>
      </c>
      <c r="FU20">
        <v>41.17</v>
      </c>
      <c r="FV20">
        <v>2140840</v>
      </c>
      <c r="FW20">
        <v>0</v>
      </c>
      <c r="FX20">
        <v>2140840</v>
      </c>
      <c r="FY20">
        <v>0</v>
      </c>
      <c r="FZ20">
        <v>0</v>
      </c>
      <c r="GA20">
        <v>-2667816.2744236751</v>
      </c>
      <c r="GB20">
        <v>-156000</v>
      </c>
      <c r="GC20">
        <v>0</v>
      </c>
      <c r="GD20">
        <v>-8563.36</v>
      </c>
      <c r="GE20">
        <v>-6760</v>
      </c>
      <c r="GF20">
        <v>-2839139.634423675</v>
      </c>
      <c r="GG20">
        <v>-54.598839123532208</v>
      </c>
      <c r="GH20">
        <v>-698299.63442367502</v>
      </c>
      <c r="GI20">
        <v>-13.428839123532212</v>
      </c>
      <c r="GK20" t="s">
        <v>259</v>
      </c>
    </row>
    <row r="21" spans="2:193" ht="15" customHeight="1">
      <c r="B21">
        <v>16</v>
      </c>
      <c r="C21">
        <v>46204</v>
      </c>
      <c r="D21" t="s">
        <v>5</v>
      </c>
      <c r="E21" t="s">
        <v>10</v>
      </c>
      <c r="F21" t="s">
        <v>167</v>
      </c>
      <c r="G21" t="s">
        <v>287</v>
      </c>
      <c r="H21" t="s">
        <v>3</v>
      </c>
      <c r="J21">
        <v>46231.25</v>
      </c>
      <c r="K21">
        <v>46233.996527777781</v>
      </c>
      <c r="L21">
        <v>46234.994444444441</v>
      </c>
      <c r="N21">
        <v>1475.28</v>
      </c>
      <c r="S21">
        <v>23003.63</v>
      </c>
      <c r="AB21">
        <v>7502.24</v>
      </c>
      <c r="AH21">
        <v>7502.85</v>
      </c>
      <c r="AL21">
        <v>5116</v>
      </c>
      <c r="BJ21">
        <v>44600</v>
      </c>
      <c r="BL21">
        <v>46229</v>
      </c>
      <c r="BM21">
        <v>46238</v>
      </c>
      <c r="BO21">
        <v>0.28293385650224218</v>
      </c>
      <c r="BQ21" t="s">
        <v>228</v>
      </c>
      <c r="BU21">
        <v>14.23</v>
      </c>
      <c r="BV21">
        <v>8.59</v>
      </c>
      <c r="BW21">
        <v>4.29</v>
      </c>
      <c r="BX21">
        <v>4.03</v>
      </c>
      <c r="BY21">
        <v>0.88</v>
      </c>
      <c r="BZ21">
        <v>0.83</v>
      </c>
      <c r="CA21">
        <v>6688</v>
      </c>
      <c r="CB21">
        <v>6276</v>
      </c>
      <c r="CC21">
        <v>5980</v>
      </c>
      <c r="CF21">
        <v>0.56999999999999995</v>
      </c>
      <c r="CN21">
        <v>-0.86797536746326831</v>
      </c>
      <c r="FR21">
        <v>1862.2129436452403</v>
      </c>
      <c r="FU21">
        <v>142.02000000000001</v>
      </c>
      <c r="FV21">
        <v>6334092</v>
      </c>
      <c r="FW21">
        <v>25421.999999999996</v>
      </c>
      <c r="FX21">
        <v>6359514</v>
      </c>
      <c r="FY21">
        <v>-38711.701388861766</v>
      </c>
      <c r="FZ21">
        <v>-68282.600839728912</v>
      </c>
      <c r="GA21">
        <v>-5238330.6404036768</v>
      </c>
      <c r="GB21">
        <v>-133800</v>
      </c>
      <c r="GC21">
        <v>0</v>
      </c>
      <c r="GD21">
        <v>-25336.368000000002</v>
      </c>
      <c r="GE21">
        <v>-5798</v>
      </c>
      <c r="GF21">
        <v>-5510259.310632267</v>
      </c>
      <c r="GG21">
        <v>-123.54841503659792</v>
      </c>
      <c r="GH21">
        <v>849254.68936773296</v>
      </c>
      <c r="GI21">
        <v>19.041584963402084</v>
      </c>
      <c r="GK21" t="s">
        <v>55</v>
      </c>
    </row>
    <row r="22" spans="2:193" ht="15" customHeight="1">
      <c r="B22">
        <v>17</v>
      </c>
      <c r="C22">
        <v>46204</v>
      </c>
      <c r="D22" t="s">
        <v>5</v>
      </c>
      <c r="E22" t="s">
        <v>288</v>
      </c>
      <c r="F22" t="s">
        <v>289</v>
      </c>
      <c r="G22" t="s">
        <v>290</v>
      </c>
      <c r="H22" t="s">
        <v>3</v>
      </c>
      <c r="J22">
        <v>46208.652777777781</v>
      </c>
      <c r="K22">
        <v>46212.373611111107</v>
      </c>
      <c r="L22">
        <v>46212.511805555558</v>
      </c>
      <c r="R22">
        <v>3752.62</v>
      </c>
      <c r="BI22">
        <v>3750</v>
      </c>
      <c r="BJ22">
        <v>7502.62</v>
      </c>
      <c r="BO22">
        <v>0.49982539432891443</v>
      </c>
      <c r="BQ22" t="s">
        <v>228</v>
      </c>
      <c r="BU22">
        <v>33.130000000000003</v>
      </c>
      <c r="BV22">
        <v>13.69</v>
      </c>
      <c r="BW22">
        <v>5.82</v>
      </c>
      <c r="BX22">
        <v>4.51</v>
      </c>
      <c r="BY22">
        <v>1.22</v>
      </c>
      <c r="BZ22">
        <v>0.95</v>
      </c>
      <c r="CA22">
        <v>5709</v>
      </c>
      <c r="CB22">
        <v>4423</v>
      </c>
      <c r="CC22">
        <v>4066</v>
      </c>
      <c r="CF22">
        <v>0</v>
      </c>
      <c r="CN22">
        <v>0</v>
      </c>
      <c r="FR22">
        <v>2262.0964823035474</v>
      </c>
      <c r="FU22">
        <v>41.17</v>
      </c>
      <c r="FV22">
        <v>308882.86540000001</v>
      </c>
      <c r="FW22">
        <v>0</v>
      </c>
      <c r="FX22">
        <v>308882.86540000001</v>
      </c>
      <c r="FY22">
        <v>0</v>
      </c>
      <c r="FZ22">
        <v>0</v>
      </c>
      <c r="GA22">
        <v>-356326.68512447464</v>
      </c>
      <c r="GB22">
        <v>-22507.86</v>
      </c>
      <c r="GC22">
        <v>0</v>
      </c>
      <c r="GD22">
        <v>-1235.5314616000001</v>
      </c>
      <c r="GE22">
        <v>-975.34059999999999</v>
      </c>
      <c r="GF22">
        <v>-381045.4171860746</v>
      </c>
      <c r="GG22">
        <v>-50.788313573934786</v>
      </c>
      <c r="GH22">
        <v>-72162.551786074589</v>
      </c>
      <c r="GI22">
        <v>-9.6183135739347847</v>
      </c>
      <c r="GK22" t="s">
        <v>259</v>
      </c>
    </row>
    <row r="23" spans="2:193" ht="15" customHeight="1">
      <c r="B23">
        <v>18</v>
      </c>
      <c r="C23">
        <v>46204</v>
      </c>
      <c r="D23" t="s">
        <v>5</v>
      </c>
      <c r="E23" t="s">
        <v>291</v>
      </c>
      <c r="F23" t="s">
        <v>289</v>
      </c>
      <c r="G23" t="s">
        <v>292</v>
      </c>
      <c r="H23" t="s">
        <v>3</v>
      </c>
      <c r="J23">
        <v>46208.541666666657</v>
      </c>
      <c r="K23">
        <v>46212.696527777778</v>
      </c>
      <c r="L23">
        <v>46212.847222222219</v>
      </c>
      <c r="R23">
        <v>3758.15</v>
      </c>
      <c r="BI23">
        <v>3751</v>
      </c>
      <c r="BJ23">
        <v>7509.15</v>
      </c>
      <c r="BO23">
        <v>0.49952391415806052</v>
      </c>
      <c r="BQ23" t="s">
        <v>228</v>
      </c>
      <c r="BU23">
        <v>33.130000000000003</v>
      </c>
      <c r="BV23">
        <v>13.69</v>
      </c>
      <c r="BW23">
        <v>5.82</v>
      </c>
      <c r="BX23">
        <v>4.51</v>
      </c>
      <c r="BY23">
        <v>1.22</v>
      </c>
      <c r="BZ23">
        <v>0.95</v>
      </c>
      <c r="CA23">
        <v>5709</v>
      </c>
      <c r="CB23">
        <v>4423</v>
      </c>
      <c r="CC23">
        <v>4065</v>
      </c>
      <c r="CF23">
        <v>0</v>
      </c>
      <c r="CN23">
        <v>0</v>
      </c>
      <c r="FR23">
        <v>2076.2626728600699</v>
      </c>
      <c r="FU23">
        <v>41.17</v>
      </c>
      <c r="FV23">
        <v>309151.70549999998</v>
      </c>
      <c r="FW23">
        <v>0</v>
      </c>
      <c r="FX23">
        <v>309151.70549999998</v>
      </c>
      <c r="FY23">
        <v>0</v>
      </c>
      <c r="FZ23">
        <v>0</v>
      </c>
      <c r="GA23">
        <v>-356663.67500246339</v>
      </c>
      <c r="GB23">
        <v>-22527.449999999997</v>
      </c>
      <c r="GC23">
        <v>0</v>
      </c>
      <c r="GD23">
        <v>-1236.606822</v>
      </c>
      <c r="GE23">
        <v>-976.18949999999995</v>
      </c>
      <c r="GF23">
        <v>-381403.92132446339</v>
      </c>
      <c r="GG23">
        <v>-50.791890070708853</v>
      </c>
      <c r="GH23">
        <v>-72252.215824463405</v>
      </c>
      <c r="GI23">
        <v>-9.6218900707088562</v>
      </c>
      <c r="GK23" t="s">
        <v>259</v>
      </c>
    </row>
    <row r="24" spans="2:193" ht="15" customHeight="1">
      <c r="B24">
        <v>19</v>
      </c>
      <c r="C24">
        <v>46204</v>
      </c>
      <c r="D24" t="s">
        <v>5</v>
      </c>
      <c r="E24" t="s">
        <v>293</v>
      </c>
      <c r="F24" t="s">
        <v>289</v>
      </c>
      <c r="G24" t="s">
        <v>294</v>
      </c>
      <c r="H24" t="s">
        <v>3</v>
      </c>
      <c r="J24">
        <v>46209.958333333343</v>
      </c>
      <c r="K24">
        <v>46214.392361111109</v>
      </c>
      <c r="L24">
        <v>46214.541666666657</v>
      </c>
      <c r="R24">
        <v>3765.71</v>
      </c>
      <c r="BI24">
        <v>3752</v>
      </c>
      <c r="BJ24">
        <v>7517.71</v>
      </c>
      <c r="BO24">
        <v>0.49908815317430438</v>
      </c>
      <c r="BQ24" t="s">
        <v>228</v>
      </c>
      <c r="BU24">
        <v>32.4</v>
      </c>
      <c r="BV24">
        <v>16.88</v>
      </c>
      <c r="BW24">
        <v>4.84</v>
      </c>
      <c r="BX24">
        <v>3.94</v>
      </c>
      <c r="BY24">
        <v>1.03</v>
      </c>
      <c r="BZ24">
        <v>0.84</v>
      </c>
      <c r="CA24">
        <v>5579</v>
      </c>
      <c r="CB24">
        <v>4537</v>
      </c>
      <c r="CC24">
        <v>4181</v>
      </c>
      <c r="CF24">
        <v>0</v>
      </c>
      <c r="CN24">
        <v>0</v>
      </c>
      <c r="FR24">
        <v>2097.9655815089468</v>
      </c>
      <c r="FU24">
        <v>41.17</v>
      </c>
      <c r="FV24">
        <v>309504.12070000003</v>
      </c>
      <c r="FW24">
        <v>0</v>
      </c>
      <c r="FX24">
        <v>309504.12070000003</v>
      </c>
      <c r="FY24">
        <v>0</v>
      </c>
      <c r="FZ24">
        <v>0</v>
      </c>
      <c r="GA24">
        <v>-357109.11382300511</v>
      </c>
      <c r="GB24">
        <v>-22553.13</v>
      </c>
      <c r="GC24">
        <v>0</v>
      </c>
      <c r="GD24">
        <v>-1238.0164828000002</v>
      </c>
      <c r="GE24">
        <v>-977.30230000000006</v>
      </c>
      <c r="GF24">
        <v>-381877.56260580511</v>
      </c>
      <c r="GG24">
        <v>-50.797059557472302</v>
      </c>
      <c r="GH24">
        <v>-72373.441905805084</v>
      </c>
      <c r="GI24">
        <v>-9.6270595574723004</v>
      </c>
      <c r="GK24" t="s">
        <v>259</v>
      </c>
    </row>
    <row r="25" spans="2:193" ht="15" customHeight="1">
      <c r="B25">
        <v>20</v>
      </c>
      <c r="C25">
        <v>46204</v>
      </c>
      <c r="D25" t="s">
        <v>5</v>
      </c>
      <c r="E25" t="s">
        <v>295</v>
      </c>
      <c r="F25" t="s">
        <v>289</v>
      </c>
      <c r="G25" t="s">
        <v>296</v>
      </c>
      <c r="H25" t="s">
        <v>3</v>
      </c>
      <c r="J25">
        <v>46209.270833333343</v>
      </c>
      <c r="K25">
        <v>46214.705555555563</v>
      </c>
      <c r="L25">
        <v>46214.839583333327</v>
      </c>
      <c r="R25">
        <v>3759.78</v>
      </c>
      <c r="BI25">
        <v>3753</v>
      </c>
      <c r="BJ25">
        <v>7512.7800000000007</v>
      </c>
      <c r="BO25">
        <v>0.49954876889779809</v>
      </c>
      <c r="BQ25" t="s">
        <v>228</v>
      </c>
      <c r="BU25">
        <v>31.73</v>
      </c>
      <c r="BV25">
        <v>15.53</v>
      </c>
      <c r="BW25">
        <v>5.73</v>
      </c>
      <c r="BX25">
        <v>4.63</v>
      </c>
      <c r="BY25">
        <v>1.24</v>
      </c>
      <c r="BZ25">
        <v>1</v>
      </c>
      <c r="CA25">
        <v>5523</v>
      </c>
      <c r="CB25">
        <v>4463</v>
      </c>
      <c r="CC25">
        <v>4111</v>
      </c>
      <c r="CF25">
        <v>0</v>
      </c>
      <c r="CN25">
        <v>0</v>
      </c>
      <c r="FR25">
        <v>2335.5792748593467</v>
      </c>
      <c r="FU25">
        <v>41.17</v>
      </c>
      <c r="FV25">
        <v>309301.15260000003</v>
      </c>
      <c r="FW25">
        <v>0</v>
      </c>
      <c r="FX25">
        <v>309301.15260000003</v>
      </c>
      <c r="FY25">
        <v>0</v>
      </c>
      <c r="FZ25">
        <v>0</v>
      </c>
      <c r="GA25">
        <v>-356833.87469525222</v>
      </c>
      <c r="GB25">
        <v>-22538.340000000004</v>
      </c>
      <c r="GC25">
        <v>0</v>
      </c>
      <c r="GD25">
        <v>-1237.2046104000001</v>
      </c>
      <c r="GE25">
        <v>-976.66140000000007</v>
      </c>
      <c r="GF25">
        <v>-381586.08070565225</v>
      </c>
      <c r="GG25">
        <v>-50.791595215839173</v>
      </c>
      <c r="GH25">
        <v>-72284.928105652216</v>
      </c>
      <c r="GI25">
        <v>-9.6215952158391715</v>
      </c>
      <c r="GK25" t="s">
        <v>259</v>
      </c>
    </row>
    <row r="26" spans="2:193" ht="15" customHeight="1">
      <c r="B26">
        <v>21</v>
      </c>
      <c r="C26">
        <v>46204</v>
      </c>
      <c r="D26" t="s">
        <v>5</v>
      </c>
      <c r="E26" t="s">
        <v>297</v>
      </c>
      <c r="F26" t="s">
        <v>289</v>
      </c>
      <c r="G26" t="s">
        <v>298</v>
      </c>
      <c r="H26" t="s">
        <v>3</v>
      </c>
      <c r="J26">
        <v>46213.354166666657</v>
      </c>
      <c r="K26">
        <v>46218.324305555558</v>
      </c>
      <c r="L26">
        <v>46218.5</v>
      </c>
      <c r="R26">
        <v>3776.68</v>
      </c>
      <c r="BI26">
        <v>3750</v>
      </c>
      <c r="BJ26">
        <v>7526.68</v>
      </c>
      <c r="BO26">
        <v>0.49822763821498983</v>
      </c>
      <c r="BQ26" t="s">
        <v>228</v>
      </c>
      <c r="BU26">
        <v>32.5</v>
      </c>
      <c r="BV26">
        <v>17.07</v>
      </c>
      <c r="BW26">
        <v>5.68</v>
      </c>
      <c r="BX26">
        <v>4.63</v>
      </c>
      <c r="BY26">
        <v>1.1399999999999999</v>
      </c>
      <c r="BZ26">
        <v>0.93</v>
      </c>
      <c r="CA26">
        <v>5510</v>
      </c>
      <c r="CB26">
        <v>4485</v>
      </c>
      <c r="CC26">
        <v>4130</v>
      </c>
      <c r="CF26">
        <v>0</v>
      </c>
      <c r="CN26">
        <v>0</v>
      </c>
      <c r="FR26">
        <v>1784.9833992308411</v>
      </c>
      <c r="FU26">
        <v>41.17</v>
      </c>
      <c r="FV26">
        <v>309873.41560000001</v>
      </c>
      <c r="FW26">
        <v>0</v>
      </c>
      <c r="FX26">
        <v>309873.41560000001</v>
      </c>
      <c r="FY26">
        <v>0</v>
      </c>
      <c r="FZ26">
        <v>0</v>
      </c>
      <c r="GA26">
        <v>-357612.04549778579</v>
      </c>
      <c r="GB26">
        <v>-22580.04</v>
      </c>
      <c r="GC26">
        <v>0</v>
      </c>
      <c r="GD26">
        <v>-1239.4936623999999</v>
      </c>
      <c r="GE26">
        <v>-978.46840000000009</v>
      </c>
      <c r="GF26">
        <v>-382410.04756018578</v>
      </c>
      <c r="GG26">
        <v>-50.807267953491547</v>
      </c>
      <c r="GH26">
        <v>-72536.631960185769</v>
      </c>
      <c r="GI26">
        <v>-9.6372679534915484</v>
      </c>
      <c r="GK26" t="s">
        <v>259</v>
      </c>
    </row>
    <row r="27" spans="2:193" ht="15" customHeight="1">
      <c r="B27">
        <v>22</v>
      </c>
      <c r="C27">
        <v>46204</v>
      </c>
      <c r="D27" t="s">
        <v>5</v>
      </c>
      <c r="E27" t="s">
        <v>299</v>
      </c>
      <c r="F27" t="s">
        <v>289</v>
      </c>
      <c r="G27" t="s">
        <v>300</v>
      </c>
      <c r="H27" t="s">
        <v>3</v>
      </c>
      <c r="J27">
        <v>46212</v>
      </c>
      <c r="K27">
        <v>46219.829861111109</v>
      </c>
      <c r="L27">
        <v>46220.013888888891</v>
      </c>
      <c r="R27">
        <v>3763.45</v>
      </c>
      <c r="BI27">
        <v>3750</v>
      </c>
      <c r="BJ27">
        <v>7513.45</v>
      </c>
      <c r="BO27">
        <v>0.49910493847699794</v>
      </c>
      <c r="BQ27" t="s">
        <v>228</v>
      </c>
      <c r="BU27">
        <v>32.5</v>
      </c>
      <c r="BV27">
        <v>17.07</v>
      </c>
      <c r="BW27">
        <v>5.68</v>
      </c>
      <c r="BX27">
        <v>4.63</v>
      </c>
      <c r="BY27">
        <v>1.1399999999999999</v>
      </c>
      <c r="BZ27">
        <v>0.93</v>
      </c>
      <c r="CA27">
        <v>5510</v>
      </c>
      <c r="CB27">
        <v>4485</v>
      </c>
      <c r="CC27">
        <v>4130</v>
      </c>
      <c r="CF27">
        <v>0</v>
      </c>
      <c r="CN27">
        <v>0</v>
      </c>
      <c r="FR27">
        <v>1701.1584905361447</v>
      </c>
      <c r="FU27">
        <v>41.17</v>
      </c>
      <c r="FV27">
        <v>309328.7365</v>
      </c>
      <c r="FW27">
        <v>0</v>
      </c>
      <c r="FX27">
        <v>309328.7365</v>
      </c>
      <c r="FY27">
        <v>0</v>
      </c>
      <c r="FZ27">
        <v>0</v>
      </c>
      <c r="GA27">
        <v>-356905.25756183791</v>
      </c>
      <c r="GB27">
        <v>-22540.35</v>
      </c>
      <c r="GC27">
        <v>0</v>
      </c>
      <c r="GD27">
        <v>-1237.314946</v>
      </c>
      <c r="GE27">
        <v>-976.74850000000004</v>
      </c>
      <c r="GF27">
        <v>-381659.67100783787</v>
      </c>
      <c r="GG27">
        <v>-50.796860431338182</v>
      </c>
      <c r="GH27">
        <v>-72330.934507837868</v>
      </c>
      <c r="GI27">
        <v>-9.6268604313381836</v>
      </c>
      <c r="GK27" t="s">
        <v>259</v>
      </c>
    </row>
    <row r="28" spans="2:193" ht="15" customHeight="1">
      <c r="B28">
        <v>23</v>
      </c>
      <c r="C28">
        <v>46204</v>
      </c>
      <c r="D28" t="s">
        <v>5</v>
      </c>
      <c r="E28" t="s">
        <v>301</v>
      </c>
      <c r="F28" t="s">
        <v>289</v>
      </c>
      <c r="G28" t="s">
        <v>302</v>
      </c>
      <c r="H28" t="s">
        <v>3</v>
      </c>
      <c r="J28">
        <v>46216.163194444453</v>
      </c>
      <c r="K28">
        <v>46221.395833333343</v>
      </c>
      <c r="L28">
        <v>46221.527777777781</v>
      </c>
      <c r="R28">
        <v>3761.64</v>
      </c>
      <c r="BI28">
        <v>3750</v>
      </c>
      <c r="BJ28">
        <v>7511.6399999999994</v>
      </c>
      <c r="BO28">
        <v>0.49922520248574215</v>
      </c>
      <c r="BQ28" t="s">
        <v>228</v>
      </c>
      <c r="BU28">
        <v>33.07</v>
      </c>
      <c r="BV28">
        <v>13.6</v>
      </c>
      <c r="BW28">
        <v>5.45</v>
      </c>
      <c r="BX28">
        <v>4.22</v>
      </c>
      <c r="BY28">
        <v>1.19</v>
      </c>
      <c r="BZ28">
        <v>0.92</v>
      </c>
      <c r="CA28">
        <v>5749</v>
      </c>
      <c r="CB28">
        <v>4453</v>
      </c>
      <c r="CC28">
        <v>4096</v>
      </c>
      <c r="CF28">
        <v>0</v>
      </c>
      <c r="CN28">
        <v>0</v>
      </c>
      <c r="FR28">
        <v>2372.096842221536</v>
      </c>
      <c r="FU28">
        <v>41.17</v>
      </c>
      <c r="FV28">
        <v>309254.21879999997</v>
      </c>
      <c r="FW28">
        <v>0</v>
      </c>
      <c r="FX28">
        <v>309254.21879999997</v>
      </c>
      <c r="FY28">
        <v>0</v>
      </c>
      <c r="FZ28">
        <v>0</v>
      </c>
      <c r="GA28">
        <v>-356808.56170665531</v>
      </c>
      <c r="GB28">
        <v>-22534.92</v>
      </c>
      <c r="GC28">
        <v>0</v>
      </c>
      <c r="GD28">
        <v>-1237.0168752</v>
      </c>
      <c r="GE28">
        <v>-976.51319999999998</v>
      </c>
      <c r="GF28">
        <v>-381557.01178185525</v>
      </c>
      <c r="GG28">
        <v>-50.795433724440372</v>
      </c>
      <c r="GH28">
        <v>-72302.79298185528</v>
      </c>
      <c r="GI28">
        <v>-9.6254337244403736</v>
      </c>
      <c r="GK28" t="s">
        <v>259</v>
      </c>
    </row>
    <row r="29" spans="2:193" ht="15" customHeight="1">
      <c r="B29">
        <v>24</v>
      </c>
      <c r="C29">
        <v>46204</v>
      </c>
      <c r="D29" t="s">
        <v>5</v>
      </c>
      <c r="E29" t="s">
        <v>303</v>
      </c>
      <c r="F29" t="s">
        <v>289</v>
      </c>
      <c r="G29" t="s">
        <v>304</v>
      </c>
      <c r="H29" t="s">
        <v>3</v>
      </c>
      <c r="J29">
        <v>46217.375</v>
      </c>
      <c r="K29">
        <v>46221.720138888893</v>
      </c>
      <c r="L29">
        <v>46221.87222222222</v>
      </c>
      <c r="R29">
        <v>3761.9</v>
      </c>
      <c r="BI29">
        <v>3750</v>
      </c>
      <c r="BJ29">
        <v>7511.9</v>
      </c>
      <c r="BO29">
        <v>0.49920792342816067</v>
      </c>
      <c r="BQ29" t="s">
        <v>228</v>
      </c>
      <c r="BU29">
        <v>33.07</v>
      </c>
      <c r="BV29">
        <v>13.6</v>
      </c>
      <c r="BW29">
        <v>5.45</v>
      </c>
      <c r="BX29">
        <v>4.22</v>
      </c>
      <c r="BY29">
        <v>1.19</v>
      </c>
      <c r="BZ29">
        <v>0.92</v>
      </c>
      <c r="CA29">
        <v>5749</v>
      </c>
      <c r="CB29">
        <v>4453</v>
      </c>
      <c r="CC29">
        <v>4096</v>
      </c>
      <c r="CF29">
        <v>0</v>
      </c>
      <c r="CN29">
        <v>0</v>
      </c>
      <c r="FR29">
        <v>2058.0547946058809</v>
      </c>
      <c r="FU29">
        <v>41.17</v>
      </c>
      <c r="FV29">
        <v>309264.92300000001</v>
      </c>
      <c r="FW29">
        <v>0</v>
      </c>
      <c r="FX29">
        <v>309264.92300000001</v>
      </c>
      <c r="FY29">
        <v>0</v>
      </c>
      <c r="FZ29">
        <v>0</v>
      </c>
      <c r="GA29">
        <v>-356822.45171900198</v>
      </c>
      <c r="GB29">
        <v>-22535.699999999997</v>
      </c>
      <c r="GC29">
        <v>0</v>
      </c>
      <c r="GD29">
        <v>-1237.059692</v>
      </c>
      <c r="GE29">
        <v>-976.54700000000003</v>
      </c>
      <c r="GF29">
        <v>-381571.758411002</v>
      </c>
      <c r="GG29">
        <v>-50.795638708050163</v>
      </c>
      <c r="GH29">
        <v>-72306.835411001986</v>
      </c>
      <c r="GI29">
        <v>-9.6256387080501593</v>
      </c>
      <c r="GK29" t="s">
        <v>259</v>
      </c>
    </row>
    <row r="30" spans="2:193" ht="15" customHeight="1">
      <c r="B30">
        <v>25</v>
      </c>
      <c r="C30">
        <v>46204</v>
      </c>
      <c r="D30" t="s">
        <v>5</v>
      </c>
      <c r="E30" t="s">
        <v>305</v>
      </c>
      <c r="F30" t="s">
        <v>289</v>
      </c>
      <c r="G30" t="s">
        <v>306</v>
      </c>
      <c r="H30" t="s">
        <v>3</v>
      </c>
      <c r="J30">
        <v>46222.534722222219</v>
      </c>
      <c r="K30">
        <v>46223.463194444441</v>
      </c>
      <c r="L30">
        <v>46223.597916666673</v>
      </c>
      <c r="R30">
        <v>3753</v>
      </c>
      <c r="BI30">
        <v>3750</v>
      </c>
      <c r="BJ30">
        <v>7503</v>
      </c>
      <c r="BO30">
        <v>0.49980007996801279</v>
      </c>
      <c r="BQ30" t="s">
        <v>228</v>
      </c>
      <c r="BU30">
        <v>33.42</v>
      </c>
      <c r="BV30">
        <v>13.76</v>
      </c>
      <c r="BW30">
        <v>5.3</v>
      </c>
      <c r="BX30">
        <v>4.09</v>
      </c>
      <c r="BY30">
        <v>1.22</v>
      </c>
      <c r="BZ30">
        <v>0.95</v>
      </c>
      <c r="CA30">
        <v>5730</v>
      </c>
      <c r="CB30">
        <v>4423</v>
      </c>
      <c r="CC30">
        <v>4065</v>
      </c>
      <c r="CF30">
        <v>0</v>
      </c>
      <c r="CN30">
        <v>0</v>
      </c>
      <c r="FR30">
        <v>2320.5154637476417</v>
      </c>
      <c r="FU30">
        <v>41.17</v>
      </c>
      <c r="FV30">
        <v>308898.51</v>
      </c>
      <c r="FW30">
        <v>0</v>
      </c>
      <c r="FX30">
        <v>308898.51</v>
      </c>
      <c r="FY30">
        <v>0</v>
      </c>
      <c r="FZ30">
        <v>0</v>
      </c>
      <c r="GA30">
        <v>-356346.98591175053</v>
      </c>
      <c r="GB30">
        <v>-22509</v>
      </c>
      <c r="GC30">
        <v>0</v>
      </c>
      <c r="GD30">
        <v>-1235.5940399999999</v>
      </c>
      <c r="GE30">
        <v>-975.39</v>
      </c>
      <c r="GF30">
        <v>-381066.96995175054</v>
      </c>
      <c r="GG30">
        <v>-50.78861388134753</v>
      </c>
      <c r="GH30">
        <v>-72168.459951750527</v>
      </c>
      <c r="GI30">
        <v>-9.6186138813475317</v>
      </c>
      <c r="GK30" t="s">
        <v>259</v>
      </c>
    </row>
    <row r="31" spans="2:193" ht="15" customHeight="1">
      <c r="B31">
        <v>26</v>
      </c>
      <c r="C31">
        <v>46204</v>
      </c>
      <c r="D31" t="s">
        <v>5</v>
      </c>
      <c r="E31" t="s">
        <v>307</v>
      </c>
      <c r="F31" t="s">
        <v>289</v>
      </c>
      <c r="G31" t="s">
        <v>308</v>
      </c>
      <c r="H31" t="s">
        <v>3</v>
      </c>
      <c r="J31">
        <v>46223.135416666657</v>
      </c>
      <c r="K31">
        <v>46223.680555555547</v>
      </c>
      <c r="L31">
        <v>46223.823611111111</v>
      </c>
      <c r="R31">
        <v>3753</v>
      </c>
      <c r="BI31">
        <v>3750</v>
      </c>
      <c r="BJ31">
        <v>7503</v>
      </c>
      <c r="BO31">
        <v>0.49980007996801279</v>
      </c>
      <c r="BQ31" t="s">
        <v>228</v>
      </c>
      <c r="BU31">
        <v>33.42</v>
      </c>
      <c r="BV31">
        <v>13.76</v>
      </c>
      <c r="BW31">
        <v>5.3</v>
      </c>
      <c r="BX31">
        <v>4.09</v>
      </c>
      <c r="BY31">
        <v>1.22</v>
      </c>
      <c r="BZ31">
        <v>0.95</v>
      </c>
      <c r="CA31">
        <v>5730</v>
      </c>
      <c r="CB31">
        <v>4423</v>
      </c>
      <c r="CC31">
        <v>4065</v>
      </c>
      <c r="CF31">
        <v>0</v>
      </c>
      <c r="CN31">
        <v>0</v>
      </c>
      <c r="FR31">
        <v>2185.3398057042141</v>
      </c>
      <c r="FU31">
        <v>41.17</v>
      </c>
      <c r="FV31">
        <v>308898.51</v>
      </c>
      <c r="FW31">
        <v>0</v>
      </c>
      <c r="FX31">
        <v>308898.51</v>
      </c>
      <c r="FY31">
        <v>0</v>
      </c>
      <c r="FZ31">
        <v>0</v>
      </c>
      <c r="GA31">
        <v>-356346.98591175053</v>
      </c>
      <c r="GB31">
        <v>-22509</v>
      </c>
      <c r="GC31">
        <v>0</v>
      </c>
      <c r="GD31">
        <v>-1235.5940399999999</v>
      </c>
      <c r="GE31">
        <v>-975.39</v>
      </c>
      <c r="GF31">
        <v>-381066.96995175054</v>
      </c>
      <c r="GG31">
        <v>-50.78861388134753</v>
      </c>
      <c r="GH31">
        <v>-72168.459951750527</v>
      </c>
      <c r="GI31">
        <v>-9.6186138813475317</v>
      </c>
      <c r="GK31" t="s">
        <v>259</v>
      </c>
    </row>
    <row r="32" spans="2:193" ht="15" customHeight="1">
      <c r="B32">
        <v>27</v>
      </c>
      <c r="C32">
        <v>46204</v>
      </c>
      <c r="D32" t="s">
        <v>5</v>
      </c>
      <c r="E32" t="s">
        <v>309</v>
      </c>
      <c r="F32" t="s">
        <v>310</v>
      </c>
      <c r="G32" t="s">
        <v>311</v>
      </c>
      <c r="H32" t="s">
        <v>162</v>
      </c>
      <c r="J32">
        <v>46198.675000000003</v>
      </c>
      <c r="K32">
        <v>46202.697916666657</v>
      </c>
      <c r="L32">
        <v>46205.341666666667</v>
      </c>
      <c r="R32">
        <v>7611.72</v>
      </c>
      <c r="T32">
        <v>7351.75</v>
      </c>
      <c r="U32">
        <v>36157.85</v>
      </c>
      <c r="V32">
        <v>7504.62</v>
      </c>
      <c r="W32">
        <v>7633.18</v>
      </c>
      <c r="AW32">
        <v>4708.88</v>
      </c>
      <c r="BJ32">
        <v>70968</v>
      </c>
      <c r="BL32">
        <v>46198</v>
      </c>
      <c r="BM32">
        <v>46207</v>
      </c>
      <c r="BO32">
        <v>6.6352158719422835E-2</v>
      </c>
      <c r="BQ32" t="s">
        <v>228</v>
      </c>
      <c r="BS32" t="s">
        <v>166</v>
      </c>
      <c r="BU32">
        <v>18.03199598881119</v>
      </c>
      <c r="BV32">
        <v>10.33237411328671</v>
      </c>
      <c r="BW32">
        <v>5.241878406993008</v>
      </c>
      <c r="BX32">
        <v>4.7917663263819472</v>
      </c>
      <c r="BY32">
        <v>0.97964791608391633</v>
      </c>
      <c r="BZ32">
        <v>0.89552704804039907</v>
      </c>
      <c r="CA32">
        <v>6427.6632716083923</v>
      </c>
      <c r="CB32">
        <v>5875.7296584991536</v>
      </c>
      <c r="CC32">
        <v>5567.6202242516501</v>
      </c>
      <c r="CF32">
        <v>0.87</v>
      </c>
      <c r="CN32">
        <v>-0.47260633900513149</v>
      </c>
      <c r="FR32">
        <v>1118.4869976316243</v>
      </c>
      <c r="FU32">
        <v>103.93</v>
      </c>
      <c r="FV32">
        <v>7375704.2400000002</v>
      </c>
      <c r="FW32">
        <v>61742.159999999996</v>
      </c>
      <c r="FX32">
        <v>7437446.4000000004</v>
      </c>
      <c r="FY32">
        <v>-33539.92666651617</v>
      </c>
      <c r="FZ32">
        <v>0</v>
      </c>
      <c r="GA32">
        <v>-7549835.8751055272</v>
      </c>
      <c r="GB32">
        <v>-220785.29128063537</v>
      </c>
      <c r="GC32">
        <v>0</v>
      </c>
      <c r="GD32">
        <v>-29502.81696</v>
      </c>
      <c r="GE32">
        <v>-9225.84</v>
      </c>
      <c r="GF32">
        <v>-7842889.750012679</v>
      </c>
      <c r="GG32">
        <v>-110.51304461183462</v>
      </c>
      <c r="GH32">
        <v>-405443.35001267865</v>
      </c>
      <c r="GI32">
        <v>-5.7130446118346105</v>
      </c>
      <c r="GK32" t="s">
        <v>264</v>
      </c>
    </row>
    <row r="33" spans="2:193" ht="15" customHeight="1">
      <c r="B33">
        <v>28</v>
      </c>
      <c r="C33">
        <v>46204</v>
      </c>
      <c r="D33" t="s">
        <v>5</v>
      </c>
      <c r="E33" t="s">
        <v>312</v>
      </c>
      <c r="F33" t="s">
        <v>239</v>
      </c>
      <c r="G33" t="s">
        <v>313</v>
      </c>
      <c r="H33" t="s">
        <v>162</v>
      </c>
      <c r="J33">
        <v>46200.813888888893</v>
      </c>
      <c r="K33">
        <v>46203.590277777781</v>
      </c>
      <c r="L33">
        <v>46205.5</v>
      </c>
      <c r="S33">
        <v>18742.04</v>
      </c>
      <c r="T33">
        <v>12494.69</v>
      </c>
      <c r="AB33">
        <v>14946.62</v>
      </c>
      <c r="AH33">
        <v>15013.65</v>
      </c>
      <c r="AJ33">
        <v>7503</v>
      </c>
      <c r="BJ33">
        <v>68700</v>
      </c>
      <c r="BL33">
        <v>46194</v>
      </c>
      <c r="BM33">
        <v>46203</v>
      </c>
      <c r="BO33">
        <v>0.32775327510917035</v>
      </c>
      <c r="BQ33" t="s">
        <v>228</v>
      </c>
      <c r="BS33" t="s">
        <v>165</v>
      </c>
      <c r="BU33">
        <v>15.628187946142649</v>
      </c>
      <c r="BV33">
        <v>8.9140352605531294</v>
      </c>
      <c r="BW33">
        <v>3.971038202328967</v>
      </c>
      <c r="BX33">
        <v>3.6783239857423262</v>
      </c>
      <c r="BY33">
        <v>1.1461256768558949</v>
      </c>
      <c r="BZ33">
        <v>1.0616421583105571</v>
      </c>
      <c r="CA33">
        <v>6658.552485152838</v>
      </c>
      <c r="CB33">
        <v>6167.7355060692698</v>
      </c>
      <c r="CC33">
        <v>5867.4840722370882</v>
      </c>
      <c r="CF33">
        <v>4.53</v>
      </c>
      <c r="CN33">
        <v>-0.21367448245139781</v>
      </c>
      <c r="FR33">
        <v>1498.9090909116289</v>
      </c>
      <c r="FU33">
        <v>129.96</v>
      </c>
      <c r="FV33">
        <v>8928252</v>
      </c>
      <c r="FW33">
        <v>311211</v>
      </c>
      <c r="FX33">
        <v>9239463</v>
      </c>
      <c r="FY33">
        <v>-14679.436944411029</v>
      </c>
      <c r="FZ33">
        <v>-113215.39390204586</v>
      </c>
      <c r="GA33">
        <v>-7942706.7168152798</v>
      </c>
      <c r="GB33">
        <v>-252815.99999999997</v>
      </c>
      <c r="GC33">
        <v>0</v>
      </c>
      <c r="GD33">
        <v>-35713.008000000002</v>
      </c>
      <c r="GE33">
        <v>-8931</v>
      </c>
      <c r="GF33">
        <v>-8368061.555661737</v>
      </c>
      <c r="GG33">
        <v>-121.80584506057842</v>
      </c>
      <c r="GH33">
        <v>871401.44433826301</v>
      </c>
      <c r="GI33">
        <v>12.684154939421587</v>
      </c>
      <c r="GK33" t="s">
        <v>55</v>
      </c>
    </row>
    <row r="34" spans="2:193" ht="15" customHeight="1">
      <c r="B34">
        <v>29</v>
      </c>
      <c r="C34">
        <v>46204</v>
      </c>
      <c r="D34" t="s">
        <v>5</v>
      </c>
      <c r="E34" t="s">
        <v>314</v>
      </c>
      <c r="F34" t="s">
        <v>315</v>
      </c>
      <c r="G34" t="s">
        <v>316</v>
      </c>
      <c r="H34" t="s">
        <v>162</v>
      </c>
      <c r="J34">
        <v>46202.833333333343</v>
      </c>
      <c r="K34">
        <v>46203.78125</v>
      </c>
      <c r="L34">
        <v>46205.416666666657</v>
      </c>
      <c r="S34">
        <v>27495.64</v>
      </c>
      <c r="U34">
        <v>14901.22</v>
      </c>
      <c r="AC34">
        <v>7502.36</v>
      </c>
      <c r="AH34">
        <v>7500.78</v>
      </c>
      <c r="BJ34">
        <v>57400</v>
      </c>
      <c r="BL34">
        <v>46196</v>
      </c>
      <c r="BM34">
        <v>46205</v>
      </c>
      <c r="BO34">
        <v>0.26137874564459929</v>
      </c>
      <c r="BQ34" t="s">
        <v>228</v>
      </c>
      <c r="BS34" t="s">
        <v>164</v>
      </c>
      <c r="BU34">
        <v>14.286211463414631</v>
      </c>
      <c r="BV34">
        <v>8.2198297787456447</v>
      </c>
      <c r="BW34">
        <v>4.1377977090592326</v>
      </c>
      <c r="BX34">
        <v>3.8643022450980071</v>
      </c>
      <c r="BY34">
        <v>0.71734736933797905</v>
      </c>
      <c r="BZ34">
        <v>0.66993295582788481</v>
      </c>
      <c r="CA34">
        <v>6698.067451219511</v>
      </c>
      <c r="CB34">
        <v>6255.3461791756536</v>
      </c>
      <c r="CC34">
        <v>5959.4816396259803</v>
      </c>
      <c r="CF34">
        <v>1.72</v>
      </c>
      <c r="CN34">
        <v>4.7596610143916779E-2</v>
      </c>
      <c r="FR34">
        <v>1462.4203821742801</v>
      </c>
      <c r="FU34">
        <v>130.94</v>
      </c>
      <c r="FV34">
        <v>7515956</v>
      </c>
      <c r="FW34">
        <v>98728</v>
      </c>
      <c r="FX34">
        <v>7614684</v>
      </c>
      <c r="FY34">
        <v>2732.0454222608232</v>
      </c>
      <c r="FZ34">
        <v>-80301.904782712751</v>
      </c>
      <c r="GA34">
        <v>-6787145.3177523017</v>
      </c>
      <c r="GB34">
        <v>-178574.50850395206</v>
      </c>
      <c r="GC34">
        <v>0</v>
      </c>
      <c r="GD34">
        <v>-30063.824000000001</v>
      </c>
      <c r="GE34">
        <v>-7462</v>
      </c>
      <c r="GF34">
        <v>-7080815.5096167056</v>
      </c>
      <c r="GG34">
        <v>-123.35915521980323</v>
      </c>
      <c r="GH34">
        <v>533868.49038329441</v>
      </c>
      <c r="GI34">
        <v>9.3008447801967673</v>
      </c>
      <c r="GK34" t="s">
        <v>55</v>
      </c>
    </row>
    <row r="35" spans="2:193" ht="15" customHeight="1">
      <c r="B35">
        <v>30</v>
      </c>
      <c r="C35">
        <v>46204</v>
      </c>
      <c r="D35" t="s">
        <v>5</v>
      </c>
      <c r="E35" t="s">
        <v>317</v>
      </c>
      <c r="F35" t="s">
        <v>318</v>
      </c>
      <c r="G35" t="s">
        <v>319</v>
      </c>
      <c r="H35" t="s">
        <v>162</v>
      </c>
      <c r="J35">
        <v>46200.229166666657</v>
      </c>
      <c r="K35">
        <v>46206.697916666657</v>
      </c>
      <c r="L35">
        <v>46209.645833333343</v>
      </c>
      <c r="Q35">
        <v>5002.3</v>
      </c>
      <c r="R35">
        <v>2501.65</v>
      </c>
      <c r="S35">
        <v>10337.849999999989</v>
      </c>
      <c r="U35">
        <v>7461.04</v>
      </c>
      <c r="AB35">
        <v>15289.99</v>
      </c>
      <c r="AH35">
        <v>15007.17</v>
      </c>
      <c r="BJ35">
        <v>55599.999999999985</v>
      </c>
      <c r="BL35">
        <v>46205</v>
      </c>
      <c r="BM35">
        <v>46214</v>
      </c>
      <c r="BO35">
        <v>0.26991312949640295</v>
      </c>
      <c r="BQ35" t="s">
        <v>228</v>
      </c>
      <c r="BS35" t="s">
        <v>164</v>
      </c>
      <c r="BU35">
        <v>15.33498158633093</v>
      </c>
      <c r="BV35">
        <v>9.0913198543165485</v>
      </c>
      <c r="BW35">
        <v>4.2905701276978423</v>
      </c>
      <c r="BX35">
        <v>3.995891242558367</v>
      </c>
      <c r="BY35">
        <v>0.99972995863309366</v>
      </c>
      <c r="BZ35">
        <v>0.93106791585496895</v>
      </c>
      <c r="CA35">
        <v>6623.8183847122309</v>
      </c>
      <c r="CB35">
        <v>6168.8906341149759</v>
      </c>
      <c r="CC35">
        <v>5869.5976860088922</v>
      </c>
      <c r="CF35">
        <v>4.0599999999999996</v>
      </c>
      <c r="CN35">
        <v>-0.42567668410572418</v>
      </c>
      <c r="FR35">
        <v>785.86572437645282</v>
      </c>
      <c r="FU35">
        <v>136.97</v>
      </c>
      <c r="FV35">
        <v>7615531.9999999981</v>
      </c>
      <c r="FW35">
        <v>225735.99999999991</v>
      </c>
      <c r="FX35">
        <v>7841267.9999999981</v>
      </c>
      <c r="FY35">
        <v>-23667.623636278258</v>
      </c>
      <c r="FZ35">
        <v>-82035.785543354912</v>
      </c>
      <c r="GA35">
        <v>-6402190.8321703989</v>
      </c>
      <c r="GB35">
        <v>-172974.61102473401</v>
      </c>
      <c r="GC35">
        <v>0</v>
      </c>
      <c r="GD35">
        <v>-30462.127999999993</v>
      </c>
      <c r="GE35">
        <v>-7227.9999999999982</v>
      </c>
      <c r="GF35">
        <v>-6718558.9803747656</v>
      </c>
      <c r="GG35">
        <v>-120.83739173335913</v>
      </c>
      <c r="GH35">
        <v>1122709.0196252326</v>
      </c>
      <c r="GI35">
        <v>20.192608266640878</v>
      </c>
      <c r="GK35" t="s">
        <v>55</v>
      </c>
    </row>
    <row r="36" spans="2:193" ht="15" customHeight="1">
      <c r="B36">
        <v>31</v>
      </c>
      <c r="C36">
        <v>46204</v>
      </c>
      <c r="D36" t="s">
        <v>5</v>
      </c>
      <c r="E36" t="s">
        <v>320</v>
      </c>
      <c r="F36" t="s">
        <v>185</v>
      </c>
      <c r="G36" t="s">
        <v>321</v>
      </c>
      <c r="H36" t="s">
        <v>162</v>
      </c>
      <c r="J36">
        <v>46207.375</v>
      </c>
      <c r="K36">
        <v>46208.800000000003</v>
      </c>
      <c r="L36">
        <v>46212.465277777781</v>
      </c>
      <c r="T36">
        <v>13607.88</v>
      </c>
      <c r="U36">
        <v>7528.06</v>
      </c>
      <c r="AB36">
        <v>22679.06</v>
      </c>
      <c r="AF36">
        <v>7500</v>
      </c>
      <c r="BJ36">
        <v>51315</v>
      </c>
      <c r="BL36">
        <v>46207</v>
      </c>
      <c r="BM36">
        <v>46216</v>
      </c>
      <c r="BO36">
        <v>0.14615609470914936</v>
      </c>
      <c r="BQ36" t="s">
        <v>228</v>
      </c>
      <c r="BS36" t="s">
        <v>164</v>
      </c>
      <c r="BU36">
        <v>14.52846266393842</v>
      </c>
      <c r="BV36">
        <v>7.5479634960537858</v>
      </c>
      <c r="BW36">
        <v>3.7564615375621169</v>
      </c>
      <c r="BX36">
        <v>3.4728336411011909</v>
      </c>
      <c r="BY36">
        <v>1.3238973711390429</v>
      </c>
      <c r="BZ36">
        <v>1.223937815383813</v>
      </c>
      <c r="CA36">
        <v>6821.7476776770927</v>
      </c>
      <c r="CB36">
        <v>6306.6783964773067</v>
      </c>
      <c r="CC36">
        <v>6010.021942598145</v>
      </c>
      <c r="CF36">
        <v>2.23</v>
      </c>
      <c r="CN36">
        <v>-0.85416781513013862</v>
      </c>
      <c r="FR36">
        <v>583.34596438039569</v>
      </c>
      <c r="FU36">
        <v>143.77000000000001</v>
      </c>
      <c r="FV36">
        <v>7377557.5500000007</v>
      </c>
      <c r="FW36">
        <v>114432.45</v>
      </c>
      <c r="FX36">
        <v>7491990.0000000009</v>
      </c>
      <c r="FY36">
        <v>-43831.621433403066</v>
      </c>
      <c r="FZ36">
        <v>-29923.588969750519</v>
      </c>
      <c r="GA36">
        <v>-5980730.3566330988</v>
      </c>
      <c r="GB36">
        <v>-159643.74397004009</v>
      </c>
      <c r="GC36">
        <v>0</v>
      </c>
      <c r="GD36">
        <v>-29510.230200000002</v>
      </c>
      <c r="GE36">
        <v>-6670.95</v>
      </c>
      <c r="GF36">
        <v>-6250310.491206293</v>
      </c>
      <c r="GG36">
        <v>-121.80279628191158</v>
      </c>
      <c r="GH36">
        <v>1241679.5087937079</v>
      </c>
      <c r="GI36">
        <v>24.197203718088431</v>
      </c>
      <c r="GK36" t="s">
        <v>55</v>
      </c>
    </row>
    <row r="37" spans="2:193" ht="15" customHeight="1">
      <c r="B37">
        <v>32</v>
      </c>
      <c r="C37">
        <v>46204</v>
      </c>
      <c r="D37" t="s">
        <v>5</v>
      </c>
      <c r="E37" t="s">
        <v>320</v>
      </c>
      <c r="F37" t="s">
        <v>322</v>
      </c>
      <c r="G37" t="s">
        <v>323</v>
      </c>
      <c r="H37" t="s">
        <v>162</v>
      </c>
      <c r="J37">
        <v>46207.375</v>
      </c>
      <c r="K37">
        <v>46210.791666666657</v>
      </c>
      <c r="L37">
        <v>46211.770833333343</v>
      </c>
      <c r="Q37">
        <v>4505.42</v>
      </c>
      <c r="R37">
        <v>3000.95</v>
      </c>
      <c r="V37">
        <v>253.29</v>
      </c>
      <c r="W37">
        <v>14055.34</v>
      </c>
      <c r="BJ37">
        <v>21815</v>
      </c>
      <c r="BL37">
        <v>46207</v>
      </c>
      <c r="BM37">
        <v>46216</v>
      </c>
      <c r="BO37">
        <v>0</v>
      </c>
      <c r="BQ37" t="s">
        <v>228</v>
      </c>
      <c r="BS37" t="s">
        <v>164</v>
      </c>
      <c r="BU37">
        <v>18.331969906027961</v>
      </c>
      <c r="BV37">
        <v>11.51920679807472</v>
      </c>
      <c r="BW37">
        <v>4.6998667980747193</v>
      </c>
      <c r="BX37">
        <v>4.3379907572355973</v>
      </c>
      <c r="BY37">
        <v>0.8210647123538849</v>
      </c>
      <c r="BZ37">
        <v>0.7578451233431811</v>
      </c>
      <c r="CA37">
        <v>6271.2337455878978</v>
      </c>
      <c r="CB37">
        <v>5788.3670311610767</v>
      </c>
      <c r="CC37">
        <v>5479.2769881776694</v>
      </c>
      <c r="CF37">
        <v>1.9</v>
      </c>
      <c r="CN37">
        <v>-3.1083874500218989</v>
      </c>
      <c r="FR37">
        <v>928.29787232203091</v>
      </c>
      <c r="FU37">
        <v>116.93</v>
      </c>
      <c r="FV37">
        <v>2550827.9500000002</v>
      </c>
      <c r="FW37">
        <v>41448.5</v>
      </c>
      <c r="FX37">
        <v>2592276.4500000002</v>
      </c>
      <c r="FY37">
        <v>-67809.47222222772</v>
      </c>
      <c r="FZ37">
        <v>0</v>
      </c>
      <c r="GA37">
        <v>-2373602.1376103936</v>
      </c>
      <c r="GB37">
        <v>-67867.646393967152</v>
      </c>
      <c r="GC37">
        <v>0</v>
      </c>
      <c r="GD37">
        <v>-10203.311800000001</v>
      </c>
      <c r="GE37">
        <v>-2835.9500000000003</v>
      </c>
      <c r="GF37">
        <v>-2522318.5180265885</v>
      </c>
      <c r="GG37">
        <v>-115.62312711558967</v>
      </c>
      <c r="GH37">
        <v>69957.931973411702</v>
      </c>
      <c r="GI37">
        <v>3.206872884410346</v>
      </c>
      <c r="GK37" t="s">
        <v>264</v>
      </c>
    </row>
    <row r="38" spans="2:193" ht="15" customHeight="1">
      <c r="B38">
        <v>33</v>
      </c>
      <c r="C38">
        <v>46204</v>
      </c>
      <c r="D38" t="s">
        <v>5</v>
      </c>
      <c r="E38" t="s">
        <v>324</v>
      </c>
      <c r="F38" t="s">
        <v>325</v>
      </c>
      <c r="G38" t="s">
        <v>326</v>
      </c>
      <c r="H38" t="s">
        <v>162</v>
      </c>
      <c r="J38">
        <v>46208.75</v>
      </c>
      <c r="K38">
        <v>46209.517361111109</v>
      </c>
      <c r="L38">
        <v>46211.659722222219</v>
      </c>
      <c r="R38">
        <v>7508.39</v>
      </c>
      <c r="U38">
        <v>32290.53</v>
      </c>
      <c r="W38">
        <v>24579.05000000001</v>
      </c>
      <c r="Y38">
        <v>7501.03</v>
      </c>
      <c r="AV38">
        <v>5121</v>
      </c>
      <c r="BJ38">
        <v>77000.000000000015</v>
      </c>
      <c r="BL38">
        <v>46200</v>
      </c>
      <c r="BM38">
        <v>46209</v>
      </c>
      <c r="BO38">
        <v>6.65064935064935E-2</v>
      </c>
      <c r="BQ38" t="s">
        <v>228</v>
      </c>
      <c r="BS38" t="s">
        <v>165</v>
      </c>
      <c r="BU38">
        <v>21.0001058987013</v>
      </c>
      <c r="BV38">
        <v>12.111607464935069</v>
      </c>
      <c r="BW38">
        <v>5.1202369909090919</v>
      </c>
      <c r="BX38">
        <v>4.6024073075860086</v>
      </c>
      <c r="BY38">
        <v>0.51910516233766246</v>
      </c>
      <c r="BZ38">
        <v>0.46660601780549449</v>
      </c>
      <c r="CA38">
        <v>6187.8022445454553</v>
      </c>
      <c r="CB38">
        <v>5562.0054928623022</v>
      </c>
      <c r="CC38">
        <v>5244.1933666815657</v>
      </c>
      <c r="CF38">
        <v>3.16</v>
      </c>
      <c r="CN38">
        <v>0.1320256132751933</v>
      </c>
      <c r="FR38">
        <v>1497.5688816867059</v>
      </c>
      <c r="FU38">
        <v>100.2</v>
      </c>
      <c r="FV38">
        <v>7715400.0000000019</v>
      </c>
      <c r="FW38">
        <v>243320.00000000006</v>
      </c>
      <c r="FX38">
        <v>7958720.0000000019</v>
      </c>
      <c r="FY38">
        <v>10165.972222189886</v>
      </c>
      <c r="FZ38">
        <v>0</v>
      </c>
      <c r="GA38">
        <v>-7815344.4200722463</v>
      </c>
      <c r="GB38">
        <v>-283360.00000000006</v>
      </c>
      <c r="GC38">
        <v>0</v>
      </c>
      <c r="GD38">
        <v>-30861.600000000009</v>
      </c>
      <c r="GE38">
        <v>-10010.000000000002</v>
      </c>
      <c r="GF38">
        <v>-8129410.0478500556</v>
      </c>
      <c r="GG38">
        <v>-105.57675386818252</v>
      </c>
      <c r="GH38">
        <v>-170690.04785005376</v>
      </c>
      <c r="GI38">
        <v>-2.2167538681825159</v>
      </c>
      <c r="GK38" t="s">
        <v>264</v>
      </c>
    </row>
    <row r="39" spans="2:193" ht="15" customHeight="1">
      <c r="B39">
        <v>34</v>
      </c>
      <c r="C39">
        <v>46204</v>
      </c>
      <c r="D39" t="s">
        <v>5</v>
      </c>
      <c r="E39" t="s">
        <v>327</v>
      </c>
      <c r="F39" t="s">
        <v>328</v>
      </c>
      <c r="G39" t="s">
        <v>329</v>
      </c>
      <c r="H39" t="s">
        <v>162</v>
      </c>
      <c r="J39">
        <v>46212.541666666657</v>
      </c>
      <c r="K39">
        <v>46213.895833333343</v>
      </c>
      <c r="L39">
        <v>46220.5</v>
      </c>
      <c r="U39">
        <v>22494.86</v>
      </c>
      <c r="Y39">
        <v>22505.14</v>
      </c>
      <c r="BI39">
        <v>7500</v>
      </c>
      <c r="BJ39">
        <v>52500</v>
      </c>
      <c r="BL39">
        <v>46199</v>
      </c>
      <c r="BM39">
        <v>46208</v>
      </c>
      <c r="BO39">
        <v>0.14285714285714285</v>
      </c>
      <c r="BQ39" t="s">
        <v>228</v>
      </c>
      <c r="BS39" t="s">
        <v>186</v>
      </c>
      <c r="BU39">
        <v>30.72060187428572</v>
      </c>
      <c r="BV39">
        <v>16.58038820380952</v>
      </c>
      <c r="BW39">
        <v>5.5009146209523809</v>
      </c>
      <c r="BX39">
        <v>4.5684707213888807</v>
      </c>
      <c r="BY39">
        <v>0.27904586406458048</v>
      </c>
      <c r="BZ39">
        <v>0.23174561827374579</v>
      </c>
      <c r="CA39">
        <v>5648.115963238095</v>
      </c>
      <c r="CB39">
        <v>4690.7203959829931</v>
      </c>
      <c r="CC39">
        <v>4341.1321628679907</v>
      </c>
      <c r="CF39">
        <v>0</v>
      </c>
      <c r="CN39">
        <v>0</v>
      </c>
      <c r="FR39">
        <v>331.23028391215848</v>
      </c>
      <c r="FU39">
        <v>41.17</v>
      </c>
      <c r="FV39">
        <v>2161425</v>
      </c>
      <c r="FW39">
        <v>0</v>
      </c>
      <c r="FX39">
        <v>2161425</v>
      </c>
      <c r="FY39">
        <v>0</v>
      </c>
      <c r="FZ39">
        <v>0</v>
      </c>
      <c r="GA39">
        <v>-2906553.7215660987</v>
      </c>
      <c r="GB39">
        <v>-64050</v>
      </c>
      <c r="GC39">
        <v>0</v>
      </c>
      <c r="GD39">
        <v>-8645.7000000000007</v>
      </c>
      <c r="GE39">
        <v>-6825</v>
      </c>
      <c r="GF39">
        <v>-2986074.4215660989</v>
      </c>
      <c r="GG39">
        <v>-56.877608029830455</v>
      </c>
      <c r="GH39">
        <v>-824649.42156609893</v>
      </c>
      <c r="GI39">
        <v>-15.707608029830455</v>
      </c>
      <c r="GK39" t="s">
        <v>259</v>
      </c>
    </row>
    <row r="40" spans="2:193" ht="15" customHeight="1">
      <c r="B40">
        <v>35</v>
      </c>
      <c r="C40">
        <v>46204</v>
      </c>
      <c r="D40" t="s">
        <v>5</v>
      </c>
      <c r="E40" t="s">
        <v>330</v>
      </c>
      <c r="F40" t="s">
        <v>187</v>
      </c>
      <c r="G40" t="s">
        <v>331</v>
      </c>
      <c r="H40" t="s">
        <v>162</v>
      </c>
      <c r="J40">
        <v>46212.652777777781</v>
      </c>
      <c r="K40">
        <v>46214.038194444453</v>
      </c>
      <c r="L40">
        <v>46216.67083333333</v>
      </c>
      <c r="R40">
        <v>7508.17</v>
      </c>
      <c r="U40">
        <v>27270.555</v>
      </c>
      <c r="V40">
        <v>19614.674999999999</v>
      </c>
      <c r="Y40">
        <v>7501.6</v>
      </c>
      <c r="AQ40">
        <v>7509</v>
      </c>
      <c r="BJ40">
        <v>69404</v>
      </c>
      <c r="BL40">
        <v>46212</v>
      </c>
      <c r="BM40">
        <v>46221</v>
      </c>
      <c r="BO40">
        <v>0.10819261137686588</v>
      </c>
      <c r="BQ40" t="s">
        <v>228</v>
      </c>
      <c r="BS40" t="s">
        <v>166</v>
      </c>
      <c r="BU40">
        <v>20.31582013716789</v>
      </c>
      <c r="BV40">
        <v>11.54947644222376</v>
      </c>
      <c r="BW40">
        <v>5.3322511281770497</v>
      </c>
      <c r="BX40">
        <v>4.8037709770469101</v>
      </c>
      <c r="BY40">
        <v>0.91482246556394453</v>
      </c>
      <c r="BZ40">
        <v>0.82415428373287525</v>
      </c>
      <c r="CA40">
        <v>6248.7056277736156</v>
      </c>
      <c r="CB40">
        <v>5629.395543692387</v>
      </c>
      <c r="CC40">
        <v>5313.8203339803877</v>
      </c>
      <c r="CF40">
        <v>2.48</v>
      </c>
      <c r="CN40">
        <v>4.4532215563485078E-2</v>
      </c>
      <c r="FR40">
        <v>1098.4542337162118</v>
      </c>
      <c r="FU40">
        <v>97.05</v>
      </c>
      <c r="FV40">
        <v>6735658.2000000002</v>
      </c>
      <c r="FW40">
        <v>172121.92</v>
      </c>
      <c r="FX40">
        <v>6907780.1200000001</v>
      </c>
      <c r="FY40">
        <v>3090.7138889681182</v>
      </c>
      <c r="FZ40">
        <v>-31859.718958927981</v>
      </c>
      <c r="GA40">
        <v>-6714440.518436823</v>
      </c>
      <c r="GB40">
        <v>-215919.60258202595</v>
      </c>
      <c r="GC40">
        <v>0</v>
      </c>
      <c r="GD40">
        <v>-26942.632800000003</v>
      </c>
      <c r="GE40">
        <v>-9022.52</v>
      </c>
      <c r="GF40">
        <v>-6995094.2788888086</v>
      </c>
      <c r="GG40">
        <v>-100.78805658015112</v>
      </c>
      <c r="GH40">
        <v>-87314.158888808452</v>
      </c>
      <c r="GI40">
        <v>-1.2580565801511217</v>
      </c>
      <c r="GK40" t="s">
        <v>264</v>
      </c>
    </row>
    <row r="41" spans="2:193" ht="15" customHeight="1">
      <c r="B41">
        <v>36</v>
      </c>
      <c r="C41">
        <v>46204</v>
      </c>
      <c r="D41" t="s">
        <v>5</v>
      </c>
      <c r="E41" t="s">
        <v>332</v>
      </c>
      <c r="F41" t="s">
        <v>231</v>
      </c>
      <c r="G41" t="s">
        <v>333</v>
      </c>
      <c r="H41" t="s">
        <v>162</v>
      </c>
      <c r="J41">
        <v>46215.162499999999</v>
      </c>
      <c r="K41">
        <v>46215.677083333343</v>
      </c>
      <c r="L41">
        <v>46217.777777777781</v>
      </c>
      <c r="S41">
        <v>11572.815000000001</v>
      </c>
      <c r="T41">
        <v>3857.605</v>
      </c>
      <c r="U41">
        <v>42757.170000000013</v>
      </c>
      <c r="AH41">
        <v>15002.41</v>
      </c>
      <c r="BJ41">
        <v>73190.000000000015</v>
      </c>
      <c r="BL41">
        <v>46206</v>
      </c>
      <c r="BM41">
        <v>46215</v>
      </c>
      <c r="BO41">
        <v>0.20497895887416309</v>
      </c>
      <c r="BQ41" t="s">
        <v>228</v>
      </c>
      <c r="BS41" t="s">
        <v>164</v>
      </c>
      <c r="BU41">
        <v>15.2102258259325</v>
      </c>
      <c r="BV41">
        <v>9.6230356305506213</v>
      </c>
      <c r="BW41">
        <v>4.4457032846017226</v>
      </c>
      <c r="BX41">
        <v>4.1708656644558948</v>
      </c>
      <c r="BY41">
        <v>0.76453087033747769</v>
      </c>
      <c r="BZ41">
        <v>0.71726684224559956</v>
      </c>
      <c r="CA41">
        <v>6551.2870281459218</v>
      </c>
      <c r="CB41">
        <v>6146.2802113517673</v>
      </c>
      <c r="CC41">
        <v>5847.3950873313106</v>
      </c>
      <c r="CF41">
        <v>5.65</v>
      </c>
      <c r="CN41">
        <v>-4.2511163296707899E-2</v>
      </c>
      <c r="FR41">
        <v>1451.7024793433127</v>
      </c>
      <c r="FU41">
        <v>107.51</v>
      </c>
      <c r="FV41">
        <v>7868656.9000000022</v>
      </c>
      <c r="FW41">
        <v>413523.50000000012</v>
      </c>
      <c r="FX41">
        <v>8282180.4000000022</v>
      </c>
      <c r="FY41">
        <v>-3111.3920416860519</v>
      </c>
      <c r="FZ41">
        <v>-82009.765291756077</v>
      </c>
      <c r="GA41">
        <v>-8201377.3309438229</v>
      </c>
      <c r="GB41">
        <v>-227698.05361331455</v>
      </c>
      <c r="GC41">
        <v>0</v>
      </c>
      <c r="GD41">
        <v>-31474.627600000011</v>
      </c>
      <c r="GE41">
        <v>-9514.7000000000025</v>
      </c>
      <c r="GF41">
        <v>-8555185.8694905788</v>
      </c>
      <c r="GG41">
        <v>-116.89009249201499</v>
      </c>
      <c r="GH41">
        <v>-273005.46949057654</v>
      </c>
      <c r="GI41">
        <v>-3.7300924920149812</v>
      </c>
      <c r="GK41" t="s">
        <v>55</v>
      </c>
    </row>
    <row r="42" spans="2:193" ht="15" customHeight="1">
      <c r="B42">
        <v>37</v>
      </c>
      <c r="C42">
        <v>46204</v>
      </c>
      <c r="D42" t="s">
        <v>5</v>
      </c>
      <c r="E42" t="s">
        <v>334</v>
      </c>
      <c r="F42" t="s">
        <v>232</v>
      </c>
      <c r="G42" t="s">
        <v>335</v>
      </c>
      <c r="H42" t="s">
        <v>162</v>
      </c>
      <c r="J42">
        <v>46216.5</v>
      </c>
      <c r="K42">
        <v>46216.901388888888</v>
      </c>
      <c r="L42">
        <v>46219.34097222222</v>
      </c>
      <c r="N42">
        <v>7624.62</v>
      </c>
      <c r="S42">
        <v>38313.06</v>
      </c>
      <c r="T42">
        <v>12059.81</v>
      </c>
      <c r="W42">
        <v>22570.92</v>
      </c>
      <c r="AH42">
        <v>7501.59</v>
      </c>
      <c r="BJ42">
        <v>88070</v>
      </c>
      <c r="BL42">
        <v>46208</v>
      </c>
      <c r="BM42">
        <v>46217</v>
      </c>
      <c r="BO42">
        <v>8.5177586011127515E-2</v>
      </c>
      <c r="BQ42" t="s">
        <v>228</v>
      </c>
      <c r="BS42" t="s">
        <v>166</v>
      </c>
      <c r="BU42">
        <v>14.611520697172709</v>
      </c>
      <c r="BV42">
        <v>7.8164938548881588</v>
      </c>
      <c r="BW42">
        <v>4.3817175530827761</v>
      </c>
      <c r="BX42">
        <v>4.0587325676599191</v>
      </c>
      <c r="BY42">
        <v>0.82683300329283538</v>
      </c>
      <c r="BZ42">
        <v>0.76588552270322363</v>
      </c>
      <c r="CA42">
        <v>6735.9978553423416</v>
      </c>
      <c r="CB42">
        <v>6239.4742563747468</v>
      </c>
      <c r="CC42">
        <v>5942.5462874461036</v>
      </c>
      <c r="CF42">
        <v>2.69</v>
      </c>
      <c r="CN42">
        <v>-1.871938987995805E-2</v>
      </c>
      <c r="FR42">
        <v>1504.1844577287363</v>
      </c>
      <c r="FU42">
        <v>136.96</v>
      </c>
      <c r="FV42">
        <v>12062067.200000001</v>
      </c>
      <c r="FW42">
        <v>236908.3</v>
      </c>
      <c r="FX42">
        <v>12298975.500000002</v>
      </c>
      <c r="FY42">
        <v>-1648.6166667279056</v>
      </c>
      <c r="FZ42">
        <v>-41006.987225051475</v>
      </c>
      <c r="GA42">
        <v>-10434860.869563358</v>
      </c>
      <c r="GB42">
        <v>-273990.53944151668</v>
      </c>
      <c r="GC42">
        <v>0</v>
      </c>
      <c r="GD42">
        <v>-48248.268800000005</v>
      </c>
      <c r="GE42">
        <v>-11449.1</v>
      </c>
      <c r="GF42">
        <v>-10811204.381696653</v>
      </c>
      <c r="GG42">
        <v>-122.75694767453903</v>
      </c>
      <c r="GH42">
        <v>1487771.1183033492</v>
      </c>
      <c r="GI42">
        <v>16.893052325460989</v>
      </c>
      <c r="GK42" t="s">
        <v>55</v>
      </c>
    </row>
    <row r="43" spans="2:193" ht="15" customHeight="1">
      <c r="B43">
        <v>38</v>
      </c>
      <c r="C43">
        <v>46204</v>
      </c>
      <c r="D43" t="s">
        <v>5</v>
      </c>
      <c r="E43" t="s">
        <v>336</v>
      </c>
      <c r="F43" t="s">
        <v>245</v>
      </c>
      <c r="G43" t="s">
        <v>337</v>
      </c>
      <c r="H43" t="s">
        <v>162</v>
      </c>
      <c r="J43">
        <v>46219.083333333343</v>
      </c>
      <c r="K43">
        <v>46219.638888888891</v>
      </c>
      <c r="L43">
        <v>46221.402777777781</v>
      </c>
      <c r="S43">
        <v>24169.279999999999</v>
      </c>
      <c r="T43">
        <v>10938.03</v>
      </c>
      <c r="AB43">
        <v>15090.78</v>
      </c>
      <c r="AH43">
        <v>7501.91</v>
      </c>
      <c r="AJ43">
        <v>7500</v>
      </c>
      <c r="BJ43">
        <v>65200</v>
      </c>
      <c r="BL43">
        <v>46217</v>
      </c>
      <c r="BM43">
        <v>46226</v>
      </c>
      <c r="BO43">
        <v>0.23009064417177913</v>
      </c>
      <c r="BQ43" t="s">
        <v>228</v>
      </c>
      <c r="BS43" t="s">
        <v>164</v>
      </c>
      <c r="BU43">
        <v>13.800913940184049</v>
      </c>
      <c r="BV43">
        <v>6.9548496579754602</v>
      </c>
      <c r="BW43">
        <v>4.5109423865030678</v>
      </c>
      <c r="BX43">
        <v>4.1790368391658923</v>
      </c>
      <c r="BY43">
        <v>1.025683651840491</v>
      </c>
      <c r="BZ43">
        <v>0.95021603006870936</v>
      </c>
      <c r="CA43">
        <v>6894.8666230061353</v>
      </c>
      <c r="CB43">
        <v>6387.5570002601671</v>
      </c>
      <c r="CC43">
        <v>6093.2788886079843</v>
      </c>
      <c r="CF43">
        <v>0.83</v>
      </c>
      <c r="CN43">
        <v>8.2775051124993587E-2</v>
      </c>
      <c r="FR43">
        <v>1540.1574803135488</v>
      </c>
      <c r="FU43">
        <v>134.27000000000001</v>
      </c>
      <c r="FV43">
        <v>8754404</v>
      </c>
      <c r="FW43">
        <v>54116</v>
      </c>
      <c r="FX43">
        <v>8808520</v>
      </c>
      <c r="FY43">
        <v>5396.9333333495815</v>
      </c>
      <c r="FZ43">
        <v>-72140.469623712255</v>
      </c>
      <c r="GA43">
        <v>-7676792.012960203</v>
      </c>
      <c r="GB43">
        <v>-202840.73091389678</v>
      </c>
      <c r="GC43">
        <v>0</v>
      </c>
      <c r="GD43">
        <v>-35017.616000000002</v>
      </c>
      <c r="GE43">
        <v>-8476</v>
      </c>
      <c r="GF43">
        <v>-7989869.8961644629</v>
      </c>
      <c r="GG43">
        <v>-122.54401681233838</v>
      </c>
      <c r="GH43">
        <v>818650.1038355371</v>
      </c>
      <c r="GI43">
        <v>12.555983187661612</v>
      </c>
      <c r="GK43" t="s">
        <v>55</v>
      </c>
    </row>
    <row r="44" spans="2:193" ht="15" customHeight="1">
      <c r="B44">
        <v>39</v>
      </c>
      <c r="C44">
        <v>46204</v>
      </c>
      <c r="D44" t="s">
        <v>5</v>
      </c>
      <c r="E44" t="s">
        <v>338</v>
      </c>
      <c r="F44" t="s">
        <v>310</v>
      </c>
      <c r="G44" t="s">
        <v>339</v>
      </c>
      <c r="H44" t="s">
        <v>162</v>
      </c>
      <c r="J44">
        <v>46220.791666666657</v>
      </c>
      <c r="K44">
        <v>46221.012499999997</v>
      </c>
      <c r="L44">
        <v>46223.006944444453</v>
      </c>
      <c r="R44">
        <v>15016.45</v>
      </c>
      <c r="U44">
        <v>17273.507999999991</v>
      </c>
      <c r="V44">
        <v>32079.371999999999</v>
      </c>
      <c r="AT44">
        <v>7580.67</v>
      </c>
      <c r="BJ44">
        <v>71949.999999999985</v>
      </c>
      <c r="BL44">
        <v>46219</v>
      </c>
      <c r="BM44">
        <v>46228</v>
      </c>
      <c r="BO44">
        <v>0.10536025017373178</v>
      </c>
      <c r="BQ44" t="s">
        <v>228</v>
      </c>
      <c r="BS44" t="s">
        <v>166</v>
      </c>
      <c r="BU44">
        <v>17.66782259805635</v>
      </c>
      <c r="BV44">
        <v>9.9386215294588158</v>
      </c>
      <c r="BW44">
        <v>5.7688080665680479</v>
      </c>
      <c r="BX44">
        <v>5.2737204026896123</v>
      </c>
      <c r="BY44">
        <v>1.2669352600664801</v>
      </c>
      <c r="BZ44">
        <v>1.1582049970808559</v>
      </c>
      <c r="CA44">
        <v>6371.2978579469554</v>
      </c>
      <c r="CB44">
        <v>5824.5036266316447</v>
      </c>
      <c r="CC44">
        <v>5517.5846679150509</v>
      </c>
      <c r="CF44">
        <v>1.85</v>
      </c>
      <c r="CN44">
        <v>0.23169925501329089</v>
      </c>
      <c r="FR44">
        <v>1503.1337047270895</v>
      </c>
      <c r="FU44">
        <v>100.66</v>
      </c>
      <c r="FV44">
        <v>7242486.9999999981</v>
      </c>
      <c r="FW44">
        <v>133107.49999999997</v>
      </c>
      <c r="FX44">
        <v>7375594.4999999981</v>
      </c>
      <c r="FY44">
        <v>16670.761398206276</v>
      </c>
      <c r="FZ44">
        <v>0</v>
      </c>
      <c r="GA44">
        <v>-7301499.6044797059</v>
      </c>
      <c r="GB44">
        <v>-223840.34646096427</v>
      </c>
      <c r="GC44">
        <v>0</v>
      </c>
      <c r="GD44">
        <v>-28969.947999999993</v>
      </c>
      <c r="GE44">
        <v>-9353.4999999999982</v>
      </c>
      <c r="GF44">
        <v>-7546992.6375424638</v>
      </c>
      <c r="GG44">
        <v>-104.8921839825221</v>
      </c>
      <c r="GH44">
        <v>-171398.1375424657</v>
      </c>
      <c r="GI44">
        <v>-2.3821839825221089</v>
      </c>
      <c r="GK44" t="s">
        <v>264</v>
      </c>
    </row>
    <row r="45" spans="2:193" ht="15" customHeight="1">
      <c r="B45">
        <v>40</v>
      </c>
      <c r="C45">
        <v>46204</v>
      </c>
      <c r="D45" t="s">
        <v>6</v>
      </c>
      <c r="E45" t="s">
        <v>340</v>
      </c>
      <c r="F45" t="s">
        <v>341</v>
      </c>
      <c r="G45" t="s">
        <v>342</v>
      </c>
      <c r="H45" t="s">
        <v>162</v>
      </c>
      <c r="J45">
        <v>46222.802083333343</v>
      </c>
      <c r="K45">
        <v>46224.666666666657</v>
      </c>
      <c r="L45">
        <v>46226.4375</v>
      </c>
      <c r="U45">
        <v>33000</v>
      </c>
      <c r="BJ45">
        <v>33000</v>
      </c>
      <c r="BL45">
        <v>46223</v>
      </c>
      <c r="BM45">
        <v>46232</v>
      </c>
      <c r="BO45">
        <v>1</v>
      </c>
      <c r="BQ45" t="s">
        <v>228</v>
      </c>
      <c r="BS45" t="s">
        <v>186</v>
      </c>
      <c r="BU45">
        <v>14.027637606060599</v>
      </c>
      <c r="BV45">
        <v>9.0755777242424216</v>
      </c>
      <c r="BW45">
        <v>4.9051644575757578</v>
      </c>
      <c r="BX45">
        <v>4.6380121621186348</v>
      </c>
      <c r="BY45">
        <v>0.64245100606060612</v>
      </c>
      <c r="BZ45">
        <v>0.60746089258484848</v>
      </c>
      <c r="CA45">
        <v>6702.3346933333332</v>
      </c>
      <c r="CB45">
        <v>6337.3022639964311</v>
      </c>
      <c r="CC45">
        <v>6042.2829972149711</v>
      </c>
      <c r="CF45">
        <v>2.98</v>
      </c>
      <c r="CN45">
        <v>-0.65246212120969593</v>
      </c>
      <c r="FR45">
        <v>776.47058823104032</v>
      </c>
      <c r="FU45">
        <v>122.97</v>
      </c>
      <c r="FV45">
        <v>4058010</v>
      </c>
      <c r="FW45">
        <v>98340</v>
      </c>
      <c r="FX45">
        <v>4156350</v>
      </c>
      <c r="FY45">
        <v>-21531.249999919964</v>
      </c>
      <c r="FZ45">
        <v>-177031.8723406046</v>
      </c>
      <c r="GA45">
        <v>-1850046.29535</v>
      </c>
      <c r="GB45">
        <v>-40260</v>
      </c>
      <c r="GC45">
        <v>-547831.35</v>
      </c>
      <c r="GD45">
        <v>0</v>
      </c>
      <c r="GE45">
        <v>0</v>
      </c>
      <c r="GF45">
        <v>-2636700.7676905245</v>
      </c>
      <c r="GG45">
        <v>-79.900023263349226</v>
      </c>
      <c r="GH45">
        <v>1519649.2323094755</v>
      </c>
      <c r="GI45">
        <v>46.049976736650777</v>
      </c>
      <c r="GK45" t="s">
        <v>55</v>
      </c>
    </row>
    <row r="46" spans="2:193" ht="15" customHeight="1">
      <c r="B46">
        <v>41</v>
      </c>
      <c r="C46">
        <v>46204</v>
      </c>
      <c r="D46" t="s">
        <v>5</v>
      </c>
      <c r="E46" t="s">
        <v>343</v>
      </c>
      <c r="F46" t="s">
        <v>315</v>
      </c>
      <c r="G46" t="s">
        <v>344</v>
      </c>
      <c r="H46" t="s">
        <v>162</v>
      </c>
      <c r="J46">
        <v>46221.604166666657</v>
      </c>
      <c r="K46">
        <v>46224.909722222219</v>
      </c>
      <c r="L46">
        <v>46226.895833333343</v>
      </c>
      <c r="S46">
        <v>30017.22</v>
      </c>
      <c r="U46">
        <v>14734.72</v>
      </c>
      <c r="AC46">
        <v>7645.83</v>
      </c>
      <c r="AH46">
        <v>7502.23</v>
      </c>
      <c r="BJ46">
        <v>59900</v>
      </c>
      <c r="BL46">
        <v>46217</v>
      </c>
      <c r="BM46">
        <v>46226</v>
      </c>
      <c r="BO46">
        <v>0.25288914858096828</v>
      </c>
      <c r="BQ46" t="s">
        <v>228</v>
      </c>
      <c r="BS46" t="s">
        <v>165</v>
      </c>
      <c r="BU46">
        <v>12.89070239899833</v>
      </c>
      <c r="BV46">
        <v>7.6506395659432389</v>
      </c>
      <c r="BW46">
        <v>4.7784074257095162</v>
      </c>
      <c r="BX46">
        <v>4.5072723032249984</v>
      </c>
      <c r="BY46">
        <v>0.73481286465374218</v>
      </c>
      <c r="BZ46">
        <v>0.69311830864138857</v>
      </c>
      <c r="CA46">
        <v>6806.2003133555936</v>
      </c>
      <c r="CB46">
        <v>6420.0047064914888</v>
      </c>
      <c r="CC46">
        <v>6128.7020581632114</v>
      </c>
      <c r="CF46">
        <v>4.9000000000000004</v>
      </c>
      <c r="CN46">
        <v>-0.29193911148378549</v>
      </c>
      <c r="FR46">
        <v>1256.6433566351725</v>
      </c>
      <c r="FU46">
        <v>142.02000000000001</v>
      </c>
      <c r="FV46">
        <v>8506998</v>
      </c>
      <c r="FW46">
        <v>293510</v>
      </c>
      <c r="FX46">
        <v>8800508</v>
      </c>
      <c r="FY46">
        <v>-17487.152777878749</v>
      </c>
      <c r="FZ46">
        <v>-81061.36491465845</v>
      </c>
      <c r="GA46">
        <v>-7102816.3732883111</v>
      </c>
      <c r="GB46">
        <v>-220431.99999999997</v>
      </c>
      <c r="GC46">
        <v>0</v>
      </c>
      <c r="GD46">
        <v>-34027.991999999998</v>
      </c>
      <c r="GE46">
        <v>-7787</v>
      </c>
      <c r="GF46">
        <v>-7463611.8829808477</v>
      </c>
      <c r="GG46">
        <v>-124.60120004976373</v>
      </c>
      <c r="GH46">
        <v>1336896.1170191523</v>
      </c>
      <c r="GI46">
        <v>22.318799950236265</v>
      </c>
      <c r="GK46" t="s">
        <v>55</v>
      </c>
    </row>
    <row r="47" spans="2:193" ht="15" customHeight="1">
      <c r="B47">
        <v>42</v>
      </c>
      <c r="C47">
        <v>46204</v>
      </c>
      <c r="D47" t="s">
        <v>6</v>
      </c>
      <c r="E47" t="s">
        <v>345</v>
      </c>
      <c r="F47" t="s">
        <v>346</v>
      </c>
      <c r="G47" t="s">
        <v>347</v>
      </c>
      <c r="H47" t="s">
        <v>162</v>
      </c>
      <c r="J47">
        <v>46223.430555555547</v>
      </c>
      <c r="K47">
        <v>46223.659722222219</v>
      </c>
      <c r="L47">
        <v>46228.833333333343</v>
      </c>
      <c r="U47">
        <v>54112.578999999998</v>
      </c>
      <c r="V47">
        <v>25812.420999999998</v>
      </c>
      <c r="BJ47">
        <v>79925</v>
      </c>
      <c r="BL47">
        <v>46217</v>
      </c>
      <c r="BM47">
        <v>46226</v>
      </c>
      <c r="BO47">
        <v>1</v>
      </c>
      <c r="BQ47" t="s">
        <v>228</v>
      </c>
      <c r="BS47" t="s">
        <v>348</v>
      </c>
      <c r="BU47">
        <v>14.592212341570219</v>
      </c>
      <c r="BV47">
        <v>8.6491272255239302</v>
      </c>
      <c r="BW47">
        <v>5.3831197147325627</v>
      </c>
      <c r="BX47">
        <v>5.0329058888230493</v>
      </c>
      <c r="BY47">
        <v>0.8607843690960274</v>
      </c>
      <c r="BZ47">
        <v>0.80478364773751998</v>
      </c>
      <c r="CA47">
        <v>6708.6146020644364</v>
      </c>
      <c r="CB47">
        <v>6272.1670194644394</v>
      </c>
      <c r="CC47">
        <v>5975.3021691640934</v>
      </c>
      <c r="CF47">
        <v>0</v>
      </c>
      <c r="CN47">
        <v>-0.2406164477118326</v>
      </c>
      <c r="FR47">
        <v>643.69127516617584</v>
      </c>
      <c r="FU47">
        <v>123.03</v>
      </c>
      <c r="FV47">
        <v>9833172.75</v>
      </c>
      <c r="FW47">
        <v>0</v>
      </c>
      <c r="FX47">
        <v>9833172.75</v>
      </c>
      <c r="FY47">
        <v>-19231.269583368219</v>
      </c>
      <c r="FZ47">
        <v>-428765.83020675217</v>
      </c>
      <c r="GA47">
        <v>-4200861.0750641385</v>
      </c>
      <c r="GB47">
        <v>-157452.25</v>
      </c>
      <c r="GC47">
        <v>-1327478.32125</v>
      </c>
      <c r="GD47">
        <v>0</v>
      </c>
      <c r="GE47">
        <v>0</v>
      </c>
      <c r="GF47">
        <v>-6133788.746104259</v>
      </c>
      <c r="GG47">
        <v>-76.744307114222821</v>
      </c>
      <c r="GH47">
        <v>3699384.003895741</v>
      </c>
      <c r="GI47">
        <v>46.285692885777181</v>
      </c>
      <c r="GK47" t="s">
        <v>55</v>
      </c>
    </row>
    <row r="48" spans="2:193" ht="15" customHeight="1">
      <c r="B48">
        <v>43</v>
      </c>
      <c r="C48">
        <v>46204</v>
      </c>
      <c r="D48" t="s">
        <v>5</v>
      </c>
      <c r="E48" t="s">
        <v>349</v>
      </c>
      <c r="F48" t="s">
        <v>245</v>
      </c>
      <c r="G48" t="s">
        <v>350</v>
      </c>
      <c r="H48" t="s">
        <v>162</v>
      </c>
      <c r="J48">
        <v>46224.666666666657</v>
      </c>
      <c r="K48">
        <v>46224.925000000003</v>
      </c>
      <c r="L48">
        <v>46228.927083333343</v>
      </c>
      <c r="N48">
        <v>7788.32</v>
      </c>
      <c r="S48">
        <v>12736.669</v>
      </c>
      <c r="T48">
        <v>10420.911</v>
      </c>
      <c r="AB48">
        <v>15090.83</v>
      </c>
      <c r="AC48">
        <v>7643.27</v>
      </c>
      <c r="AF48">
        <v>7500</v>
      </c>
      <c r="BJ48">
        <v>61180</v>
      </c>
      <c r="BL48">
        <v>46210</v>
      </c>
      <c r="BM48">
        <v>46231</v>
      </c>
      <c r="BO48">
        <v>0.24751994115724094</v>
      </c>
      <c r="BQ48" t="s">
        <v>228</v>
      </c>
      <c r="BS48" t="s">
        <v>166</v>
      </c>
      <c r="BU48">
        <v>12.800219514547241</v>
      </c>
      <c r="BV48">
        <v>6.6446787283425968</v>
      </c>
      <c r="BW48">
        <v>4.5917239163125201</v>
      </c>
      <c r="BX48">
        <v>4.2889608444185763</v>
      </c>
      <c r="BY48">
        <v>1.0506995031055899</v>
      </c>
      <c r="BZ48">
        <v>0.98141985672537924</v>
      </c>
      <c r="CA48">
        <v>6898.6244537430539</v>
      </c>
      <c r="CB48">
        <v>6443.7519985334065</v>
      </c>
      <c r="CC48">
        <v>6152.7451369447426</v>
      </c>
      <c r="CF48">
        <v>3.2</v>
      </c>
      <c r="CN48">
        <v>-0.6106271946637436</v>
      </c>
      <c r="FR48">
        <v>636.95991670896603</v>
      </c>
      <c r="FU48">
        <v>125.54</v>
      </c>
      <c r="FV48">
        <v>7680537.2000000002</v>
      </c>
      <c r="FW48">
        <v>195776</v>
      </c>
      <c r="FX48">
        <v>7876313.2000000002</v>
      </c>
      <c r="FY48">
        <v>-37358.171769527835</v>
      </c>
      <c r="FZ48">
        <v>-69961.058181246364</v>
      </c>
      <c r="GA48">
        <v>-7275172.114547641</v>
      </c>
      <c r="GB48">
        <v>-190334.2932103099</v>
      </c>
      <c r="GC48">
        <v>0</v>
      </c>
      <c r="GD48">
        <v>-30722.148800000003</v>
      </c>
      <c r="GE48">
        <v>-7953.4000000000005</v>
      </c>
      <c r="GF48">
        <v>-7611501.1865087254</v>
      </c>
      <c r="GG48">
        <v>-124.41159180301938</v>
      </c>
      <c r="GH48">
        <v>264812.01349127479</v>
      </c>
      <c r="GI48">
        <v>4.3284081969806278</v>
      </c>
      <c r="GK48" t="s">
        <v>55</v>
      </c>
    </row>
    <row r="49" spans="2:193" ht="15" customHeight="1">
      <c r="B49">
        <v>44</v>
      </c>
      <c r="C49">
        <v>46204</v>
      </c>
      <c r="D49" t="s">
        <v>5</v>
      </c>
      <c r="E49" t="s">
        <v>351</v>
      </c>
      <c r="F49" t="s">
        <v>241</v>
      </c>
      <c r="G49" t="s">
        <v>352</v>
      </c>
      <c r="H49" t="s">
        <v>162</v>
      </c>
      <c r="J49">
        <v>46220.604166666657</v>
      </c>
      <c r="K49">
        <v>46226.375</v>
      </c>
      <c r="L49">
        <v>46230.045138888891</v>
      </c>
      <c r="S49">
        <v>5487.9</v>
      </c>
      <c r="T49">
        <v>1829.3</v>
      </c>
      <c r="U49">
        <v>37969.065499999997</v>
      </c>
      <c r="V49">
        <v>10908.7345</v>
      </c>
      <c r="AF49">
        <v>15000</v>
      </c>
      <c r="AQ49">
        <v>7505</v>
      </c>
      <c r="BJ49">
        <v>78700</v>
      </c>
      <c r="BL49">
        <v>46222</v>
      </c>
      <c r="BM49">
        <v>46231</v>
      </c>
      <c r="BO49">
        <v>0.28595933926302414</v>
      </c>
      <c r="BQ49" t="s">
        <v>228</v>
      </c>
      <c r="BS49" t="s">
        <v>164</v>
      </c>
      <c r="BU49">
        <v>17.746486711562891</v>
      </c>
      <c r="BV49">
        <v>10.27066222363406</v>
      </c>
      <c r="BW49">
        <v>5.0353181359593391</v>
      </c>
      <c r="BX49">
        <v>4.6157992187559627</v>
      </c>
      <c r="BY49">
        <v>0.79121424396442175</v>
      </c>
      <c r="BZ49">
        <v>0.72529401133137439</v>
      </c>
      <c r="CA49">
        <v>6396.4249038102898</v>
      </c>
      <c r="CB49">
        <v>5863.5050014002009</v>
      </c>
      <c r="CC49">
        <v>5556.3288912698363</v>
      </c>
      <c r="CF49">
        <v>2.8</v>
      </c>
      <c r="CN49">
        <v>-0.98409511093506519</v>
      </c>
      <c r="FR49">
        <v>893.47209082269057</v>
      </c>
      <c r="FU49">
        <v>120.02</v>
      </c>
      <c r="FV49">
        <v>9445574</v>
      </c>
      <c r="FW49">
        <v>220360</v>
      </c>
      <c r="FX49">
        <v>9665934</v>
      </c>
      <c r="FY49">
        <v>-77448.285230589623</v>
      </c>
      <c r="FZ49">
        <v>-91689.92541409879</v>
      </c>
      <c r="GA49">
        <v>-8078347.5536532206</v>
      </c>
      <c r="GB49">
        <v>-244839.96200803184</v>
      </c>
      <c r="GC49">
        <v>0</v>
      </c>
      <c r="GD49">
        <v>-37782.296000000002</v>
      </c>
      <c r="GE49">
        <v>-10231</v>
      </c>
      <c r="GF49">
        <v>-8540339.0223059412</v>
      </c>
      <c r="GG49">
        <v>-108.51764958457359</v>
      </c>
      <c r="GH49">
        <v>1125594.9776940588</v>
      </c>
      <c r="GI49">
        <v>14.302350415426414</v>
      </c>
      <c r="GK49" t="s">
        <v>264</v>
      </c>
    </row>
    <row r="50" spans="2:193" ht="15" customHeight="1">
      <c r="B50">
        <v>45</v>
      </c>
      <c r="C50">
        <v>46204</v>
      </c>
      <c r="D50" t="s">
        <v>5</v>
      </c>
      <c r="E50" t="s">
        <v>353</v>
      </c>
      <c r="F50" t="s">
        <v>239</v>
      </c>
      <c r="G50" t="s">
        <v>354</v>
      </c>
      <c r="H50" t="s">
        <v>162</v>
      </c>
      <c r="J50">
        <v>46225.925000000003</v>
      </c>
      <c r="K50">
        <v>46228.430555555547</v>
      </c>
      <c r="L50">
        <v>46231.208333333343</v>
      </c>
      <c r="S50">
        <v>13595.705</v>
      </c>
      <c r="T50">
        <v>13595.705</v>
      </c>
      <c r="W50">
        <v>7591.45</v>
      </c>
      <c r="AB50">
        <v>15009.83</v>
      </c>
      <c r="AF50">
        <v>7500</v>
      </c>
      <c r="AH50">
        <v>7501.31</v>
      </c>
      <c r="AL50">
        <v>5119</v>
      </c>
      <c r="BJ50">
        <v>69913</v>
      </c>
      <c r="BL50">
        <v>46223</v>
      </c>
      <c r="BM50">
        <v>46232</v>
      </c>
      <c r="BO50">
        <v>0.28779068270564845</v>
      </c>
      <c r="BQ50" t="s">
        <v>228</v>
      </c>
      <c r="BS50" t="s">
        <v>165</v>
      </c>
      <c r="BU50">
        <v>15.211606163391741</v>
      </c>
      <c r="BV50">
        <v>9.0017333152538939</v>
      </c>
      <c r="BW50">
        <v>4.8434759582088187</v>
      </c>
      <c r="BX50">
        <v>4.5129491147944352</v>
      </c>
      <c r="BY50">
        <v>0.9918667358002089</v>
      </c>
      <c r="BZ50">
        <v>0.92418010246074866</v>
      </c>
      <c r="CA50">
        <v>6587.1068235085086</v>
      </c>
      <c r="CB50">
        <v>6137.5917140306492</v>
      </c>
      <c r="CC50">
        <v>5838.7020777146436</v>
      </c>
      <c r="CF50">
        <v>1.4</v>
      </c>
      <c r="CN50">
        <v>-0.16390951420302091</v>
      </c>
      <c r="FR50">
        <v>1048.6949999932854</v>
      </c>
      <c r="FU50">
        <v>129.96</v>
      </c>
      <c r="FV50">
        <v>9085893.4800000004</v>
      </c>
      <c r="FW50">
        <v>97878.2</v>
      </c>
      <c r="FX50">
        <v>9183771.6799999997</v>
      </c>
      <c r="FY50">
        <v>-11459.405866475801</v>
      </c>
      <c r="FZ50">
        <v>-98213.761754260093</v>
      </c>
      <c r="GA50">
        <v>-7955292.8089963831</v>
      </c>
      <c r="GB50">
        <v>-257279.83999999997</v>
      </c>
      <c r="GC50">
        <v>0</v>
      </c>
      <c r="GD50">
        <v>-36343.573920000003</v>
      </c>
      <c r="GE50">
        <v>-9088.69</v>
      </c>
      <c r="GF50">
        <v>-8367678.0805371199</v>
      </c>
      <c r="GG50">
        <v>-119.68701215134696</v>
      </c>
      <c r="GH50">
        <v>816093.59946287982</v>
      </c>
      <c r="GI50">
        <v>11.672987848653039</v>
      </c>
      <c r="GK50" t="s">
        <v>55</v>
      </c>
    </row>
    <row r="51" spans="2:193" ht="15" customHeight="1">
      <c r="B51">
        <v>46</v>
      </c>
      <c r="C51">
        <v>46204</v>
      </c>
      <c r="D51" t="s">
        <v>5</v>
      </c>
      <c r="E51" t="s">
        <v>355</v>
      </c>
      <c r="F51" t="s">
        <v>246</v>
      </c>
      <c r="G51" t="s">
        <v>356</v>
      </c>
      <c r="H51" t="s">
        <v>162</v>
      </c>
      <c r="J51">
        <v>46229.024305555547</v>
      </c>
      <c r="K51">
        <v>46230.291666666657</v>
      </c>
      <c r="L51">
        <v>46231.965277777781</v>
      </c>
      <c r="S51">
        <v>14073.973</v>
      </c>
      <c r="T51">
        <v>1125.4770000000001</v>
      </c>
      <c r="U51">
        <v>42538.53</v>
      </c>
      <c r="AH51">
        <v>7502.02</v>
      </c>
      <c r="BJ51">
        <v>65240</v>
      </c>
      <c r="BL51">
        <v>46224</v>
      </c>
      <c r="BM51">
        <v>46233</v>
      </c>
      <c r="BO51">
        <v>0.11499110974862048</v>
      </c>
      <c r="BQ51" t="s">
        <v>228</v>
      </c>
      <c r="BS51" t="s">
        <v>166</v>
      </c>
      <c r="BU51">
        <v>15.07242930566877</v>
      </c>
      <c r="BV51">
        <v>9.1522330648046673</v>
      </c>
      <c r="BW51">
        <v>5.1151110733622493</v>
      </c>
      <c r="BX51">
        <v>4.7817791449096427</v>
      </c>
      <c r="BY51">
        <v>0.69903656192519914</v>
      </c>
      <c r="BZ51">
        <v>0.65348306330053596</v>
      </c>
      <c r="CA51">
        <v>6626.5482725832871</v>
      </c>
      <c r="CB51">
        <v>6194.7218502427522</v>
      </c>
      <c r="CC51">
        <v>5896.2871802911068</v>
      </c>
      <c r="CF51">
        <v>-1.92</v>
      </c>
      <c r="CN51">
        <v>-6.1579041487514467E-2</v>
      </c>
      <c r="FR51">
        <v>1624.2323651326749</v>
      </c>
      <c r="FU51">
        <v>141.4</v>
      </c>
      <c r="FV51">
        <v>9224936</v>
      </c>
      <c r="FW51">
        <v>-125260.79999999999</v>
      </c>
      <c r="FX51">
        <v>9099675.1999999993</v>
      </c>
      <c r="FY51">
        <v>-4017.4166666454439</v>
      </c>
      <c r="FZ51">
        <v>-41009.337793998428</v>
      </c>
      <c r="GA51">
        <v>-7387988.1990261152</v>
      </c>
      <c r="GB51">
        <v>-202965.17308010161</v>
      </c>
      <c r="GC51">
        <v>0</v>
      </c>
      <c r="GD51">
        <v>-36899.743999999999</v>
      </c>
      <c r="GE51">
        <v>-8481.2000000000007</v>
      </c>
      <c r="GF51">
        <v>-7681361.070566861</v>
      </c>
      <c r="GG51">
        <v>-117.74005319691693</v>
      </c>
      <c r="GH51">
        <v>1418314.1294331383</v>
      </c>
      <c r="GI51">
        <v>21.73994680308305</v>
      </c>
      <c r="GK51" t="s">
        <v>55</v>
      </c>
    </row>
    <row r="52" spans="2:193" ht="15" customHeight="1">
      <c r="B52">
        <v>47</v>
      </c>
      <c r="C52">
        <v>46204</v>
      </c>
      <c r="D52" t="s">
        <v>5</v>
      </c>
      <c r="E52" t="s">
        <v>357</v>
      </c>
      <c r="F52" t="s">
        <v>310</v>
      </c>
      <c r="G52" t="s">
        <v>358</v>
      </c>
      <c r="H52" t="s">
        <v>162</v>
      </c>
      <c r="J52">
        <v>46230.729166666657</v>
      </c>
      <c r="K52">
        <v>46232.416666666657</v>
      </c>
      <c r="L52">
        <v>46234.857638888891</v>
      </c>
      <c r="R52">
        <v>15036.13</v>
      </c>
      <c r="V52">
        <v>14335.36</v>
      </c>
      <c r="W52">
        <v>39077.509999999987</v>
      </c>
      <c r="AV52">
        <v>5001</v>
      </c>
      <c r="BJ52">
        <v>73449.999999999985</v>
      </c>
      <c r="BL52">
        <v>46225</v>
      </c>
      <c r="BM52">
        <v>46234</v>
      </c>
      <c r="BO52">
        <v>6.8087134104833233E-2</v>
      </c>
      <c r="BQ52" t="s">
        <v>228</v>
      </c>
      <c r="BS52" t="s">
        <v>165</v>
      </c>
      <c r="BU52">
        <v>18.169105436748211</v>
      </c>
      <c r="BV52">
        <v>11.29767449318962</v>
      </c>
      <c r="BW52">
        <v>5.3993254311168322</v>
      </c>
      <c r="BX52">
        <v>4.9810602770778836</v>
      </c>
      <c r="BY52">
        <v>0.96153372434862261</v>
      </c>
      <c r="BZ52">
        <v>0.88704737295914327</v>
      </c>
      <c r="CA52">
        <v>6197.6983401353846</v>
      </c>
      <c r="CB52">
        <v>5717.5862809540467</v>
      </c>
      <c r="CC52">
        <v>5409.0286386634252</v>
      </c>
      <c r="CF52">
        <v>-0.75</v>
      </c>
      <c r="CN52">
        <v>3.1015051811897201E-2</v>
      </c>
      <c r="FR52">
        <v>1253.7695590269034</v>
      </c>
      <c r="FU52">
        <v>100.59</v>
      </c>
      <c r="FV52">
        <v>7388335.4999999991</v>
      </c>
      <c r="FW52">
        <v>-55087.499999999985</v>
      </c>
      <c r="FX52">
        <v>7333247.9999999991</v>
      </c>
      <c r="FY52">
        <v>2278.0555555838491</v>
      </c>
      <c r="FZ52">
        <v>0</v>
      </c>
      <c r="GA52">
        <v>-7711457.4145777356</v>
      </c>
      <c r="GB52">
        <v>-270295.99999999994</v>
      </c>
      <c r="GC52">
        <v>0</v>
      </c>
      <c r="GD52">
        <v>-29553.341999999997</v>
      </c>
      <c r="GE52">
        <v>-9548.4999999999982</v>
      </c>
      <c r="GF52">
        <v>-8018577.2010221519</v>
      </c>
      <c r="GG52">
        <v>-109.17055413236424</v>
      </c>
      <c r="GH52">
        <v>-685329.20102215279</v>
      </c>
      <c r="GI52">
        <v>-9.3305541323642327</v>
      </c>
      <c r="GK52" t="s">
        <v>264</v>
      </c>
    </row>
    <row r="53" spans="2:193" ht="15" customHeight="1">
      <c r="B53">
        <v>48</v>
      </c>
      <c r="C53">
        <v>46204</v>
      </c>
      <c r="D53" t="s">
        <v>8</v>
      </c>
      <c r="E53" t="s">
        <v>359</v>
      </c>
      <c r="F53" t="s">
        <v>243</v>
      </c>
      <c r="G53" t="s">
        <v>360</v>
      </c>
      <c r="H53" t="s">
        <v>244</v>
      </c>
      <c r="J53">
        <v>46214.9375</v>
      </c>
      <c r="K53">
        <v>46215.668055555558</v>
      </c>
      <c r="L53">
        <v>46215.767361111109</v>
      </c>
      <c r="S53">
        <v>4564.8779999999997</v>
      </c>
      <c r="T53">
        <v>3043.252</v>
      </c>
      <c r="BJ53">
        <v>7608.1299999999992</v>
      </c>
      <c r="BO53">
        <v>1</v>
      </c>
      <c r="BQ53" t="s">
        <v>228</v>
      </c>
      <c r="BU53">
        <v>10.991769542750344</v>
      </c>
      <c r="BV53">
        <v>6.1454856779636549</v>
      </c>
      <c r="BW53">
        <v>4.5294566236984632</v>
      </c>
      <c r="BX53">
        <v>4.29788440021649</v>
      </c>
      <c r="BY53">
        <v>1.2300205929132604</v>
      </c>
      <c r="BZ53">
        <v>1.1682600711402582</v>
      </c>
      <c r="CA53">
        <v>7031.4823109333056</v>
      </c>
      <c r="CB53">
        <v>6668.1203444387183</v>
      </c>
      <c r="CC53">
        <v>6369.9147494795034</v>
      </c>
      <c r="CF53">
        <v>0</v>
      </c>
      <c r="CN53">
        <v>0</v>
      </c>
      <c r="FR53">
        <v>3192.2223777419204</v>
      </c>
      <c r="FU53">
        <v>94.23</v>
      </c>
      <c r="FV53">
        <v>716914.0898999999</v>
      </c>
      <c r="FW53">
        <v>0</v>
      </c>
      <c r="FX53">
        <v>716914.0898999999</v>
      </c>
      <c r="FY53">
        <v>0</v>
      </c>
      <c r="FZ53">
        <v>-40340.195537924126</v>
      </c>
      <c r="GA53">
        <v>-521378.2774347954</v>
      </c>
      <c r="GB53">
        <v>0</v>
      </c>
      <c r="GC53">
        <v>-126199.4759685</v>
      </c>
      <c r="GD53">
        <v>0</v>
      </c>
      <c r="GE53">
        <v>0</v>
      </c>
      <c r="GF53">
        <v>-687917.94894121948</v>
      </c>
      <c r="GG53">
        <v>-90.418795280998026</v>
      </c>
      <c r="GH53">
        <v>28996.140958780423</v>
      </c>
      <c r="GI53">
        <v>3.8112047190019656</v>
      </c>
      <c r="GK53" t="s">
        <v>55</v>
      </c>
    </row>
    <row r="54" spans="2:193" ht="15" customHeight="1">
      <c r="GH54">
        <v>10680360.089780839</v>
      </c>
    </row>
    <row r="58" spans="2:193" ht="15" customHeight="1">
      <c r="L58" t="s">
        <v>169</v>
      </c>
      <c r="N58">
        <v>18941.309999999998</v>
      </c>
      <c r="O58">
        <v>0</v>
      </c>
      <c r="P58">
        <v>0</v>
      </c>
      <c r="Q58">
        <v>30915.18</v>
      </c>
      <c r="R58">
        <v>633510.05999999994</v>
      </c>
      <c r="S58">
        <v>27521.02</v>
      </c>
      <c r="T58">
        <v>3011.6</v>
      </c>
      <c r="U58">
        <v>38243.46</v>
      </c>
      <c r="V58">
        <v>14940.54</v>
      </c>
      <c r="W58">
        <v>0</v>
      </c>
      <c r="X58">
        <v>0</v>
      </c>
      <c r="Y58">
        <v>127523.76000000001</v>
      </c>
      <c r="Z58">
        <v>0</v>
      </c>
      <c r="AA58">
        <v>0</v>
      </c>
      <c r="AB58">
        <v>14968.380000000001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15011.380000000001</v>
      </c>
      <c r="AI58">
        <v>0</v>
      </c>
      <c r="AJ58">
        <v>0</v>
      </c>
      <c r="AK58">
        <v>0</v>
      </c>
      <c r="AL58">
        <v>5116</v>
      </c>
      <c r="AM58">
        <v>0</v>
      </c>
      <c r="AN58">
        <v>0</v>
      </c>
      <c r="AO58">
        <v>0</v>
      </c>
      <c r="AP58">
        <v>0</v>
      </c>
      <c r="AQ58">
        <v>15022</v>
      </c>
      <c r="AR58">
        <v>0</v>
      </c>
      <c r="AS58">
        <v>0</v>
      </c>
      <c r="AT58">
        <v>15168.34</v>
      </c>
      <c r="AU58">
        <v>0</v>
      </c>
      <c r="AV58">
        <v>10240</v>
      </c>
      <c r="AW58">
        <v>0</v>
      </c>
      <c r="AX58">
        <v>20324.900000000001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89875</v>
      </c>
      <c r="BJ58">
        <v>1080332.93</v>
      </c>
      <c r="CF58">
        <v>-8.7033990925371469E-3</v>
      </c>
      <c r="CN58">
        <v>-0.30576386427650126</v>
      </c>
      <c r="FR58">
        <v>2043.4547536825255</v>
      </c>
    </row>
    <row r="59" spans="2:193" ht="15" customHeight="1">
      <c r="L59" t="s">
        <v>170</v>
      </c>
      <c r="N59">
        <v>15412.939999999999</v>
      </c>
      <c r="O59">
        <v>0</v>
      </c>
      <c r="P59">
        <v>0</v>
      </c>
      <c r="Q59">
        <v>9507.7200000000012</v>
      </c>
      <c r="R59">
        <v>58183.46</v>
      </c>
      <c r="S59">
        <v>211107.02999999994</v>
      </c>
      <c r="T59">
        <v>90324.41</v>
      </c>
      <c r="U59">
        <v>390489.6875</v>
      </c>
      <c r="V59">
        <v>110508.4725</v>
      </c>
      <c r="W59">
        <v>115507.44999999998</v>
      </c>
      <c r="X59">
        <v>0</v>
      </c>
      <c r="Y59">
        <v>37507.769999999997</v>
      </c>
      <c r="Z59">
        <v>0</v>
      </c>
      <c r="AA59">
        <v>0</v>
      </c>
      <c r="AB59">
        <v>98107.11</v>
      </c>
      <c r="AC59">
        <v>22791.46</v>
      </c>
      <c r="AD59">
        <v>0</v>
      </c>
      <c r="AE59">
        <v>0</v>
      </c>
      <c r="AF59">
        <v>37500</v>
      </c>
      <c r="AG59">
        <v>0</v>
      </c>
      <c r="AH59">
        <v>90033.069999999992</v>
      </c>
      <c r="AI59">
        <v>0</v>
      </c>
      <c r="AJ59">
        <v>15003</v>
      </c>
      <c r="AK59">
        <v>0</v>
      </c>
      <c r="AL59">
        <v>5119</v>
      </c>
      <c r="AM59">
        <v>0</v>
      </c>
      <c r="AN59">
        <v>0</v>
      </c>
      <c r="AO59">
        <v>0</v>
      </c>
      <c r="AP59">
        <v>0</v>
      </c>
      <c r="AQ59">
        <v>15014</v>
      </c>
      <c r="AR59">
        <v>0</v>
      </c>
      <c r="AS59">
        <v>0</v>
      </c>
      <c r="AT59">
        <v>7580.67</v>
      </c>
      <c r="AU59">
        <v>0</v>
      </c>
      <c r="AV59">
        <v>10122</v>
      </c>
      <c r="AW59">
        <v>4708.88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7500</v>
      </c>
      <c r="BJ59">
        <v>1352028.13</v>
      </c>
      <c r="CF59">
        <v>0.76995438500099589</v>
      </c>
      <c r="CN59">
        <v>-0.28852334013732739</v>
      </c>
      <c r="FR59">
        <v>1210.4506401219548</v>
      </c>
    </row>
    <row r="60" spans="2:193" ht="15" customHeight="1">
      <c r="J60" t="s">
        <v>171</v>
      </c>
      <c r="N60">
        <v>34354.25</v>
      </c>
      <c r="O60">
        <v>0</v>
      </c>
      <c r="P60">
        <v>0</v>
      </c>
      <c r="Q60">
        <v>40422.9</v>
      </c>
      <c r="R60">
        <v>691693.5199999999</v>
      </c>
      <c r="S60">
        <v>238628.04999999996</v>
      </c>
      <c r="T60">
        <v>93336.01</v>
      </c>
      <c r="U60">
        <v>428733.14749999996</v>
      </c>
      <c r="V60">
        <v>125449.01250000001</v>
      </c>
      <c r="W60">
        <v>115507.44999999998</v>
      </c>
      <c r="X60">
        <v>0</v>
      </c>
      <c r="Y60">
        <v>165031.53</v>
      </c>
      <c r="Z60">
        <v>0</v>
      </c>
      <c r="AA60">
        <v>0</v>
      </c>
      <c r="AB60">
        <v>113075.49</v>
      </c>
      <c r="AC60">
        <v>22791.46</v>
      </c>
      <c r="AD60">
        <v>0</v>
      </c>
      <c r="AE60">
        <v>0</v>
      </c>
      <c r="AF60">
        <v>37500</v>
      </c>
      <c r="AG60">
        <v>0</v>
      </c>
      <c r="AH60">
        <v>105044.45</v>
      </c>
      <c r="AI60">
        <v>0</v>
      </c>
      <c r="AJ60">
        <v>15003</v>
      </c>
      <c r="AK60">
        <v>0</v>
      </c>
      <c r="AL60">
        <v>10235</v>
      </c>
      <c r="AM60">
        <v>0</v>
      </c>
      <c r="AN60">
        <v>0</v>
      </c>
      <c r="AO60">
        <v>0</v>
      </c>
      <c r="AP60">
        <v>0</v>
      </c>
      <c r="AQ60">
        <v>30036</v>
      </c>
      <c r="AR60">
        <v>0</v>
      </c>
      <c r="AS60">
        <v>0</v>
      </c>
      <c r="AT60">
        <v>22749.010000000002</v>
      </c>
      <c r="AU60">
        <v>0</v>
      </c>
      <c r="AV60">
        <v>20362</v>
      </c>
      <c r="AW60">
        <v>4708.88</v>
      </c>
      <c r="AX60">
        <v>20324.900000000001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97375</v>
      </c>
      <c r="BJ60">
        <v>2432361.0599999996</v>
      </c>
      <c r="BK60">
        <v>0</v>
      </c>
      <c r="CF60">
        <v>0.42411360536070936</v>
      </c>
      <c r="CN60">
        <v>-0.29618071726949119</v>
      </c>
    </row>
    <row r="62" spans="2:193" ht="15" customHeight="1">
      <c r="L62" t="s">
        <v>172</v>
      </c>
      <c r="CF62">
        <v>0.76079080708234514</v>
      </c>
    </row>
    <row r="63" spans="2:193" ht="15" customHeight="1">
      <c r="L63" t="s">
        <v>173</v>
      </c>
      <c r="N63">
        <v>32041.29</v>
      </c>
      <c r="O63">
        <v>0</v>
      </c>
      <c r="P63">
        <v>0</v>
      </c>
      <c r="Q63">
        <v>38073.69</v>
      </c>
      <c r="R63">
        <v>249358.13</v>
      </c>
      <c r="S63">
        <v>165544.56485483871</v>
      </c>
      <c r="T63">
        <v>131618.940832416</v>
      </c>
      <c r="U63">
        <v>139770.26857224957</v>
      </c>
      <c r="V63">
        <v>29457.647813629439</v>
      </c>
      <c r="W63">
        <v>59927.442715743819</v>
      </c>
      <c r="X63">
        <v>1370.3389999999999</v>
      </c>
      <c r="Y63">
        <v>89226.137200000012</v>
      </c>
      <c r="Z63">
        <v>0</v>
      </c>
      <c r="AA63">
        <v>0</v>
      </c>
      <c r="AB63">
        <v>84748.566223959991</v>
      </c>
      <c r="AC63">
        <v>7502.36</v>
      </c>
      <c r="AD63">
        <v>0</v>
      </c>
      <c r="AE63">
        <v>0</v>
      </c>
      <c r="AF63">
        <v>0</v>
      </c>
      <c r="AG63">
        <v>0</v>
      </c>
      <c r="AH63">
        <v>37525.47</v>
      </c>
      <c r="AI63">
        <v>0</v>
      </c>
      <c r="AJ63">
        <v>7503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15168.34</v>
      </c>
      <c r="AU63">
        <v>0</v>
      </c>
      <c r="AV63">
        <v>0</v>
      </c>
      <c r="AW63">
        <v>4708.88</v>
      </c>
      <c r="AX63">
        <v>15224.91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44868</v>
      </c>
      <c r="BJ63">
        <v>1153637.9772128374</v>
      </c>
      <c r="CF63">
        <v>2.3892350000000002</v>
      </c>
    </row>
    <row r="64" spans="2:193" ht="15" customHeight="1">
      <c r="L64" t="s">
        <v>174</v>
      </c>
      <c r="S64">
        <v>102735.0348548387</v>
      </c>
      <c r="T64">
        <v>100693.560832416</v>
      </c>
      <c r="U64">
        <v>16887.328572249571</v>
      </c>
      <c r="V64">
        <v>21953.02781362944</v>
      </c>
      <c r="W64">
        <v>27373.02271574382</v>
      </c>
      <c r="X64">
        <v>1370.3389999999999</v>
      </c>
      <c r="Y64">
        <v>21712.377199999999</v>
      </c>
      <c r="AB64">
        <v>47045.816223959991</v>
      </c>
      <c r="BJ64">
        <v>339770.50721283746</v>
      </c>
    </row>
    <row r="65" spans="12:62" ht="15" customHeight="1">
      <c r="L65" t="s">
        <v>175</v>
      </c>
      <c r="N65">
        <v>32041.29</v>
      </c>
      <c r="O65">
        <v>0</v>
      </c>
      <c r="P65">
        <v>0</v>
      </c>
      <c r="Q65">
        <v>38073.69</v>
      </c>
      <c r="R65">
        <v>241746.41</v>
      </c>
      <c r="S65">
        <v>4517.3900000000003</v>
      </c>
      <c r="T65">
        <v>3011.6</v>
      </c>
      <c r="AB65">
        <v>7466.14</v>
      </c>
      <c r="AH65">
        <v>7508.53</v>
      </c>
      <c r="AT65">
        <v>7553.14</v>
      </c>
      <c r="AX65">
        <v>5204.95</v>
      </c>
      <c r="BI65">
        <v>15004</v>
      </c>
      <c r="BJ65">
        <v>362127.14000000007</v>
      </c>
    </row>
    <row r="66" spans="12:62" ht="15" customHeight="1">
      <c r="L66" t="s">
        <v>176</v>
      </c>
      <c r="R66">
        <v>7611.72</v>
      </c>
      <c r="S66">
        <v>58292.14</v>
      </c>
      <c r="T66">
        <v>27913.78</v>
      </c>
      <c r="U66">
        <v>122882.94</v>
      </c>
      <c r="V66">
        <v>7504.62</v>
      </c>
      <c r="W66">
        <v>32554.42</v>
      </c>
      <c r="Y66">
        <v>67513.760000000009</v>
      </c>
      <c r="AB66">
        <v>30236.61</v>
      </c>
      <c r="AC66">
        <v>7502.36</v>
      </c>
      <c r="AH66">
        <v>30016.94</v>
      </c>
      <c r="AJ66">
        <v>7503</v>
      </c>
      <c r="AT66">
        <v>7615.2</v>
      </c>
      <c r="AW66">
        <v>4708.88</v>
      </c>
      <c r="AX66">
        <v>10019.959999999999</v>
      </c>
      <c r="BI66">
        <v>29864</v>
      </c>
      <c r="BJ66">
        <v>451740.33</v>
      </c>
    </row>
    <row r="67" spans="12:62" ht="15" customHeight="1">
      <c r="L67" t="s">
        <v>177</v>
      </c>
      <c r="N67">
        <v>31631.428541608708</v>
      </c>
      <c r="O67">
        <v>0</v>
      </c>
      <c r="P67">
        <v>0</v>
      </c>
      <c r="Q67">
        <v>37816.198806847126</v>
      </c>
      <c r="R67">
        <v>571737.37265154417</v>
      </c>
      <c r="S67">
        <v>205688</v>
      </c>
      <c r="T67">
        <v>100019</v>
      </c>
      <c r="U67">
        <v>443660</v>
      </c>
      <c r="V67">
        <v>184064.5</v>
      </c>
      <c r="W67">
        <v>164945</v>
      </c>
      <c r="X67">
        <v>0</v>
      </c>
      <c r="Y67">
        <v>192463</v>
      </c>
      <c r="Z67">
        <v>0</v>
      </c>
      <c r="AA67">
        <v>0</v>
      </c>
      <c r="AB67">
        <v>76294.66</v>
      </c>
      <c r="AC67">
        <v>15289.1</v>
      </c>
      <c r="AD67">
        <v>0</v>
      </c>
      <c r="AE67">
        <v>0</v>
      </c>
      <c r="AF67">
        <v>37500</v>
      </c>
      <c r="AG67">
        <v>0</v>
      </c>
      <c r="AH67">
        <v>67518.98000000001</v>
      </c>
      <c r="AI67">
        <v>0</v>
      </c>
      <c r="AJ67">
        <v>15047</v>
      </c>
      <c r="AK67">
        <v>0</v>
      </c>
      <c r="AL67">
        <v>10235</v>
      </c>
      <c r="AM67">
        <v>0</v>
      </c>
      <c r="AN67">
        <v>0</v>
      </c>
      <c r="AO67">
        <v>0</v>
      </c>
      <c r="AP67">
        <v>0</v>
      </c>
      <c r="AQ67">
        <v>30036</v>
      </c>
      <c r="AR67">
        <v>0</v>
      </c>
      <c r="AS67">
        <v>0</v>
      </c>
      <c r="AT67">
        <v>22645.040000000001</v>
      </c>
      <c r="AU67">
        <v>0</v>
      </c>
      <c r="AV67">
        <v>20362</v>
      </c>
      <c r="AW67">
        <v>0</v>
      </c>
      <c r="AX67">
        <v>10199.92</v>
      </c>
      <c r="AY67">
        <v>0</v>
      </c>
      <c r="AZ67">
        <v>0</v>
      </c>
      <c r="BA67">
        <v>0</v>
      </c>
      <c r="BB67">
        <v>65078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97520</v>
      </c>
      <c r="BJ67">
        <v>2399750.2000000002</v>
      </c>
    </row>
    <row r="68" spans="12:62" ht="15" customHeight="1">
      <c r="L68" t="s">
        <v>361</v>
      </c>
    </row>
    <row r="69" spans="12:62" ht="15" customHeight="1">
      <c r="L69" t="s">
        <v>174</v>
      </c>
      <c r="S69">
        <v>80904.648968159192</v>
      </c>
      <c r="T69">
        <v>98139.307023797504</v>
      </c>
      <c r="U69">
        <v>99914.85</v>
      </c>
      <c r="V69">
        <v>43681.79</v>
      </c>
      <c r="W69">
        <v>71947.570000000007</v>
      </c>
      <c r="X69">
        <v>1370.3389999999999</v>
      </c>
      <c r="Y69">
        <v>56646</v>
      </c>
      <c r="AB69">
        <v>10419.49622395997</v>
      </c>
      <c r="BJ69">
        <v>463024.00121591665</v>
      </c>
    </row>
    <row r="70" spans="12:62" ht="15" customHeight="1">
      <c r="L70" t="s">
        <v>175</v>
      </c>
      <c r="N70">
        <v>27281.96</v>
      </c>
      <c r="O70">
        <v>0</v>
      </c>
      <c r="P70">
        <v>0</v>
      </c>
      <c r="Q70">
        <v>33304.36</v>
      </c>
      <c r="R70">
        <v>132792.5</v>
      </c>
      <c r="V70">
        <v>29813.7</v>
      </c>
      <c r="Y70">
        <v>22503.9</v>
      </c>
      <c r="AB70">
        <v>7540.53</v>
      </c>
      <c r="AT70">
        <v>7462.2</v>
      </c>
      <c r="BB70">
        <v>17524</v>
      </c>
      <c r="BI70">
        <v>22508</v>
      </c>
      <c r="BJ70">
        <v>300731.15000000002</v>
      </c>
    </row>
    <row r="71" spans="12:62" ht="15" customHeight="1">
      <c r="L71" t="s">
        <v>176</v>
      </c>
      <c r="S71">
        <v>50733.86</v>
      </c>
      <c r="T71">
        <v>38024.75</v>
      </c>
      <c r="U71">
        <v>54428.51</v>
      </c>
      <c r="V71">
        <v>27826.880000000001</v>
      </c>
      <c r="W71">
        <v>53569.77</v>
      </c>
      <c r="Y71">
        <v>37507.22</v>
      </c>
      <c r="AB71">
        <v>29774.12</v>
      </c>
      <c r="AJ71">
        <v>7521</v>
      </c>
      <c r="AT71">
        <v>7602.17</v>
      </c>
      <c r="AX71">
        <v>5099.93</v>
      </c>
      <c r="BB71">
        <v>47554</v>
      </c>
      <c r="BI71">
        <v>22505</v>
      </c>
      <c r="BJ71">
        <v>382147.20999999996</v>
      </c>
    </row>
    <row r="72" spans="12:62" ht="15" hidden="1" customHeight="1">
      <c r="L72" t="s">
        <v>179</v>
      </c>
      <c r="N72">
        <v>34354.25</v>
      </c>
      <c r="O72">
        <v>0</v>
      </c>
      <c r="P72">
        <v>0</v>
      </c>
      <c r="Q72">
        <v>40422.9</v>
      </c>
      <c r="R72">
        <v>691693.5199999999</v>
      </c>
      <c r="S72">
        <v>238628.04999999996</v>
      </c>
      <c r="T72">
        <v>93336.01</v>
      </c>
      <c r="U72">
        <v>428733.14749999996</v>
      </c>
      <c r="V72">
        <v>125449.01250000001</v>
      </c>
      <c r="W72">
        <v>115507.44999999998</v>
      </c>
      <c r="X72">
        <v>0</v>
      </c>
      <c r="Y72">
        <v>165031.53</v>
      </c>
      <c r="Z72">
        <v>0</v>
      </c>
      <c r="AA72">
        <v>0</v>
      </c>
      <c r="AB72">
        <v>113075.49</v>
      </c>
      <c r="AC72">
        <v>22791.46</v>
      </c>
      <c r="AD72">
        <v>0</v>
      </c>
      <c r="AE72">
        <v>0</v>
      </c>
      <c r="AF72">
        <v>37500</v>
      </c>
      <c r="AG72">
        <v>0</v>
      </c>
      <c r="AH72">
        <v>105044.45</v>
      </c>
      <c r="AI72">
        <v>0</v>
      </c>
      <c r="AJ72">
        <v>15003</v>
      </c>
      <c r="AK72">
        <v>0</v>
      </c>
      <c r="AL72">
        <v>10235</v>
      </c>
      <c r="AM72">
        <v>0</v>
      </c>
      <c r="AN72">
        <v>0</v>
      </c>
      <c r="AO72">
        <v>0</v>
      </c>
      <c r="AP72">
        <v>0</v>
      </c>
      <c r="AQ72">
        <v>30036</v>
      </c>
      <c r="AR72">
        <v>0</v>
      </c>
      <c r="AS72">
        <v>0</v>
      </c>
      <c r="AT72">
        <v>22749.010000000002</v>
      </c>
      <c r="AU72">
        <v>0</v>
      </c>
      <c r="AV72">
        <v>20362</v>
      </c>
      <c r="AW72">
        <v>4708.88</v>
      </c>
      <c r="AX72">
        <v>20324.900000000001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97375</v>
      </c>
      <c r="BJ72">
        <v>2432361.0599999991</v>
      </c>
    </row>
    <row r="73" spans="12:62" ht="15" hidden="1" customHeight="1">
      <c r="L73" t="s">
        <v>180</v>
      </c>
      <c r="N73">
        <v>31631</v>
      </c>
      <c r="O73">
        <v>0</v>
      </c>
      <c r="P73">
        <v>0</v>
      </c>
      <c r="Q73">
        <v>37816</v>
      </c>
      <c r="R73">
        <v>571737</v>
      </c>
      <c r="S73">
        <v>205687.78</v>
      </c>
      <c r="T73">
        <v>100018.56</v>
      </c>
      <c r="U73">
        <v>443660.32</v>
      </c>
      <c r="V73">
        <v>184064.04</v>
      </c>
      <c r="W73">
        <v>164945.35999999999</v>
      </c>
      <c r="X73">
        <v>0</v>
      </c>
      <c r="Y73">
        <v>192463</v>
      </c>
      <c r="Z73">
        <v>0</v>
      </c>
      <c r="AA73">
        <v>0</v>
      </c>
      <c r="AB73">
        <v>76294.17</v>
      </c>
      <c r="AC73">
        <v>15289.1</v>
      </c>
      <c r="AE73">
        <v>0</v>
      </c>
      <c r="AF73">
        <v>37500</v>
      </c>
      <c r="AG73">
        <v>0</v>
      </c>
      <c r="AH73">
        <v>67518.98</v>
      </c>
      <c r="AJ73">
        <v>15047</v>
      </c>
      <c r="AL73">
        <v>10235</v>
      </c>
      <c r="AM73">
        <v>0</v>
      </c>
      <c r="AQ73">
        <v>30036</v>
      </c>
      <c r="AS73">
        <v>0</v>
      </c>
      <c r="AT73">
        <v>22645.040000000001</v>
      </c>
      <c r="AU73">
        <v>0</v>
      </c>
      <c r="AV73">
        <v>20362</v>
      </c>
      <c r="AW73">
        <v>0</v>
      </c>
      <c r="AX73">
        <v>10199.92</v>
      </c>
      <c r="AY73">
        <v>0</v>
      </c>
      <c r="AZ73">
        <v>0</v>
      </c>
      <c r="BA73">
        <v>0</v>
      </c>
      <c r="BB73">
        <v>65078</v>
      </c>
      <c r="BI73">
        <v>97520</v>
      </c>
      <c r="BJ73">
        <v>2399748.27</v>
      </c>
    </row>
    <row r="74" spans="12:62" ht="15" hidden="1" customHeight="1">
      <c r="L74" t="s">
        <v>181</v>
      </c>
      <c r="N74">
        <v>0.42854160870774649</v>
      </c>
      <c r="O74">
        <v>0</v>
      </c>
      <c r="P74">
        <v>0</v>
      </c>
      <c r="Q74">
        <v>0.19880684712552465</v>
      </c>
      <c r="R74">
        <v>0.37265154416672885</v>
      </c>
      <c r="S74">
        <v>0.22000000000116415</v>
      </c>
      <c r="T74">
        <v>0.44000000000232831</v>
      </c>
      <c r="U74">
        <v>-0.32000000000698492</v>
      </c>
      <c r="V74">
        <v>0.45999999999185093</v>
      </c>
      <c r="W74">
        <v>-0.35999999998603016</v>
      </c>
      <c r="X74">
        <v>0</v>
      </c>
      <c r="Y74">
        <v>0</v>
      </c>
      <c r="Z74">
        <v>0</v>
      </c>
      <c r="AA74">
        <v>0</v>
      </c>
      <c r="AB74">
        <v>0.49000000000523869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1.930000000007567</v>
      </c>
    </row>
    <row r="75" spans="12:62" ht="15" hidden="1" customHeight="1">
      <c r="L75" t="s">
        <v>182</v>
      </c>
    </row>
    <row r="76" spans="12:62" ht="15" hidden="1" customHeight="1">
      <c r="L76" t="s">
        <v>183</v>
      </c>
      <c r="N76">
        <v>27282.388541608707</v>
      </c>
      <c r="O76">
        <v>0</v>
      </c>
      <c r="P76">
        <v>0</v>
      </c>
      <c r="Q76">
        <v>33304.558806847133</v>
      </c>
      <c r="R76">
        <v>132792.87265154417</v>
      </c>
      <c r="S76">
        <v>131638.72896815915</v>
      </c>
      <c r="T76">
        <v>136164.49702379748</v>
      </c>
      <c r="U76">
        <v>154343.04000000004</v>
      </c>
      <c r="V76">
        <v>101322.82999999999</v>
      </c>
      <c r="W76">
        <v>125516.98000000001</v>
      </c>
      <c r="X76">
        <v>1370.3389999999999</v>
      </c>
      <c r="Y76">
        <v>116657.12000000002</v>
      </c>
      <c r="Z76">
        <v>0</v>
      </c>
      <c r="AA76">
        <v>0</v>
      </c>
      <c r="AB76">
        <v>47734.636223959955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7521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15064.370000000003</v>
      </c>
      <c r="AU76">
        <v>0</v>
      </c>
      <c r="AV76">
        <v>0</v>
      </c>
      <c r="AW76">
        <v>0</v>
      </c>
      <c r="AX76">
        <v>5099.93</v>
      </c>
      <c r="AY76">
        <v>0</v>
      </c>
      <c r="AZ76">
        <v>0</v>
      </c>
      <c r="BA76">
        <v>0</v>
      </c>
      <c r="BB76">
        <v>65078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45013</v>
      </c>
      <c r="BJ76">
        <v>1145904.2912159166</v>
      </c>
    </row>
    <row r="77" spans="12:62" ht="15" hidden="1" customHeight="1"/>
    <row r="78" spans="12:62" ht="15" hidden="1" customHeight="1"/>
    <row r="79" spans="12:62" ht="15" hidden="1" customHeight="1"/>
    <row r="80" spans="12:62" ht="15" hidden="1" customHeight="1"/>
    <row r="81" ht="15" hidden="1" customHeight="1"/>
    <row r="82" ht="15" hidden="1" customHeight="1"/>
    <row r="83" ht="15" hidden="1" customHeight="1"/>
    <row r="84" ht="15" hidden="1" customHeight="1"/>
    <row r="85" ht="15" hidden="1" customHeight="1"/>
    <row r="86" ht="15" hidden="1" customHeight="1"/>
    <row r="87" ht="15" hidden="1" customHeight="1"/>
    <row r="88" ht="15" hidden="1" customHeight="1"/>
    <row r="89" ht="15" hidden="1" customHeight="1"/>
    <row r="90" ht="15" hidden="1" customHeight="1"/>
    <row r="91" ht="15" hidden="1" customHeight="1"/>
    <row r="92" ht="15" hidden="1" customHeight="1"/>
    <row r="93" ht="15" hidden="1" customHeight="1"/>
    <row r="94" ht="15" hidden="1" customHeight="1"/>
    <row r="95" ht="15" hidden="1" customHeight="1"/>
    <row r="96" ht="15" hidden="1" customHeight="1"/>
    <row r="97" ht="15" hidden="1" customHeight="1"/>
    <row r="98" ht="15" hidden="1" customHeight="1"/>
    <row r="99" ht="15" hidden="1" customHeight="1"/>
    <row r="100" ht="15" hidden="1" customHeight="1"/>
    <row r="101" ht="15" hidden="1" customHeight="1"/>
    <row r="102" ht="15" hidden="1" customHeight="1"/>
    <row r="103" ht="15" hidden="1" customHeight="1"/>
    <row r="104" ht="15" hidden="1" customHeight="1"/>
    <row r="105" ht="15" hidden="1" customHeight="1"/>
    <row r="106" ht="15" hidden="1" customHeight="1"/>
    <row r="107" ht="15" hidden="1" customHeight="1"/>
    <row r="108" ht="15" hidden="1" customHeight="1"/>
    <row r="109" ht="15" hidden="1" customHeight="1"/>
    <row r="110" ht="15" hidden="1" customHeight="1"/>
    <row r="111" ht="15" hidden="1" customHeight="1"/>
    <row r="112" ht="15" hidden="1" customHeight="1"/>
    <row r="113" ht="15" hidden="1" customHeight="1"/>
    <row r="114" ht="15" hidden="1" customHeight="1"/>
    <row r="115" ht="15" hidden="1" customHeight="1"/>
    <row r="116" ht="15" hidden="1" customHeight="1"/>
    <row r="117" ht="15" hidden="1" customHeight="1"/>
    <row r="118" ht="15" hidden="1" customHeight="1"/>
    <row r="119" ht="15" hidden="1" customHeight="1"/>
    <row r="120" ht="15" hidden="1" customHeight="1"/>
    <row r="121" ht="15" hidden="1" customHeight="1"/>
    <row r="122" ht="15" hidden="1" customHeight="1"/>
    <row r="123" ht="15" hidden="1" customHeight="1"/>
    <row r="124" ht="15" hidden="1" customHeight="1"/>
    <row r="125" ht="15" hidden="1" customHeight="1"/>
    <row r="126" ht="15" hidden="1" customHeight="1"/>
    <row r="127" ht="15" hidden="1" customHeight="1"/>
    <row r="128" ht="15" hidden="1" customHeight="1"/>
    <row r="129" ht="15" hidden="1" customHeight="1"/>
    <row r="130" ht="15" hidden="1" customHeight="1"/>
    <row r="131" ht="15" hidden="1" customHeight="1"/>
    <row r="132" ht="15" hidden="1" customHeight="1"/>
    <row r="133" ht="15" hidden="1" customHeight="1"/>
    <row r="134" ht="15" hidden="1" customHeight="1"/>
    <row r="135" ht="15" hidden="1" customHeight="1"/>
    <row r="136" ht="15" hidden="1" customHeight="1"/>
    <row r="137" ht="15" hidden="1" customHeight="1"/>
    <row r="138" ht="15" hidden="1" customHeight="1"/>
    <row r="139" ht="15" hidden="1" customHeight="1"/>
    <row r="140" ht="15" hidden="1" customHeight="1"/>
    <row r="141" ht="15" hidden="1" customHeight="1"/>
    <row r="142" ht="15" hidden="1" customHeight="1"/>
    <row r="143" ht="15" hidden="1" customHeight="1"/>
    <row r="144" ht="15" hidden="1" customHeight="1"/>
    <row r="145" ht="15" hidden="1" customHeight="1"/>
    <row r="146" ht="15" hidden="1" customHeight="1"/>
    <row r="147" ht="15" hidden="1" customHeight="1"/>
    <row r="148" ht="15" hidden="1" customHeight="1"/>
    <row r="149" ht="15" hidden="1" customHeight="1"/>
    <row r="150" ht="15" hidden="1" customHeight="1"/>
    <row r="151" ht="15" hidden="1" customHeight="1"/>
    <row r="152" ht="15" hidden="1" customHeight="1"/>
    <row r="153" ht="15" hidden="1" customHeight="1"/>
    <row r="154" ht="15" hidden="1" customHeight="1"/>
    <row r="155" ht="15" hidden="1" customHeight="1"/>
    <row r="156" ht="15" hidden="1" customHeight="1"/>
    <row r="157" ht="15" hidden="1" customHeight="1"/>
    <row r="158" ht="15" hidden="1" customHeight="1"/>
    <row r="159" ht="15" hidden="1" customHeight="1"/>
    <row r="160" ht="15" hidden="1" customHeight="1"/>
    <row r="161" ht="15" hidden="1" customHeight="1"/>
    <row r="162" ht="15" hidden="1" customHeight="1"/>
    <row r="163" ht="15" hidden="1" customHeight="1"/>
    <row r="164" ht="15" hidden="1" customHeight="1"/>
    <row r="165" ht="15" hidden="1" customHeight="1"/>
    <row r="166" ht="15" hidden="1" customHeight="1"/>
    <row r="167" ht="15" hidden="1" customHeight="1"/>
    <row r="168" ht="15" hidden="1" customHeight="1"/>
    <row r="169" ht="15" hidden="1" customHeight="1"/>
    <row r="170" ht="15" hidden="1" customHeight="1"/>
    <row r="171" ht="15" hidden="1" customHeight="1"/>
    <row r="172" ht="15" hidden="1" customHeight="1"/>
    <row r="173" ht="15" hidden="1" customHeight="1"/>
    <row r="174" ht="15" hidden="1" customHeight="1"/>
    <row r="175" ht="15" hidden="1" customHeight="1"/>
    <row r="176" ht="15" hidden="1" customHeight="1"/>
    <row r="177" ht="15" hidden="1" customHeight="1"/>
    <row r="178" ht="15" hidden="1" customHeight="1"/>
    <row r="179" ht="15" hidden="1" customHeight="1"/>
    <row r="180" ht="15" hidden="1" customHeight="1"/>
    <row r="181" ht="15" hidden="1" customHeight="1"/>
    <row r="182" ht="15" hidden="1" customHeight="1"/>
    <row r="183" ht="15" hidden="1" customHeight="1"/>
    <row r="184" ht="15" hidden="1" customHeight="1"/>
    <row r="185" ht="15" hidden="1" customHeight="1"/>
    <row r="186" ht="15" hidden="1" customHeight="1"/>
    <row r="187" ht="15" hidden="1" customHeight="1"/>
    <row r="188" ht="15" hidden="1" customHeight="1"/>
    <row r="189" ht="15" hidden="1" customHeight="1"/>
    <row r="190" ht="15" hidden="1" customHeight="1"/>
    <row r="191" ht="15" hidden="1" customHeight="1"/>
    <row r="192" ht="15" hidden="1" customHeight="1"/>
    <row r="193" ht="15" hidden="1" customHeight="1"/>
    <row r="194" ht="15" hidden="1" customHeight="1"/>
    <row r="195" ht="15" hidden="1" customHeight="1"/>
    <row r="196" ht="15" hidden="1" customHeight="1"/>
    <row r="197" ht="15" hidden="1" customHeight="1"/>
    <row r="198" ht="15" hidden="1" customHeight="1"/>
    <row r="199" ht="15" hidden="1" customHeight="1"/>
    <row r="200" ht="15" hidden="1" customHeight="1"/>
    <row r="201" ht="15" hidden="1" customHeight="1"/>
    <row r="202" ht="15" hidden="1" customHeight="1"/>
    <row r="203" ht="15" hidden="1" customHeight="1"/>
    <row r="204" ht="15" hidden="1" customHeight="1"/>
    <row r="205" ht="15" hidden="1" customHeight="1"/>
    <row r="206" ht="15" hidden="1" customHeight="1"/>
    <row r="207" ht="15" hidden="1" customHeight="1"/>
    <row r="208" ht="15" hidden="1" customHeight="1"/>
    <row r="209" ht="15" hidden="1" customHeight="1"/>
    <row r="210" ht="15" hidden="1" customHeight="1"/>
    <row r="211" ht="15" hidden="1" customHeight="1"/>
    <row r="212" ht="15" hidden="1" customHeight="1"/>
    <row r="213" ht="15" hidden="1" customHeight="1"/>
    <row r="214" ht="15" hidden="1" customHeight="1"/>
    <row r="215" ht="15" hidden="1" customHeight="1"/>
    <row r="216" ht="15" hidden="1" customHeight="1"/>
    <row r="217" ht="15" hidden="1" customHeight="1"/>
    <row r="218" ht="15" hidden="1" customHeight="1"/>
    <row r="219" ht="15" hidden="1" customHeight="1"/>
    <row r="220" ht="15" hidden="1" customHeight="1"/>
    <row r="221" ht="15" hidden="1" customHeight="1"/>
    <row r="222" ht="15" hidden="1" customHeight="1"/>
    <row r="223" ht="15" hidden="1" customHeight="1"/>
    <row r="224" ht="15" hidden="1" customHeight="1"/>
    <row r="225" ht="15" hidden="1" customHeight="1"/>
    <row r="226" ht="15" hidden="1" customHeight="1"/>
    <row r="227" ht="15" hidden="1" customHeight="1"/>
    <row r="228" ht="15" hidden="1" customHeight="1"/>
    <row r="229" ht="15" hidden="1" customHeight="1"/>
    <row r="230" ht="15" hidden="1" customHeight="1"/>
    <row r="231" ht="15" hidden="1" customHeight="1"/>
    <row r="232" ht="15" hidden="1" customHeight="1"/>
    <row r="233" ht="15" hidden="1" customHeight="1"/>
    <row r="234" ht="15" hidden="1" customHeight="1"/>
    <row r="235" ht="15" hidden="1" customHeight="1"/>
    <row r="236" ht="15" hidden="1" customHeight="1"/>
    <row r="237" ht="15" hidden="1" customHeight="1"/>
    <row r="238" ht="15" hidden="1" customHeight="1"/>
    <row r="239" ht="15" hidden="1" customHeight="1"/>
    <row r="240" ht="15" hidden="1" customHeight="1"/>
    <row r="241" ht="15" hidden="1" customHeight="1"/>
    <row r="242" ht="15" hidden="1" customHeight="1"/>
    <row r="243" ht="15" hidden="1" customHeight="1"/>
    <row r="244" ht="15" hidden="1" customHeight="1"/>
    <row r="245" ht="15" hidden="1" customHeight="1"/>
    <row r="246" ht="15" hidden="1" customHeight="1"/>
    <row r="247" ht="15" hidden="1" customHeight="1"/>
    <row r="248" ht="15" hidden="1" customHeight="1"/>
    <row r="249" ht="15" hidden="1" customHeight="1"/>
    <row r="250" ht="15" hidden="1" customHeight="1"/>
    <row r="251" ht="15" hidden="1" customHeight="1"/>
    <row r="252" ht="15" hidden="1" customHeight="1"/>
    <row r="253" ht="15" hidden="1" customHeight="1"/>
    <row r="254" ht="15" hidden="1" customHeight="1"/>
    <row r="255" ht="15" hidden="1" customHeight="1"/>
    <row r="256" ht="15" hidden="1" customHeight="1"/>
    <row r="257" ht="15" hidden="1" customHeight="1"/>
    <row r="258" ht="15" hidden="1" customHeight="1"/>
    <row r="259" ht="15" hidden="1" customHeight="1"/>
    <row r="260" ht="15" hidden="1" customHeight="1"/>
    <row r="261" ht="15" hidden="1" customHeight="1"/>
    <row r="262" ht="15" hidden="1" customHeight="1"/>
    <row r="263" ht="15" hidden="1" customHeight="1"/>
    <row r="264" ht="15" hidden="1" customHeight="1"/>
    <row r="265" ht="15" hidden="1" customHeight="1"/>
    <row r="266" ht="15" hidden="1" customHeight="1"/>
    <row r="267" ht="15" hidden="1" customHeight="1"/>
    <row r="268" ht="15" hidden="1" customHeight="1"/>
    <row r="269" ht="15" hidden="1" customHeight="1"/>
    <row r="270" ht="15" hidden="1" customHeight="1"/>
    <row r="271" ht="15" hidden="1" customHeight="1"/>
    <row r="272" ht="15" hidden="1" customHeight="1"/>
    <row r="273" ht="15" hidden="1" customHeight="1"/>
    <row r="274" ht="15" hidden="1" customHeight="1"/>
    <row r="275" ht="15" hidden="1" customHeight="1"/>
    <row r="276" ht="15" hidden="1" customHeight="1"/>
    <row r="277" ht="15" hidden="1" customHeight="1"/>
    <row r="278" ht="15" hidden="1" customHeight="1"/>
    <row r="279" ht="15" hidden="1" customHeight="1"/>
    <row r="280" ht="15" hidden="1" customHeight="1"/>
    <row r="281" ht="15" hidden="1" customHeight="1"/>
    <row r="282" ht="15" hidden="1" customHeight="1"/>
    <row r="283" ht="15" hidden="1" customHeight="1"/>
    <row r="284" ht="15" hidden="1" customHeight="1"/>
    <row r="285" ht="15" hidden="1" customHeight="1"/>
    <row r="286" ht="15" hidden="1" customHeight="1"/>
    <row r="287" ht="15" hidden="1" customHeight="1"/>
    <row r="288" ht="15" hidden="1" customHeight="1"/>
    <row r="289" ht="15" hidden="1" customHeight="1"/>
    <row r="290" ht="15" hidden="1" customHeight="1"/>
    <row r="291" ht="15" hidden="1" customHeight="1"/>
    <row r="292" ht="15" hidden="1" customHeight="1"/>
    <row r="293" ht="15" hidden="1" customHeight="1"/>
    <row r="294" ht="15" hidden="1" customHeight="1"/>
    <row r="295" ht="15" hidden="1" customHeight="1"/>
    <row r="296" ht="15" hidden="1" customHeight="1"/>
    <row r="297" ht="15" hidden="1" customHeight="1"/>
    <row r="298" ht="15" hidden="1" customHeight="1"/>
    <row r="299" ht="15" hidden="1" customHeight="1"/>
    <row r="300" ht="15" hidden="1" customHeight="1"/>
    <row r="301" ht="15" hidden="1" customHeight="1"/>
    <row r="302" ht="15" hidden="1" customHeight="1"/>
    <row r="303" ht="15" hidden="1" customHeight="1"/>
    <row r="304" ht="15" hidden="1" customHeight="1"/>
    <row r="305" ht="15" hidden="1" customHeight="1"/>
    <row r="306" ht="15" hidden="1" customHeight="1"/>
    <row r="307" ht="15" hidden="1" customHeight="1"/>
    <row r="308" ht="15" hidden="1" customHeight="1"/>
    <row r="309" ht="15" hidden="1" customHeight="1"/>
    <row r="310" ht="15" hidden="1" customHeight="1"/>
    <row r="311" ht="15" hidden="1" customHeight="1"/>
    <row r="312" ht="15" hidden="1" customHeight="1"/>
    <row r="313" ht="15" hidden="1" customHeight="1"/>
    <row r="314" ht="15" hidden="1" customHeight="1"/>
    <row r="315" ht="15" hidden="1" customHeight="1"/>
    <row r="316" ht="15" hidden="1" customHeight="1"/>
    <row r="317" ht="15" hidden="1" customHeight="1"/>
    <row r="318" ht="15" hidden="1" customHeight="1"/>
    <row r="319" ht="15" hidden="1" customHeight="1"/>
    <row r="320" ht="15" hidden="1" customHeight="1"/>
    <row r="321" ht="15" hidden="1" customHeight="1"/>
    <row r="322" ht="15" hidden="1" customHeight="1"/>
    <row r="323" ht="15" hidden="1" customHeight="1"/>
    <row r="324" ht="15" hidden="1" customHeight="1"/>
    <row r="325" ht="15" hidden="1" customHeight="1"/>
    <row r="326" ht="15" hidden="1" customHeight="1"/>
    <row r="327" ht="15" hidden="1" customHeight="1"/>
    <row r="328" ht="15" hidden="1" customHeight="1"/>
    <row r="329" ht="15" hidden="1" customHeight="1"/>
    <row r="330" ht="15" hidden="1" customHeight="1"/>
    <row r="331" ht="15" hidden="1" customHeight="1"/>
    <row r="332" ht="15" hidden="1" customHeight="1"/>
    <row r="333" ht="15" hidden="1" customHeight="1"/>
    <row r="334" ht="15" hidden="1" customHeight="1"/>
    <row r="335" ht="15" hidden="1" customHeight="1"/>
    <row r="336" ht="15" hidden="1" customHeight="1"/>
    <row r="337" ht="15" hidden="1" customHeight="1"/>
    <row r="338" ht="15" hidden="1" customHeight="1"/>
    <row r="339" ht="15" hidden="1" customHeight="1"/>
    <row r="340" ht="15" hidden="1" customHeight="1"/>
    <row r="341" ht="15" hidden="1" customHeight="1"/>
    <row r="342" ht="15" hidden="1" customHeight="1"/>
    <row r="343" ht="15" hidden="1" customHeight="1"/>
    <row r="344" ht="15" hidden="1" customHeight="1"/>
    <row r="345" ht="15" hidden="1" customHeight="1"/>
    <row r="346" ht="15" hidden="1" customHeight="1"/>
    <row r="347" ht="15" hidden="1" customHeight="1"/>
    <row r="348" ht="15" hidden="1" customHeight="1"/>
    <row r="349" ht="15" hidden="1" customHeight="1"/>
    <row r="350" ht="15" hidden="1" customHeight="1"/>
    <row r="351" ht="15" hidden="1" customHeight="1"/>
    <row r="352" ht="15" hidden="1" customHeight="1"/>
    <row r="353" ht="15" hidden="1" customHeight="1"/>
    <row r="354" ht="15" hidden="1" customHeight="1"/>
    <row r="355" ht="15" hidden="1" customHeight="1"/>
    <row r="356" ht="15" hidden="1" customHeight="1"/>
    <row r="357" ht="15" hidden="1" customHeight="1"/>
    <row r="358" ht="15" hidden="1" customHeight="1"/>
    <row r="359" ht="15" hidden="1" customHeight="1"/>
    <row r="360" ht="15" hidden="1" customHeight="1"/>
    <row r="361" ht="15" hidden="1" customHeight="1"/>
    <row r="362" ht="15" hidden="1" customHeight="1"/>
    <row r="363" ht="15" hidden="1" customHeight="1"/>
    <row r="364" ht="15" hidden="1" customHeight="1"/>
    <row r="365" ht="15" hidden="1" customHeight="1"/>
    <row r="366" ht="15" hidden="1" customHeight="1"/>
    <row r="367" ht="15" hidden="1" customHeight="1"/>
    <row r="368" ht="15" hidden="1" customHeight="1"/>
    <row r="369" ht="15" hidden="1" customHeight="1"/>
    <row r="370" ht="15" hidden="1" customHeight="1"/>
    <row r="371" ht="15" hidden="1" customHeight="1"/>
    <row r="372" ht="15" hidden="1" customHeight="1"/>
    <row r="373" ht="15" hidden="1" customHeight="1"/>
    <row r="374" ht="15" hidden="1" customHeight="1"/>
    <row r="375" ht="15" hidden="1" customHeight="1"/>
    <row r="376" ht="15" hidden="1" customHeight="1"/>
    <row r="377" ht="15" hidden="1" customHeight="1"/>
    <row r="378" ht="15" hidden="1" customHeight="1"/>
    <row r="379" ht="15" hidden="1" customHeight="1"/>
    <row r="380" ht="15" hidden="1" customHeight="1"/>
    <row r="381" ht="15" hidden="1" customHeight="1"/>
    <row r="382" ht="15" hidden="1" customHeight="1"/>
    <row r="383" ht="15" hidden="1" customHeight="1"/>
    <row r="384" ht="15" hidden="1" customHeight="1"/>
    <row r="385" ht="15" hidden="1" customHeight="1"/>
    <row r="386" ht="15" hidden="1" customHeight="1"/>
    <row r="387" ht="15" hidden="1" customHeight="1"/>
    <row r="388" ht="15" hidden="1" customHeight="1"/>
    <row r="389" ht="15" hidden="1" customHeight="1"/>
    <row r="390" ht="15" hidden="1" customHeight="1"/>
    <row r="391" ht="15" hidden="1" customHeight="1"/>
    <row r="392" ht="15" hidden="1" customHeight="1"/>
    <row r="393" ht="15" hidden="1" customHeight="1"/>
    <row r="394" ht="15" hidden="1" customHeight="1"/>
    <row r="395" ht="15" hidden="1" customHeight="1"/>
    <row r="396" ht="15" hidden="1" customHeight="1"/>
    <row r="397" ht="15" hidden="1" customHeight="1"/>
    <row r="398" ht="15" hidden="1" customHeight="1"/>
    <row r="399" ht="15" hidden="1" customHeight="1"/>
    <row r="400" ht="15" hidden="1" customHeight="1"/>
    <row r="401" ht="15" hidden="1" customHeight="1"/>
    <row r="402" ht="15" hidden="1" customHeight="1"/>
    <row r="403" ht="15" hidden="1" customHeight="1"/>
    <row r="404" ht="15" hidden="1" customHeight="1"/>
    <row r="405" ht="15" hidden="1" customHeight="1"/>
    <row r="406" ht="15" hidden="1" customHeight="1"/>
    <row r="407" ht="15" hidden="1" customHeight="1"/>
    <row r="408" ht="15" hidden="1" customHeight="1"/>
    <row r="409" ht="15" hidden="1" customHeight="1"/>
    <row r="410" ht="15" hidden="1" customHeight="1"/>
    <row r="411" ht="15" hidden="1" customHeight="1"/>
    <row r="412" ht="15" hidden="1" customHeight="1"/>
    <row r="413" ht="15" hidden="1" customHeight="1"/>
    <row r="414" ht="15" hidden="1" customHeight="1"/>
    <row r="415" ht="15" hidden="1" customHeight="1"/>
    <row r="416" ht="15" hidden="1" customHeight="1"/>
    <row r="417" ht="15" hidden="1" customHeight="1"/>
    <row r="418" ht="15" hidden="1" customHeight="1"/>
    <row r="419" ht="15" hidden="1" customHeight="1"/>
    <row r="420" ht="15" hidden="1" customHeight="1"/>
    <row r="421" ht="15" hidden="1" customHeight="1"/>
    <row r="422" ht="15" hidden="1" customHeight="1"/>
    <row r="423" ht="15" hidden="1" customHeight="1"/>
    <row r="424" ht="15" hidden="1" customHeight="1"/>
    <row r="425" ht="15" hidden="1" customHeight="1"/>
    <row r="426" ht="15" hidden="1" customHeight="1"/>
    <row r="427" ht="15" hidden="1" customHeight="1"/>
    <row r="428" ht="15" hidden="1" customHeight="1"/>
    <row r="429" ht="15" hidden="1" customHeight="1"/>
    <row r="430" ht="15" hidden="1" customHeight="1"/>
    <row r="431" ht="15" hidden="1" customHeight="1"/>
    <row r="432" ht="15" hidden="1" customHeight="1"/>
    <row r="433" ht="15" hidden="1" customHeight="1"/>
    <row r="434" ht="15" hidden="1" customHeight="1"/>
    <row r="435" ht="15" hidden="1" customHeight="1"/>
    <row r="436" ht="15" hidden="1" customHeight="1"/>
    <row r="437" ht="15" hidden="1" customHeight="1"/>
    <row r="438" ht="15" hidden="1" customHeight="1"/>
    <row r="439" ht="15" hidden="1" customHeight="1"/>
    <row r="440" ht="15" hidden="1" customHeight="1"/>
    <row r="441" ht="15" hidden="1" customHeight="1"/>
    <row r="442" ht="15" hidden="1" customHeight="1"/>
    <row r="443" ht="15" hidden="1" customHeight="1"/>
    <row r="444" ht="15" hidden="1" customHeight="1"/>
    <row r="445" ht="15" hidden="1" customHeight="1"/>
    <row r="446" ht="15" hidden="1" customHeight="1"/>
    <row r="447" ht="15" hidden="1" customHeight="1"/>
    <row r="448" ht="15" hidden="1" customHeight="1"/>
    <row r="449" ht="15" hidden="1" customHeight="1"/>
    <row r="450" ht="15" hidden="1" customHeight="1"/>
    <row r="451" ht="15" hidden="1" customHeight="1"/>
    <row r="452" ht="15" hidden="1" customHeight="1"/>
    <row r="453" ht="15" hidden="1" customHeight="1"/>
    <row r="454" ht="15" hidden="1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D3B3-DCFC-4C34-9074-130CE53EAACA}">
  <dimension ref="A2:H57"/>
  <sheetViews>
    <sheetView topLeftCell="A31" zoomScale="93" workbookViewId="0">
      <selection activeCell="H3" sqref="H3:H57"/>
    </sheetView>
  </sheetViews>
  <sheetFormatPr defaultRowHeight="14.5"/>
  <cols>
    <col min="3" max="3" width="35.54296875" customWidth="1"/>
    <col min="4" max="4" width="11.453125" customWidth="1"/>
    <col min="7" max="7" width="12" customWidth="1"/>
    <col min="8" max="8" width="13.1796875" customWidth="1"/>
  </cols>
  <sheetData>
    <row r="2" spans="1:8" ht="29">
      <c r="A2" s="24" t="s">
        <v>11</v>
      </c>
      <c r="B2" s="24" t="s">
        <v>1</v>
      </c>
      <c r="C2" s="24" t="s">
        <v>200</v>
      </c>
      <c r="D2" s="24" t="s">
        <v>34</v>
      </c>
      <c r="E2" s="25" t="s">
        <v>204</v>
      </c>
      <c r="F2" s="25" t="s">
        <v>205</v>
      </c>
      <c r="G2" s="25" t="s">
        <v>206</v>
      </c>
      <c r="H2" s="25" t="s">
        <v>207</v>
      </c>
    </row>
    <row r="3" spans="1:8">
      <c r="A3">
        <v>1</v>
      </c>
      <c r="B3" t="s">
        <v>5</v>
      </c>
      <c r="C3" t="s">
        <v>258</v>
      </c>
      <c r="D3" t="s">
        <v>202</v>
      </c>
      <c r="E3">
        <v>55000</v>
      </c>
      <c r="F3">
        <v>55000</v>
      </c>
      <c r="G3">
        <v>-718396.68536830693</v>
      </c>
      <c r="H3">
        <v>-675935.7618651255</v>
      </c>
    </row>
    <row r="4" spans="1:8">
      <c r="A4">
        <v>2</v>
      </c>
      <c r="B4" t="s">
        <v>5</v>
      </c>
      <c r="C4" t="s">
        <v>261</v>
      </c>
      <c r="D4" t="s">
        <v>202</v>
      </c>
      <c r="E4">
        <v>44200</v>
      </c>
      <c r="F4">
        <v>44200</v>
      </c>
      <c r="G4">
        <v>460892.15131443366</v>
      </c>
      <c r="H4">
        <v>752606.99479799066</v>
      </c>
    </row>
    <row r="5" spans="1:8">
      <c r="A5">
        <v>3</v>
      </c>
      <c r="B5" t="s">
        <v>4</v>
      </c>
      <c r="C5" t="s">
        <v>269</v>
      </c>
      <c r="D5" t="s">
        <v>202</v>
      </c>
      <c r="E5">
        <v>75000</v>
      </c>
      <c r="F5">
        <v>78700</v>
      </c>
      <c r="G5">
        <v>1737471.4111581538</v>
      </c>
      <c r="H5">
        <v>2094872.4408373246</v>
      </c>
    </row>
    <row r="6" spans="1:8">
      <c r="A6">
        <v>4</v>
      </c>
      <c r="B6" t="s">
        <v>5</v>
      </c>
      <c r="C6" t="s">
        <v>263</v>
      </c>
      <c r="D6" t="s">
        <v>202</v>
      </c>
      <c r="E6">
        <v>77000</v>
      </c>
      <c r="F6">
        <v>77000</v>
      </c>
      <c r="G6">
        <v>-200929.61842355598</v>
      </c>
      <c r="H6">
        <v>-382341.93034971971</v>
      </c>
    </row>
    <row r="7" spans="1:8">
      <c r="A7">
        <v>5</v>
      </c>
      <c r="B7" t="s">
        <v>5</v>
      </c>
      <c r="C7" t="s">
        <v>319</v>
      </c>
      <c r="D7" t="s">
        <v>202</v>
      </c>
      <c r="E7">
        <v>53000</v>
      </c>
      <c r="F7">
        <v>55599.999999999985</v>
      </c>
      <c r="G7">
        <v>594734.54149712902</v>
      </c>
      <c r="H7">
        <v>1122709.0196252326</v>
      </c>
    </row>
    <row r="8" spans="1:8">
      <c r="A8">
        <v>6</v>
      </c>
      <c r="B8" t="s">
        <v>5</v>
      </c>
      <c r="C8" t="s">
        <v>266</v>
      </c>
      <c r="D8" t="s">
        <v>202</v>
      </c>
      <c r="E8">
        <v>67000</v>
      </c>
      <c r="F8">
        <v>67016</v>
      </c>
      <c r="G8">
        <v>-581200.88704942074</v>
      </c>
      <c r="H8">
        <v>-296938.84176892741</v>
      </c>
    </row>
    <row r="9" spans="1:8">
      <c r="A9">
        <v>7</v>
      </c>
      <c r="B9" t="s">
        <v>5</v>
      </c>
      <c r="C9" t="s">
        <v>271</v>
      </c>
      <c r="D9" t="s">
        <v>202</v>
      </c>
      <c r="E9">
        <v>70000</v>
      </c>
      <c r="F9">
        <v>73600</v>
      </c>
      <c r="G9">
        <v>-416832.84769738093</v>
      </c>
      <c r="H9">
        <v>-498232.23216789123</v>
      </c>
    </row>
    <row r="10" spans="1:8">
      <c r="A10">
        <v>8</v>
      </c>
      <c r="B10" t="s">
        <v>5</v>
      </c>
      <c r="C10" t="s">
        <v>273</v>
      </c>
      <c r="D10" t="s">
        <v>202</v>
      </c>
      <c r="E10">
        <v>55000</v>
      </c>
      <c r="F10">
        <v>52000</v>
      </c>
      <c r="G10">
        <v>-785863.68634632695</v>
      </c>
      <c r="H10">
        <v>-695984.67754007084</v>
      </c>
    </row>
    <row r="11" spans="1:8">
      <c r="A11">
        <v>9</v>
      </c>
      <c r="B11" t="s">
        <v>5</v>
      </c>
      <c r="C11" t="s">
        <v>275</v>
      </c>
      <c r="D11" t="s">
        <v>202</v>
      </c>
      <c r="E11">
        <v>70000</v>
      </c>
      <c r="F11">
        <v>64999</v>
      </c>
      <c r="G11">
        <v>-348520.21293859463</v>
      </c>
      <c r="H11">
        <v>-360876.15849849489</v>
      </c>
    </row>
    <row r="12" spans="1:8">
      <c r="A12">
        <v>10</v>
      </c>
      <c r="B12" t="s">
        <v>5</v>
      </c>
      <c r="C12" t="s">
        <v>286</v>
      </c>
      <c r="D12" t="s">
        <v>202</v>
      </c>
      <c r="E12">
        <v>55000</v>
      </c>
      <c r="F12">
        <v>52000</v>
      </c>
      <c r="G12">
        <v>-701937.57897842303</v>
      </c>
      <c r="H12">
        <v>-698299.63442367502</v>
      </c>
    </row>
    <row r="13" spans="1:8">
      <c r="A13">
        <v>11</v>
      </c>
      <c r="B13" t="s">
        <v>5</v>
      </c>
      <c r="C13" t="s">
        <v>276</v>
      </c>
      <c r="D13" t="s">
        <v>202</v>
      </c>
      <c r="E13">
        <v>67000</v>
      </c>
      <c r="F13">
        <v>67007</v>
      </c>
      <c r="G13">
        <v>-563191.53866999131</v>
      </c>
      <c r="H13">
        <v>-367957.73245442985</v>
      </c>
    </row>
    <row r="14" spans="1:8">
      <c r="A14">
        <v>12</v>
      </c>
      <c r="B14" t="s">
        <v>5</v>
      </c>
      <c r="C14" t="s">
        <v>279</v>
      </c>
      <c r="D14" t="s">
        <v>202</v>
      </c>
      <c r="E14">
        <v>70000</v>
      </c>
      <c r="F14">
        <v>63050</v>
      </c>
      <c r="G14">
        <v>-459869.33263593074</v>
      </c>
      <c r="H14">
        <v>-601610.36244686972</v>
      </c>
    </row>
    <row r="15" spans="1:8">
      <c r="A15">
        <v>13</v>
      </c>
      <c r="B15" t="s">
        <v>5</v>
      </c>
      <c r="C15" t="s">
        <v>363</v>
      </c>
      <c r="D15" t="s">
        <v>201</v>
      </c>
      <c r="E15">
        <v>55000</v>
      </c>
      <c r="F15">
        <v>0</v>
      </c>
      <c r="G15">
        <v>-701937.57897842303</v>
      </c>
      <c r="H15">
        <v>0</v>
      </c>
    </row>
    <row r="16" spans="1:8">
      <c r="A16">
        <v>14</v>
      </c>
      <c r="B16" t="s">
        <v>5</v>
      </c>
      <c r="C16" t="s">
        <v>285</v>
      </c>
      <c r="D16" t="s">
        <v>202</v>
      </c>
      <c r="E16">
        <v>65000</v>
      </c>
      <c r="F16">
        <v>64999.999999999993</v>
      </c>
      <c r="G16">
        <v>-338391.03278502077</v>
      </c>
      <c r="H16">
        <v>-554049.86892097164</v>
      </c>
    </row>
    <row r="17" spans="1:8">
      <c r="A17">
        <v>15</v>
      </c>
      <c r="B17" t="s">
        <v>5</v>
      </c>
      <c r="C17" t="s">
        <v>364</v>
      </c>
      <c r="D17" t="s">
        <v>201</v>
      </c>
      <c r="E17">
        <v>55000</v>
      </c>
      <c r="F17">
        <v>0</v>
      </c>
      <c r="G17">
        <v>-791163.62832052819</v>
      </c>
      <c r="H17">
        <v>0</v>
      </c>
    </row>
    <row r="18" spans="1:8">
      <c r="A18">
        <v>16</v>
      </c>
      <c r="B18" t="s">
        <v>5</v>
      </c>
      <c r="C18" t="s">
        <v>277</v>
      </c>
      <c r="D18" t="s">
        <v>202</v>
      </c>
      <c r="E18">
        <v>67000</v>
      </c>
      <c r="F18">
        <v>67023</v>
      </c>
      <c r="G18">
        <v>-539605.78056824161</v>
      </c>
      <c r="H18">
        <v>-321338.26374109415</v>
      </c>
    </row>
    <row r="19" spans="1:8">
      <c r="A19">
        <v>17</v>
      </c>
      <c r="B19" t="s">
        <v>5</v>
      </c>
      <c r="C19" t="s">
        <v>365</v>
      </c>
      <c r="D19" t="s">
        <v>201</v>
      </c>
      <c r="E19">
        <v>55000</v>
      </c>
      <c r="F19">
        <v>0</v>
      </c>
      <c r="G19">
        <v>-849229.86239131587</v>
      </c>
      <c r="H19">
        <v>0</v>
      </c>
    </row>
    <row r="20" spans="1:8">
      <c r="A20">
        <v>18</v>
      </c>
      <c r="B20" t="s">
        <v>5</v>
      </c>
      <c r="C20" t="s">
        <v>287</v>
      </c>
      <c r="D20" t="s">
        <v>202</v>
      </c>
      <c r="E20">
        <v>43000</v>
      </c>
      <c r="F20">
        <v>44600</v>
      </c>
      <c r="G20">
        <v>592793.47561677545</v>
      </c>
      <c r="H20">
        <v>849254.68936773296</v>
      </c>
    </row>
    <row r="21" spans="1:8">
      <c r="A21">
        <v>19</v>
      </c>
      <c r="B21" t="s">
        <v>5</v>
      </c>
      <c r="C21" t="s">
        <v>366</v>
      </c>
      <c r="D21" t="s">
        <v>201</v>
      </c>
      <c r="E21">
        <v>55000</v>
      </c>
      <c r="F21">
        <v>0</v>
      </c>
      <c r="G21">
        <v>-849229.86239131587</v>
      </c>
      <c r="H21">
        <v>0</v>
      </c>
    </row>
    <row r="22" spans="1:8">
      <c r="A22">
        <v>20</v>
      </c>
      <c r="B22" t="s">
        <v>5</v>
      </c>
      <c r="C22" t="s">
        <v>290</v>
      </c>
      <c r="D22" t="s">
        <v>202</v>
      </c>
      <c r="E22">
        <v>7500</v>
      </c>
      <c r="F22">
        <v>7502.62</v>
      </c>
      <c r="G22">
        <v>-78232.257633109984</v>
      </c>
      <c r="H22">
        <v>-72162.551786074589</v>
      </c>
    </row>
    <row r="23" spans="1:8">
      <c r="A23">
        <v>21</v>
      </c>
      <c r="B23" t="s">
        <v>5</v>
      </c>
      <c r="C23" t="s">
        <v>292</v>
      </c>
      <c r="D23" t="s">
        <v>202</v>
      </c>
      <c r="E23">
        <v>7500</v>
      </c>
      <c r="F23">
        <v>7509.15</v>
      </c>
      <c r="G23">
        <v>-78232.257633109984</v>
      </c>
      <c r="H23">
        <v>-72252.215824463405</v>
      </c>
    </row>
    <row r="24" spans="1:8">
      <c r="A24">
        <v>22</v>
      </c>
      <c r="B24" t="s">
        <v>5</v>
      </c>
      <c r="C24" t="s">
        <v>294</v>
      </c>
      <c r="D24" t="s">
        <v>202</v>
      </c>
      <c r="E24">
        <v>7500</v>
      </c>
      <c r="F24">
        <v>7517.71</v>
      </c>
      <c r="G24">
        <v>-78232.257633109984</v>
      </c>
      <c r="H24">
        <v>-72373.441905805084</v>
      </c>
    </row>
    <row r="25" spans="1:8">
      <c r="A25">
        <v>23</v>
      </c>
      <c r="B25" t="s">
        <v>5</v>
      </c>
      <c r="C25" t="s">
        <v>296</v>
      </c>
      <c r="D25" t="s">
        <v>202</v>
      </c>
      <c r="E25">
        <v>7500</v>
      </c>
      <c r="F25">
        <v>7512.7800000000007</v>
      </c>
      <c r="G25">
        <v>-78232.257633109984</v>
      </c>
      <c r="H25">
        <v>-72284.928105652216</v>
      </c>
    </row>
    <row r="26" spans="1:8">
      <c r="A26">
        <v>24</v>
      </c>
      <c r="B26" t="s">
        <v>5</v>
      </c>
      <c r="C26" t="s">
        <v>298</v>
      </c>
      <c r="D26" t="s">
        <v>202</v>
      </c>
      <c r="E26">
        <v>7500</v>
      </c>
      <c r="F26">
        <v>7526.68</v>
      </c>
      <c r="G26">
        <v>-78232.257633109984</v>
      </c>
      <c r="H26">
        <v>-72536.631960185769</v>
      </c>
    </row>
    <row r="27" spans="1:8">
      <c r="A27">
        <v>25</v>
      </c>
      <c r="B27" t="s">
        <v>5</v>
      </c>
      <c r="C27" t="s">
        <v>300</v>
      </c>
      <c r="D27" t="s">
        <v>202</v>
      </c>
      <c r="E27">
        <v>7500</v>
      </c>
      <c r="F27">
        <v>7513.45</v>
      </c>
      <c r="G27">
        <v>-78232.257633109984</v>
      </c>
      <c r="H27">
        <v>-72330.934507837868</v>
      </c>
    </row>
    <row r="28" spans="1:8">
      <c r="A28">
        <v>26</v>
      </c>
      <c r="B28" t="s">
        <v>5</v>
      </c>
      <c r="C28" t="s">
        <v>302</v>
      </c>
      <c r="D28" t="s">
        <v>202</v>
      </c>
      <c r="E28">
        <v>7500</v>
      </c>
      <c r="F28">
        <v>7511.6399999999994</v>
      </c>
      <c r="G28">
        <v>-78232.257633109984</v>
      </c>
      <c r="H28">
        <v>-72302.79298185528</v>
      </c>
    </row>
    <row r="29" spans="1:8">
      <c r="A29">
        <v>27</v>
      </c>
      <c r="B29" t="s">
        <v>5</v>
      </c>
      <c r="C29" t="s">
        <v>304</v>
      </c>
      <c r="D29" t="s">
        <v>202</v>
      </c>
      <c r="E29">
        <v>7500</v>
      </c>
      <c r="F29">
        <v>7511.9</v>
      </c>
      <c r="G29">
        <v>-78232.257633109984</v>
      </c>
      <c r="H29">
        <v>-72306.835411001986</v>
      </c>
    </row>
    <row r="30" spans="1:8">
      <c r="A30">
        <v>28</v>
      </c>
      <c r="B30" t="s">
        <v>5</v>
      </c>
      <c r="C30" t="s">
        <v>308</v>
      </c>
      <c r="D30" t="s">
        <v>202</v>
      </c>
      <c r="E30">
        <v>7500</v>
      </c>
      <c r="F30">
        <v>7503</v>
      </c>
      <c r="G30">
        <v>-78232.257633109984</v>
      </c>
      <c r="H30">
        <v>-72168.459951750527</v>
      </c>
    </row>
    <row r="31" spans="1:8">
      <c r="A31">
        <v>29</v>
      </c>
      <c r="B31" t="s">
        <v>5</v>
      </c>
      <c r="C31" t="s">
        <v>306</v>
      </c>
      <c r="D31" t="s">
        <v>202</v>
      </c>
      <c r="E31">
        <v>7500</v>
      </c>
      <c r="F31">
        <v>7503</v>
      </c>
      <c r="G31">
        <v>-78232.257633109984</v>
      </c>
      <c r="H31">
        <v>-72168.459951750527</v>
      </c>
    </row>
    <row r="32" spans="1:8">
      <c r="A32">
        <v>30</v>
      </c>
      <c r="B32" t="s">
        <v>4</v>
      </c>
      <c r="C32" t="s">
        <v>367</v>
      </c>
      <c r="D32" t="s">
        <v>201</v>
      </c>
      <c r="E32">
        <v>2000</v>
      </c>
      <c r="F32">
        <v>0</v>
      </c>
      <c r="G32">
        <v>17885.523160975485</v>
      </c>
      <c r="H32">
        <v>0</v>
      </c>
    </row>
    <row r="33" spans="1:8">
      <c r="A33">
        <v>31</v>
      </c>
      <c r="B33" t="s">
        <v>5</v>
      </c>
      <c r="C33" t="s">
        <v>313</v>
      </c>
      <c r="D33" t="s">
        <v>202</v>
      </c>
      <c r="E33">
        <v>68800</v>
      </c>
      <c r="F33">
        <v>68700</v>
      </c>
      <c r="G33">
        <v>307794.73119629547</v>
      </c>
      <c r="H33">
        <v>871401.44433826301</v>
      </c>
    </row>
    <row r="34" spans="1:8">
      <c r="A34">
        <v>32</v>
      </c>
      <c r="B34" t="s">
        <v>5</v>
      </c>
      <c r="C34" t="s">
        <v>311</v>
      </c>
      <c r="D34" t="s">
        <v>202</v>
      </c>
      <c r="E34">
        <v>71500</v>
      </c>
      <c r="F34">
        <v>70968</v>
      </c>
      <c r="G34">
        <v>-412726.36767384782</v>
      </c>
      <c r="H34">
        <v>-405443.35001267865</v>
      </c>
    </row>
    <row r="35" spans="1:8">
      <c r="A35">
        <v>33</v>
      </c>
      <c r="B35" t="s">
        <v>5</v>
      </c>
      <c r="C35" t="s">
        <v>316</v>
      </c>
      <c r="D35" t="s">
        <v>202</v>
      </c>
      <c r="E35">
        <v>57400</v>
      </c>
      <c r="F35">
        <v>57400</v>
      </c>
      <c r="G35">
        <v>707027.33808428049</v>
      </c>
      <c r="H35">
        <v>533868.49038329441</v>
      </c>
    </row>
    <row r="36" spans="1:8">
      <c r="A36">
        <v>34</v>
      </c>
      <c r="B36" t="s">
        <v>5</v>
      </c>
      <c r="C36" t="s">
        <v>326</v>
      </c>
      <c r="D36" t="s">
        <v>202</v>
      </c>
      <c r="E36">
        <v>77000</v>
      </c>
      <c r="F36">
        <v>77000.000000000015</v>
      </c>
      <c r="G36">
        <v>-304269.63391655777</v>
      </c>
      <c r="H36">
        <v>-170690.04785005376</v>
      </c>
    </row>
    <row r="37" spans="1:8">
      <c r="A37">
        <v>35</v>
      </c>
      <c r="B37" t="s">
        <v>5</v>
      </c>
      <c r="C37" t="s">
        <v>329</v>
      </c>
      <c r="D37" t="s">
        <v>202</v>
      </c>
      <c r="E37">
        <v>52000</v>
      </c>
      <c r="F37">
        <v>52500</v>
      </c>
      <c r="G37">
        <v>-900950.08637347724</v>
      </c>
      <c r="H37">
        <v>-824649.42156609893</v>
      </c>
    </row>
    <row r="38" spans="1:8">
      <c r="A38">
        <v>36</v>
      </c>
      <c r="B38" t="s">
        <v>5</v>
      </c>
      <c r="C38" t="s">
        <v>368</v>
      </c>
      <c r="D38" t="s">
        <v>201</v>
      </c>
      <c r="E38">
        <v>81000</v>
      </c>
      <c r="F38">
        <v>0</v>
      </c>
      <c r="G38">
        <v>739132.96791003086</v>
      </c>
      <c r="H38">
        <v>0</v>
      </c>
    </row>
    <row r="39" spans="1:8">
      <c r="A39">
        <v>37</v>
      </c>
      <c r="B39" t="s">
        <v>5</v>
      </c>
      <c r="C39" t="s">
        <v>333</v>
      </c>
      <c r="D39" t="s">
        <v>202</v>
      </c>
      <c r="E39">
        <v>70000</v>
      </c>
      <c r="F39">
        <v>73190.000000000015</v>
      </c>
      <c r="G39">
        <v>549699.09634489007</v>
      </c>
      <c r="H39">
        <v>-273005.46949057654</v>
      </c>
    </row>
    <row r="40" spans="1:8">
      <c r="A40">
        <v>38</v>
      </c>
      <c r="B40" t="s">
        <v>5</v>
      </c>
      <c r="C40" t="s">
        <v>350</v>
      </c>
      <c r="D40" t="s">
        <v>202</v>
      </c>
      <c r="E40">
        <v>65200</v>
      </c>
      <c r="F40">
        <v>61180</v>
      </c>
      <c r="G40">
        <v>95806.707779224031</v>
      </c>
      <c r="H40">
        <v>264812.01349127479</v>
      </c>
    </row>
    <row r="41" spans="1:8">
      <c r="A41">
        <v>39</v>
      </c>
      <c r="B41" t="s">
        <v>5</v>
      </c>
      <c r="C41" t="s">
        <v>323</v>
      </c>
      <c r="D41" t="s">
        <v>202</v>
      </c>
      <c r="E41">
        <v>22000</v>
      </c>
      <c r="F41">
        <v>21815</v>
      </c>
      <c r="G41">
        <v>510026.01282106247</v>
      </c>
      <c r="H41">
        <v>69957.931973411702</v>
      </c>
    </row>
    <row r="42" spans="1:8">
      <c r="A42">
        <v>40</v>
      </c>
      <c r="B42" t="s">
        <v>5</v>
      </c>
      <c r="C42" t="s">
        <v>321</v>
      </c>
      <c r="D42" t="s">
        <v>202</v>
      </c>
      <c r="E42">
        <v>55000</v>
      </c>
      <c r="F42">
        <v>51315</v>
      </c>
      <c r="G42">
        <v>881868.9032115005</v>
      </c>
      <c r="H42">
        <v>1241679.5087937079</v>
      </c>
    </row>
    <row r="43" spans="1:8">
      <c r="A43">
        <v>41</v>
      </c>
      <c r="B43" t="s">
        <v>5</v>
      </c>
      <c r="C43" t="s">
        <v>335</v>
      </c>
      <c r="D43" t="s">
        <v>202</v>
      </c>
      <c r="E43">
        <v>82000</v>
      </c>
      <c r="F43">
        <v>88070</v>
      </c>
      <c r="G43">
        <v>623609.61407903582</v>
      </c>
      <c r="H43">
        <v>1487771.1183033492</v>
      </c>
    </row>
    <row r="44" spans="1:8">
      <c r="A44">
        <v>42</v>
      </c>
      <c r="B44" t="s">
        <v>5</v>
      </c>
      <c r="C44" t="s">
        <v>331</v>
      </c>
      <c r="D44" t="s">
        <v>202</v>
      </c>
      <c r="E44">
        <v>75000</v>
      </c>
      <c r="F44">
        <v>69404</v>
      </c>
      <c r="G44">
        <v>-140764.96333366632</v>
      </c>
      <c r="H44">
        <v>-87314.158888808452</v>
      </c>
    </row>
    <row r="45" spans="1:8">
      <c r="A45">
        <v>43</v>
      </c>
      <c r="B45" t="s">
        <v>6</v>
      </c>
      <c r="C45" t="s">
        <v>342</v>
      </c>
      <c r="D45" t="s">
        <v>202</v>
      </c>
      <c r="E45">
        <v>30000</v>
      </c>
      <c r="F45">
        <v>33000</v>
      </c>
      <c r="G45">
        <v>1547476.8283930006</v>
      </c>
      <c r="H45">
        <v>1519649.2323094755</v>
      </c>
    </row>
    <row r="46" spans="1:8">
      <c r="A46">
        <v>44</v>
      </c>
      <c r="B46" t="s">
        <v>5</v>
      </c>
      <c r="C46" t="s">
        <v>337</v>
      </c>
      <c r="D46" t="s">
        <v>202</v>
      </c>
      <c r="E46">
        <v>75000</v>
      </c>
      <c r="F46">
        <v>65200</v>
      </c>
      <c r="G46">
        <v>-64670.309553984553</v>
      </c>
      <c r="H46">
        <v>818650.1038355371</v>
      </c>
    </row>
    <row r="47" spans="1:8">
      <c r="A47">
        <v>45</v>
      </c>
      <c r="B47" t="s">
        <v>6</v>
      </c>
      <c r="C47" t="s">
        <v>347</v>
      </c>
      <c r="D47" t="s">
        <v>202</v>
      </c>
      <c r="E47">
        <v>80000</v>
      </c>
      <c r="F47">
        <v>79925</v>
      </c>
      <c r="G47">
        <v>3487549.5450031273</v>
      </c>
      <c r="H47">
        <v>3699384.003895741</v>
      </c>
    </row>
    <row r="48" spans="1:8">
      <c r="A48">
        <v>46</v>
      </c>
      <c r="B48" t="s">
        <v>5</v>
      </c>
      <c r="C48" t="s">
        <v>356</v>
      </c>
      <c r="D48" t="s">
        <v>202</v>
      </c>
      <c r="E48">
        <v>60000</v>
      </c>
      <c r="F48">
        <v>65240</v>
      </c>
      <c r="G48">
        <v>499501.7626575958</v>
      </c>
      <c r="H48">
        <v>1418314.1294331383</v>
      </c>
    </row>
    <row r="49" spans="1:8">
      <c r="A49">
        <v>47</v>
      </c>
      <c r="B49" t="s">
        <v>5</v>
      </c>
      <c r="C49" t="s">
        <v>339</v>
      </c>
      <c r="D49" t="s">
        <v>202</v>
      </c>
      <c r="E49">
        <v>75000</v>
      </c>
      <c r="F49">
        <v>71949.999999999985</v>
      </c>
      <c r="G49">
        <v>-376554.21229235549</v>
      </c>
      <c r="H49">
        <v>-171398.1375424657</v>
      </c>
    </row>
    <row r="50" spans="1:8">
      <c r="A50">
        <v>48</v>
      </c>
      <c r="B50" t="s">
        <v>5</v>
      </c>
      <c r="C50" t="s">
        <v>344</v>
      </c>
      <c r="D50" t="s">
        <v>202</v>
      </c>
      <c r="E50">
        <v>60000</v>
      </c>
      <c r="F50">
        <v>59900</v>
      </c>
      <c r="G50">
        <v>336178.95242343657</v>
      </c>
      <c r="H50">
        <v>1336896.1170191523</v>
      </c>
    </row>
    <row r="51" spans="1:8">
      <c r="A51">
        <v>49</v>
      </c>
      <c r="B51" t="s">
        <v>5</v>
      </c>
      <c r="C51" t="s">
        <v>370</v>
      </c>
      <c r="D51" t="s">
        <v>201</v>
      </c>
      <c r="E51">
        <v>80000</v>
      </c>
      <c r="F51">
        <v>0</v>
      </c>
      <c r="G51">
        <v>921415.62078830972</v>
      </c>
      <c r="H51">
        <v>0</v>
      </c>
    </row>
    <row r="52" spans="1:8">
      <c r="A52">
        <v>50</v>
      </c>
      <c r="B52" t="s">
        <v>5</v>
      </c>
      <c r="C52" t="s">
        <v>354</v>
      </c>
      <c r="D52" t="s">
        <v>202</v>
      </c>
      <c r="E52">
        <v>75000</v>
      </c>
      <c r="F52">
        <v>69913</v>
      </c>
      <c r="G52">
        <v>455687.7372256089</v>
      </c>
      <c r="H52">
        <v>816093.59946287982</v>
      </c>
    </row>
    <row r="53" spans="1:8">
      <c r="A53">
        <v>51</v>
      </c>
      <c r="B53" t="s">
        <v>8</v>
      </c>
      <c r="C53" t="s">
        <v>360</v>
      </c>
      <c r="D53" t="s">
        <v>202</v>
      </c>
      <c r="E53">
        <v>7500</v>
      </c>
      <c r="F53">
        <v>7608.1299999999992</v>
      </c>
      <c r="G53">
        <v>-33503.233995172777</v>
      </c>
      <c r="H53">
        <v>28996.140958780423</v>
      </c>
    </row>
    <row r="54" spans="1:8">
      <c r="A54">
        <v>52</v>
      </c>
      <c r="B54" t="s">
        <v>5</v>
      </c>
      <c r="C54" t="s">
        <v>281</v>
      </c>
      <c r="D54" t="s">
        <v>203</v>
      </c>
      <c r="E54">
        <v>0</v>
      </c>
      <c r="F54">
        <v>67006</v>
      </c>
      <c r="G54">
        <v>0</v>
      </c>
      <c r="H54">
        <v>-323623.11953778146</v>
      </c>
    </row>
    <row r="55" spans="1:8">
      <c r="A55">
        <v>53</v>
      </c>
      <c r="B55" t="s">
        <v>5</v>
      </c>
      <c r="C55" t="s">
        <v>283</v>
      </c>
      <c r="D55" t="s">
        <v>203</v>
      </c>
      <c r="E55">
        <v>0</v>
      </c>
      <c r="F55">
        <v>67020</v>
      </c>
      <c r="G55">
        <v>0</v>
      </c>
      <c r="H55">
        <v>-254246.24426524155</v>
      </c>
    </row>
    <row r="56" spans="1:8">
      <c r="A56">
        <v>54</v>
      </c>
      <c r="B56" t="s">
        <v>5</v>
      </c>
      <c r="C56" t="s">
        <v>352</v>
      </c>
      <c r="D56" t="s">
        <v>203</v>
      </c>
      <c r="E56">
        <v>0</v>
      </c>
      <c r="F56">
        <v>78700</v>
      </c>
      <c r="G56">
        <v>0</v>
      </c>
      <c r="H56">
        <v>1125594.9776940588</v>
      </c>
    </row>
    <row r="57" spans="1:8">
      <c r="A57">
        <v>55</v>
      </c>
      <c r="B57" t="s">
        <v>5</v>
      </c>
      <c r="C57" t="s">
        <v>358</v>
      </c>
      <c r="D57" t="s">
        <v>203</v>
      </c>
      <c r="E57">
        <v>0</v>
      </c>
      <c r="F57">
        <v>73449.999999999985</v>
      </c>
      <c r="G57">
        <v>0</v>
      </c>
      <c r="H57">
        <v>-685329.20102215279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AF27-DEDD-4F3C-A247-36C560BC48AB}">
  <dimension ref="A2:E7"/>
  <sheetViews>
    <sheetView topLeftCell="A4" workbookViewId="0">
      <selection activeCell="E5" sqref="E5"/>
    </sheetView>
  </sheetViews>
  <sheetFormatPr defaultRowHeight="14.5"/>
  <cols>
    <col min="1" max="1" width="21.08984375" customWidth="1"/>
    <col min="2" max="2" width="12.81640625" customWidth="1"/>
    <col min="3" max="3" width="12.36328125" customWidth="1"/>
    <col min="4" max="5" width="13.90625" customWidth="1"/>
  </cols>
  <sheetData>
    <row r="2" spans="1:5" ht="29">
      <c r="A2" s="24" t="s">
        <v>34</v>
      </c>
      <c r="B2" s="25" t="s">
        <v>208</v>
      </c>
      <c r="C2" s="25" t="s">
        <v>209</v>
      </c>
      <c r="D2" s="25" t="s">
        <v>210</v>
      </c>
      <c r="E2" s="25" t="s">
        <v>211</v>
      </c>
    </row>
    <row r="3" spans="1:5">
      <c r="A3" t="s">
        <v>201</v>
      </c>
      <c r="B3" s="26">
        <f>SUMIF(Sheet2!D3:D58, "Plan Only", Sheet2!E3:E58)</f>
        <v>383000</v>
      </c>
      <c r="C3" s="26">
        <f>SUMIF(Sheet2!D3:D58, "Plan Only",Sheet2!F3:F58)</f>
        <v>0</v>
      </c>
      <c r="D3" s="26">
        <f>SUMIF(Sheet2!D3:D58, "Plan Only", Sheet2!G3:G58)</f>
        <v>-1513126.8202222669</v>
      </c>
      <c r="E3" s="26">
        <f>SUMIF(Sheet2!D3:D58, "Plan Only", Sheet2!H3:H58)</f>
        <v>0</v>
      </c>
    </row>
    <row r="4" spans="1:5">
      <c r="A4" t="s">
        <v>202</v>
      </c>
      <c r="B4" s="26">
        <f>SUMIF(Sheet2!D3:D58, "Match", Sheet2!E3:E58)</f>
        <v>2166600</v>
      </c>
      <c r="C4" s="26">
        <f>SUMIF(Sheet2!D3:D58, "Match", Sheet2!F3:F58)</f>
        <v>2146185.06</v>
      </c>
      <c r="D4" s="26">
        <f>SUMIF(Sheet2!D3:D58, "Match", Sheet2!G3:G58)</f>
        <v>4717618.2238741936</v>
      </c>
      <c r="E4" s="26">
        <f>SUMIF(Sheet2!D3:D58, "Match", Sheet2!H3:H58)</f>
        <v>10817963.676911958</v>
      </c>
    </row>
    <row r="5" spans="1:5">
      <c r="A5" t="s">
        <v>203</v>
      </c>
      <c r="B5" s="26">
        <f>SUMIF(Sheet2!D3:D58, Actual Only, Sheet2!E3:E58)</f>
        <v>0</v>
      </c>
      <c r="C5" s="26">
        <f>SUMIF(Sheet2!D3:D58, "Actual Only",Sheet2!F3:F58)</f>
        <v>286176</v>
      </c>
      <c r="D5" s="26">
        <f>SUMIF(Sheet2!D3:D58, "Actual Only", Sheet2!G3:G58)</f>
        <v>0</v>
      </c>
      <c r="E5" s="26">
        <f>SUMIF(Sheet2!D3:D58, "Actual Only", Sheet2!H3:H58)</f>
        <v>-137603.587131117</v>
      </c>
    </row>
    <row r="7" spans="1:5">
      <c r="E7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5703-AE7F-4453-A504-253422D53D40}">
  <dimension ref="A2:G22"/>
  <sheetViews>
    <sheetView tabSelected="1" workbookViewId="0">
      <selection activeCell="G6" sqref="G6:G22"/>
    </sheetView>
  </sheetViews>
  <sheetFormatPr defaultRowHeight="14.5"/>
  <cols>
    <col min="1" max="1" width="15.1796875" customWidth="1"/>
    <col min="2" max="2" width="18" customWidth="1"/>
    <col min="3" max="3" width="22.1796875" customWidth="1"/>
    <col min="4" max="4" width="22.453125" customWidth="1"/>
    <col min="5" max="5" width="19.08984375" customWidth="1"/>
    <col min="6" max="6" width="23.08984375" customWidth="1"/>
    <col min="7" max="7" width="19.36328125" customWidth="1"/>
  </cols>
  <sheetData>
    <row r="2" spans="1:7">
      <c r="A2" t="s">
        <v>57</v>
      </c>
      <c r="B2" t="s">
        <v>235</v>
      </c>
    </row>
    <row r="5" spans="1:7">
      <c r="A5" t="s">
        <v>1</v>
      </c>
      <c r="B5" t="s">
        <v>212</v>
      </c>
      <c r="C5" t="s">
        <v>219</v>
      </c>
      <c r="D5" t="s">
        <v>220</v>
      </c>
      <c r="E5" t="s">
        <v>221</v>
      </c>
      <c r="F5" t="s">
        <v>222</v>
      </c>
      <c r="G5" t="s">
        <v>223</v>
      </c>
    </row>
    <row r="6" spans="1:7">
      <c r="A6" t="s">
        <v>6</v>
      </c>
      <c r="B6" t="s">
        <v>371</v>
      </c>
      <c r="C6">
        <v>123.03000312793243</v>
      </c>
      <c r="D6">
        <v>40.722347888645615</v>
      </c>
      <c r="E6">
        <v>9833173</v>
      </c>
      <c r="F6">
        <v>-6578439.3449999988</v>
      </c>
      <c r="G6">
        <v>3254733.6550000007</v>
      </c>
    </row>
    <row r="7" spans="1:7">
      <c r="A7" t="s">
        <v>6</v>
      </c>
      <c r="B7" t="s">
        <v>372</v>
      </c>
      <c r="C7">
        <v>122.97</v>
      </c>
      <c r="D7">
        <v>48.117436392121775</v>
      </c>
      <c r="E7">
        <v>4156350</v>
      </c>
      <c r="F7">
        <v>-2568474.5990599818</v>
      </c>
      <c r="G7">
        <v>1587875.4009400185</v>
      </c>
    </row>
    <row r="8" spans="1:7">
      <c r="A8" t="s">
        <v>4</v>
      </c>
      <c r="B8" t="s">
        <v>372</v>
      </c>
      <c r="C8">
        <v>95.330012706480304</v>
      </c>
      <c r="D8">
        <v>24.611883533163677</v>
      </c>
      <c r="E8">
        <v>7892823</v>
      </c>
      <c r="F8">
        <v>-5955867.765940018</v>
      </c>
      <c r="G8">
        <v>1936955.2340599813</v>
      </c>
    </row>
    <row r="9" spans="1:7">
      <c r="A9" t="s">
        <v>8</v>
      </c>
      <c r="B9" t="s">
        <v>247</v>
      </c>
      <c r="C9">
        <v>93.363301787592007</v>
      </c>
      <c r="D9">
        <v>1.1230507360672846</v>
      </c>
      <c r="E9">
        <v>710308</v>
      </c>
      <c r="F9">
        <v>-701763.83000000007</v>
      </c>
      <c r="G9">
        <v>8544.1699999999</v>
      </c>
    </row>
    <row r="10" spans="1:7">
      <c r="A10" t="s">
        <v>5</v>
      </c>
      <c r="B10" t="s">
        <v>213</v>
      </c>
      <c r="C10">
        <v>45.798424599031982</v>
      </c>
      <c r="D10">
        <v>-26.539966428157918</v>
      </c>
      <c r="E10">
        <v>28303061</v>
      </c>
      <c r="F10">
        <v>-44802506.948956504</v>
      </c>
      <c r="G10">
        <v>-16499445.948956499</v>
      </c>
    </row>
    <row r="11" spans="1:7">
      <c r="A11" t="s">
        <v>5</v>
      </c>
      <c r="B11" t="s">
        <v>234</v>
      </c>
      <c r="C11">
        <v>107.51001502937559</v>
      </c>
      <c r="D11">
        <v>3.2626237178364192</v>
      </c>
      <c r="E11">
        <v>8282181</v>
      </c>
      <c r="F11">
        <v>-8043389.570091553</v>
      </c>
      <c r="G11">
        <v>238791.42990844752</v>
      </c>
    </row>
    <row r="12" spans="1:7">
      <c r="A12" t="s">
        <v>5</v>
      </c>
      <c r="B12" t="s">
        <v>217</v>
      </c>
      <c r="C12">
        <v>100.57685271502569</v>
      </c>
      <c r="D12">
        <v>5.549722727732302</v>
      </c>
      <c r="E12">
        <v>29009478</v>
      </c>
      <c r="F12">
        <v>-27425931.216314323</v>
      </c>
      <c r="G12">
        <v>1583546.7836856795</v>
      </c>
    </row>
    <row r="13" spans="1:7">
      <c r="A13" t="s">
        <v>5</v>
      </c>
      <c r="B13" t="s">
        <v>373</v>
      </c>
      <c r="C13">
        <v>97.979246478873236</v>
      </c>
      <c r="D13">
        <v>11.498325061527069</v>
      </c>
      <c r="E13">
        <v>14186273</v>
      </c>
      <c r="F13">
        <v>-12553510.841263155</v>
      </c>
      <c r="G13">
        <v>1632762.1587368438</v>
      </c>
    </row>
    <row r="14" spans="1:7">
      <c r="A14" t="s">
        <v>5</v>
      </c>
      <c r="B14" t="s">
        <v>215</v>
      </c>
      <c r="C14">
        <v>90.439522583664868</v>
      </c>
      <c r="D14">
        <v>13.645851493373669</v>
      </c>
      <c r="E14">
        <v>18898735</v>
      </c>
      <c r="F14">
        <v>-15983298.828440713</v>
      </c>
      <c r="G14">
        <v>2915436.1715592844</v>
      </c>
    </row>
    <row r="15" spans="1:7">
      <c r="A15" t="s">
        <v>5</v>
      </c>
      <c r="B15" t="s">
        <v>248</v>
      </c>
      <c r="C15">
        <v>130.81839689824341</v>
      </c>
      <c r="D15">
        <v>14.542893291230882</v>
      </c>
      <c r="E15">
        <v>16785169</v>
      </c>
      <c r="F15">
        <v>-14947238.145854244</v>
      </c>
      <c r="G15">
        <v>1837930.854145759</v>
      </c>
    </row>
    <row r="16" spans="1:7">
      <c r="A16" t="s">
        <v>5</v>
      </c>
      <c r="B16" t="s">
        <v>216</v>
      </c>
      <c r="C16">
        <v>93.97001538461538</v>
      </c>
      <c r="D16">
        <v>15.244939206741407</v>
      </c>
      <c r="E16">
        <v>5967651</v>
      </c>
      <c r="F16">
        <v>-4976729.9515618086</v>
      </c>
      <c r="G16">
        <v>990921.04843819141</v>
      </c>
    </row>
    <row r="17" spans="1:7">
      <c r="A17" t="s">
        <v>5</v>
      </c>
      <c r="B17" t="s">
        <v>250</v>
      </c>
      <c r="C17">
        <v>129.96092690387556</v>
      </c>
      <c r="D17">
        <v>15.478548534152992</v>
      </c>
      <c r="E17">
        <v>18423236</v>
      </c>
      <c r="F17">
        <v>-16277723.430583984</v>
      </c>
      <c r="G17">
        <v>2145512.5694160145</v>
      </c>
    </row>
    <row r="18" spans="1:7">
      <c r="A18" t="s">
        <v>5</v>
      </c>
      <c r="B18" t="s">
        <v>249</v>
      </c>
      <c r="C18">
        <v>136.59807331628303</v>
      </c>
      <c r="D18">
        <v>21.546067243736715</v>
      </c>
      <c r="E18">
        <v>16415192</v>
      </c>
      <c r="F18">
        <v>-13887838.312309682</v>
      </c>
      <c r="G18">
        <v>2527353.6876903167</v>
      </c>
    </row>
    <row r="19" spans="1:7">
      <c r="A19" t="s">
        <v>5</v>
      </c>
      <c r="B19" t="s">
        <v>233</v>
      </c>
      <c r="C19">
        <v>120.0200127064803</v>
      </c>
      <c r="D19">
        <v>21.635292265300095</v>
      </c>
      <c r="E19">
        <v>9665934</v>
      </c>
      <c r="F19">
        <v>-7963236.4987208825</v>
      </c>
      <c r="G19">
        <v>1702697.5012791175</v>
      </c>
    </row>
    <row r="20" spans="1:7">
      <c r="A20" t="s">
        <v>5</v>
      </c>
      <c r="B20" t="s">
        <v>214</v>
      </c>
      <c r="C20">
        <v>139.02665905341962</v>
      </c>
      <c r="D20">
        <v>27.238938306862948</v>
      </c>
      <c r="E20">
        <v>44055183</v>
      </c>
      <c r="F20">
        <v>-35468380.088144526</v>
      </c>
      <c r="G20">
        <v>8586802.911855476</v>
      </c>
    </row>
    <row r="21" spans="1:7">
      <c r="A21" t="s">
        <v>5</v>
      </c>
      <c r="B21" t="s">
        <v>374</v>
      </c>
      <c r="C21">
        <v>137.00807553956835</v>
      </c>
      <c r="D21">
        <v>28.535167587243421</v>
      </c>
      <c r="E21">
        <v>7843627</v>
      </c>
      <c r="F21">
        <v>-6257071.6821492659</v>
      </c>
      <c r="G21">
        <v>1586555.3178507343</v>
      </c>
    </row>
    <row r="22" spans="1:7">
      <c r="A22" t="s">
        <v>218</v>
      </c>
      <c r="C22">
        <v>97.842838967962024</v>
      </c>
      <c r="D22">
        <v>6.5943507103461627</v>
      </c>
      <c r="E22">
        <v>240428374</v>
      </c>
      <c r="F22">
        <v>-224391401.0543907</v>
      </c>
      <c r="G22">
        <v>16036972.945609301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99FF-D653-4739-8B0C-26428E1F86E0}">
  <dimension ref="B2:F3"/>
  <sheetViews>
    <sheetView workbookViewId="0">
      <selection activeCell="B3" sqref="B3"/>
    </sheetView>
  </sheetViews>
  <sheetFormatPr defaultRowHeight="14.5"/>
  <cols>
    <col min="2" max="2" width="21.6328125" customWidth="1"/>
    <col min="3" max="3" width="23.6328125" customWidth="1"/>
    <col min="4" max="4" width="16.36328125" customWidth="1"/>
    <col min="5" max="5" width="22.08984375" customWidth="1"/>
    <col min="6" max="6" width="20.08984375" customWidth="1"/>
  </cols>
  <sheetData>
    <row r="2" spans="2:6">
      <c r="B2" t="s">
        <v>219</v>
      </c>
      <c r="C2" t="s">
        <v>220</v>
      </c>
      <c r="D2" t="s">
        <v>221</v>
      </c>
      <c r="E2" t="s">
        <v>222</v>
      </c>
      <c r="F2" t="s">
        <v>223</v>
      </c>
    </row>
    <row r="3" spans="2:6">
      <c r="B3">
        <v>97.842838967962024</v>
      </c>
      <c r="C3">
        <v>6.5943507103461627</v>
      </c>
      <c r="D3">
        <v>240428374</v>
      </c>
      <c r="E3">
        <v>-224391401.0543907</v>
      </c>
      <c r="F3">
        <v>16036972.945609301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Fact_Shipments</vt:lpstr>
      <vt:lpstr>Sheet1</vt:lpstr>
      <vt:lpstr>Summary_Baseline</vt:lpstr>
      <vt:lpstr>Summary_Actual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afandi anam</dc:creator>
  <cp:lastModifiedBy>Admin FX507</cp:lastModifiedBy>
  <dcterms:created xsi:type="dcterms:W3CDTF">2026-03-04T12:24:03Z</dcterms:created>
  <dcterms:modified xsi:type="dcterms:W3CDTF">2026-09-02T01:15:18Z</dcterms:modified>
</cp:coreProperties>
</file>