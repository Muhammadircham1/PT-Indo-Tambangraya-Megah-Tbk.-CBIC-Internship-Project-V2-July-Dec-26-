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Yasmine\Outlook\2025\07. July\"/>
    </mc:Choice>
  </mc:AlternateContent>
  <xr:revisionPtr revIDLastSave="0" documentId="8_{06D6FD6A-C0C2-49E9-AEF8-5958D7969B90}" xr6:coauthVersionLast="47" xr6:coauthVersionMax="47" xr10:uidLastSave="{00000000-0000-0000-0000-000000000000}"/>
  <bookViews>
    <workbookView xWindow="-110" yWindow="-110" windowWidth="19420" windowHeight="11620" tabRatio="370" activeTab="1" xr2:uid="{00000000-000D-0000-FFFF-FFFF00000000}"/>
  </bookViews>
  <sheets>
    <sheet name="Budget 2025" sheetId="3" r:id="rId1"/>
    <sheet name="Outlook 6+6" sheetId="2" r:id="rId2"/>
    <sheet name="Outlook Quarterly 6+6" sheetId="5" r:id="rId3"/>
    <sheet name="BudgVSact. June" sheetId="4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1A1_Z1...A10_Z10" localSheetId="0">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2">[1]Validation!$A$6</definedName>
    <definedName name="_Chubu3">[1]Validation!$A$7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 localSheetId="0">#REF!</definedName>
    <definedName name="_DATE">#REF!</definedName>
    <definedName name="_Dec">[1]Validation!$A$41</definedName>
    <definedName name="_ENEL1">[1]Validation!$A$11</definedName>
    <definedName name="_ENELP1">'[1]Enel '!$V$264</definedName>
    <definedName name="_ENELP2">'[1]Enel '!$V$265</definedName>
    <definedName name="_EPDC">[1]Validation!$A$8</definedName>
    <definedName name="_EPDCP1">[1]EPDC!$V$203</definedName>
    <definedName name="_EPDCP2">[1]EPDC!$V$204</definedName>
    <definedName name="_Feb">[1]Validation!$A$31</definedName>
    <definedName name="_ffggggg" localSheetId="0">#REF!</definedName>
    <definedName name="_ffggggg">#REF!</definedName>
    <definedName name="_Formosa1">[1]Validation!$A$15</definedName>
    <definedName name="_Formosa2">[1]Validation!$A$16</definedName>
    <definedName name="_FORMOSAP1">[1]Formosa!$V$264</definedName>
    <definedName name="_FORMOSAP2">[1]Formosa!$V$265</definedName>
    <definedName name="_fs1" localSheetId="0">#REF!</definedName>
    <definedName name="_fs1">#REF!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localSheetId="0" hidden="1">#REF!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localSheetId="0" hidden="1">#REF!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>'[2]MTD OB Forecasting'!#REF!</definedName>
    <definedName name="A01.PA_Plan">[3]Data!$B$73:$AH$82</definedName>
    <definedName name="A02.PA_Actual">[3]Data!$B$86:$AH$95</definedName>
    <definedName name="A03.UA_Actual">[3]Data!$B$112:$AH$121</definedName>
    <definedName name="A04.Prodty_Plan">[3]Data!$B$3:$AH$16</definedName>
    <definedName name="A05.Prodty_Actual">[3]Data!$B$20:$AH$33</definedName>
    <definedName name="A06.Prod_Actual">[3]Data!$B$150:$AH$153</definedName>
    <definedName name="A07.Dist_Plan">[3]Data!$B$37:$AG$46</definedName>
    <definedName name="A08.Dist_Actual">[3]Data!$B$157:$AH$161</definedName>
    <definedName name="A09.Fuel">[3]Data!$B$166:$AH$173</definedName>
    <definedName name="A1_Z1...A10_Z10" localSheetId="0">#REF!</definedName>
    <definedName name="A1_Z1...A10_Z10">#REF!</definedName>
    <definedName name="A10.Fuel_EGI">[3]Data!$B$177:$AH$208</definedName>
    <definedName name="A11.HM">[3]Data!$B$212:$AH$243</definedName>
    <definedName name="A12.Idle">[3]Data!$B$139:$AG$144</definedName>
    <definedName name="aa" localSheetId="0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0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0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0" hidden="1">{#N/A,#N/A,FALSE,"M06";#N/A,#N/A,FALSE,"M07"}</definedName>
    <definedName name="aaaaa" hidden="1">{#N/A,#N/A,FALSE,"M06";#N/A,#N/A,FALSE,"M07"}</definedName>
    <definedName name="ab">'[2]MTD OB Forecasting'!#REF!</definedName>
    <definedName name="Act_Cost">[3]Data!$B$316:$AH$324</definedName>
    <definedName name="ACTHAUL">'[4]HAUL C1,C2,C3'!$B$9:$BJ$41</definedName>
    <definedName name="ACTHAUL2">'[4]HAUL C1,C2,C3'!$B$45:$BK$82</definedName>
    <definedName name="ACTHAUL3">'[4]HAUL C1,C2,C3'!$B$85:$BK$122</definedName>
    <definedName name="actual" localSheetId="0">#REF!</definedName>
    <definedName name="actual">#REF!</definedName>
    <definedName name="ADFFF" localSheetId="0">#REF!</definedName>
    <definedName name="ADFFF">#REF!</definedName>
    <definedName name="afafa" localSheetId="0">#REF!</definedName>
    <definedName name="afafa">#REF!</definedName>
    <definedName name="Anas_f">'[5]MTD OB Forecasting'!#REF!</definedName>
    <definedName name="ance">'[5]MTD OB Forecasting'!#REF!</definedName>
    <definedName name="anscount" hidden="1">6</definedName>
    <definedName name="anto">'[5]MTD OB Forecasting'!#REF!</definedName>
    <definedName name="anto1">'[5]MTD OB Forecasting'!#REF!</definedName>
    <definedName name="AS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[3]Data!$B$51:$AG$69</definedName>
    <definedName name="b" localSheetId="0">#REF!</definedName>
    <definedName name="b">#REF!</definedName>
    <definedName name="bb" localSheetId="0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d" localSheetId="0">#REF!</definedName>
    <definedName name="bd">#REF!</definedName>
    <definedName name="BEK">[6]BEK!$A$1:$T$56</definedName>
    <definedName name="Bharinto" localSheetId="0">Business_Unit</definedName>
    <definedName name="Bharinto" localSheetId="2">Business_Unit</definedName>
    <definedName name="Bharinto">Business_Unit</definedName>
    <definedName name="BKKKLK" localSheetId="0">#REF!</definedName>
    <definedName name="BKKKLK">#REF!</definedName>
    <definedName name="BONUS" localSheetId="0">#REF!</definedName>
    <definedName name="BONUS">#REF!</definedName>
    <definedName name="BTS1BW" localSheetId="0">#REF!</definedName>
    <definedName name="BTS1BW">#REF!</definedName>
    <definedName name="BTS1FW" localSheetId="0">#REF!</definedName>
    <definedName name="BTS1FW">#REF!</definedName>
    <definedName name="BTS1HW" localSheetId="0">#REF!</definedName>
    <definedName name="BTS1HW">#REF!</definedName>
    <definedName name="BTS2BW" localSheetId="0">#REF!</definedName>
    <definedName name="BTS2BW">#REF!</definedName>
    <definedName name="BTS2FW" localSheetId="0">#REF!</definedName>
    <definedName name="BTS2FW">#REF!</definedName>
    <definedName name="BTS2HW" localSheetId="0">#REF!</definedName>
    <definedName name="BTS2HW">#REF!</definedName>
    <definedName name="Budget">'[6]Budget &amp; Outlook'!$E$5:$R$42</definedName>
    <definedName name="bulanan">[7]Database!$AN$1:$BY$473</definedName>
    <definedName name="BusinessUnit">[8]!Business_Unit</definedName>
    <definedName name="cc" localSheetId="0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0">#REF!</definedName>
    <definedName name="CCR">#REF!</definedName>
    <definedName name="CD" localSheetId="0">#REF!</definedName>
    <definedName name="CD">#REF!</definedName>
    <definedName name="Company">[8]!Company</definedName>
    <definedName name="COS" localSheetId="0">#REF!</definedName>
    <definedName name="COS">#REF!</definedName>
    <definedName name="CostCenter">[8]!Cost_Center</definedName>
    <definedName name="COSUBCO1" localSheetId="0">#REF!</definedName>
    <definedName name="COSUBCO1">#REF!</definedName>
    <definedName name="COSUBCO2" localSheetId="0">#REF!</definedName>
    <definedName name="COSUBCO2">#REF!</definedName>
    <definedName name="COSUBCO3" localSheetId="0">#REF!</definedName>
    <definedName name="COSUBCO3">#REF!</definedName>
    <definedName name="COSUBCO4" localSheetId="0">#REF!</definedName>
    <definedName name="COSUBCO4">#REF!</definedName>
    <definedName name="COSUBCO5" localSheetId="0">#REF!</definedName>
    <definedName name="COSUBCO5">#REF!</definedName>
    <definedName name="COSUBCO6" localSheetId="0">#REF!</definedName>
    <definedName name="COSUBCO6">#REF!</definedName>
    <definedName name="COSUBOB1" localSheetId="0">#REF!</definedName>
    <definedName name="COSUBOB1">#REF!</definedName>
    <definedName name="COSUBOB10" localSheetId="0">#REF!</definedName>
    <definedName name="COSUBOB10">#REF!</definedName>
    <definedName name="COSUBOB11" localSheetId="0">#REF!</definedName>
    <definedName name="COSUBOB11">#REF!</definedName>
    <definedName name="COSUBOB12" localSheetId="0">#REF!</definedName>
    <definedName name="COSUBOB12">#REF!</definedName>
    <definedName name="COSUBOB2" localSheetId="0">#REF!</definedName>
    <definedName name="COSUBOB2">#REF!</definedName>
    <definedName name="COSUBOB3" localSheetId="0">#REF!</definedName>
    <definedName name="COSUBOB3">#REF!</definedName>
    <definedName name="COSUBOB4" localSheetId="0">#REF!</definedName>
    <definedName name="COSUBOB4">#REF!</definedName>
    <definedName name="COSUBOB5" localSheetId="0">#REF!</definedName>
    <definedName name="COSUBOB5">#REF!</definedName>
    <definedName name="COSUBOB6" localSheetId="0">#REF!</definedName>
    <definedName name="COSUBOB6">#REF!</definedName>
    <definedName name="COSUBOB7" localSheetId="0">#REF!</definedName>
    <definedName name="COSUBOB7">#REF!</definedName>
    <definedName name="COSUBOB8" localSheetId="0">#REF!</definedName>
    <definedName name="COSUBOB8">#REF!</definedName>
    <definedName name="COSUBOB9" localSheetId="0">#REF!</definedName>
    <definedName name="COSUBOB9">#REF!</definedName>
    <definedName name="CUSTOMER">[9]dBase!$C$2:$C$4381</definedName>
    <definedName name="d" localSheetId="0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0">#REF!</definedName>
    <definedName name="DAFAF">#REF!</definedName>
    <definedName name="DAFDAF" localSheetId="0">#REF!</definedName>
    <definedName name="DAFDAF">#REF!</definedName>
    <definedName name="DATA_ASAL" localSheetId="0">#REF!</definedName>
    <definedName name="DATA_ASAL">#REF!</definedName>
    <definedName name="DATA_ASAL_10">[10]HOURLY!$B$1:$AA$833</definedName>
    <definedName name="DATA_ASAL_17">[10]HOURLY!$B$1:$AA$833</definedName>
    <definedName name="DATA_ASAL_19">[10]HOURLY!$B$1:$AA$833</definedName>
    <definedName name="DATA_ASAL_20">[10]HOURLY!$B$1:$AA$833</definedName>
    <definedName name="DATA_ASAL_3">[10]HOURLY!$B$1:$AA$833</definedName>
    <definedName name="DATA_ASAL_3_1">[10]HOURLY!$B$1:$AA$833</definedName>
    <definedName name="DATA_ASAL_4">[10]HOURLY!$B$1:$AA$833</definedName>
    <definedName name="DATA_ASAL_6">[10]HOURLY!$B$1:$AA$833</definedName>
    <definedName name="DATA_ASAL_6_1">[10]HOURLY!$B$1:$AA$833</definedName>
    <definedName name="DATA_ASAL_7">[10]HOURLY!$B$1:$AA$833</definedName>
    <definedName name="DATA_ASAL_7_1">[10]HOURLY!$B$1:$AA$833</definedName>
    <definedName name="DATA_ASAL_8">[10]HOURLY!$B$1:$AA$833</definedName>
    <definedName name="DATA_ASAL_9">[10]HOURLY!$B$1:$AA$833</definedName>
    <definedName name="Data_Plan">[11]summary!$B$12:$AN$42</definedName>
    <definedName name="Data_Plan_1">[11]summary!$B$12:$AN$42</definedName>
    <definedName name="Data_Plan_1_1">[11]summary!$B$12:$AN$42</definedName>
    <definedName name="Data_Plan_10">[12]summary!$B$12:$AN$42</definedName>
    <definedName name="Data_Plan_11">[11]summary!$B$12:$AN$42</definedName>
    <definedName name="Data_Plan_13">[11]summary!$B$12:$AN$42</definedName>
    <definedName name="Data_Plan_16">[11]summary!$B$12:$AN$42</definedName>
    <definedName name="Data_Plan_17">[13]summary!$B$12:$AN$42</definedName>
    <definedName name="Data_Plan_19">[14]summary!$B$12:$AN$42</definedName>
    <definedName name="Data_Plan_2">[11]summary!$B$12:$AN$42</definedName>
    <definedName name="Data_Plan_2_1">[11]summary!$B$12:$AN$42</definedName>
    <definedName name="Data_Plan_20">[15]summary!$B$12:$AN$42</definedName>
    <definedName name="Data_Plan_3">[16]summary!$B$12:$AN$42</definedName>
    <definedName name="Data_Plan_3_1">[16]summary!$B$12:$AN$42</definedName>
    <definedName name="Data_Plan_4">[16]summary!$B$12:$AN$42</definedName>
    <definedName name="Data_Plan_6">[16]summary!$B$12:$AN$42</definedName>
    <definedName name="Data_Plan_6_1">[13]summary!$B$12:$AN$42</definedName>
    <definedName name="Data_Plan_7">[16]summary!$B$12:$AN$42</definedName>
    <definedName name="Data_Plan_7_1">[12]summary!$B$12:$AN$42</definedName>
    <definedName name="Data_Plan_8">[13]summary!$B$12:$AN$42</definedName>
    <definedName name="Data_Plan_9">[13]summary!$B$12:$AN$42</definedName>
    <definedName name="Dataprm">'[17]Summ PRM'!$C$6:$BM$108</definedName>
    <definedName name="dd" localSheetId="0" hidden="1">{#N/A,#N/A,FALSE,"M06";#N/A,#N/A,FALSE,"M07"}</definedName>
    <definedName name="dd" hidden="1">{#N/A,#N/A,FALSE,"M06";#N/A,#N/A,FALSE,"M07"}</definedName>
    <definedName name="ddd" localSheetId="0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0">#REF!</definedName>
    <definedName name="ddddd">#REF!</definedName>
    <definedName name="DF" localSheetId="0">#REF!</definedName>
    <definedName name="DF">#REF!</definedName>
    <definedName name="dfm">'[2]MTD OB Forecasting'!#REF!</definedName>
    <definedName name="DIST">[18]Run!$E$5:$I$30</definedName>
    <definedName name="DIST_1">[18]Run!$E$5:$I$30</definedName>
    <definedName name="DIST_1_1">[18]Run!$E$5:$I$30</definedName>
    <definedName name="DIST_10">[19]Run!$E$5:$I$30</definedName>
    <definedName name="DIST_11">[18]Run!$E$5:$I$30</definedName>
    <definedName name="DIST_13">[18]Run!$E$5:$I$30</definedName>
    <definedName name="DIST_16">[18]Run!$E$5:$I$30</definedName>
    <definedName name="DIST_17">[20]Run!$E$5:$I$30</definedName>
    <definedName name="DIST_19">[21]Run!$E$5:$I$30</definedName>
    <definedName name="DIST_2">[18]Run!$E$5:$I$30</definedName>
    <definedName name="DIST_2_1">[18]Run!$E$5:$I$30</definedName>
    <definedName name="DIST_20">[22]Run!$E$5:$I$30</definedName>
    <definedName name="DIST_3">[23]Run!$E$5:$I$30</definedName>
    <definedName name="DIST_3_1">[23]Run!$E$5:$I$30</definedName>
    <definedName name="DIST_4">[23]Run!$E$5:$I$30</definedName>
    <definedName name="DIST_6">[23]Run!$E$5:$I$30</definedName>
    <definedName name="DIST_6_1">[20]Run!$E$5:$I$30</definedName>
    <definedName name="DIST_7">[23]Run!$E$5:$I$30</definedName>
    <definedName name="DIST_7_1">[19]Run!$E$5:$I$30</definedName>
    <definedName name="DIST_8">[20]Run!$E$5:$I$30</definedName>
    <definedName name="DIST_9">[20]Run!$E$5:$I$30</definedName>
    <definedName name="DISTANCE">[24]Run!$E$5:$I$31</definedName>
    <definedName name="Distance_10">[3]Data!$B$157:$AG$161</definedName>
    <definedName name="Distance_11">[3]Data!$B$157:$AG$161</definedName>
    <definedName name="Distance_11_1">[3]Data!$B$157:$AG$161</definedName>
    <definedName name="Distance_12">[3]Data!$B$157:$AG$161</definedName>
    <definedName name="Distance_12_1">[3]Data!$B$157:$AG$161</definedName>
    <definedName name="Distance_13">[3]Data!$B$157:$AG$161</definedName>
    <definedName name="Distance_13_1">[3]Data!$B$157:$AG$161</definedName>
    <definedName name="Distance_14">[3]Data!$B$157:$AG$161</definedName>
    <definedName name="Distance_15">[3]Data!$B$157:$AG$161</definedName>
    <definedName name="Distance_16">[3]Data!$B$157:$AG$161</definedName>
    <definedName name="Distance_8">[3]Data!$B$157:$AG$161</definedName>
    <definedName name="Distance_9">[3]Data!$B$157:$AG$161</definedName>
    <definedName name="DOWN">[25]ACUM!$ED$34:$FJ$57</definedName>
    <definedName name="DS" localSheetId="0">#REF!</definedName>
    <definedName name="DS">#REF!</definedName>
    <definedName name="DUMPBIN">'[4]HAUL C1,C2,C3'!$BL$7:$BM$41</definedName>
    <definedName name="DUMPBIN1">'[4]HAUL C1,C2,C3'!$V$48:$W$82</definedName>
    <definedName name="e" localSheetId="0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0" hidden="1">{#N/A,#N/A,FALSE,"M06";#N/A,#N/A,FALSE,"M07"}</definedName>
    <definedName name="ebe" hidden="1">{#N/A,#N/A,FALSE,"M06";#N/A,#N/A,FALSE,"M07"}</definedName>
    <definedName name="ee" localSheetId="0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0">#REF!</definedName>
    <definedName name="eewq">#REF!</definedName>
    <definedName name="eqe" localSheetId="0">#REF!</definedName>
    <definedName name="eqe">#REF!</definedName>
    <definedName name="esa">[26]Project!$A$3:$A$1003</definedName>
    <definedName name="EXCA_COAL" localSheetId="0">#REF!</definedName>
    <definedName name="EXCA_COAL">#REF!</definedName>
    <definedName name="EXCA_OB" localSheetId="0">#REF!</definedName>
    <definedName name="EXCA_OB">#REF!</definedName>
    <definedName name="excel">'[5]MTD OB Forecasting'!#REF!</definedName>
    <definedName name="Excel_01">'[2]MTD OB Forecasting'!#REF!</definedName>
    <definedName name="excel_02">'[2]MTD OB Forecasting'!#REF!</definedName>
    <definedName name="Excel_BuiltIn__FilterDatabase_1" localSheetId="0">#REF!</definedName>
    <definedName name="Excel_BuiltIn__FilterDatabase_1">#REF!</definedName>
    <definedName name="Excel_BuiltIn__FilterDatabase_1_1">[27]Project!$Q$7:$Q$10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0">'[5]MTD OB Forecasting'!#REF!</definedName>
    <definedName name="Excel_BuiltIn_Print_Area_10_1">'[5]MTD OB Forecasting'!#REF!</definedName>
    <definedName name="Excel_BuiltIn_Print_Area_10_20">'[2]MTD OB Forecasting'!#REF!</definedName>
    <definedName name="Excel_BuiltIn_Print_Area_13" localSheetId="0">#REF!</definedName>
    <definedName name="Excel_BuiltIn_Print_Area_13">#REF!</definedName>
    <definedName name="Excel_BuiltIn_Print_Titles" localSheetId="0">#REF!</definedName>
    <definedName name="Excel_BuiltIn_Print_Titles">#REF!</definedName>
    <definedName name="Excel_BuiltIn_Print_Titles_1" localSheetId="0">#REF!</definedName>
    <definedName name="Excel_BuiltIn_Print_Titles_1">#REF!</definedName>
    <definedName name="ExchageCode">[8]!Exchange_Code</definedName>
    <definedName name="ExchangeRate">'[28]Detail Exp.'!$Z$3</definedName>
    <definedName name="f" localSheetId="0" hidden="1">{#N/A,#N/A,FALSE,"M06";#N/A,#N/A,FALSE,"M07"}</definedName>
    <definedName name="f" hidden="1">{#N/A,#N/A,FALSE,"M06";#N/A,#N/A,FALSE,"M07"}</definedName>
    <definedName name="FD" localSheetId="0">#REF!</definedName>
    <definedName name="FD">#REF!</definedName>
    <definedName name="FF" localSheetId="0">#REF!</definedName>
    <definedName name="FF">#REF!</definedName>
    <definedName name="ffff" localSheetId="0">#REF!</definedName>
    <definedName name="ffff">#REF!</definedName>
    <definedName name="fs" localSheetId="0">#REF!</definedName>
    <definedName name="fs">#REF!</definedName>
    <definedName name="Fuel">[3]Data!$B$177:$AG$208</definedName>
    <definedName name="Fuel_MTD">[3]Data!$B$247:$AG$277</definedName>
    <definedName name="Fuel_STO">[3]Data!$B$166:$AG$173</definedName>
    <definedName name="g" localSheetId="0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gg" localSheetId="0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NRL_OB" localSheetId="0">#REF!</definedName>
    <definedName name="GNRL_OB">#REF!</definedName>
    <definedName name="GT" localSheetId="0">#REF!</definedName>
    <definedName name="GT">#REF!</definedName>
    <definedName name="h" localSheetId="0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arian" localSheetId="0">#REF!</definedName>
    <definedName name="harian">#REF!</definedName>
    <definedName name="HAUL_COAL" localSheetId="0">#REF!</definedName>
    <definedName name="HAUL_COAL">#REF!</definedName>
    <definedName name="HAUL_OB" localSheetId="0">#REF!</definedName>
    <definedName name="HAUL_OB">#REF!</definedName>
    <definedName name="HAULPLAN">'[4]OB PLAN'!$B$46:$Q$79</definedName>
    <definedName name="HC" localSheetId="0">#REF!</definedName>
    <definedName name="HC">#REF!</definedName>
    <definedName name="he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0">#REF!</definedName>
    <definedName name="hfhahfha">#REF!</definedName>
    <definedName name="hhka334" localSheetId="0">#REF!</definedName>
    <definedName name="hhka334">#REF!</definedName>
    <definedName name="HJKKKLLL" localSheetId="0">#REF!</definedName>
    <definedName name="HJKKKLLL">#REF!</definedName>
    <definedName name="HL2brm" localSheetId="0">#REF!</definedName>
    <definedName name="HL2brm">#REF!</definedName>
    <definedName name="HL3brm" localSheetId="0">#REF!</definedName>
    <definedName name="HL3brm">#REF!</definedName>
    <definedName name="HLS2BW" localSheetId="0">#REF!</definedName>
    <definedName name="HLS2BW">#REF!</definedName>
    <definedName name="HLS2FW" localSheetId="0">#REF!</definedName>
    <definedName name="HLS2FW">#REF!</definedName>
    <definedName name="HLS2HW" localSheetId="0">#REF!</definedName>
    <definedName name="HLS2HW">#REF!</definedName>
    <definedName name="HLS3BW" localSheetId="0">#REF!</definedName>
    <definedName name="HLS3BW">#REF!</definedName>
    <definedName name="HLS3FW" localSheetId="0">#REF!</definedName>
    <definedName name="HLS3FW">#REF!</definedName>
    <definedName name="HLS3HW" localSheetId="0">#REF!</definedName>
    <definedName name="HLS3HW">#REF!</definedName>
    <definedName name="HM">[3]Data!$B$212:$AG$243</definedName>
    <definedName name="HO" localSheetId="0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dle">[3]Data!$B$139:$AG$144</definedName>
    <definedName name="IMM">[6]IMM!$A$2:$Y$60</definedName>
    <definedName name="IMM.LCV.BCT" localSheetId="0">#REF!</definedName>
    <definedName name="IMM.LCV.BCT">#REF!</definedName>
    <definedName name="IMM.LCV.BoCT" localSheetId="0">#REF!</definedName>
    <definedName name="IMM.LCV.BoCT">#REF!</definedName>
    <definedName name="IMM.LCV.Samarinda" localSheetId="0">#REF!</definedName>
    <definedName name="IMM.LCV.Samarinda">#REF!</definedName>
    <definedName name="IMM.West.BCT" localSheetId="0">#REF!</definedName>
    <definedName name="IMM.West.BCT">#REF!</definedName>
    <definedName name="IMM.West.BoCT" localSheetId="0">#REF!</definedName>
    <definedName name="IMM.West.BoCT">#REF!</definedName>
    <definedName name="IMM.West.Samarinda" localSheetId="0">#REF!</definedName>
    <definedName name="IMM.West.Samarinda">#REF!</definedName>
    <definedName name="I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[9]dBase!$BA$2:$BA$4381</definedName>
    <definedName name="ITMBONUS1">[9]dBase!$AZ$2:$AZ$4381</definedName>
    <definedName name="itoy" localSheetId="0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>'[5]MTD OB Forecasting'!#REF!</definedName>
    <definedName name="JBG">[6]JBG!$B$3:$AK$87</definedName>
    <definedName name="jigsaw" localSheetId="0">#REF!</definedName>
    <definedName name="jigsaw">#REF!</definedName>
    <definedName name="jk">'[5]MTD OB Forecasting'!#REF!</definedName>
    <definedName name="Jum_Unit">[3]Data!$B$125:$AG$135</definedName>
    <definedName name="K" localSheetId="0">#REF!</definedName>
    <definedName name="K">#REF!</definedName>
    <definedName name="kj">'[5]MTD OB Forecasting'!#REF!</definedName>
    <definedName name="kl">'[2]MTD OB Forecasting'!#REF!</definedName>
    <definedName name="klj">'[5]MTD OB Forecasting'!#REF!</definedName>
    <definedName name="Konversi">'[3]Konversi Jarak'!$A$4:$B$34</definedName>
    <definedName name="KR1BW" localSheetId="0">#REF!</definedName>
    <definedName name="KR1BW">#REF!</definedName>
    <definedName name="KR1FW" localSheetId="0">#REF!</definedName>
    <definedName name="KR1FW">#REF!</definedName>
    <definedName name="KR1HW" localSheetId="0">#REF!</definedName>
    <definedName name="KR1HW">#REF!</definedName>
    <definedName name="KR2BW" localSheetId="0">#REF!</definedName>
    <definedName name="KR2BW">#REF!</definedName>
    <definedName name="KR2FW" localSheetId="0">#REF!</definedName>
    <definedName name="KR2FW">#REF!</definedName>
    <definedName name="KR2HW" localSheetId="0">#REF!</definedName>
    <definedName name="KR2HW">#REF!</definedName>
    <definedName name="kris">'[5]MTD OB Forecasting'!#REF!</definedName>
    <definedName name="kristisnto">'[2]MTD OB Forecasting'!#REF!</definedName>
    <definedName name="KTD">[6]EMB!$A$4:$AX$55</definedName>
    <definedName name="L" localSheetId="0">#REF!</definedName>
    <definedName name="L">#REF!</definedName>
    <definedName name="limcount" hidden="1">2</definedName>
    <definedName name="LIST_11" localSheetId="0">#REF!</definedName>
    <definedName name="LIST_11">#REF!</definedName>
    <definedName name="LIST_12" localSheetId="0">#REF!</definedName>
    <definedName name="LIST_12">#REF!</definedName>
    <definedName name="LIST_19">[29]LIST!$C$3:$AC$438</definedName>
    <definedName name="LIST_20">[30]LIST!$C$3:$AC$438</definedName>
    <definedName name="LIST_8" localSheetId="0">#REF!</definedName>
    <definedName name="LIST_8">#REF!</definedName>
    <definedName name="LIST_9" localSheetId="0">#REF!</definedName>
    <definedName name="LIST_9">#REF!</definedName>
    <definedName name="LO" localSheetId="0">#REF!</definedName>
    <definedName name="LO">#REF!</definedName>
    <definedName name="LOAD_COAL" localSheetId="0">#REF!</definedName>
    <definedName name="LOAD_COAL">#REF!</definedName>
    <definedName name="LOAD_OB" localSheetId="0">#REF!</definedName>
    <definedName name="LOAD_OB">#REF!</definedName>
    <definedName name="lose" localSheetId="0">#REF!</definedName>
    <definedName name="lose">#REF!</definedName>
    <definedName name="MEASTHITS" localSheetId="0">#REF!</definedName>
    <definedName name="MEASTHITS">#REF!</definedName>
    <definedName name="MEASTMHITS" localSheetId="0">#REF!</definedName>
    <definedName name="MEASTMHITS">#REF!</definedName>
    <definedName name="minesche" localSheetId="0">#REF!</definedName>
    <definedName name="minesche">#REF!</definedName>
    <definedName name="MMHITS" localSheetId="0">#REF!</definedName>
    <definedName name="MMHITS">#REF!</definedName>
    <definedName name="MOHH">[25]ACUM!$ED$94:$FJ$117</definedName>
    <definedName name="MONTH">[9]dBase!$BE$2:$BE$4381</definedName>
    <definedName name="MSYINV" localSheetId="0">#REF!</definedName>
    <definedName name="MSYINV">#REF!</definedName>
    <definedName name="MTDMHCV" localSheetId="0">#REF!</definedName>
    <definedName name="MTDMHCV">#REF!</definedName>
    <definedName name="MTOTAL" localSheetId="0">#REF!</definedName>
    <definedName name="MTOTAL">#REF!</definedName>
    <definedName name="MWASH" localSheetId="0">#REF!</definedName>
    <definedName name="MWASH">#REF!</definedName>
    <definedName name="MWESTHITS" localSheetId="0">#REF!</definedName>
    <definedName name="MWESTHITS">#REF!</definedName>
    <definedName name="MWESTLOTS" localSheetId="0">#REF!</definedName>
    <definedName name="MWESTLOTS">#REF!</definedName>
    <definedName name="N" localSheetId="0">#REF!</definedName>
    <definedName name="N">#REF!</definedName>
    <definedName name="NAR">[31]sum_MSY!$DL$7:$DM$21</definedName>
    <definedName name="nav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>'[5]MTD OB Forecasting'!#REF!</definedName>
    <definedName name="nhg">'[2]MTD OB Forecasting'!#REF!</definedName>
    <definedName name="nn" localSheetId="0">#REF!</definedName>
    <definedName name="nn">#REF!</definedName>
    <definedName name="nnn" localSheetId="0">#REF!</definedName>
    <definedName name="nnn">#REF!</definedName>
    <definedName name="nnnnn">[32]!Exchange_Code</definedName>
    <definedName name="NOM_11" localSheetId="0">#REF!</definedName>
    <definedName name="NOM_11">#REF!</definedName>
    <definedName name="NOM_12" localSheetId="0">#REF!</definedName>
    <definedName name="NOM_12">#REF!</definedName>
    <definedName name="NOM_19">[29]LIST!$B$4:$AE$437</definedName>
    <definedName name="NOM_20">[30]LIST!$B$4:$AE$437</definedName>
    <definedName name="NOM_8" localSheetId="0">#REF!</definedName>
    <definedName name="NOM_8">#REF!</definedName>
    <definedName name="NOM_9" localSheetId="0">#REF!</definedName>
    <definedName name="NOM_9">#REF!</definedName>
    <definedName name="O" localSheetId="0">#REF!</definedName>
    <definedName name="O">#REF!</definedName>
    <definedName name="OB" localSheetId="0">#REF!</definedName>
    <definedName name="OB">#REF!</definedName>
    <definedName name="oi" localSheetId="0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[33]bantuan!$B$2:$C$30</definedName>
    <definedName name="OPT_GL">[34]OPT_GL!$B$4:$S$33</definedName>
    <definedName name="OPT_GL_1">[34]OPT_GL!$B$4:$S$33</definedName>
    <definedName name="OPT_GL_1_1">[34]OPT_GL!$B$4:$S$33</definedName>
    <definedName name="OPT_GL_11">[34]OPT_GL!$B$4:$S$33</definedName>
    <definedName name="OPT_GL_11_1">[34]OPT_GL!$B$4:$S$33</definedName>
    <definedName name="OPT_GL_12">[34]OPT_GL!$B$4:$S$33</definedName>
    <definedName name="OPT_GL_13">[34]OPT_GL!$B$4:$S$33</definedName>
    <definedName name="OPT_GL_16">[34]OPT_GL!$B$4:$S$33</definedName>
    <definedName name="OPT_GL_17">[34]OPT_GL!$B$4:$S$33</definedName>
    <definedName name="OPT_GL_19">[34]OPT_GL!$B$4:$S$33</definedName>
    <definedName name="OPT_GL_2">[34]OPT_GL!$B$4:$S$33</definedName>
    <definedName name="OPT_GL_2_1">[34]OPT_GL!$B$4:$S$33</definedName>
    <definedName name="OPT_GL_20">[34]OPT_GL!$B$4:$S$33</definedName>
    <definedName name="OPT_GL_6">[34]OPT_GL!$B$4:$S$33</definedName>
    <definedName name="OPT_GL_8">[34]OPT_GL!$B$4:$S$33</definedName>
    <definedName name="OPT_GL_8_1">[34]OPT_GL!$B$4:$S$33</definedName>
    <definedName name="OPT_GL_9">[34]OPT_GL!$B$4:$S$33</definedName>
    <definedName name="OPT_GL_9_1">[34]OPT_GL!$B$4:$S$33</definedName>
    <definedName name="ORE" localSheetId="0">#REF!</definedName>
    <definedName name="ORE">#REF!</definedName>
    <definedName name="Outlook">'[6]Budget &amp; Outlook'!$T$5:$AG$41</definedName>
    <definedName name="P" localSheetId="0">#REF!</definedName>
    <definedName name="P">#REF!</definedName>
    <definedName name="PA_Actual">[3]Data!$B$86:$AG$95</definedName>
    <definedName name="PA_Plan">[3]Data!$B$73:$AG$82</definedName>
    <definedName name="paijo">'[2]MTD OB Forecasting'!#REF!</definedName>
    <definedName name="PASS" localSheetId="0">#REF!</definedName>
    <definedName name="PASS">#REF!</definedName>
    <definedName name="PASS1" localSheetId="0">#REF!</definedName>
    <definedName name="PASS1">#REF!</definedName>
    <definedName name="PEASTHITS" localSheetId="0">#REF!</definedName>
    <definedName name="PEASTHITS">#REF!</definedName>
    <definedName name="PEMB" localSheetId="0">#REF!</definedName>
    <definedName name="PEMB">#REF!</definedName>
    <definedName name="PENALTY">[9]dBonus!$C$7:$J$73</definedName>
    <definedName name="pit_10">'[5]MTD OB Forecasting'!#REF!</definedName>
    <definedName name="PJBG" localSheetId="0">#REF!</definedName>
    <definedName name="PJBG">#REF!</definedName>
    <definedName name="Plan">[35]Plan!$A$3:$A$187</definedName>
    <definedName name="PLAN_1">[36]SUM!$B$34:$AB$58</definedName>
    <definedName name="PLAN_1_1">[36]SUM!$B$34:$AB$58</definedName>
    <definedName name="PLAN_11">[36]SUM!$B$34:$AB$58</definedName>
    <definedName name="PLAN_11_1">[36]SUM!$B$34:$AB$58</definedName>
    <definedName name="PLAN_12">[36]SUM!$B$34:$AB$58</definedName>
    <definedName name="PLAN_13">[36]SUM!$B$34:$AB$58</definedName>
    <definedName name="PLAN_16">[36]SUM!$B$34:$AB$58</definedName>
    <definedName name="PLAN_17">[36]SUM!$B$34:$AB$58</definedName>
    <definedName name="PLAN_19">[36]SUM!$B$34:$AB$58</definedName>
    <definedName name="PLAN_2">[36]SUM!$B$34:$AB$58</definedName>
    <definedName name="PLAN_2_1">[36]SUM!$B$34:$AB$58</definedName>
    <definedName name="PLAN_20">[36]SUM!$B$34:$AB$58</definedName>
    <definedName name="PLAN_6">[36]SUM!$B$34:$AB$58</definedName>
    <definedName name="PLAN_8">[36]SUM!$B$34:$AB$58</definedName>
    <definedName name="PLAN_8_1">[36]SUM!$B$34:$AB$58</definedName>
    <definedName name="PLAN_9">[36]SUM!$B$34:$AB$58</definedName>
    <definedName name="PLAN_9_1">[36]SUM!$B$34:$AB$58</definedName>
    <definedName name="PLAN_DAILY">'[37]Daily Plan'!$BH$8:$CA$33</definedName>
    <definedName name="PLAN_MONTHLY">[38]summary!$B$12:$AO$45</definedName>
    <definedName name="PLAN_MONTHLY_1">[38]summary!$B$12:$AO$45</definedName>
    <definedName name="PLAN_MONTHLY_1_1">[38]summary!$B$12:$AO$45</definedName>
    <definedName name="PLAN_MONTHLY_10">[39]summary!$B$12:$AO$45</definedName>
    <definedName name="PLAN_MONTHLY_11">[38]summary!$B$12:$AO$45</definedName>
    <definedName name="PLAN_MONTHLY_13">[38]summary!$B$12:$AO$45</definedName>
    <definedName name="PLAN_MONTHLY_16">[38]summary!$B$12:$AO$45</definedName>
    <definedName name="PLAN_MONTHLY_17">[40]summary!$B$12:$AO$45</definedName>
    <definedName name="PLAN_MONTHLY_19">[14]summary!$B$12:$AO$45</definedName>
    <definedName name="PLAN_MONTHLY_2">[38]summary!$B$12:$AO$45</definedName>
    <definedName name="PLAN_MONTHLY_2_1">[38]summary!$B$12:$AO$45</definedName>
    <definedName name="PLAN_MONTHLY_20">[41]summary!$B$12:$AO$45</definedName>
    <definedName name="PLAN_MONTHLY_3">[42]summary!$B$12:$AO$45</definedName>
    <definedName name="PLAN_MONTHLY_3_1">[42]summary!$B$12:$AO$45</definedName>
    <definedName name="PLAN_MONTHLY_4">[42]summary!$B$12:$AO$45</definedName>
    <definedName name="PLAN_MONTHLY_6">[42]summary!$B$12:$AO$45</definedName>
    <definedName name="PLAN_MONTHLY_6_1">[40]summary!$B$12:$AO$45</definedName>
    <definedName name="PLAN_MONTHLY_7">[42]summary!$B$12:$AO$45</definedName>
    <definedName name="PLAN_MONTHLY_7_1">[39]summary!$B$12:$AO$45</definedName>
    <definedName name="PLAN_MONTHLY_8">[40]summary!$B$12:$AO$45</definedName>
    <definedName name="PLAN_MONTHLY_9">[40]summary!$B$12:$AO$45</definedName>
    <definedName name="pm3brm" localSheetId="0">#REF!</definedName>
    <definedName name="pm3brm">#REF!</definedName>
    <definedName name="PMEASTHITS" localSheetId="0">#REF!</definedName>
    <definedName name="PMEASTHITS">#REF!</definedName>
    <definedName name="PMS3BW" localSheetId="0">#REF!</definedName>
    <definedName name="PMS3BW">#REF!</definedName>
    <definedName name="PMS3FW" localSheetId="0">#REF!</definedName>
    <definedName name="PMS3FW">#REF!</definedName>
    <definedName name="PMS3HW" localSheetId="0">#REF!</definedName>
    <definedName name="PMS3HW">#REF!</definedName>
    <definedName name="populasi" localSheetId="0">#REF!</definedName>
    <definedName name="populasi">#REF!</definedName>
    <definedName name="_xlnm.Print_Area" localSheetId="0">#REF!</definedName>
    <definedName name="_xlnm.Print_Area">#REF!</definedName>
    <definedName name="_xlnm.Print_Titles">#N/A</definedName>
    <definedName name="Print2" localSheetId="0">#REF!</definedName>
    <definedName name="Print2">#REF!</definedName>
    <definedName name="prod" localSheetId="0">#REF!</definedName>
    <definedName name="prod">#REF!</definedName>
    <definedName name="PROD_COAL">'[43]DP Report'!$F$42:$F$42</definedName>
    <definedName name="PROD_OB">'[43]DP Report'!$F$33:$F$33</definedName>
    <definedName name="ProdBdgt">'[44]Sum Prod &amp; Sales Bdgt'!$C$2:$T$21</definedName>
    <definedName name="Prodty_Actual">[3]Data!$B$20:$AG$33</definedName>
    <definedName name="Prodty_Plan">[3]Data!$B$3:$AG$16</definedName>
    <definedName name="Production">[3]Data!$B$149:$AG$153</definedName>
    <definedName name="produksi" localSheetId="0">#REF!</definedName>
    <definedName name="produksi">#REF!</definedName>
    <definedName name="Project">[35]Project!$A$3:$A$1003</definedName>
    <definedName name="Project1">[27]Project!$A$3:$A$1003</definedName>
    <definedName name="PSYINV2" localSheetId="0">#REF!</definedName>
    <definedName name="PSYINV2">#REF!</definedName>
    <definedName name="PT" localSheetId="0">#REF!</definedName>
    <definedName name="PT">#REF!</definedName>
    <definedName name="PTCMHCVHITS" localSheetId="0">#REF!</definedName>
    <definedName name="PTCMHCVHITS">#REF!</definedName>
    <definedName name="PTCMHCVLOTS" localSheetId="0">#REF!</definedName>
    <definedName name="PTCMHCVLOTS">#REF!</definedName>
    <definedName name="PTCMLCVLOTS" localSheetId="0">#REF!</definedName>
    <definedName name="PTCMLCVLOTS">#REF!</definedName>
    <definedName name="PTDMHCV" localSheetId="0">#REF!</definedName>
    <definedName name="PTDMHCV">#REF!</definedName>
    <definedName name="PTOTAL" localSheetId="0">#REF!</definedName>
    <definedName name="PTOTAL">#REF!</definedName>
    <definedName name="PWESTLOTS" localSheetId="0">#REF!</definedName>
    <definedName name="PWESTLOTS">#REF!</definedName>
    <definedName name="q" localSheetId="0">#REF!</definedName>
    <definedName name="q">#REF!</definedName>
    <definedName name="QWS" localSheetId="0">#REF!</definedName>
    <definedName name="QWS">#REF!</definedName>
    <definedName name="rcc" localSheetId="0">#REF!</definedName>
    <definedName name="rcc">#REF!</definedName>
    <definedName name="RD" localSheetId="0">#REF!</definedName>
    <definedName name="RD">#REF!</definedName>
    <definedName name="re" localSheetId="0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[25]TJ!$C$4:$Y$432</definedName>
    <definedName name="REN_LMA">[25]LM!$C$4:$Y$168</definedName>
    <definedName name="RENTAL">[25]ACUM!$B$4:$CT$27</definedName>
    <definedName name="rp">[45]OFFICE!$AW$6</definedName>
    <definedName name="SC" localSheetId="0">#REF!</definedName>
    <definedName name="SC">#REF!</definedName>
    <definedName name="sdhjfwsa\">'[2]MTD OB Forecasting'!#REF!</definedName>
    <definedName name="sencount" hidden="1">2</definedName>
    <definedName name="SFfuel">[46]Assumptions!$D$473</definedName>
    <definedName name="Shikoku">[1]Validation!$A$10</definedName>
    <definedName name="SlsBudget">'[44]Sum Prod &amp; Sales Bdgt'!$C$35:$P$49</definedName>
    <definedName name="SO" localSheetId="0">#REF!</definedName>
    <definedName name="SO">#REF!</definedName>
    <definedName name="SPRD_COAL" localSheetId="0">#REF!</definedName>
    <definedName name="SPRD_COAL">#REF!</definedName>
    <definedName name="SPRD_OB" localSheetId="0">#REF!</definedName>
    <definedName name="SPRD_OB">#REF!</definedName>
    <definedName name="ssss" localSheetId="0">#REF!</definedName>
    <definedName name="ssss">#REF!</definedName>
    <definedName name="STB">[25]ACUM!$ED$64:$FJ$87</definedName>
    <definedName name="SubAccount">[47]!Sub_Account</definedName>
    <definedName name="subhan">'[5]MTD OB Forecasting'!#REF!</definedName>
    <definedName name="SummPRM">'[48]Summ PRM'!$B$6:$BO$108</definedName>
    <definedName name="suryanto">'[2]MTD OB Forecasting'!#REF!</definedName>
    <definedName name="TCM">[6]TCM!$A$2:$KE$234</definedName>
    <definedName name="TDM">[6]TDM!$A$4:$EW$40</definedName>
    <definedName name="test" localSheetId="0">#REF!</definedName>
    <definedName name="test">#REF!</definedName>
    <definedName name="TONNAGE">[9]dBase!$R$2:$R$4381</definedName>
    <definedName name="TOP_COSTUM" localSheetId="0">#REF!</definedName>
    <definedName name="TOP_COSTUM">#REF!</definedName>
    <definedName name="total" localSheetId="0">#REF!</definedName>
    <definedName name="total">#REF!</definedName>
    <definedName name="TUNAS">[25]ACUM!$B$4:$CT$27</definedName>
    <definedName name="TYPE">[9]dBase!$BC$2:$BC$4381</definedName>
    <definedName name="UA_Actual">[3]Data!$B$112:$AG$121</definedName>
    <definedName name="UA_Plan">[3]Data!$B$99:$AG$108</definedName>
    <definedName name="uu" localSheetId="0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WASTE" localSheetId="0">#REF!</definedName>
    <definedName name="WASTE">#REF!</definedName>
    <definedName name="Wh" localSheetId="0">#REF!</definedName>
    <definedName name="Wh">#REF!</definedName>
    <definedName name="WORK">[25]ACUM!$ED$4:$FJ$27</definedName>
    <definedName name="Worksheet2016" localSheetId="0">#REF!</definedName>
    <definedName name="Worksheet2016">#REF!</definedName>
    <definedName name="wrn.M." localSheetId="0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0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Valuation._.LB." localSheetId="0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0" hidden="1">{#N/A,#N/A,FALSE,"M06";#N/A,#N/A,FALSE,"M07"}</definedName>
    <definedName name="wrn.Variance." hidden="1">{#N/A,#N/A,FALSE,"M06";#N/A,#N/A,FALSE,"M07"}</definedName>
    <definedName name="WS">'[6]WS-Daily'!$B$5:$GJ$1957</definedName>
    <definedName name="WSA" localSheetId="0">#REF!</definedName>
    <definedName name="WSA">#REF!</definedName>
    <definedName name="Y" localSheetId="0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>'[5]MTD OB Forecasting'!#REF!</definedName>
    <definedName name="yun">'[5]MTD OB Forecasting'!#REF!</definedName>
    <definedName name="yusuf">'[2]MTD OB Forecasting'!#REF!</definedName>
    <definedName name="z">'[5]MTD OB Forecasting'!#REF!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0" i="3" l="1"/>
  <c r="H189" i="3"/>
  <c r="H188" i="3"/>
  <c r="G190" i="3"/>
  <c r="F190" i="3"/>
  <c r="E190" i="3"/>
  <c r="D190" i="3"/>
  <c r="C190" i="3"/>
  <c r="G189" i="3"/>
  <c r="F189" i="3"/>
  <c r="E189" i="3"/>
  <c r="D189" i="3"/>
  <c r="C189" i="3"/>
  <c r="G188" i="3"/>
  <c r="F188" i="3"/>
  <c r="E188" i="3"/>
  <c r="D188" i="3"/>
  <c r="C188" i="3"/>
  <c r="B190" i="3"/>
  <c r="B189" i="3"/>
  <c r="B188" i="3"/>
  <c r="H188" i="2"/>
  <c r="H187" i="2"/>
  <c r="H186" i="2"/>
  <c r="G188" i="2"/>
  <c r="F188" i="2"/>
  <c r="E188" i="2"/>
  <c r="D188" i="2"/>
  <c r="C188" i="2"/>
  <c r="G187" i="2"/>
  <c r="F187" i="2"/>
  <c r="E187" i="2"/>
  <c r="D187" i="2"/>
  <c r="C187" i="2"/>
  <c r="G186" i="2"/>
  <c r="F186" i="2"/>
  <c r="E186" i="2"/>
  <c r="D186" i="2"/>
  <c r="C186" i="2"/>
  <c r="B188" i="2"/>
  <c r="B187" i="2"/>
  <c r="B186" i="2"/>
  <c r="M127" i="2" l="1"/>
  <c r="L127" i="2"/>
  <c r="K127" i="2"/>
  <c r="J127" i="2"/>
  <c r="I127" i="2"/>
  <c r="H127" i="2"/>
  <c r="G127" i="2"/>
  <c r="F127" i="2"/>
  <c r="E127" i="2"/>
  <c r="D127" i="2"/>
  <c r="C127" i="2"/>
  <c r="B127" i="2"/>
  <c r="N43" i="2" l="1"/>
  <c r="E183" i="5" l="1"/>
  <c r="D183" i="5"/>
  <c r="C183" i="5"/>
  <c r="B183" i="5"/>
  <c r="E182" i="5"/>
  <c r="D182" i="5"/>
  <c r="C182" i="5"/>
  <c r="B182" i="5"/>
  <c r="E181" i="5"/>
  <c r="D181" i="5"/>
  <c r="C181" i="5"/>
  <c r="B181" i="5"/>
  <c r="E180" i="5"/>
  <c r="D180" i="5"/>
  <c r="C180" i="5"/>
  <c r="B180" i="5"/>
  <c r="E179" i="5"/>
  <c r="D179" i="5"/>
  <c r="C179" i="5"/>
  <c r="B179" i="5"/>
  <c r="E169" i="5"/>
  <c r="D169" i="5"/>
  <c r="C169" i="5"/>
  <c r="B169" i="5"/>
  <c r="E168" i="5"/>
  <c r="D168" i="5"/>
  <c r="C168" i="5"/>
  <c r="B168" i="5"/>
  <c r="E167" i="5"/>
  <c r="D167" i="5"/>
  <c r="C167" i="5"/>
  <c r="B167" i="5"/>
  <c r="E166" i="5"/>
  <c r="D166" i="5"/>
  <c r="C166" i="5"/>
  <c r="B166" i="5"/>
  <c r="E165" i="5"/>
  <c r="D165" i="5"/>
  <c r="C165" i="5"/>
  <c r="B165" i="5"/>
  <c r="E153" i="5"/>
  <c r="D153" i="5"/>
  <c r="C153" i="5"/>
  <c r="B153" i="5"/>
  <c r="E152" i="5"/>
  <c r="D152" i="5"/>
  <c r="C152" i="5"/>
  <c r="B152" i="5"/>
  <c r="E151" i="5"/>
  <c r="D151" i="5"/>
  <c r="C151" i="5"/>
  <c r="B151" i="5"/>
  <c r="E150" i="5"/>
  <c r="D150" i="5"/>
  <c r="C150" i="5"/>
  <c r="B150" i="5"/>
  <c r="E149" i="5"/>
  <c r="D149" i="5"/>
  <c r="C149" i="5"/>
  <c r="B149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22" i="5"/>
  <c r="D122" i="5"/>
  <c r="C122" i="5"/>
  <c r="B122" i="5"/>
  <c r="E121" i="5"/>
  <c r="D121" i="5"/>
  <c r="C121" i="5"/>
  <c r="B121" i="5"/>
  <c r="E120" i="5"/>
  <c r="D120" i="5"/>
  <c r="C120" i="5"/>
  <c r="B120" i="5"/>
  <c r="E119" i="5"/>
  <c r="D119" i="5"/>
  <c r="C119" i="5"/>
  <c r="B119" i="5"/>
  <c r="E118" i="5"/>
  <c r="D118" i="5"/>
  <c r="C118" i="5"/>
  <c r="B118" i="5"/>
  <c r="E116" i="5"/>
  <c r="D116" i="5"/>
  <c r="C116" i="5"/>
  <c r="B116" i="5"/>
  <c r="E115" i="5"/>
  <c r="D115" i="5"/>
  <c r="C115" i="5"/>
  <c r="B115" i="5"/>
  <c r="E114" i="5"/>
  <c r="D114" i="5"/>
  <c r="C114" i="5"/>
  <c r="B114" i="5"/>
  <c r="E113" i="5"/>
  <c r="D113" i="5"/>
  <c r="C113" i="5"/>
  <c r="B113" i="5"/>
  <c r="E112" i="5"/>
  <c r="D112" i="5"/>
  <c r="C112" i="5"/>
  <c r="B112" i="5"/>
  <c r="E85" i="5"/>
  <c r="D85" i="5"/>
  <c r="C85" i="5"/>
  <c r="B85" i="5"/>
  <c r="E84" i="5"/>
  <c r="D84" i="5"/>
  <c r="C84" i="5"/>
  <c r="B84" i="5"/>
  <c r="E83" i="5"/>
  <c r="D83" i="5"/>
  <c r="C83" i="5"/>
  <c r="B83" i="5"/>
  <c r="E82" i="5"/>
  <c r="D82" i="5"/>
  <c r="C82" i="5"/>
  <c r="B82" i="5"/>
  <c r="E81" i="5"/>
  <c r="D81" i="5"/>
  <c r="C81" i="5"/>
  <c r="B81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8" i="5"/>
  <c r="D48" i="5"/>
  <c r="C48" i="5"/>
  <c r="B48" i="5"/>
  <c r="E42" i="5"/>
  <c r="D42" i="5"/>
  <c r="C42" i="5"/>
  <c r="B42" i="5"/>
  <c r="E36" i="5"/>
  <c r="D36" i="5"/>
  <c r="C36" i="5"/>
  <c r="B36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E24" i="5"/>
  <c r="D24" i="5"/>
  <c r="C24" i="5"/>
  <c r="B24" i="5"/>
  <c r="C25" i="5"/>
  <c r="B25" i="5"/>
  <c r="E18" i="5"/>
  <c r="D18" i="5"/>
  <c r="C18" i="5"/>
  <c r="B18" i="5"/>
  <c r="N16" i="2"/>
  <c r="E23" i="5"/>
  <c r="D23" i="5"/>
  <c r="E22" i="5"/>
  <c r="D22" i="5"/>
  <c r="E21" i="5"/>
  <c r="D21" i="5"/>
  <c r="E20" i="5"/>
  <c r="D20" i="5"/>
  <c r="E19" i="5"/>
  <c r="D19" i="5"/>
  <c r="C23" i="5"/>
  <c r="C22" i="5"/>
  <c r="C21" i="5"/>
  <c r="C20" i="5"/>
  <c r="C19" i="5"/>
  <c r="B23" i="5"/>
  <c r="B22" i="5"/>
  <c r="B21" i="5"/>
  <c r="B20" i="5"/>
  <c r="B19" i="5"/>
  <c r="F48" i="5" l="1"/>
  <c r="F42" i="5"/>
  <c r="E178" i="5" l="1"/>
  <c r="D178" i="5"/>
  <c r="C178" i="5"/>
  <c r="B178" i="5"/>
  <c r="F182" i="5" s="1"/>
  <c r="E175" i="5"/>
  <c r="E174" i="5" s="1"/>
  <c r="D175" i="5"/>
  <c r="D174" i="5" s="1"/>
  <c r="C175" i="5"/>
  <c r="C174" i="5" s="1"/>
  <c r="B175" i="5"/>
  <c r="B174" i="5" s="1"/>
  <c r="E173" i="5"/>
  <c r="E172" i="5" s="1"/>
  <c r="D173" i="5"/>
  <c r="D172" i="5" s="1"/>
  <c r="C173" i="5"/>
  <c r="C172" i="5" s="1"/>
  <c r="B173" i="5"/>
  <c r="B172" i="5" s="1"/>
  <c r="E164" i="5"/>
  <c r="D164" i="5"/>
  <c r="C164" i="5"/>
  <c r="B164" i="5"/>
  <c r="E163" i="5"/>
  <c r="D163" i="5"/>
  <c r="C163" i="5"/>
  <c r="B163" i="5"/>
  <c r="F168" i="5" s="1"/>
  <c r="E160" i="5"/>
  <c r="D160" i="5"/>
  <c r="C160" i="5"/>
  <c r="B160" i="5"/>
  <c r="F160" i="5" s="1"/>
  <c r="E159" i="5"/>
  <c r="D159" i="5"/>
  <c r="C159" i="5"/>
  <c r="B159" i="5"/>
  <c r="E157" i="5"/>
  <c r="E156" i="5" s="1"/>
  <c r="D157" i="5"/>
  <c r="D156" i="5" s="1"/>
  <c r="C157" i="5"/>
  <c r="C156" i="5" s="1"/>
  <c r="B157" i="5"/>
  <c r="B156" i="5" s="1"/>
  <c r="E148" i="5"/>
  <c r="D148" i="5"/>
  <c r="C148" i="5"/>
  <c r="B148" i="5"/>
  <c r="F151" i="5" s="1"/>
  <c r="E144" i="5"/>
  <c r="D144" i="5"/>
  <c r="C144" i="5"/>
  <c r="B144" i="5"/>
  <c r="E143" i="5"/>
  <c r="D143" i="5"/>
  <c r="C143" i="5"/>
  <c r="B143" i="5"/>
  <c r="E141" i="5"/>
  <c r="E140" i="5" s="1"/>
  <c r="D141" i="5"/>
  <c r="D140" i="5" s="1"/>
  <c r="C141" i="5"/>
  <c r="C140" i="5" s="1"/>
  <c r="B141" i="5"/>
  <c r="E132" i="5"/>
  <c r="D132" i="5"/>
  <c r="C132" i="5"/>
  <c r="B132" i="5"/>
  <c r="E131" i="5"/>
  <c r="D131" i="5"/>
  <c r="C131" i="5"/>
  <c r="B131" i="5"/>
  <c r="E128" i="5"/>
  <c r="E127" i="5" s="1"/>
  <c r="D128" i="5"/>
  <c r="D127" i="5" s="1"/>
  <c r="C128" i="5"/>
  <c r="C127" i="5" s="1"/>
  <c r="B128" i="5"/>
  <c r="B127" i="5" s="1"/>
  <c r="E126" i="5"/>
  <c r="E125" i="5" s="1"/>
  <c r="D126" i="5"/>
  <c r="D125" i="5" s="1"/>
  <c r="C126" i="5"/>
  <c r="C125" i="5" s="1"/>
  <c r="B126" i="5"/>
  <c r="F126" i="5" s="1"/>
  <c r="F125" i="5" s="1"/>
  <c r="E117" i="5"/>
  <c r="D117" i="5"/>
  <c r="C117" i="5"/>
  <c r="B117" i="5"/>
  <c r="F118" i="5" s="1"/>
  <c r="E111" i="5"/>
  <c r="D111" i="5"/>
  <c r="C111" i="5"/>
  <c r="B111" i="5"/>
  <c r="F115" i="5" s="1"/>
  <c r="E107" i="5"/>
  <c r="D107" i="5"/>
  <c r="C107" i="5"/>
  <c r="B107" i="5"/>
  <c r="F107" i="5" s="1"/>
  <c r="E106" i="5"/>
  <c r="D106" i="5"/>
  <c r="C106" i="5"/>
  <c r="B106" i="5"/>
  <c r="E105" i="5"/>
  <c r="D105" i="5"/>
  <c r="C105" i="5"/>
  <c r="B105" i="5"/>
  <c r="E103" i="5"/>
  <c r="D103" i="5"/>
  <c r="C103" i="5"/>
  <c r="B103" i="5"/>
  <c r="F103" i="5" s="1"/>
  <c r="E102" i="5"/>
  <c r="D102" i="5"/>
  <c r="C102" i="5"/>
  <c r="B102" i="5"/>
  <c r="E101" i="5"/>
  <c r="D101" i="5"/>
  <c r="C101" i="5"/>
  <c r="B101" i="5"/>
  <c r="F101" i="5" s="1"/>
  <c r="E80" i="5"/>
  <c r="D80" i="5"/>
  <c r="C80" i="5"/>
  <c r="B80" i="5"/>
  <c r="F80" i="5" s="1"/>
  <c r="E74" i="5"/>
  <c r="D74" i="5"/>
  <c r="C74" i="5"/>
  <c r="B74" i="5"/>
  <c r="F77" i="5" s="1"/>
  <c r="E69" i="5"/>
  <c r="D69" i="5"/>
  <c r="C69" i="5"/>
  <c r="B69" i="5"/>
  <c r="F69" i="5" s="1"/>
  <c r="E68" i="5"/>
  <c r="D68" i="5"/>
  <c r="C68" i="5"/>
  <c r="B68" i="5"/>
  <c r="E67" i="5"/>
  <c r="D67" i="5"/>
  <c r="C67" i="5"/>
  <c r="B67" i="5"/>
  <c r="F67" i="5" s="1"/>
  <c r="E64" i="5"/>
  <c r="D64" i="5"/>
  <c r="C64" i="5"/>
  <c r="B64" i="5"/>
  <c r="E63" i="5"/>
  <c r="D63" i="5"/>
  <c r="C63" i="5"/>
  <c r="B63" i="5"/>
  <c r="E62" i="5"/>
  <c r="D62" i="5"/>
  <c r="C62" i="5"/>
  <c r="B62" i="5"/>
  <c r="E61" i="5"/>
  <c r="D61" i="5"/>
  <c r="C61" i="5"/>
  <c r="B61" i="5"/>
  <c r="E59" i="5"/>
  <c r="D59" i="5"/>
  <c r="C59" i="5"/>
  <c r="B59" i="5"/>
  <c r="E58" i="5"/>
  <c r="D58" i="5"/>
  <c r="C58" i="5"/>
  <c r="B58" i="5"/>
  <c r="E57" i="5"/>
  <c r="D57" i="5"/>
  <c r="C57" i="5"/>
  <c r="B57" i="5"/>
  <c r="F27" i="5"/>
  <c r="E16" i="5"/>
  <c r="D16" i="5"/>
  <c r="C16" i="5"/>
  <c r="B16" i="5"/>
  <c r="E15" i="5"/>
  <c r="D15" i="5"/>
  <c r="C15" i="5"/>
  <c r="B15" i="5"/>
  <c r="E14" i="5"/>
  <c r="D14" i="5"/>
  <c r="C14" i="5"/>
  <c r="B14" i="5"/>
  <c r="E11" i="5"/>
  <c r="D11" i="5"/>
  <c r="C11" i="5"/>
  <c r="F11" i="5" s="1"/>
  <c r="B11" i="5"/>
  <c r="E10" i="5"/>
  <c r="D10" i="5"/>
  <c r="C10" i="5"/>
  <c r="B10" i="5"/>
  <c r="E9" i="5"/>
  <c r="D9" i="5"/>
  <c r="C9" i="5"/>
  <c r="B9" i="5"/>
  <c r="E7" i="5"/>
  <c r="D7" i="5"/>
  <c r="C7" i="5"/>
  <c r="B7" i="5"/>
  <c r="E6" i="5"/>
  <c r="D6" i="5"/>
  <c r="C6" i="5"/>
  <c r="B6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69" i="5"/>
  <c r="H168" i="5"/>
  <c r="H167" i="5"/>
  <c r="H166" i="5"/>
  <c r="H165" i="5"/>
  <c r="H164" i="5"/>
  <c r="H163" i="5"/>
  <c r="H162" i="5"/>
  <c r="H161" i="5"/>
  <c r="H159" i="5"/>
  <c r="H158" i="5"/>
  <c r="H157" i="5"/>
  <c r="H156" i="5"/>
  <c r="H153" i="5"/>
  <c r="H152" i="5"/>
  <c r="H151" i="5"/>
  <c r="H150" i="5"/>
  <c r="H149" i="5"/>
  <c r="H148" i="5"/>
  <c r="H147" i="5"/>
  <c r="H146" i="5"/>
  <c r="F145" i="5"/>
  <c r="H144" i="5"/>
  <c r="H143" i="5"/>
  <c r="H142" i="5"/>
  <c r="H141" i="5"/>
  <c r="H140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7" i="5"/>
  <c r="F97" i="5"/>
  <c r="H96" i="5"/>
  <c r="F96" i="5"/>
  <c r="H95" i="5"/>
  <c r="F95" i="5"/>
  <c r="H94" i="5"/>
  <c r="F94" i="5"/>
  <c r="H93" i="5"/>
  <c r="F93" i="5"/>
  <c r="H92" i="5"/>
  <c r="F92" i="5"/>
  <c r="H91" i="5"/>
  <c r="F91" i="5"/>
  <c r="H90" i="5"/>
  <c r="F90" i="5"/>
  <c r="H89" i="5"/>
  <c r="F89" i="5"/>
  <c r="H88" i="5"/>
  <c r="F88" i="5"/>
  <c r="H87" i="5"/>
  <c r="F87" i="5"/>
  <c r="H86" i="5"/>
  <c r="F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E72" i="5"/>
  <c r="D72" i="5"/>
  <c r="C72" i="5"/>
  <c r="B72" i="5"/>
  <c r="H71" i="5"/>
  <c r="E71" i="5"/>
  <c r="D71" i="5"/>
  <c r="D70" i="5" s="1"/>
  <c r="C71" i="5"/>
  <c r="B71" i="5"/>
  <c r="H70" i="5"/>
  <c r="H69" i="5"/>
  <c r="H68" i="5"/>
  <c r="H67" i="5"/>
  <c r="H66" i="5"/>
  <c r="H65" i="5"/>
  <c r="H63" i="5"/>
  <c r="H62" i="5"/>
  <c r="H61" i="5"/>
  <c r="H60" i="5"/>
  <c r="H59" i="5"/>
  <c r="H58" i="5"/>
  <c r="H57" i="5"/>
  <c r="H56" i="5"/>
  <c r="H53" i="5"/>
  <c r="F53" i="5"/>
  <c r="H52" i="5"/>
  <c r="F52" i="5"/>
  <c r="H51" i="5"/>
  <c r="F51" i="5"/>
  <c r="H50" i="5"/>
  <c r="F50" i="5"/>
  <c r="H49" i="5"/>
  <c r="F49" i="5"/>
  <c r="H48" i="5"/>
  <c r="H47" i="5"/>
  <c r="F47" i="5"/>
  <c r="H46" i="5"/>
  <c r="F46" i="5"/>
  <c r="H45" i="5"/>
  <c r="F45" i="5"/>
  <c r="H44" i="5"/>
  <c r="F44" i="5"/>
  <c r="H43" i="5"/>
  <c r="F43" i="5"/>
  <c r="H42" i="5"/>
  <c r="H41" i="5"/>
  <c r="F41" i="5"/>
  <c r="H40" i="5"/>
  <c r="F40" i="5"/>
  <c r="H39" i="5"/>
  <c r="H38" i="5"/>
  <c r="H37" i="5"/>
  <c r="H36" i="5"/>
  <c r="H35" i="5"/>
  <c r="F35" i="5"/>
  <c r="H34" i="5"/>
  <c r="F34" i="5"/>
  <c r="H33" i="5"/>
  <c r="F33" i="5"/>
  <c r="H32" i="5"/>
  <c r="F32" i="5"/>
  <c r="H31" i="5"/>
  <c r="F31" i="5"/>
  <c r="H30" i="5"/>
  <c r="F30" i="5"/>
  <c r="H29" i="5"/>
  <c r="H28" i="5"/>
  <c r="F28" i="5"/>
  <c r="H27" i="5"/>
  <c r="H26" i="5"/>
  <c r="F26" i="5"/>
  <c r="H25" i="5"/>
  <c r="F25" i="5"/>
  <c r="H24" i="5"/>
  <c r="F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F106" i="5" l="1"/>
  <c r="C100" i="5"/>
  <c r="F102" i="5"/>
  <c r="E100" i="5"/>
  <c r="D100" i="5"/>
  <c r="F132" i="5"/>
  <c r="F164" i="5"/>
  <c r="B158" i="5"/>
  <c r="C158" i="5"/>
  <c r="D158" i="5"/>
  <c r="D161" i="5" s="1"/>
  <c r="E158" i="5"/>
  <c r="F141" i="5"/>
  <c r="E104" i="5"/>
  <c r="D13" i="5"/>
  <c r="E13" i="5"/>
  <c r="F14" i="5"/>
  <c r="F7" i="5"/>
  <c r="F81" i="5"/>
  <c r="F84" i="5"/>
  <c r="F83" i="5"/>
  <c r="F85" i="5"/>
  <c r="F82" i="5"/>
  <c r="F178" i="5"/>
  <c r="F181" i="5"/>
  <c r="D162" i="5"/>
  <c r="E162" i="5"/>
  <c r="F163" i="5"/>
  <c r="F169" i="5"/>
  <c r="F159" i="5"/>
  <c r="F158" i="5" s="1"/>
  <c r="I158" i="5" s="1"/>
  <c r="F135" i="5"/>
  <c r="F136" i="5"/>
  <c r="F134" i="5"/>
  <c r="F137" i="5"/>
  <c r="F122" i="5"/>
  <c r="F121" i="5"/>
  <c r="F120" i="5"/>
  <c r="C110" i="5"/>
  <c r="C109" i="5" s="1"/>
  <c r="D110" i="5"/>
  <c r="D109" i="5" s="1"/>
  <c r="F117" i="5"/>
  <c r="E110" i="5"/>
  <c r="E109" i="5" s="1"/>
  <c r="F111" i="5"/>
  <c r="F110" i="5" s="1"/>
  <c r="F116" i="5"/>
  <c r="B110" i="5"/>
  <c r="F74" i="5"/>
  <c r="F75" i="5"/>
  <c r="E66" i="5"/>
  <c r="D66" i="5"/>
  <c r="B66" i="5"/>
  <c r="C66" i="5"/>
  <c r="B8" i="5"/>
  <c r="E5" i="5"/>
  <c r="D5" i="5"/>
  <c r="D17" i="5" s="1"/>
  <c r="C5" i="5"/>
  <c r="F128" i="5"/>
  <c r="F143" i="5"/>
  <c r="F173" i="5"/>
  <c r="F15" i="5"/>
  <c r="F131" i="5"/>
  <c r="F144" i="5"/>
  <c r="F175" i="5"/>
  <c r="F174" i="5" s="1"/>
  <c r="E8" i="5"/>
  <c r="E12" i="5" s="1"/>
  <c r="C8" i="5"/>
  <c r="F76" i="5"/>
  <c r="F157" i="5"/>
  <c r="F156" i="5" s="1"/>
  <c r="F161" i="5" s="1"/>
  <c r="F10" i="5"/>
  <c r="F16" i="5"/>
  <c r="E142" i="5"/>
  <c r="E146" i="5" s="1"/>
  <c r="C13" i="5"/>
  <c r="C17" i="5" s="1"/>
  <c r="B104" i="5"/>
  <c r="D8" i="5"/>
  <c r="C142" i="5"/>
  <c r="C146" i="5" s="1"/>
  <c r="F112" i="5"/>
  <c r="D142" i="5"/>
  <c r="D146" i="5" s="1"/>
  <c r="F78" i="5"/>
  <c r="B125" i="5"/>
  <c r="B129" i="5" s="1"/>
  <c r="C104" i="5"/>
  <c r="C108" i="5" s="1"/>
  <c r="F150" i="5"/>
  <c r="B100" i="5"/>
  <c r="F113" i="5"/>
  <c r="F79" i="5"/>
  <c r="D104" i="5"/>
  <c r="D108" i="5" s="1"/>
  <c r="E161" i="5"/>
  <c r="B5" i="5"/>
  <c r="F39" i="5"/>
  <c r="F37" i="5"/>
  <c r="F38" i="5"/>
  <c r="F36" i="5"/>
  <c r="F19" i="5"/>
  <c r="F183" i="5"/>
  <c r="F180" i="5"/>
  <c r="F179" i="5"/>
  <c r="C176" i="5"/>
  <c r="E176" i="5"/>
  <c r="B176" i="5"/>
  <c r="F166" i="5"/>
  <c r="F167" i="5"/>
  <c r="F165" i="5"/>
  <c r="C161" i="5"/>
  <c r="B161" i="5"/>
  <c r="F153" i="5"/>
  <c r="F148" i="5"/>
  <c r="F152" i="5"/>
  <c r="C147" i="5"/>
  <c r="F149" i="5"/>
  <c r="B142" i="5"/>
  <c r="B140" i="5"/>
  <c r="F140" i="5" s="1"/>
  <c r="F133" i="5"/>
  <c r="F119" i="5"/>
  <c r="F114" i="5"/>
  <c r="F105" i="5"/>
  <c r="F104" i="5" s="1"/>
  <c r="I104" i="5" s="1"/>
  <c r="E108" i="5"/>
  <c r="F68" i="5"/>
  <c r="F66" i="5" s="1"/>
  <c r="F29" i="5"/>
  <c r="B13" i="5"/>
  <c r="F9" i="5"/>
  <c r="E17" i="5"/>
  <c r="F6" i="5"/>
  <c r="B177" i="5"/>
  <c r="F72" i="5"/>
  <c r="F127" i="5"/>
  <c r="I127" i="5" s="1"/>
  <c r="B70" i="5"/>
  <c r="F100" i="5"/>
  <c r="E129" i="5"/>
  <c r="E70" i="5"/>
  <c r="C129" i="5"/>
  <c r="D129" i="5"/>
  <c r="C177" i="5"/>
  <c r="F71" i="5"/>
  <c r="D176" i="5"/>
  <c r="D177" i="5"/>
  <c r="D147" i="5"/>
  <c r="F130" i="5"/>
  <c r="I125" i="5"/>
  <c r="C70" i="5"/>
  <c r="F70" i="5" s="1"/>
  <c r="C130" i="5"/>
  <c r="D130" i="5"/>
  <c r="E147" i="5"/>
  <c r="F172" i="5"/>
  <c r="E130" i="5"/>
  <c r="E177" i="5"/>
  <c r="B162" i="5"/>
  <c r="C162" i="5"/>
  <c r="F142" i="5" l="1"/>
  <c r="I142" i="5" s="1"/>
  <c r="B109" i="5"/>
  <c r="F13" i="5"/>
  <c r="C12" i="5"/>
  <c r="F5" i="5"/>
  <c r="D12" i="5"/>
  <c r="F129" i="5"/>
  <c r="B12" i="5"/>
  <c r="F162" i="5"/>
  <c r="I156" i="5"/>
  <c r="B108" i="5"/>
  <c r="F8" i="5"/>
  <c r="I8" i="5" s="1"/>
  <c r="F109" i="5"/>
  <c r="F147" i="5"/>
  <c r="I140" i="5"/>
  <c r="B130" i="5"/>
  <c r="B17" i="5"/>
  <c r="F20" i="5"/>
  <c r="F22" i="5"/>
  <c r="F21" i="5"/>
  <c r="F18" i="5"/>
  <c r="F23" i="5"/>
  <c r="B147" i="5"/>
  <c r="B146" i="5"/>
  <c r="F146" i="5"/>
  <c r="F108" i="5"/>
  <c r="I100" i="5"/>
  <c r="I5" i="5"/>
  <c r="F17" i="5"/>
  <c r="F176" i="5"/>
  <c r="F177" i="5"/>
  <c r="F12" i="5" l="1"/>
  <c r="N160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N138" i="3" l="1"/>
  <c r="N179" i="2"/>
  <c r="C125" i="2" l="1"/>
  <c r="C130" i="2" s="1"/>
  <c r="N133" i="2"/>
  <c r="C129" i="2" l="1"/>
  <c r="P183" i="2"/>
  <c r="P182" i="2"/>
  <c r="P181" i="2"/>
  <c r="P180" i="2"/>
  <c r="P179" i="2"/>
  <c r="P178" i="2"/>
  <c r="P177" i="2"/>
  <c r="P176" i="2"/>
  <c r="P175" i="2"/>
  <c r="P174" i="2"/>
  <c r="P173" i="2"/>
  <c r="P172" i="2"/>
  <c r="N183" i="2"/>
  <c r="N182" i="2"/>
  <c r="N181" i="2"/>
  <c r="N180" i="2"/>
  <c r="N178" i="2" l="1"/>
  <c r="N175" i="2"/>
  <c r="N174" i="2" s="1"/>
  <c r="M174" i="2"/>
  <c r="L174" i="2"/>
  <c r="K174" i="2"/>
  <c r="J174" i="2"/>
  <c r="I174" i="2"/>
  <c r="H174" i="2"/>
  <c r="G174" i="2"/>
  <c r="F174" i="2"/>
  <c r="E174" i="2"/>
  <c r="D174" i="2"/>
  <c r="C174" i="2"/>
  <c r="B174" i="2"/>
  <c r="N173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M177" i="2" l="1"/>
  <c r="M176" i="2"/>
  <c r="F176" i="2"/>
  <c r="F177" i="2"/>
  <c r="H176" i="2"/>
  <c r="H177" i="2"/>
  <c r="I176" i="2"/>
  <c r="I177" i="2"/>
  <c r="J177" i="2"/>
  <c r="J176" i="2"/>
  <c r="D177" i="2"/>
  <c r="D176" i="2"/>
  <c r="G177" i="2"/>
  <c r="G176" i="2"/>
  <c r="K177" i="2"/>
  <c r="K176" i="2"/>
  <c r="E176" i="2"/>
  <c r="E177" i="2"/>
  <c r="L176" i="2"/>
  <c r="L177" i="2"/>
  <c r="C176" i="2"/>
  <c r="C177" i="2"/>
  <c r="N172" i="2"/>
  <c r="N176" i="2" s="1"/>
  <c r="B176" i="2"/>
  <c r="B177" i="2"/>
  <c r="N177" i="2" l="1"/>
  <c r="P165" i="2"/>
  <c r="P153" i="2"/>
  <c r="P152" i="2"/>
  <c r="P151" i="2"/>
  <c r="P150" i="2"/>
  <c r="P169" i="2"/>
  <c r="P168" i="2"/>
  <c r="P167" i="2"/>
  <c r="P166" i="2"/>
  <c r="P164" i="2"/>
  <c r="N69" i="2" l="1"/>
  <c r="P69" i="2"/>
  <c r="M135" i="3" l="1"/>
  <c r="L135" i="3"/>
  <c r="K135" i="3"/>
  <c r="J135" i="3"/>
  <c r="I135" i="3"/>
  <c r="H135" i="3"/>
  <c r="G135" i="3"/>
  <c r="F135" i="3"/>
  <c r="E135" i="3"/>
  <c r="D135" i="3"/>
  <c r="C135" i="3"/>
  <c r="B135" i="3"/>
  <c r="N127" i="3"/>
  <c r="N126" i="3"/>
  <c r="N125" i="3"/>
  <c r="N124" i="3"/>
  <c r="N123" i="3"/>
  <c r="N41" i="3"/>
  <c r="N40" i="3"/>
  <c r="N39" i="3"/>
  <c r="N38" i="3"/>
  <c r="N37" i="3"/>
  <c r="N42" i="3" l="1"/>
  <c r="P42" i="2" s="1"/>
  <c r="M8" i="2" l="1"/>
  <c r="L8" i="2"/>
  <c r="K8" i="2"/>
  <c r="J8" i="2"/>
  <c r="I8" i="2"/>
  <c r="H8" i="2"/>
  <c r="G8" i="2"/>
  <c r="F8" i="2"/>
  <c r="E8" i="2"/>
  <c r="D8" i="2"/>
  <c r="C8" i="2"/>
  <c r="B8" i="2"/>
  <c r="P144" i="2"/>
  <c r="P143" i="2"/>
  <c r="N185" i="3" l="1"/>
  <c r="N184" i="3"/>
  <c r="N183" i="3"/>
  <c r="N182" i="3"/>
  <c r="N181" i="3"/>
  <c r="N180" i="3"/>
  <c r="N177" i="3"/>
  <c r="N176" i="3" s="1"/>
  <c r="M176" i="3"/>
  <c r="L176" i="3"/>
  <c r="K176" i="3"/>
  <c r="J176" i="3"/>
  <c r="I176" i="3"/>
  <c r="H176" i="3"/>
  <c r="G176" i="3"/>
  <c r="F176" i="3"/>
  <c r="E176" i="3"/>
  <c r="D176" i="3"/>
  <c r="C176" i="3"/>
  <c r="B176" i="3"/>
  <c r="N175" i="3"/>
  <c r="N174" i="3" s="1"/>
  <c r="M174" i="3"/>
  <c r="L174" i="3"/>
  <c r="K174" i="3"/>
  <c r="J174" i="3"/>
  <c r="I174" i="3"/>
  <c r="H174" i="3"/>
  <c r="H179" i="3" s="1"/>
  <c r="G174" i="3"/>
  <c r="G179" i="3" s="1"/>
  <c r="F174" i="3"/>
  <c r="F179" i="3" s="1"/>
  <c r="E174" i="3"/>
  <c r="D174" i="3"/>
  <c r="D179" i="3" s="1"/>
  <c r="C174" i="3"/>
  <c r="C179" i="3" s="1"/>
  <c r="B174" i="3"/>
  <c r="B179" i="3" s="1"/>
  <c r="N168" i="3"/>
  <c r="N169" i="3"/>
  <c r="N170" i="3"/>
  <c r="N171" i="3"/>
  <c r="N167" i="3"/>
  <c r="N154" i="3"/>
  <c r="N155" i="3"/>
  <c r="N156" i="3"/>
  <c r="N157" i="3"/>
  <c r="N153" i="3"/>
  <c r="N139" i="3"/>
  <c r="N140" i="3"/>
  <c r="N141" i="3"/>
  <c r="N142" i="3"/>
  <c r="N118" i="3"/>
  <c r="N119" i="3"/>
  <c r="N120" i="3"/>
  <c r="N121" i="3"/>
  <c r="N117" i="3"/>
  <c r="C147" i="3"/>
  <c r="D147" i="3"/>
  <c r="E147" i="3"/>
  <c r="F147" i="3"/>
  <c r="G147" i="3"/>
  <c r="H147" i="3"/>
  <c r="I147" i="3"/>
  <c r="J147" i="3"/>
  <c r="K147" i="3"/>
  <c r="L147" i="3"/>
  <c r="M147" i="3"/>
  <c r="B147" i="3"/>
  <c r="N147" i="3" s="1"/>
  <c r="N148" i="3"/>
  <c r="J178" i="3" l="1"/>
  <c r="L178" i="3"/>
  <c r="B178" i="3"/>
  <c r="C178" i="3"/>
  <c r="E178" i="3"/>
  <c r="I178" i="3"/>
  <c r="M178" i="3"/>
  <c r="K178" i="3"/>
  <c r="G178" i="3"/>
  <c r="H178" i="3"/>
  <c r="F178" i="3"/>
  <c r="N178" i="3"/>
  <c r="E179" i="3"/>
  <c r="D178" i="3"/>
  <c r="I179" i="3"/>
  <c r="J179" i="3"/>
  <c r="K179" i="3"/>
  <c r="L179" i="3"/>
  <c r="M179" i="3"/>
  <c r="N179" i="3"/>
  <c r="N87" i="3"/>
  <c r="N88" i="3"/>
  <c r="N89" i="3"/>
  <c r="N90" i="3"/>
  <c r="N86" i="3"/>
  <c r="N81" i="3"/>
  <c r="N82" i="3"/>
  <c r="N83" i="3"/>
  <c r="N84" i="3"/>
  <c r="N80" i="3"/>
  <c r="N75" i="3"/>
  <c r="N76" i="3"/>
  <c r="N77" i="3"/>
  <c r="N78" i="3"/>
  <c r="N74" i="3"/>
  <c r="N50" i="3"/>
  <c r="N51" i="3"/>
  <c r="N52" i="3"/>
  <c r="N53" i="3"/>
  <c r="N49" i="3"/>
  <c r="N44" i="3"/>
  <c r="N45" i="3"/>
  <c r="N46" i="3"/>
  <c r="N47" i="3"/>
  <c r="N43" i="3"/>
  <c r="N32" i="3"/>
  <c r="N33" i="3"/>
  <c r="N34" i="3"/>
  <c r="N35" i="3"/>
  <c r="N31" i="3"/>
  <c r="N26" i="3"/>
  <c r="N27" i="3"/>
  <c r="N28" i="3"/>
  <c r="N29" i="3"/>
  <c r="N25" i="3"/>
  <c r="N20" i="3"/>
  <c r="N21" i="3"/>
  <c r="N22" i="3"/>
  <c r="N23" i="3"/>
  <c r="N19" i="3"/>
  <c r="N11" i="3" l="1"/>
  <c r="P11" i="2" s="1"/>
  <c r="C8" i="3"/>
  <c r="D8" i="3"/>
  <c r="E8" i="3"/>
  <c r="F8" i="3"/>
  <c r="G8" i="3"/>
  <c r="H8" i="3"/>
  <c r="I8" i="3"/>
  <c r="J8" i="3"/>
  <c r="K8" i="3"/>
  <c r="L8" i="3"/>
  <c r="M8" i="3"/>
  <c r="B8" i="3"/>
  <c r="B5" i="3"/>
  <c r="C5" i="3"/>
  <c r="D5" i="3"/>
  <c r="E5" i="3"/>
  <c r="F5" i="3"/>
  <c r="G5" i="3"/>
  <c r="H5" i="3"/>
  <c r="I5" i="3"/>
  <c r="J5" i="3"/>
  <c r="K5" i="3"/>
  <c r="L5" i="3"/>
  <c r="M5" i="3"/>
  <c r="B100" i="2" l="1"/>
  <c r="C100" i="2"/>
  <c r="D100" i="2"/>
  <c r="E100" i="2"/>
  <c r="F100" i="2"/>
  <c r="G100" i="2"/>
  <c r="H100" i="2"/>
  <c r="I100" i="2"/>
  <c r="J100" i="2"/>
  <c r="K100" i="2"/>
  <c r="L100" i="2"/>
  <c r="M100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M108" i="2" l="1"/>
  <c r="B108" i="2"/>
  <c r="E108" i="2"/>
  <c r="K108" i="2"/>
  <c r="J108" i="2"/>
  <c r="I108" i="2"/>
  <c r="H108" i="2"/>
  <c r="G108" i="2"/>
  <c r="F108" i="2"/>
  <c r="C108" i="2"/>
  <c r="L108" i="2"/>
  <c r="D108" i="2"/>
  <c r="N114" i="2"/>
  <c r="N120" i="2"/>
  <c r="N64" i="2" l="1"/>
  <c r="N166" i="2" l="1"/>
  <c r="N167" i="2"/>
  <c r="N168" i="2"/>
  <c r="N165" i="2"/>
  <c r="N169" i="2"/>
  <c r="N163" i="2" l="1"/>
  <c r="N164" i="2"/>
  <c r="H9" i="4" l="1"/>
  <c r="H8" i="4"/>
  <c r="H7" i="4"/>
  <c r="G7" i="4"/>
  <c r="G8" i="4"/>
  <c r="G9" i="4"/>
  <c r="F6" i="4"/>
  <c r="D6" i="4"/>
  <c r="N144" i="2"/>
  <c r="N145" i="2"/>
  <c r="C142" i="2"/>
  <c r="D142" i="2"/>
  <c r="E142" i="2"/>
  <c r="F142" i="2"/>
  <c r="G142" i="2"/>
  <c r="H142" i="2"/>
  <c r="I142" i="2"/>
  <c r="J142" i="2"/>
  <c r="K142" i="2"/>
  <c r="L142" i="2"/>
  <c r="M142" i="2"/>
  <c r="J6" i="4" l="1"/>
  <c r="B110" i="2" l="1"/>
  <c r="B109" i="2" s="1"/>
  <c r="N111" i="2" l="1"/>
  <c r="F7" i="4" l="1"/>
  <c r="H13" i="2"/>
  <c r="N119" i="2" l="1"/>
  <c r="N121" i="2"/>
  <c r="N122" i="2"/>
  <c r="N118" i="2"/>
  <c r="N113" i="2"/>
  <c r="N115" i="2"/>
  <c r="N116" i="2"/>
  <c r="N112" i="2"/>
  <c r="N82" i="2" l="1"/>
  <c r="N83" i="2"/>
  <c r="N84" i="2"/>
  <c r="N85" i="2"/>
  <c r="N81" i="2"/>
  <c r="N79" i="2"/>
  <c r="N78" i="2"/>
  <c r="N77" i="2"/>
  <c r="N76" i="2"/>
  <c r="N75" i="2"/>
  <c r="B142" i="2" l="1"/>
  <c r="F8" i="4" s="1"/>
  <c r="N143" i="2"/>
  <c r="C60" i="2" l="1"/>
  <c r="D60" i="2"/>
  <c r="E60" i="2"/>
  <c r="F60" i="2"/>
  <c r="G60" i="2"/>
  <c r="H60" i="2"/>
  <c r="I60" i="2"/>
  <c r="J60" i="2"/>
  <c r="K60" i="2"/>
  <c r="L60" i="2"/>
  <c r="M60" i="2"/>
  <c r="B60" i="2"/>
  <c r="F5" i="4" l="1"/>
  <c r="N68" i="2"/>
  <c r="N67" i="2"/>
  <c r="N60" i="2"/>
  <c r="N101" i="2"/>
  <c r="N150" i="2" l="1"/>
  <c r="N151" i="2"/>
  <c r="N153" i="2"/>
  <c r="N152" i="2"/>
  <c r="N149" i="2"/>
  <c r="N134" i="2" l="1"/>
  <c r="N135" i="2"/>
  <c r="N136" i="2"/>
  <c r="N137" i="2"/>
  <c r="N50" i="2" l="1"/>
  <c r="N51" i="2"/>
  <c r="N52" i="2"/>
  <c r="N53" i="2"/>
  <c r="N49" i="2"/>
  <c r="N44" i="2"/>
  <c r="N45" i="2"/>
  <c r="N46" i="2"/>
  <c r="N47" i="2"/>
  <c r="N38" i="2"/>
  <c r="N39" i="2"/>
  <c r="N40" i="2"/>
  <c r="N41" i="2"/>
  <c r="N37" i="2"/>
  <c r="N32" i="2"/>
  <c r="N33" i="2"/>
  <c r="N34" i="2"/>
  <c r="N35" i="2"/>
  <c r="N31" i="2"/>
  <c r="N29" i="2"/>
  <c r="N26" i="2"/>
  <c r="N27" i="2"/>
  <c r="N28" i="2"/>
  <c r="N25" i="2"/>
  <c r="N20" i="2"/>
  <c r="N21" i="2"/>
  <c r="N22" i="2"/>
  <c r="N23" i="2"/>
  <c r="N19" i="2"/>
  <c r="N94" i="2"/>
  <c r="N95" i="2"/>
  <c r="N96" i="2"/>
  <c r="N97" i="2"/>
  <c r="N93" i="2"/>
  <c r="N88" i="2"/>
  <c r="N89" i="2"/>
  <c r="N90" i="2"/>
  <c r="N91" i="2"/>
  <c r="N87" i="2"/>
  <c r="B125" i="2" l="1"/>
  <c r="D125" i="2"/>
  <c r="E125" i="2"/>
  <c r="F125" i="2"/>
  <c r="G125" i="2"/>
  <c r="H125" i="2"/>
  <c r="I125" i="2"/>
  <c r="J125" i="2"/>
  <c r="K125" i="2"/>
  <c r="L125" i="2"/>
  <c r="M125" i="2"/>
  <c r="D7" i="4" l="1"/>
  <c r="J7" i="4" s="1"/>
  <c r="L130" i="2"/>
  <c r="L129" i="2"/>
  <c r="M129" i="2"/>
  <c r="M130" i="2"/>
  <c r="K130" i="2"/>
  <c r="K129" i="2"/>
  <c r="J130" i="2"/>
  <c r="J129" i="2"/>
  <c r="I130" i="2"/>
  <c r="I129" i="2"/>
  <c r="H130" i="2"/>
  <c r="H129" i="2"/>
  <c r="G130" i="2"/>
  <c r="G129" i="2"/>
  <c r="F130" i="2"/>
  <c r="F129" i="2"/>
  <c r="E129" i="2"/>
  <c r="E130" i="2"/>
  <c r="D129" i="2"/>
  <c r="D130" i="2"/>
  <c r="B129" i="2"/>
  <c r="B130" i="2"/>
  <c r="N132" i="2"/>
  <c r="N18" i="2" l="1"/>
  <c r="N11" i="2"/>
  <c r="F4" i="4" l="1"/>
  <c r="P149" i="2"/>
  <c r="P137" i="2"/>
  <c r="P136" i="2"/>
  <c r="P135" i="2"/>
  <c r="P134" i="2"/>
  <c r="P133" i="2"/>
  <c r="P122" i="2"/>
  <c r="P121" i="2"/>
  <c r="P120" i="2"/>
  <c r="P119" i="2"/>
  <c r="P118" i="2"/>
  <c r="P116" i="2"/>
  <c r="P115" i="2"/>
  <c r="P114" i="2"/>
  <c r="P113" i="2"/>
  <c r="P112" i="2"/>
  <c r="N36" i="2"/>
  <c r="N42" i="2"/>
  <c r="N48" i="2"/>
  <c r="M13" i="3" l="1"/>
  <c r="L13" i="3"/>
  <c r="K13" i="3"/>
  <c r="J13" i="3"/>
  <c r="I13" i="3"/>
  <c r="H13" i="3"/>
  <c r="G13" i="3"/>
  <c r="F13" i="3"/>
  <c r="E13" i="3"/>
  <c r="D13" i="3"/>
  <c r="C13" i="3"/>
  <c r="B13" i="3"/>
  <c r="N16" i="3"/>
  <c r="G4" i="4" l="1"/>
  <c r="N9" i="2" l="1"/>
  <c r="N10" i="2"/>
  <c r="N86" i="2"/>
  <c r="P53" i="2"/>
  <c r="P52" i="2"/>
  <c r="P51" i="2"/>
  <c r="P50" i="2"/>
  <c r="P49" i="2"/>
  <c r="N8" i="2" l="1"/>
  <c r="N48" i="3"/>
  <c r="P97" i="2"/>
  <c r="P96" i="2"/>
  <c r="P95" i="2"/>
  <c r="P94" i="2"/>
  <c r="P93" i="2"/>
  <c r="P91" i="2"/>
  <c r="P90" i="2"/>
  <c r="P89" i="2"/>
  <c r="P88" i="2"/>
  <c r="P87" i="2"/>
  <c r="P85" i="2"/>
  <c r="P84" i="2"/>
  <c r="P83" i="2"/>
  <c r="P82" i="2"/>
  <c r="P81" i="2"/>
  <c r="P79" i="2"/>
  <c r="P78" i="2"/>
  <c r="P77" i="2"/>
  <c r="P76" i="2"/>
  <c r="P75" i="2"/>
  <c r="P19" i="2"/>
  <c r="P20" i="2"/>
  <c r="P21" i="2"/>
  <c r="P22" i="2"/>
  <c r="P23" i="2"/>
  <c r="P25" i="2"/>
  <c r="P26" i="2"/>
  <c r="P27" i="2"/>
  <c r="P28" i="2"/>
  <c r="P29" i="2"/>
  <c r="P31" i="2"/>
  <c r="P32" i="2"/>
  <c r="P33" i="2"/>
  <c r="P34" i="2"/>
  <c r="P35" i="2"/>
  <c r="P37" i="2"/>
  <c r="P38" i="2"/>
  <c r="P39" i="2"/>
  <c r="P40" i="2"/>
  <c r="P41" i="2"/>
  <c r="P43" i="2"/>
  <c r="P44" i="2"/>
  <c r="P45" i="2"/>
  <c r="P46" i="2"/>
  <c r="P47" i="2"/>
  <c r="N97" i="3"/>
  <c r="P92" i="2" s="1"/>
  <c r="N91" i="3"/>
  <c r="P86" i="2" s="1"/>
  <c r="P48" i="2" l="1"/>
  <c r="P16" i="2"/>
  <c r="N136" i="3"/>
  <c r="P131" i="2" s="1"/>
  <c r="N122" i="3" l="1"/>
  <c r="P117" i="2" s="1"/>
  <c r="C109" i="3"/>
  <c r="D109" i="3"/>
  <c r="E109" i="3"/>
  <c r="F109" i="3"/>
  <c r="G109" i="3"/>
  <c r="H109" i="3"/>
  <c r="I109" i="3"/>
  <c r="J109" i="3"/>
  <c r="K109" i="3"/>
  <c r="L109" i="3"/>
  <c r="M109" i="3"/>
  <c r="B109" i="3"/>
  <c r="E6" i="4" l="1"/>
  <c r="L6" i="4" s="1"/>
  <c r="N109" i="3"/>
  <c r="P104" i="2" s="1"/>
  <c r="N85" i="3"/>
  <c r="N79" i="3"/>
  <c r="P80" i="2" s="1"/>
  <c r="N73" i="3"/>
  <c r="P74" i="2" s="1"/>
  <c r="N36" i="3" l="1"/>
  <c r="P36" i="2" s="1"/>
  <c r="N30" i="3"/>
  <c r="P30" i="2" s="1"/>
  <c r="N24" i="3"/>
  <c r="P24" i="2" s="1"/>
  <c r="N18" i="3"/>
  <c r="P18" i="2" s="1"/>
  <c r="N148" i="2" l="1"/>
  <c r="C140" i="2"/>
  <c r="D140" i="2"/>
  <c r="E140" i="2"/>
  <c r="F140" i="2"/>
  <c r="G140" i="2"/>
  <c r="H140" i="2"/>
  <c r="I140" i="2"/>
  <c r="J140" i="2"/>
  <c r="K140" i="2"/>
  <c r="L140" i="2"/>
  <c r="M140" i="2"/>
  <c r="B140" i="2"/>
  <c r="D8" i="4" l="1"/>
  <c r="B147" i="2"/>
  <c r="J8" i="4" l="1"/>
  <c r="N24" i="2"/>
  <c r="N30" i="2"/>
  <c r="N92" i="2"/>
  <c r="N80" i="2"/>
  <c r="N74" i="2"/>
  <c r="N117" i="2"/>
  <c r="N140" i="2" l="1"/>
  <c r="J156" i="2" l="1"/>
  <c r="K156" i="2"/>
  <c r="L156" i="2"/>
  <c r="M156" i="2"/>
  <c r="M162" i="2" l="1"/>
  <c r="M161" i="2"/>
  <c r="L162" i="2"/>
  <c r="L161" i="2"/>
  <c r="K162" i="2"/>
  <c r="K161" i="2"/>
  <c r="J162" i="2"/>
  <c r="J161" i="2"/>
  <c r="B13" i="2" l="1"/>
  <c r="G13" i="2"/>
  <c r="F13" i="2"/>
  <c r="J13" i="2"/>
  <c r="I13" i="2"/>
  <c r="M13" i="2"/>
  <c r="E13" i="2"/>
  <c r="L13" i="2"/>
  <c r="D13" i="2"/>
  <c r="K13" i="2"/>
  <c r="C13" i="2"/>
  <c r="H4" i="4" l="1"/>
  <c r="N127" i="2"/>
  <c r="C110" i="2"/>
  <c r="C109" i="2" s="1"/>
  <c r="D110" i="2"/>
  <c r="D109" i="2" s="1"/>
  <c r="E110" i="2"/>
  <c r="E109" i="2" s="1"/>
  <c r="F110" i="2"/>
  <c r="F109" i="2" s="1"/>
  <c r="G110" i="2"/>
  <c r="G109" i="2" s="1"/>
  <c r="H110" i="2"/>
  <c r="H109" i="2" s="1"/>
  <c r="I110" i="2"/>
  <c r="I109" i="2" s="1"/>
  <c r="J110" i="2"/>
  <c r="J109" i="2" s="1"/>
  <c r="K110" i="2"/>
  <c r="K109" i="2" s="1"/>
  <c r="L110" i="2"/>
  <c r="L109" i="2" s="1"/>
  <c r="M110" i="2"/>
  <c r="M109" i="2" s="1"/>
  <c r="N110" i="2"/>
  <c r="H6" i="4" l="1"/>
  <c r="N166" i="3"/>
  <c r="P163" i="2" s="1"/>
  <c r="N163" i="3"/>
  <c r="P159" i="2" s="1"/>
  <c r="M162" i="3"/>
  <c r="L162" i="3"/>
  <c r="K162" i="3"/>
  <c r="J162" i="3"/>
  <c r="I162" i="3"/>
  <c r="H162" i="3"/>
  <c r="G162" i="3"/>
  <c r="F162" i="3"/>
  <c r="E162" i="3"/>
  <c r="D162" i="3"/>
  <c r="C162" i="3"/>
  <c r="B162" i="3"/>
  <c r="N161" i="3"/>
  <c r="M160" i="3"/>
  <c r="M165" i="3" s="1"/>
  <c r="L160" i="3"/>
  <c r="K160" i="3"/>
  <c r="K165" i="3" s="1"/>
  <c r="J160" i="3"/>
  <c r="I160" i="3"/>
  <c r="H160" i="3"/>
  <c r="G160" i="3"/>
  <c r="F160" i="3"/>
  <c r="F165" i="3" s="1"/>
  <c r="E160" i="3"/>
  <c r="D160" i="3"/>
  <c r="C160" i="3"/>
  <c r="B160" i="3"/>
  <c r="N152" i="3"/>
  <c r="P148" i="2" s="1"/>
  <c r="N149" i="3"/>
  <c r="E8" i="4"/>
  <c r="L8" i="4" s="1"/>
  <c r="N146" i="3"/>
  <c r="M145" i="3"/>
  <c r="M151" i="3" s="1"/>
  <c r="L145" i="3"/>
  <c r="K145" i="3"/>
  <c r="J145" i="3"/>
  <c r="I145" i="3"/>
  <c r="H145" i="3"/>
  <c r="G145" i="3"/>
  <c r="F145" i="3"/>
  <c r="E145" i="3"/>
  <c r="E151" i="3" s="1"/>
  <c r="D145" i="3"/>
  <c r="D151" i="3" s="1"/>
  <c r="C145" i="3"/>
  <c r="B145" i="3"/>
  <c r="N137" i="3"/>
  <c r="P132" i="2" s="1"/>
  <c r="N133" i="3"/>
  <c r="P128" i="2" s="1"/>
  <c r="M132" i="3"/>
  <c r="L132" i="3"/>
  <c r="K132" i="3"/>
  <c r="J132" i="3"/>
  <c r="I132" i="3"/>
  <c r="H132" i="3"/>
  <c r="G132" i="3"/>
  <c r="F132" i="3"/>
  <c r="E132" i="3"/>
  <c r="D132" i="3"/>
  <c r="C132" i="3"/>
  <c r="B132" i="3"/>
  <c r="N131" i="3"/>
  <c r="P126" i="2" s="1"/>
  <c r="M130" i="3"/>
  <c r="L130" i="3"/>
  <c r="K130" i="3"/>
  <c r="J130" i="3"/>
  <c r="I130" i="3"/>
  <c r="H130" i="3"/>
  <c r="G130" i="3"/>
  <c r="F130" i="3"/>
  <c r="E130" i="3"/>
  <c r="D130" i="3"/>
  <c r="C130" i="3"/>
  <c r="B130" i="3"/>
  <c r="N116" i="3"/>
  <c r="P111" i="2" s="1"/>
  <c r="M115" i="3"/>
  <c r="L115" i="3"/>
  <c r="K115" i="3"/>
  <c r="J115" i="3"/>
  <c r="I115" i="3"/>
  <c r="H115" i="3"/>
  <c r="G115" i="3"/>
  <c r="F115" i="3"/>
  <c r="E115" i="3"/>
  <c r="D115" i="3"/>
  <c r="C115" i="3"/>
  <c r="B115" i="3"/>
  <c r="N112" i="3"/>
  <c r="P107" i="2" s="1"/>
  <c r="N111" i="3"/>
  <c r="P106" i="2" s="1"/>
  <c r="N110" i="3"/>
  <c r="P105" i="2" s="1"/>
  <c r="N108" i="3"/>
  <c r="P103" i="2" s="1"/>
  <c r="N107" i="3"/>
  <c r="P102" i="2" s="1"/>
  <c r="N106" i="3"/>
  <c r="P101" i="2" s="1"/>
  <c r="M105" i="3"/>
  <c r="L105" i="3"/>
  <c r="K105" i="3"/>
  <c r="J105" i="3"/>
  <c r="I105" i="3"/>
  <c r="H105" i="3"/>
  <c r="G105" i="3"/>
  <c r="F105" i="3"/>
  <c r="E105" i="3"/>
  <c r="D105" i="3"/>
  <c r="C105" i="3"/>
  <c r="B105" i="3"/>
  <c r="M71" i="3"/>
  <c r="L71" i="3"/>
  <c r="K71" i="3"/>
  <c r="J71" i="3"/>
  <c r="I71" i="3"/>
  <c r="H71" i="3"/>
  <c r="G71" i="3"/>
  <c r="F71" i="3"/>
  <c r="E71" i="3"/>
  <c r="D71" i="3"/>
  <c r="C71" i="3"/>
  <c r="B71" i="3"/>
  <c r="M70" i="3"/>
  <c r="L70" i="3"/>
  <c r="K70" i="3"/>
  <c r="J70" i="3"/>
  <c r="I70" i="3"/>
  <c r="H70" i="3"/>
  <c r="G70" i="3"/>
  <c r="F70" i="3"/>
  <c r="E70" i="3"/>
  <c r="D70" i="3"/>
  <c r="C70" i="3"/>
  <c r="B70" i="3"/>
  <c r="M68" i="3"/>
  <c r="L68" i="3"/>
  <c r="K68" i="3"/>
  <c r="J68" i="3"/>
  <c r="I68" i="3"/>
  <c r="H68" i="3"/>
  <c r="G68" i="3"/>
  <c r="F68" i="3"/>
  <c r="E68" i="3"/>
  <c r="D68" i="3"/>
  <c r="C68" i="3"/>
  <c r="B68" i="3"/>
  <c r="M67" i="3"/>
  <c r="L67" i="3"/>
  <c r="K67" i="3"/>
  <c r="J67" i="3"/>
  <c r="I67" i="3"/>
  <c r="H67" i="3"/>
  <c r="G67" i="3"/>
  <c r="F67" i="3"/>
  <c r="E67" i="3"/>
  <c r="D67" i="3"/>
  <c r="C67" i="3"/>
  <c r="B67" i="3"/>
  <c r="M66" i="3"/>
  <c r="L66" i="3"/>
  <c r="K66" i="3"/>
  <c r="J66" i="3"/>
  <c r="I66" i="3"/>
  <c r="H66" i="3"/>
  <c r="G66" i="3"/>
  <c r="F66" i="3"/>
  <c r="E66" i="3"/>
  <c r="D66" i="3"/>
  <c r="C66" i="3"/>
  <c r="B66" i="3"/>
  <c r="N63" i="3"/>
  <c r="P63" i="2" s="1"/>
  <c r="N62" i="3"/>
  <c r="P62" i="2" s="1"/>
  <c r="N61" i="3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P59" i="2" s="1"/>
  <c r="N58" i="3"/>
  <c r="P58" i="2" s="1"/>
  <c r="N57" i="3"/>
  <c r="P57" i="2" s="1"/>
  <c r="M56" i="3"/>
  <c r="L56" i="3"/>
  <c r="K56" i="3"/>
  <c r="J56" i="3"/>
  <c r="I56" i="3"/>
  <c r="H56" i="3"/>
  <c r="G56" i="3"/>
  <c r="F56" i="3"/>
  <c r="E56" i="3"/>
  <c r="D56" i="3"/>
  <c r="C56" i="3"/>
  <c r="B56" i="3"/>
  <c r="N10" i="3"/>
  <c r="P10" i="2" s="1"/>
  <c r="N9" i="3"/>
  <c r="P9" i="2" s="1"/>
  <c r="N7" i="3"/>
  <c r="P7" i="2" s="1"/>
  <c r="N6" i="3"/>
  <c r="P6" i="2" s="1"/>
  <c r="C9" i="4" l="1"/>
  <c r="E7" i="4"/>
  <c r="L7" i="4" s="1"/>
  <c r="C6" i="4"/>
  <c r="I6" i="4" s="1"/>
  <c r="P142" i="2"/>
  <c r="C7" i="4"/>
  <c r="B134" i="3"/>
  <c r="C134" i="3"/>
  <c r="D134" i="3"/>
  <c r="G6" i="4"/>
  <c r="E134" i="3"/>
  <c r="N162" i="3"/>
  <c r="P158" i="2" s="1"/>
  <c r="M134" i="3"/>
  <c r="N145" i="3"/>
  <c r="P140" i="2" s="1"/>
  <c r="Q140" i="2" s="1"/>
  <c r="P141" i="2"/>
  <c r="B151" i="3"/>
  <c r="C8" i="4"/>
  <c r="F134" i="3"/>
  <c r="J134" i="3"/>
  <c r="K134" i="3"/>
  <c r="L134" i="3"/>
  <c r="G134" i="3"/>
  <c r="H134" i="3"/>
  <c r="N160" i="3"/>
  <c r="P156" i="2" s="1"/>
  <c r="P157" i="2"/>
  <c r="C5" i="4"/>
  <c r="I134" i="3"/>
  <c r="E9" i="4"/>
  <c r="K6" i="4"/>
  <c r="E5" i="4"/>
  <c r="L5" i="4" s="1"/>
  <c r="E4" i="4"/>
  <c r="C4" i="4"/>
  <c r="N132" i="3"/>
  <c r="P127" i="2" s="1"/>
  <c r="Q127" i="2" s="1"/>
  <c r="N60" i="3"/>
  <c r="P60" i="2" s="1"/>
  <c r="Q60" i="2" s="1"/>
  <c r="P61" i="2"/>
  <c r="B69" i="3"/>
  <c r="B164" i="3"/>
  <c r="N105" i="3"/>
  <c r="P100" i="2" s="1"/>
  <c r="G69" i="3"/>
  <c r="M113" i="3"/>
  <c r="L113" i="3"/>
  <c r="E113" i="3"/>
  <c r="F114" i="3"/>
  <c r="D69" i="3"/>
  <c r="M150" i="3"/>
  <c r="N130" i="3"/>
  <c r="L69" i="3"/>
  <c r="D113" i="3"/>
  <c r="C114" i="3"/>
  <c r="F150" i="3"/>
  <c r="H164" i="3"/>
  <c r="F65" i="3"/>
  <c r="F72" i="3" s="1"/>
  <c r="N115" i="3"/>
  <c r="P110" i="2" s="1"/>
  <c r="H113" i="3"/>
  <c r="J113" i="3"/>
  <c r="D164" i="3"/>
  <c r="C164" i="3"/>
  <c r="M12" i="3"/>
  <c r="K113" i="3"/>
  <c r="E164" i="3"/>
  <c r="G164" i="3"/>
  <c r="I113" i="3"/>
  <c r="M64" i="3"/>
  <c r="M114" i="3"/>
  <c r="G150" i="3"/>
  <c r="E64" i="3"/>
  <c r="K12" i="3"/>
  <c r="N56" i="3"/>
  <c r="H150" i="3"/>
  <c r="G113" i="3"/>
  <c r="I69" i="3"/>
  <c r="G114" i="3"/>
  <c r="I150" i="3"/>
  <c r="D65" i="3"/>
  <c r="H65" i="3"/>
  <c r="J69" i="3"/>
  <c r="B113" i="3"/>
  <c r="I114" i="3"/>
  <c r="K69" i="3"/>
  <c r="C113" i="3"/>
  <c r="K114" i="3"/>
  <c r="N66" i="3"/>
  <c r="P67" i="2" s="1"/>
  <c r="E150" i="3"/>
  <c r="C65" i="3"/>
  <c r="C72" i="3" s="1"/>
  <c r="B17" i="3"/>
  <c r="E17" i="3"/>
  <c r="H17" i="3"/>
  <c r="L17" i="3"/>
  <c r="C12" i="3"/>
  <c r="E12" i="3"/>
  <c r="H12" i="3"/>
  <c r="G12" i="3"/>
  <c r="J150" i="3"/>
  <c r="E65" i="3"/>
  <c r="G65" i="3"/>
  <c r="G72" i="3" s="1"/>
  <c r="B114" i="3"/>
  <c r="L150" i="3"/>
  <c r="N14" i="3"/>
  <c r="P14" i="2" s="1"/>
  <c r="F12" i="3"/>
  <c r="M69" i="3"/>
  <c r="N71" i="3"/>
  <c r="P72" i="2" s="1"/>
  <c r="I164" i="3"/>
  <c r="I65" i="3"/>
  <c r="J164" i="3"/>
  <c r="J65" i="3"/>
  <c r="J72" i="3" s="1"/>
  <c r="N68" i="3"/>
  <c r="N70" i="3"/>
  <c r="P71" i="2" s="1"/>
  <c r="K164" i="3"/>
  <c r="K65" i="3"/>
  <c r="C69" i="3"/>
  <c r="F151" i="3"/>
  <c r="L164" i="3"/>
  <c r="N8" i="3"/>
  <c r="P8" i="2" s="1"/>
  <c r="Q8" i="2" s="1"/>
  <c r="N15" i="3"/>
  <c r="P15" i="2" s="1"/>
  <c r="C64" i="3"/>
  <c r="H69" i="3"/>
  <c r="B150" i="3"/>
  <c r="H151" i="3"/>
  <c r="M164" i="3"/>
  <c r="F164" i="3"/>
  <c r="M65" i="3"/>
  <c r="E69" i="3"/>
  <c r="C150" i="3"/>
  <c r="J151" i="3"/>
  <c r="C165" i="3"/>
  <c r="D12" i="3"/>
  <c r="K64" i="3"/>
  <c r="N67" i="3"/>
  <c r="P68" i="2" s="1"/>
  <c r="F69" i="3"/>
  <c r="J114" i="3"/>
  <c r="D150" i="3"/>
  <c r="L151" i="3"/>
  <c r="E165" i="3"/>
  <c r="K150" i="3"/>
  <c r="L12" i="3"/>
  <c r="L65" i="3"/>
  <c r="L72" i="3" s="1"/>
  <c r="E114" i="3"/>
  <c r="N5" i="3"/>
  <c r="P5" i="2" s="1"/>
  <c r="G165" i="3"/>
  <c r="I165" i="3"/>
  <c r="I12" i="3"/>
  <c r="I64" i="3"/>
  <c r="B12" i="3"/>
  <c r="J12" i="3"/>
  <c r="B64" i="3"/>
  <c r="J64" i="3"/>
  <c r="H114" i="3"/>
  <c r="G151" i="3"/>
  <c r="H165" i="3"/>
  <c r="D64" i="3"/>
  <c r="L64" i="3"/>
  <c r="I151" i="3"/>
  <c r="B165" i="3"/>
  <c r="J165" i="3"/>
  <c r="F64" i="3"/>
  <c r="D114" i="3"/>
  <c r="L114" i="3"/>
  <c r="C151" i="3"/>
  <c r="K151" i="3"/>
  <c r="D165" i="3"/>
  <c r="L165" i="3"/>
  <c r="G64" i="3"/>
  <c r="B65" i="3"/>
  <c r="F113" i="3"/>
  <c r="H64" i="3"/>
  <c r="I9" i="4" l="1"/>
  <c r="N134" i="3"/>
  <c r="P129" i="2" s="1"/>
  <c r="P125" i="2"/>
  <c r="N165" i="3"/>
  <c r="P162" i="2" s="1"/>
  <c r="N150" i="3"/>
  <c r="P146" i="2" s="1"/>
  <c r="N164" i="3"/>
  <c r="P161" i="2" s="1"/>
  <c r="I7" i="4"/>
  <c r="K7" i="4"/>
  <c r="I8" i="4"/>
  <c r="K8" i="4"/>
  <c r="N151" i="3"/>
  <c r="P147" i="2" s="1"/>
  <c r="G5" i="4"/>
  <c r="G10" i="4" s="1"/>
  <c r="N114" i="3"/>
  <c r="P109" i="2" s="1"/>
  <c r="N113" i="3"/>
  <c r="P108" i="2" s="1"/>
  <c r="I5" i="4"/>
  <c r="E10" i="4"/>
  <c r="L4" i="4"/>
  <c r="C10" i="4"/>
  <c r="I4" i="4"/>
  <c r="N64" i="3"/>
  <c r="P65" i="2" s="1"/>
  <c r="P56" i="2"/>
  <c r="N135" i="3"/>
  <c r="D72" i="3"/>
  <c r="N65" i="3"/>
  <c r="H72" i="3"/>
  <c r="N12" i="3"/>
  <c r="P12" i="2" s="1"/>
  <c r="N69" i="3"/>
  <c r="P70" i="2" s="1"/>
  <c r="F17" i="3"/>
  <c r="I17" i="3"/>
  <c r="C17" i="3"/>
  <c r="M72" i="3"/>
  <c r="B72" i="3"/>
  <c r="M17" i="3"/>
  <c r="G17" i="3"/>
  <c r="E72" i="3"/>
  <c r="K72" i="3"/>
  <c r="J17" i="3"/>
  <c r="K17" i="3"/>
  <c r="D17" i="3"/>
  <c r="I72" i="3"/>
  <c r="N13" i="3"/>
  <c r="I10" i="4" l="1"/>
  <c r="P130" i="2"/>
  <c r="N17" i="3"/>
  <c r="P17" i="2" s="1"/>
  <c r="P13" i="2"/>
  <c r="N72" i="3"/>
  <c r="P73" i="2" s="1"/>
  <c r="P66" i="2"/>
  <c r="M72" i="2"/>
  <c r="L72" i="2"/>
  <c r="K72" i="2"/>
  <c r="J72" i="2"/>
  <c r="I72" i="2"/>
  <c r="H72" i="2"/>
  <c r="G72" i="2"/>
  <c r="F72" i="2"/>
  <c r="E72" i="2"/>
  <c r="D72" i="2"/>
  <c r="C72" i="2"/>
  <c r="M71" i="2"/>
  <c r="L71" i="2"/>
  <c r="K71" i="2"/>
  <c r="J71" i="2"/>
  <c r="I71" i="2"/>
  <c r="H71" i="2"/>
  <c r="G71" i="2"/>
  <c r="F71" i="2"/>
  <c r="E71" i="2"/>
  <c r="D71" i="2"/>
  <c r="C71" i="2"/>
  <c r="B72" i="2"/>
  <c r="B71" i="2"/>
  <c r="N159" i="2" l="1"/>
  <c r="N158" i="2" s="1"/>
  <c r="N157" i="2"/>
  <c r="I156" i="2"/>
  <c r="H156" i="2"/>
  <c r="G156" i="2"/>
  <c r="F156" i="2"/>
  <c r="E156" i="2"/>
  <c r="D156" i="2"/>
  <c r="C156" i="2"/>
  <c r="B156" i="2"/>
  <c r="B161" i="2" s="1"/>
  <c r="F9" i="4" l="1"/>
  <c r="L9" i="4" s="1"/>
  <c r="D9" i="4"/>
  <c r="E162" i="2"/>
  <c r="E161" i="2"/>
  <c r="F162" i="2"/>
  <c r="F161" i="2"/>
  <c r="G161" i="2"/>
  <c r="G162" i="2"/>
  <c r="H161" i="2"/>
  <c r="H162" i="2"/>
  <c r="I162" i="2"/>
  <c r="I161" i="2"/>
  <c r="B162" i="2"/>
  <c r="D162" i="2"/>
  <c r="D161" i="2"/>
  <c r="N156" i="2"/>
  <c r="C162" i="2"/>
  <c r="C161" i="2"/>
  <c r="Q158" i="2"/>
  <c r="N142" i="2"/>
  <c r="Q142" i="2" s="1"/>
  <c r="C146" i="2"/>
  <c r="N141" i="2"/>
  <c r="G147" i="2"/>
  <c r="E147" i="2"/>
  <c r="F10" i="4" l="1"/>
  <c r="F11" i="4" s="1"/>
  <c r="J9" i="4"/>
  <c r="N162" i="2"/>
  <c r="Q156" i="2"/>
  <c r="K9" i="4"/>
  <c r="N161" i="2"/>
  <c r="B146" i="2"/>
  <c r="F146" i="2"/>
  <c r="H146" i="2"/>
  <c r="J146" i="2"/>
  <c r="I146" i="2"/>
  <c r="D146" i="2"/>
  <c r="M146" i="2"/>
  <c r="K146" i="2"/>
  <c r="L146" i="2"/>
  <c r="E146" i="2"/>
  <c r="D147" i="2"/>
  <c r="H147" i="2"/>
  <c r="L147" i="2"/>
  <c r="G146" i="2"/>
  <c r="I147" i="2"/>
  <c r="J147" i="2"/>
  <c r="C147" i="2"/>
  <c r="K147" i="2"/>
  <c r="M147" i="2"/>
  <c r="F147" i="2"/>
  <c r="L10" i="4" l="1"/>
  <c r="N72" i="2"/>
  <c r="N71" i="2"/>
  <c r="M70" i="2"/>
  <c r="L70" i="2"/>
  <c r="K70" i="2"/>
  <c r="J70" i="2"/>
  <c r="I70" i="2"/>
  <c r="H70" i="2"/>
  <c r="G70" i="2"/>
  <c r="F70" i="2"/>
  <c r="E70" i="2"/>
  <c r="D70" i="2"/>
  <c r="C70" i="2"/>
  <c r="B70" i="2"/>
  <c r="N63" i="2"/>
  <c r="N70" i="2" l="1"/>
  <c r="N131" i="2" l="1"/>
  <c r="N128" i="2"/>
  <c r="N126" i="2"/>
  <c r="N125" i="2" l="1"/>
  <c r="Q125" i="2" s="1"/>
  <c r="N107" i="2"/>
  <c r="N106" i="2"/>
  <c r="N105" i="2"/>
  <c r="N103" i="2"/>
  <c r="N102" i="2"/>
  <c r="N104" i="2" l="1"/>
  <c r="Q104" i="2" s="1"/>
  <c r="N129" i="2"/>
  <c r="N130" i="2"/>
  <c r="N100" i="2"/>
  <c r="Q100" i="2" s="1"/>
  <c r="N62" i="2"/>
  <c r="N61" i="2"/>
  <c r="N59" i="2"/>
  <c r="N58" i="2"/>
  <c r="N57" i="2"/>
  <c r="M56" i="2"/>
  <c r="M65" i="2" s="1"/>
  <c r="L56" i="2"/>
  <c r="K56" i="2"/>
  <c r="J56" i="2"/>
  <c r="I56" i="2"/>
  <c r="H56" i="2"/>
  <c r="G56" i="2"/>
  <c r="F56" i="2"/>
  <c r="E56" i="2"/>
  <c r="D56" i="2"/>
  <c r="C56" i="2"/>
  <c r="B56" i="2"/>
  <c r="N15" i="2"/>
  <c r="N14" i="2"/>
  <c r="N7" i="2"/>
  <c r="N6" i="2"/>
  <c r="M5" i="2"/>
  <c r="L5" i="2"/>
  <c r="K5" i="2"/>
  <c r="J5" i="2"/>
  <c r="I5" i="2"/>
  <c r="H5" i="2"/>
  <c r="G5" i="2"/>
  <c r="F5" i="2"/>
  <c r="E5" i="2"/>
  <c r="D5" i="2"/>
  <c r="C5" i="2"/>
  <c r="B5" i="2"/>
  <c r="D5" i="4" l="1"/>
  <c r="K5" i="4" s="1"/>
  <c r="D4" i="4"/>
  <c r="N108" i="2"/>
  <c r="N109" i="2"/>
  <c r="B65" i="2"/>
  <c r="N56" i="2"/>
  <c r="Q56" i="2" s="1"/>
  <c r="C65" i="2"/>
  <c r="K65" i="2"/>
  <c r="H65" i="2"/>
  <c r="D65" i="2"/>
  <c r="L65" i="2"/>
  <c r="D66" i="2"/>
  <c r="C66" i="2"/>
  <c r="K66" i="2"/>
  <c r="J65" i="2"/>
  <c r="E65" i="2"/>
  <c r="I65" i="2"/>
  <c r="I66" i="2"/>
  <c r="F65" i="2"/>
  <c r="E66" i="2"/>
  <c r="G65" i="2"/>
  <c r="F66" i="2"/>
  <c r="G66" i="2"/>
  <c r="K17" i="2"/>
  <c r="H66" i="2"/>
  <c r="L66" i="2"/>
  <c r="M66" i="2"/>
  <c r="J66" i="2"/>
  <c r="B66" i="2"/>
  <c r="E12" i="2"/>
  <c r="M12" i="2"/>
  <c r="I17" i="2"/>
  <c r="J12" i="2"/>
  <c r="L17" i="2"/>
  <c r="J17" i="2"/>
  <c r="I12" i="2"/>
  <c r="F17" i="2"/>
  <c r="B17" i="2"/>
  <c r="C17" i="2"/>
  <c r="M17" i="2"/>
  <c r="D17" i="2"/>
  <c r="D12" i="2"/>
  <c r="L12" i="2"/>
  <c r="N13" i="2"/>
  <c r="G12" i="2"/>
  <c r="H12" i="2"/>
  <c r="B12" i="2"/>
  <c r="E17" i="2"/>
  <c r="G17" i="2"/>
  <c r="H17" i="2"/>
  <c r="C12" i="2"/>
  <c r="K12" i="2"/>
  <c r="F12" i="2"/>
  <c r="N5" i="2"/>
  <c r="Q5" i="2" s="1"/>
  <c r="J5" i="4" l="1"/>
  <c r="D10" i="4"/>
  <c r="J10" i="4" s="1"/>
  <c r="K4" i="4"/>
  <c r="J4" i="4"/>
  <c r="H5" i="4"/>
  <c r="H10" i="4" s="1"/>
  <c r="H11" i="4" s="1"/>
  <c r="L73" i="2"/>
  <c r="I73" i="2"/>
  <c r="H73" i="2"/>
  <c r="B73" i="2"/>
  <c r="G73" i="2"/>
  <c r="F73" i="2"/>
  <c r="K73" i="2"/>
  <c r="J73" i="2"/>
  <c r="E73" i="2"/>
  <c r="C73" i="2"/>
  <c r="M73" i="2"/>
  <c r="D73" i="2"/>
  <c r="N65" i="2"/>
  <c r="N66" i="2"/>
  <c r="N17" i="2"/>
  <c r="N12" i="2"/>
  <c r="N146" i="2"/>
  <c r="N147" i="2"/>
  <c r="K10" i="4" l="1"/>
  <c r="N73" i="2"/>
  <c r="E60" i="5" l="1"/>
  <c r="E56" i="5"/>
  <c r="D60" i="5"/>
  <c r="D56" i="5"/>
  <c r="C60" i="5"/>
  <c r="F58" i="5"/>
  <c r="C56" i="5"/>
  <c r="F63" i="5"/>
  <c r="F61" i="5"/>
  <c r="F62" i="5"/>
  <c r="B60" i="5"/>
  <c r="F59" i="5"/>
  <c r="B56" i="5"/>
  <c r="F64" i="5"/>
  <c r="F60" i="5" l="1"/>
  <c r="I60" i="5" s="1"/>
  <c r="D65" i="5"/>
  <c r="B65" i="5"/>
  <c r="B73" i="5"/>
  <c r="E65" i="5"/>
  <c r="E73" i="5"/>
  <c r="C73" i="5"/>
  <c r="C65" i="5"/>
  <c r="F57" i="5"/>
  <c r="F56" i="5" s="1"/>
  <c r="D73" i="5"/>
  <c r="F65" i="5" l="1"/>
  <c r="F73" i="5"/>
  <c r="I5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A08F4CCB-19A0-4CDE-A936-853B8711DECC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F1968AB2-A534-4FAB-9BE5-22852BD76CCE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3BEDADDB-4D88-4A44-8E63-8C20CAD0F5C9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31DEB31C-2BBA-452C-B3C3-33FF060525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1B8F1832-A724-45B9-BE51-8C0FFA161D92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2CD201F9-0378-4356-BC1B-C05272806B91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E5C6D72D-224E-4ECB-A088-46D0836E698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A0CDE5AD-48AC-42B6-BDC2-B2117F57A4D7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5DEFCD6B-07EF-406C-B992-F15671D8E2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523FF6E1-6B06-45B6-9D4C-815DD3432BC4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sharedStrings.xml><?xml version="1.0" encoding="utf-8"?>
<sst xmlns="http://schemas.openxmlformats.org/spreadsheetml/2006/main" count="819" uniqueCount="99">
  <si>
    <t>IMM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</si>
  <si>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</si>
  <si>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</si>
  <si>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</si>
  <si>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</si>
  <si>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</si>
  <si>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</si>
  <si>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</si>
  <si>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</si>
  <si>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</si>
  <si>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</si>
  <si>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</si>
  <si>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</si>
  <si>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</si>
  <si>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OB Removal (KBcm)</t>
  </si>
  <si>
    <t>PAMA (WB)</t>
  </si>
  <si>
    <t>PAMA (EB)</t>
  </si>
  <si>
    <t>ROM Production (Kton)</t>
  </si>
  <si>
    <t>SR ROM Total</t>
  </si>
  <si>
    <t>FC Product (Kton)</t>
  </si>
  <si>
    <t>SR FC Total</t>
  </si>
  <si>
    <t>IMM-WB.HCV.LS</t>
  </si>
  <si>
    <t>TS</t>
  </si>
  <si>
    <t>Ash</t>
  </si>
  <si>
    <t>Moist</t>
  </si>
  <si>
    <t>TM</t>
  </si>
  <si>
    <t>IMM-WB.HCV.HS</t>
  </si>
  <si>
    <t>IMM-EB.MCV.LS</t>
  </si>
  <si>
    <t>IMM-EB.MCV.MS</t>
  </si>
  <si>
    <t>IMM-EB.MCV.HS</t>
  </si>
  <si>
    <t>TRUST</t>
  </si>
  <si>
    <t>TCM</t>
  </si>
  <si>
    <t>SR ROM with void</t>
  </si>
  <si>
    <t>FC Product CP (Kton)</t>
  </si>
  <si>
    <t>SR FC</t>
  </si>
  <si>
    <t xml:space="preserve">TCM.HCV.LS </t>
  </si>
  <si>
    <t>Sul &lt; 0.7</t>
  </si>
  <si>
    <t>ASH &lt; 5.0</t>
  </si>
  <si>
    <t>IM</t>
  </si>
  <si>
    <t xml:space="preserve">TCM.HCV.HS </t>
  </si>
  <si>
    <t>Sul &lt; 2.0</t>
  </si>
  <si>
    <t>TCM.HCV.MS</t>
  </si>
  <si>
    <t>Sul  &lt; 1.2</t>
  </si>
  <si>
    <t>SR ROM</t>
  </si>
  <si>
    <t>JBG</t>
  </si>
  <si>
    <t>SNS</t>
  </si>
  <si>
    <t>JBG Coal Loading</t>
  </si>
  <si>
    <t>FC Production (Ktons)</t>
  </si>
  <si>
    <t>BEK</t>
  </si>
  <si>
    <t>FC Product (KTons)</t>
  </si>
  <si>
    <t>JBG FC Product (Kton) / JBG</t>
  </si>
  <si>
    <t>TIS</t>
  </si>
  <si>
    <t>GPK</t>
  </si>
  <si>
    <t xml:space="preserve">EBH.HCV.LS </t>
  </si>
  <si>
    <t xml:space="preserve">MBL.MCV.MS </t>
  </si>
  <si>
    <t>PJPN</t>
  </si>
  <si>
    <t>MAP</t>
  </si>
  <si>
    <t>PAMA</t>
  </si>
  <si>
    <t>FC Product 3rd party (Kton)</t>
  </si>
  <si>
    <t>Contractor</t>
  </si>
  <si>
    <t>CV(GAR)</t>
  </si>
  <si>
    <t>Done</t>
  </si>
  <si>
    <t>Out.</t>
  </si>
  <si>
    <t>ITM plan year 2024</t>
  </si>
  <si>
    <t>TCM.LCV.MS.HA</t>
  </si>
  <si>
    <t>Contractor Pit UCE ext</t>
  </si>
  <si>
    <t>Sul  &lt; 1</t>
  </si>
  <si>
    <t>ASH</t>
  </si>
  <si>
    <t>Fine Coal</t>
  </si>
  <si>
    <t>Pit UCE-Extend</t>
  </si>
  <si>
    <t>Fine Coal (WB)</t>
  </si>
  <si>
    <t>ARKA</t>
  </si>
  <si>
    <t>SLS</t>
  </si>
  <si>
    <t>TIS.HCV.HS</t>
  </si>
  <si>
    <t>Other Contractor</t>
  </si>
  <si>
    <t>SITES</t>
  </si>
  <si>
    <t>OB</t>
  </si>
  <si>
    <t>Budget</t>
  </si>
  <si>
    <t>Actual</t>
  </si>
  <si>
    <t>ROM</t>
  </si>
  <si>
    <t>Diff. (Act.%)</t>
  </si>
  <si>
    <t>TOTAL</t>
  </si>
  <si>
    <t>FC</t>
  </si>
  <si>
    <t>SR (OB/ROM)</t>
  </si>
  <si>
    <t>Budget 2025</t>
  </si>
  <si>
    <t>As of 18 Nov'24</t>
  </si>
  <si>
    <t>NPR</t>
  </si>
  <si>
    <t>CV(GAD)</t>
  </si>
  <si>
    <t>Act.</t>
  </si>
  <si>
    <t>BEK.HCV.LS</t>
  </si>
  <si>
    <t>BEK.HCV.HS</t>
  </si>
  <si>
    <t>ITM outlook 2025 (4+8)</t>
  </si>
  <si>
    <t>ROM PIT I</t>
  </si>
  <si>
    <t>Q1</t>
  </si>
  <si>
    <t>Q2</t>
  </si>
  <si>
    <t>Q3</t>
  </si>
  <si>
    <t>Q4</t>
  </si>
  <si>
    <t>ITM outlook 2025 (6+6)</t>
  </si>
  <si>
    <t>IWJ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</si>
</sst>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4" fillId="0" borderId="0"/>
    <xf numFmtId="9" fontId="4" fillId="0" borderId="0" applyFont="0" applyFill="0" applyBorder="0" applyAlignment="0" applyProtection="0"/>
    <xf numFmtId="164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0" fontId="0" fillId="3" borderId="0" xfId="0" applyFill="1"/>
    <xf numFmtId="0" fontId="3" fillId="3" borderId="0" xfId="0" applyFont="1" applyFill="1"/>
    <xf numFmtId="0" fontId="5" fillId="3" borderId="0" xfId="0" applyFont="1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43" fontId="0" fillId="3" borderId="1" xfId="1" applyFont="1" applyFill="1" applyBorder="1"/>
    <xf numFmtId="165" fontId="0" fillId="3" borderId="1" xfId="1" applyNumberFormat="1" applyFont="1" applyFill="1" applyBorder="1"/>
    <xf numFmtId="0" fontId="3" fillId="2" borderId="1" xfId="0" applyFont="1" applyFill="1" applyBorder="1"/>
    <xf numFmtId="165" fontId="3" fillId="2" borderId="1" xfId="1" applyNumberFormat="1" applyFont="1" applyFill="1" applyBorder="1"/>
    <xf numFmtId="43" fontId="3" fillId="2" borderId="1" xfId="1" applyFont="1" applyFill="1" applyBorder="1"/>
    <xf numFmtId="165" fontId="0" fillId="3" borderId="0" xfId="0" applyNumberFormat="1" applyFill="1"/>
    <xf numFmtId="43" fontId="0" fillId="3" borderId="0" xfId="0" applyNumberFormat="1" applyFill="1"/>
    <xf numFmtId="165" fontId="0" fillId="0" borderId="1" xfId="1" applyNumberFormat="1" applyFont="1" applyFill="1" applyBorder="1"/>
    <xf numFmtId="43" fontId="0" fillId="0" borderId="1" xfId="1" applyFont="1" applyFill="1" applyBorder="1"/>
    <xf numFmtId="0" fontId="8" fillId="0" borderId="1" xfId="0" applyFont="1" applyBorder="1" applyAlignment="1">
      <alignment horizontal="center" vertical="center"/>
    </xf>
    <xf numFmtId="9" fontId="0" fillId="0" borderId="0" xfId="7" applyFont="1"/>
    <xf numFmtId="165" fontId="0" fillId="0" borderId="1" xfId="1" applyNumberFormat="1" applyFont="1" applyBorder="1" applyAlignment="1">
      <alignment horizontal="left"/>
    </xf>
    <xf numFmtId="165" fontId="0" fillId="0" borderId="1" xfId="1" applyNumberFormat="1" applyFont="1" applyBorder="1"/>
    <xf numFmtId="43" fontId="0" fillId="0" borderId="1" xfId="1" applyFont="1" applyBorder="1"/>
    <xf numFmtId="9" fontId="0" fillId="0" borderId="1" xfId="7" applyFont="1" applyBorder="1"/>
    <xf numFmtId="0" fontId="2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0" fillId="6" borderId="1" xfId="0" applyNumberFormat="1" applyFill="1" applyBorder="1"/>
    <xf numFmtId="43" fontId="0" fillId="6" borderId="1" xfId="1" applyFont="1" applyFill="1" applyBorder="1"/>
    <xf numFmtId="9" fontId="0" fillId="6" borderId="1" xfId="7" applyFont="1" applyFill="1" applyBorder="1"/>
    <xf numFmtId="9" fontId="3" fillId="3" borderId="0" xfId="7" applyFont="1" applyFill="1"/>
    <xf numFmtId="0" fontId="3" fillId="7" borderId="1" xfId="0" applyFont="1" applyFill="1" applyBorder="1"/>
    <xf numFmtId="165" fontId="3" fillId="7" borderId="1" xfId="1" applyNumberFormat="1" applyFont="1" applyFill="1" applyBorder="1"/>
    <xf numFmtId="165" fontId="0" fillId="8" borderId="1" xfId="1" applyNumberFormat="1" applyFont="1" applyFill="1" applyBorder="1"/>
    <xf numFmtId="43" fontId="0" fillId="8" borderId="1" xfId="1" applyFont="1" applyFill="1" applyBorder="1"/>
    <xf numFmtId="165" fontId="3" fillId="3" borderId="0" xfId="0" applyNumberFormat="1" applyFont="1" applyFill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</cellXfs>
  <cellStyles count="9">
    <cellStyle name="Comma" xfId="1" builtinId="3"/>
    <cellStyle name="Comma 4 3" xfId="5" xr:uid="{00000000-0005-0000-0000-000001000000}"/>
    <cellStyle name="Normal" xfId="0" builtinId="0"/>
    <cellStyle name="Normal 2 2" xfId="2" xr:uid="{00000000-0005-0000-0000-000003000000}"/>
    <cellStyle name="Normal 3" xfId="4" xr:uid="{00000000-0005-0000-0000-000004000000}"/>
    <cellStyle name="Normal 5" xfId="8" xr:uid="{B3D36331-AB3B-4E6D-8495-D2CA8331041D}"/>
    <cellStyle name="Percent" xfId="7" builtinId="5"/>
    <cellStyle name="Percent 10" xfId="3" xr:uid="{00000000-0005-0000-0000-000005000000}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6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calcChain" Target="calcChain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summary"/>
      <sheetName val="Run"/>
      <sheetName val="OVERBURDEN"/>
      <sheetName val="SUBKON"/>
      <sheetName val="MAINTENANCE"/>
      <sheetName val="rate"/>
      <sheetName val="Housekeeping"/>
      <sheetName val="Summ PRM"/>
      <sheetName val="ACUM"/>
      <sheetName val="TJ"/>
      <sheetName val="LM"/>
      <sheetName val="LIST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Konversi_Jarak"/>
      <sheetName val="Master_Evaluasi"/>
      <sheetName val="Target_Lost_Time"/>
      <sheetName val="KPTJ001"/>
      <sheetName val="Parameter"/>
      <sheetName val="Blasting_per_block"/>
      <sheetName val="Master "/>
      <sheetName val="MASTER"/>
      <sheetName val="MTD OB Forecasting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PS"/>
      <sheetName val="Plant"/>
      <sheetName val="EWH-UA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Galian 1"/>
      <sheetName val="Cost Parameter"/>
      <sheetName val="TABEL STOCK"/>
      <sheetName val="smu"/>
      <sheetName val="Wheel Grp"/>
      <sheetName val="_SAF 02"/>
      <sheetName val="awal_bulan"/>
      <sheetName val="awal_bulan1"/>
      <sheetName val="awal_bulan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Coal Class_April2016"/>
      <sheetName val="ThisMonth"/>
      <sheetName val="Act_cost"/>
      <sheetName val="COVER"/>
      <sheetName val="DATA BULAN LALU"/>
      <sheetName val="BA PENERIMAAN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SALES_SUMMARY"/>
      <sheetName val="shipping_program"/>
      <sheetName val="KPC_PRINANG_MO_CF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4">
          <cell r="A4">
            <v>1</v>
          </cell>
        </row>
      </sheetData>
      <sheetData sheetId="70">
        <row r="4">
          <cell r="A4">
            <v>1</v>
          </cell>
        </row>
      </sheetData>
      <sheetData sheetId="71">
        <row r="4">
          <cell r="A4">
            <v>1</v>
          </cell>
        </row>
      </sheetData>
      <sheetData sheetId="72">
        <row r="4">
          <cell r="A4">
            <v>1</v>
          </cell>
        </row>
      </sheetData>
      <sheetData sheetId="73">
        <row r="4">
          <cell r="A4">
            <v>1</v>
          </cell>
        </row>
      </sheetData>
      <sheetData sheetId="74">
        <row r="4">
          <cell r="A4">
            <v>1</v>
          </cell>
        </row>
      </sheetData>
      <sheetData sheetId="75">
        <row r="4">
          <cell r="A4">
            <v>1</v>
          </cell>
        </row>
      </sheetData>
      <sheetData sheetId="76">
        <row r="4">
          <cell r="A4">
            <v>1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>
        <row r="4">
          <cell r="A4">
            <v>1</v>
          </cell>
        </row>
      </sheetData>
      <sheetData sheetId="142"/>
      <sheetData sheetId="143">
        <row r="4">
          <cell r="A4">
            <v>1</v>
          </cell>
        </row>
      </sheetData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Database"/>
      <sheetName val="Run"/>
      <sheetName val="COAL ACT"/>
      <sheetName val="WASH PLANT"/>
      <sheetName val="DIRTY COAL ACT"/>
      <sheetName val="JAM2AN"/>
      <sheetName val="SUM"/>
      <sheetName val="HE"/>
      <sheetName val="DB Dept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>
            <v>0</v>
          </cell>
        </row>
        <row r="153">
          <cell r="AN153">
            <v>0</v>
          </cell>
        </row>
        <row r="154">
          <cell r="AN154">
            <v>0</v>
          </cell>
        </row>
        <row r="155">
          <cell r="AN155">
            <v>0</v>
          </cell>
        </row>
        <row r="156">
          <cell r="AN156">
            <v>0</v>
          </cell>
        </row>
        <row r="157">
          <cell r="AN157">
            <v>0</v>
          </cell>
        </row>
        <row r="158">
          <cell r="AN158">
            <v>0</v>
          </cell>
        </row>
        <row r="159">
          <cell r="AN159">
            <v>0</v>
          </cell>
        </row>
        <row r="160">
          <cell r="AN160">
            <v>0</v>
          </cell>
        </row>
        <row r="161">
          <cell r="AN161">
            <v>0</v>
          </cell>
        </row>
        <row r="162">
          <cell r="AN162">
            <v>0</v>
          </cell>
        </row>
        <row r="163">
          <cell r="AN163">
            <v>0</v>
          </cell>
        </row>
        <row r="164">
          <cell r="AN164">
            <v>0</v>
          </cell>
        </row>
        <row r="165">
          <cell r="AN165">
            <v>0</v>
          </cell>
        </row>
        <row r="166">
          <cell r="AN166">
            <v>0</v>
          </cell>
        </row>
        <row r="167">
          <cell r="AN167">
            <v>0</v>
          </cell>
        </row>
        <row r="168">
          <cell r="AN168">
            <v>0</v>
          </cell>
        </row>
        <row r="169">
          <cell r="AN169">
            <v>0</v>
          </cell>
        </row>
        <row r="170">
          <cell r="AN170">
            <v>0</v>
          </cell>
        </row>
        <row r="171">
          <cell r="AN171">
            <v>0</v>
          </cell>
        </row>
        <row r="172">
          <cell r="AN172">
            <v>0</v>
          </cell>
        </row>
        <row r="173">
          <cell r="AN173">
            <v>0</v>
          </cell>
        </row>
        <row r="174">
          <cell r="AN174">
            <v>0</v>
          </cell>
        </row>
        <row r="175">
          <cell r="AN175">
            <v>0</v>
          </cell>
        </row>
        <row r="176">
          <cell r="AN176">
            <v>0</v>
          </cell>
        </row>
        <row r="177">
          <cell r="AN177">
            <v>0</v>
          </cell>
        </row>
        <row r="178">
          <cell r="AN178">
            <v>0</v>
          </cell>
        </row>
        <row r="179">
          <cell r="AN179">
            <v>0</v>
          </cell>
        </row>
        <row r="180">
          <cell r="AN180">
            <v>0</v>
          </cell>
        </row>
        <row r="181">
          <cell r="AN181">
            <v>0</v>
          </cell>
        </row>
        <row r="182">
          <cell r="AN182">
            <v>0</v>
          </cell>
        </row>
        <row r="183">
          <cell r="AN183">
            <v>0</v>
          </cell>
        </row>
        <row r="184">
          <cell r="AN184">
            <v>0</v>
          </cell>
        </row>
        <row r="185">
          <cell r="AN185">
            <v>0</v>
          </cell>
        </row>
        <row r="186">
          <cell r="AN186">
            <v>0</v>
          </cell>
        </row>
        <row r="187">
          <cell r="AN187">
            <v>0</v>
          </cell>
        </row>
        <row r="188">
          <cell r="AN188">
            <v>0</v>
          </cell>
        </row>
        <row r="189">
          <cell r="AN189">
            <v>0</v>
          </cell>
        </row>
        <row r="190">
          <cell r="AN190">
            <v>0</v>
          </cell>
        </row>
        <row r="191">
          <cell r="AN191">
            <v>0</v>
          </cell>
        </row>
        <row r="192">
          <cell r="AN192">
            <v>0</v>
          </cell>
        </row>
        <row r="193">
          <cell r="AN193">
            <v>0</v>
          </cell>
        </row>
        <row r="194">
          <cell r="AN194">
            <v>0</v>
          </cell>
        </row>
        <row r="195">
          <cell r="AN195">
            <v>0</v>
          </cell>
        </row>
        <row r="196">
          <cell r="AN196">
            <v>0</v>
          </cell>
        </row>
        <row r="197">
          <cell r="AN197">
            <v>0</v>
          </cell>
        </row>
        <row r="198">
          <cell r="AN198">
            <v>0</v>
          </cell>
        </row>
        <row r="199">
          <cell r="AN199">
            <v>0</v>
          </cell>
        </row>
        <row r="200">
          <cell r="AN200">
            <v>0</v>
          </cell>
        </row>
        <row r="201">
          <cell r="AN201">
            <v>0</v>
          </cell>
        </row>
        <row r="202">
          <cell r="AN202">
            <v>0</v>
          </cell>
        </row>
        <row r="203">
          <cell r="AN203">
            <v>0</v>
          </cell>
        </row>
        <row r="204">
          <cell r="AN204">
            <v>0</v>
          </cell>
        </row>
        <row r="205">
          <cell r="AN205">
            <v>0</v>
          </cell>
        </row>
        <row r="206">
          <cell r="AN206">
            <v>0</v>
          </cell>
        </row>
        <row r="207">
          <cell r="AN207">
            <v>0</v>
          </cell>
        </row>
        <row r="208">
          <cell r="AN208">
            <v>0</v>
          </cell>
        </row>
        <row r="209">
          <cell r="AN209">
            <v>0</v>
          </cell>
        </row>
        <row r="210">
          <cell r="AN210">
            <v>0</v>
          </cell>
        </row>
        <row r="211">
          <cell r="AN211">
            <v>0</v>
          </cell>
        </row>
        <row r="212">
          <cell r="AN212">
            <v>0</v>
          </cell>
        </row>
        <row r="213">
          <cell r="AN213">
            <v>0</v>
          </cell>
        </row>
        <row r="214">
          <cell r="AN214">
            <v>0</v>
          </cell>
        </row>
        <row r="215">
          <cell r="AN215">
            <v>0</v>
          </cell>
        </row>
        <row r="216">
          <cell r="AN216">
            <v>0</v>
          </cell>
        </row>
        <row r="217">
          <cell r="AN217">
            <v>0</v>
          </cell>
        </row>
        <row r="218">
          <cell r="AN218">
            <v>0</v>
          </cell>
        </row>
        <row r="219">
          <cell r="AN219">
            <v>0</v>
          </cell>
        </row>
        <row r="220">
          <cell r="AN220">
            <v>0</v>
          </cell>
        </row>
        <row r="221">
          <cell r="AN221">
            <v>0</v>
          </cell>
        </row>
        <row r="222">
          <cell r="AN222">
            <v>0</v>
          </cell>
        </row>
        <row r="223">
          <cell r="AN223">
            <v>0</v>
          </cell>
        </row>
        <row r="224">
          <cell r="AN224">
            <v>0</v>
          </cell>
        </row>
        <row r="225">
          <cell r="AN225">
            <v>0</v>
          </cell>
        </row>
        <row r="226">
          <cell r="AN226">
            <v>0</v>
          </cell>
        </row>
        <row r="227">
          <cell r="AN227">
            <v>0</v>
          </cell>
        </row>
        <row r="228">
          <cell r="AN228">
            <v>0</v>
          </cell>
        </row>
        <row r="229">
          <cell r="AN229">
            <v>0</v>
          </cell>
        </row>
        <row r="230">
          <cell r="AN230">
            <v>0</v>
          </cell>
        </row>
        <row r="231">
          <cell r="AN231">
            <v>0</v>
          </cell>
        </row>
        <row r="232">
          <cell r="AN232">
            <v>0</v>
          </cell>
        </row>
        <row r="233">
          <cell r="AN233">
            <v>0</v>
          </cell>
        </row>
        <row r="234">
          <cell r="AN234">
            <v>0</v>
          </cell>
        </row>
        <row r="235">
          <cell r="AN235">
            <v>0</v>
          </cell>
        </row>
        <row r="236">
          <cell r="AN236">
            <v>0</v>
          </cell>
        </row>
        <row r="237">
          <cell r="AN237">
            <v>0</v>
          </cell>
        </row>
        <row r="238">
          <cell r="AN238">
            <v>0</v>
          </cell>
        </row>
        <row r="239">
          <cell r="AN239">
            <v>0</v>
          </cell>
        </row>
        <row r="240">
          <cell r="AN240">
            <v>0</v>
          </cell>
        </row>
        <row r="241">
          <cell r="AN241">
            <v>0</v>
          </cell>
        </row>
        <row r="242">
          <cell r="AN242">
            <v>0</v>
          </cell>
        </row>
        <row r="243">
          <cell r="AN243">
            <v>0</v>
          </cell>
        </row>
        <row r="244">
          <cell r="AN244">
            <v>0</v>
          </cell>
        </row>
        <row r="245">
          <cell r="AN245">
            <v>0</v>
          </cell>
        </row>
        <row r="246">
          <cell r="AN246">
            <v>0</v>
          </cell>
        </row>
        <row r="247">
          <cell r="AN247">
            <v>0</v>
          </cell>
        </row>
        <row r="248">
          <cell r="AN248">
            <v>0</v>
          </cell>
        </row>
        <row r="249">
          <cell r="AN249">
            <v>0</v>
          </cell>
        </row>
        <row r="250">
          <cell r="AN250">
            <v>0</v>
          </cell>
        </row>
        <row r="251">
          <cell r="AN251">
            <v>0</v>
          </cell>
        </row>
        <row r="252">
          <cell r="AN252">
            <v>0</v>
          </cell>
        </row>
        <row r="253">
          <cell r="AN253">
            <v>0</v>
          </cell>
        </row>
        <row r="254">
          <cell r="AN254">
            <v>0</v>
          </cell>
        </row>
        <row r="255">
          <cell r="AN255">
            <v>0</v>
          </cell>
        </row>
        <row r="256">
          <cell r="AN256">
            <v>0</v>
          </cell>
        </row>
        <row r="257">
          <cell r="AN257">
            <v>0</v>
          </cell>
        </row>
        <row r="258">
          <cell r="AN258">
            <v>0</v>
          </cell>
        </row>
        <row r="259">
          <cell r="AN259">
            <v>0</v>
          </cell>
        </row>
        <row r="260">
          <cell r="AN260">
            <v>0</v>
          </cell>
        </row>
        <row r="261">
          <cell r="AN261">
            <v>0</v>
          </cell>
        </row>
        <row r="262">
          <cell r="AN262">
            <v>0</v>
          </cell>
        </row>
        <row r="263">
          <cell r="AN263">
            <v>0</v>
          </cell>
        </row>
        <row r="264">
          <cell r="AN264">
            <v>0</v>
          </cell>
        </row>
        <row r="265">
          <cell r="AN265">
            <v>0</v>
          </cell>
        </row>
        <row r="266">
          <cell r="AN266">
            <v>0</v>
          </cell>
        </row>
        <row r="267">
          <cell r="AN267">
            <v>0</v>
          </cell>
        </row>
        <row r="268">
          <cell r="AN268">
            <v>0</v>
          </cell>
        </row>
        <row r="269">
          <cell r="AN269">
            <v>0</v>
          </cell>
        </row>
        <row r="270">
          <cell r="AN270">
            <v>0</v>
          </cell>
        </row>
        <row r="271">
          <cell r="AN271">
            <v>0</v>
          </cell>
        </row>
        <row r="272">
          <cell r="AN272">
            <v>0</v>
          </cell>
        </row>
        <row r="273">
          <cell r="AN273">
            <v>0</v>
          </cell>
        </row>
        <row r="274">
          <cell r="AN274">
            <v>0</v>
          </cell>
        </row>
        <row r="275">
          <cell r="AN275">
            <v>0</v>
          </cell>
        </row>
        <row r="276">
          <cell r="AN276">
            <v>0</v>
          </cell>
        </row>
        <row r="277">
          <cell r="AN277">
            <v>0</v>
          </cell>
        </row>
        <row r="278">
          <cell r="AN278">
            <v>0</v>
          </cell>
        </row>
        <row r="279">
          <cell r="AN279">
            <v>0</v>
          </cell>
        </row>
        <row r="280">
          <cell r="AN280">
            <v>0</v>
          </cell>
        </row>
        <row r="281">
          <cell r="AN281">
            <v>0</v>
          </cell>
        </row>
        <row r="282">
          <cell r="AN282">
            <v>0</v>
          </cell>
        </row>
        <row r="283">
          <cell r="AN283">
            <v>0</v>
          </cell>
        </row>
        <row r="284">
          <cell r="AN284">
            <v>0</v>
          </cell>
        </row>
        <row r="285">
          <cell r="AN285">
            <v>0</v>
          </cell>
        </row>
        <row r="286">
          <cell r="AN286">
            <v>0</v>
          </cell>
        </row>
        <row r="287">
          <cell r="AN287">
            <v>0</v>
          </cell>
        </row>
        <row r="289">
          <cell r="AN289">
            <v>0</v>
          </cell>
        </row>
        <row r="290">
          <cell r="AN290">
            <v>0</v>
          </cell>
        </row>
        <row r="291">
          <cell r="AN291">
            <v>0</v>
          </cell>
        </row>
        <row r="292">
          <cell r="AN292">
            <v>0</v>
          </cell>
        </row>
        <row r="293">
          <cell r="AN293">
            <v>0</v>
          </cell>
        </row>
        <row r="294">
          <cell r="AN294">
            <v>0</v>
          </cell>
        </row>
        <row r="295">
          <cell r="AN295">
            <v>0</v>
          </cell>
        </row>
        <row r="296">
          <cell r="AN296">
            <v>0</v>
          </cell>
        </row>
        <row r="297">
          <cell r="AN297">
            <v>0</v>
          </cell>
        </row>
        <row r="298">
          <cell r="AN298">
            <v>0</v>
          </cell>
        </row>
        <row r="299">
          <cell r="AN299">
            <v>0</v>
          </cell>
        </row>
        <row r="300">
          <cell r="AN300">
            <v>0</v>
          </cell>
        </row>
        <row r="301">
          <cell r="AN301">
            <v>0</v>
          </cell>
        </row>
        <row r="302">
          <cell r="AN302">
            <v>0</v>
          </cell>
        </row>
        <row r="303">
          <cell r="AN303">
            <v>0</v>
          </cell>
        </row>
        <row r="304">
          <cell r="AN304">
            <v>0</v>
          </cell>
        </row>
        <row r="305">
          <cell r="AN305">
            <v>0</v>
          </cell>
        </row>
        <row r="306">
          <cell r="AN306">
            <v>0</v>
          </cell>
        </row>
        <row r="307">
          <cell r="AN307">
            <v>0</v>
          </cell>
        </row>
        <row r="308">
          <cell r="AN308">
            <v>0</v>
          </cell>
        </row>
        <row r="309">
          <cell r="AN309">
            <v>0</v>
          </cell>
        </row>
        <row r="310">
          <cell r="AN310">
            <v>0</v>
          </cell>
        </row>
        <row r="311">
          <cell r="AN311">
            <v>0</v>
          </cell>
        </row>
        <row r="312">
          <cell r="AN312">
            <v>0</v>
          </cell>
        </row>
        <row r="313">
          <cell r="AN313">
            <v>0</v>
          </cell>
        </row>
        <row r="314">
          <cell r="AN314">
            <v>0</v>
          </cell>
        </row>
        <row r="315">
          <cell r="AN315">
            <v>0</v>
          </cell>
        </row>
        <row r="316">
          <cell r="AN316">
            <v>0</v>
          </cell>
        </row>
        <row r="317">
          <cell r="AN317">
            <v>0</v>
          </cell>
        </row>
        <row r="318">
          <cell r="AN318">
            <v>0</v>
          </cell>
        </row>
        <row r="319">
          <cell r="AN319">
            <v>0</v>
          </cell>
        </row>
        <row r="320">
          <cell r="AN320">
            <v>0</v>
          </cell>
        </row>
        <row r="321">
          <cell r="AN321">
            <v>0</v>
          </cell>
        </row>
        <row r="322">
          <cell r="AN322">
            <v>0</v>
          </cell>
        </row>
        <row r="323">
          <cell r="AN323">
            <v>0</v>
          </cell>
        </row>
        <row r="324">
          <cell r="AN324">
            <v>0</v>
          </cell>
        </row>
        <row r="325">
          <cell r="AN325">
            <v>0</v>
          </cell>
        </row>
        <row r="326">
          <cell r="AN326">
            <v>0</v>
          </cell>
        </row>
        <row r="327">
          <cell r="AN327">
            <v>0</v>
          </cell>
        </row>
        <row r="328">
          <cell r="AN328">
            <v>0</v>
          </cell>
        </row>
        <row r="329">
          <cell r="AN329">
            <v>0</v>
          </cell>
        </row>
        <row r="330">
          <cell r="AN330">
            <v>0</v>
          </cell>
        </row>
        <row r="331">
          <cell r="AN331">
            <v>0</v>
          </cell>
        </row>
        <row r="332">
          <cell r="AN332">
            <v>0</v>
          </cell>
        </row>
        <row r="333">
          <cell r="AN333">
            <v>0</v>
          </cell>
        </row>
        <row r="334">
          <cell r="AN334">
            <v>0</v>
          </cell>
        </row>
        <row r="335">
          <cell r="AN335">
            <v>0</v>
          </cell>
        </row>
        <row r="336">
          <cell r="AN336">
            <v>0</v>
          </cell>
        </row>
        <row r="337">
          <cell r="AN337">
            <v>0</v>
          </cell>
        </row>
        <row r="338">
          <cell r="AN338">
            <v>0</v>
          </cell>
        </row>
        <row r="339">
          <cell r="AN339">
            <v>0</v>
          </cell>
        </row>
        <row r="340">
          <cell r="AN340">
            <v>0</v>
          </cell>
        </row>
        <row r="341">
          <cell r="AN341">
            <v>0</v>
          </cell>
        </row>
        <row r="342">
          <cell r="AN342">
            <v>0</v>
          </cell>
        </row>
        <row r="343">
          <cell r="AN343">
            <v>0</v>
          </cell>
        </row>
        <row r="344">
          <cell r="AN344">
            <v>0</v>
          </cell>
        </row>
        <row r="345">
          <cell r="AN345">
            <v>0</v>
          </cell>
        </row>
        <row r="346">
          <cell r="AN346">
            <v>0</v>
          </cell>
        </row>
        <row r="347">
          <cell r="AN347">
            <v>0</v>
          </cell>
        </row>
        <row r="348">
          <cell r="AN348">
            <v>0</v>
          </cell>
        </row>
        <row r="349">
          <cell r="AN349">
            <v>0</v>
          </cell>
        </row>
        <row r="350">
          <cell r="AN350">
            <v>0</v>
          </cell>
        </row>
        <row r="351">
          <cell r="AN351">
            <v>0</v>
          </cell>
        </row>
        <row r="352">
          <cell r="AN352">
            <v>0</v>
          </cell>
        </row>
        <row r="353">
          <cell r="AN353">
            <v>0</v>
          </cell>
        </row>
        <row r="354">
          <cell r="AN354">
            <v>0</v>
          </cell>
        </row>
        <row r="355">
          <cell r="AN355">
            <v>0</v>
          </cell>
        </row>
        <row r="356">
          <cell r="AN356">
            <v>0</v>
          </cell>
        </row>
        <row r="357">
          <cell r="AN357">
            <v>0</v>
          </cell>
        </row>
        <row r="358">
          <cell r="AN358">
            <v>0</v>
          </cell>
        </row>
        <row r="359">
          <cell r="AN359">
            <v>0</v>
          </cell>
        </row>
        <row r="360">
          <cell r="AN360">
            <v>0</v>
          </cell>
        </row>
        <row r="361">
          <cell r="AN361">
            <v>0</v>
          </cell>
        </row>
        <row r="362">
          <cell r="AN362">
            <v>0</v>
          </cell>
        </row>
        <row r="363">
          <cell r="AN363">
            <v>0</v>
          </cell>
        </row>
        <row r="364">
          <cell r="AN364">
            <v>0</v>
          </cell>
        </row>
        <row r="365">
          <cell r="AN365">
            <v>0</v>
          </cell>
        </row>
        <row r="366">
          <cell r="AN366">
            <v>0</v>
          </cell>
        </row>
        <row r="367">
          <cell r="AN367">
            <v>0</v>
          </cell>
        </row>
        <row r="368">
          <cell r="AN368">
            <v>0</v>
          </cell>
        </row>
        <row r="369">
          <cell r="AN369">
            <v>0</v>
          </cell>
        </row>
        <row r="370">
          <cell r="AN370">
            <v>0</v>
          </cell>
        </row>
        <row r="371">
          <cell r="AN371">
            <v>0</v>
          </cell>
        </row>
        <row r="372">
          <cell r="AN372">
            <v>0</v>
          </cell>
        </row>
        <row r="373">
          <cell r="AN373">
            <v>0</v>
          </cell>
        </row>
        <row r="374">
          <cell r="AN374">
            <v>0</v>
          </cell>
        </row>
        <row r="375">
          <cell r="AN375">
            <v>0</v>
          </cell>
        </row>
        <row r="376">
          <cell r="AN376">
            <v>0</v>
          </cell>
        </row>
        <row r="377">
          <cell r="AN377">
            <v>0</v>
          </cell>
        </row>
        <row r="378">
          <cell r="AN378">
            <v>0</v>
          </cell>
        </row>
        <row r="379">
          <cell r="AN379">
            <v>0</v>
          </cell>
        </row>
        <row r="380">
          <cell r="AN380">
            <v>0</v>
          </cell>
        </row>
        <row r="381">
          <cell r="AN381">
            <v>0</v>
          </cell>
        </row>
        <row r="382">
          <cell r="AN382">
            <v>0</v>
          </cell>
        </row>
        <row r="383">
          <cell r="AN383">
            <v>0</v>
          </cell>
        </row>
        <row r="384">
          <cell r="AN384">
            <v>0</v>
          </cell>
        </row>
        <row r="385">
          <cell r="AN385">
            <v>0</v>
          </cell>
        </row>
        <row r="386">
          <cell r="AN386">
            <v>0</v>
          </cell>
        </row>
        <row r="387">
          <cell r="AN387">
            <v>0</v>
          </cell>
        </row>
        <row r="388">
          <cell r="AN388">
            <v>0</v>
          </cell>
        </row>
        <row r="389">
          <cell r="AN389">
            <v>0</v>
          </cell>
        </row>
        <row r="390">
          <cell r="AN390">
            <v>0</v>
          </cell>
        </row>
        <row r="391">
          <cell r="AN391">
            <v>0</v>
          </cell>
        </row>
        <row r="392">
          <cell r="AN392">
            <v>0</v>
          </cell>
        </row>
        <row r="393">
          <cell r="AN393">
            <v>0</v>
          </cell>
        </row>
        <row r="394">
          <cell r="AN394">
            <v>0</v>
          </cell>
        </row>
        <row r="395">
          <cell r="AN395">
            <v>0</v>
          </cell>
        </row>
        <row r="396">
          <cell r="AN396">
            <v>0</v>
          </cell>
        </row>
        <row r="397">
          <cell r="AN397">
            <v>0</v>
          </cell>
        </row>
        <row r="398">
          <cell r="AN398">
            <v>0</v>
          </cell>
        </row>
        <row r="399">
          <cell r="AN399">
            <v>0</v>
          </cell>
        </row>
        <row r="400">
          <cell r="AN400">
            <v>0</v>
          </cell>
        </row>
        <row r="401">
          <cell r="AN401">
            <v>0</v>
          </cell>
        </row>
        <row r="402">
          <cell r="AN402">
            <v>0</v>
          </cell>
        </row>
        <row r="403">
          <cell r="AN403">
            <v>0</v>
          </cell>
        </row>
        <row r="404">
          <cell r="AN404">
            <v>0</v>
          </cell>
        </row>
        <row r="405">
          <cell r="AN405">
            <v>0</v>
          </cell>
        </row>
        <row r="406">
          <cell r="AN406">
            <v>0</v>
          </cell>
        </row>
        <row r="407">
          <cell r="AN407">
            <v>0</v>
          </cell>
        </row>
        <row r="408">
          <cell r="AN408">
            <v>0</v>
          </cell>
        </row>
        <row r="409">
          <cell r="AN409">
            <v>0</v>
          </cell>
        </row>
        <row r="410">
          <cell r="AN410">
            <v>0</v>
          </cell>
        </row>
        <row r="411">
          <cell r="AN411">
            <v>0</v>
          </cell>
        </row>
        <row r="412">
          <cell r="AN412">
            <v>0</v>
          </cell>
        </row>
        <row r="413">
          <cell r="AN413">
            <v>0</v>
          </cell>
        </row>
        <row r="414">
          <cell r="AN414">
            <v>0</v>
          </cell>
        </row>
        <row r="415">
          <cell r="AN415">
            <v>0</v>
          </cell>
        </row>
        <row r="416">
          <cell r="AN416">
            <v>0</v>
          </cell>
        </row>
        <row r="417">
          <cell r="AN417">
            <v>0</v>
          </cell>
        </row>
        <row r="418">
          <cell r="AN418">
            <v>0</v>
          </cell>
        </row>
        <row r="419">
          <cell r="AN419">
            <v>0</v>
          </cell>
        </row>
        <row r="420">
          <cell r="AN420">
            <v>0</v>
          </cell>
        </row>
        <row r="421">
          <cell r="AN421">
            <v>0</v>
          </cell>
        </row>
        <row r="422">
          <cell r="AN422">
            <v>0</v>
          </cell>
        </row>
        <row r="423">
          <cell r="AN423">
            <v>0</v>
          </cell>
        </row>
        <row r="424">
          <cell r="AN424">
            <v>0</v>
          </cell>
        </row>
        <row r="425">
          <cell r="AN425">
            <v>0</v>
          </cell>
        </row>
        <row r="426">
          <cell r="AN426">
            <v>0</v>
          </cell>
        </row>
        <row r="427">
          <cell r="AN427">
            <v>0</v>
          </cell>
        </row>
        <row r="428">
          <cell r="AN428">
            <v>0</v>
          </cell>
        </row>
        <row r="429">
          <cell r="AN429">
            <v>0</v>
          </cell>
        </row>
        <row r="430">
          <cell r="AN430">
            <v>0</v>
          </cell>
        </row>
        <row r="431">
          <cell r="AN431">
            <v>0</v>
          </cell>
        </row>
        <row r="432">
          <cell r="AN432">
            <v>0</v>
          </cell>
        </row>
        <row r="433">
          <cell r="AN433">
            <v>0</v>
          </cell>
        </row>
        <row r="434">
          <cell r="AN434">
            <v>0</v>
          </cell>
        </row>
        <row r="435">
          <cell r="AN435">
            <v>0</v>
          </cell>
        </row>
        <row r="436">
          <cell r="AN436">
            <v>0</v>
          </cell>
        </row>
        <row r="437">
          <cell r="AN437">
            <v>0</v>
          </cell>
        </row>
        <row r="438">
          <cell r="AN438">
            <v>0</v>
          </cell>
        </row>
        <row r="439">
          <cell r="AN439">
            <v>0</v>
          </cell>
        </row>
        <row r="440">
          <cell r="AN440">
            <v>0</v>
          </cell>
        </row>
        <row r="441">
          <cell r="AN441">
            <v>0</v>
          </cell>
        </row>
        <row r="442">
          <cell r="AN442">
            <v>0</v>
          </cell>
        </row>
        <row r="443">
          <cell r="AN443">
            <v>0</v>
          </cell>
        </row>
        <row r="444">
          <cell r="AN444">
            <v>0</v>
          </cell>
        </row>
        <row r="445">
          <cell r="AN445">
            <v>0</v>
          </cell>
        </row>
        <row r="446">
          <cell r="AN446">
            <v>0</v>
          </cell>
        </row>
        <row r="447">
          <cell r="AN447">
            <v>0</v>
          </cell>
        </row>
        <row r="448">
          <cell r="AN448">
            <v>0</v>
          </cell>
        </row>
        <row r="449">
          <cell r="AN449">
            <v>0</v>
          </cell>
        </row>
        <row r="450">
          <cell r="AN450">
            <v>0</v>
          </cell>
        </row>
        <row r="451">
          <cell r="AN451">
            <v>0</v>
          </cell>
        </row>
        <row r="452">
          <cell r="AN452">
            <v>0</v>
          </cell>
        </row>
        <row r="453">
          <cell r="AN453">
            <v>0</v>
          </cell>
        </row>
        <row r="454">
          <cell r="AN454">
            <v>0</v>
          </cell>
        </row>
        <row r="455">
          <cell r="AN455">
            <v>0</v>
          </cell>
        </row>
        <row r="456">
          <cell r="AN456">
            <v>0</v>
          </cell>
        </row>
        <row r="457">
          <cell r="AN457">
            <v>0</v>
          </cell>
        </row>
        <row r="458">
          <cell r="AN458">
            <v>0</v>
          </cell>
        </row>
        <row r="459">
          <cell r="AN459">
            <v>0</v>
          </cell>
        </row>
        <row r="460">
          <cell r="AN460">
            <v>0</v>
          </cell>
        </row>
        <row r="461">
          <cell r="AN461">
            <v>0</v>
          </cell>
        </row>
        <row r="462">
          <cell r="AN462">
            <v>0</v>
          </cell>
        </row>
        <row r="463">
          <cell r="AN463">
            <v>0</v>
          </cell>
        </row>
        <row r="464">
          <cell r="AN464">
            <v>0</v>
          </cell>
        </row>
        <row r="465">
          <cell r="AN465">
            <v>0</v>
          </cell>
        </row>
        <row r="466">
          <cell r="AN466">
            <v>0</v>
          </cell>
        </row>
        <row r="467">
          <cell r="AN467">
            <v>0</v>
          </cell>
        </row>
        <row r="468">
          <cell r="AN468">
            <v>0</v>
          </cell>
        </row>
        <row r="469">
          <cell r="AN469">
            <v>0</v>
          </cell>
        </row>
        <row r="470">
          <cell r="AN470">
            <v>0</v>
          </cell>
        </row>
        <row r="471">
          <cell r="AN471">
            <v>0</v>
          </cell>
        </row>
        <row r="472">
          <cell r="AN472">
            <v>0</v>
          </cell>
        </row>
        <row r="473">
          <cell r="AN473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dBase"/>
      <sheetName val="dBonus"/>
      <sheetName val="bantuan"/>
      <sheetName val="Database"/>
      <sheetName val="sum"/>
      <sheetName val="HOURLY"/>
      <sheetName val="Quar Mon"/>
      <sheetName val="base quality"/>
      <sheetName val="Plan 2017"/>
      <sheetName val="coal transpor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Data"/>
      <sheetName val="Usage"/>
      <sheetName val="Detail Excavator Rental"/>
      <sheetName val="Sto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HOURLY"/>
      <sheetName val="OPT_GL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Database"/>
      <sheetName val="Data"/>
      <sheetName val="Usage"/>
      <sheetName val="Stock"/>
      <sheetName val="TABLE"/>
      <sheetName val="Data_AC"/>
      <sheetName val="Data hauler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MTD"/>
      <sheetName val="SUM"/>
      <sheetName val="Master"/>
      <sheetName val="HOURLY"/>
      <sheetName val="Database"/>
      <sheetName val="Ru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Global Assumptions"/>
      <sheetName val="Scenario &amp; Sensitivit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"/>
      <sheetName val="Daily Plan"/>
      <sheetName val="Master"/>
      <sheetName val="Run"/>
      <sheetName val="Cost Centre &amp; COA"/>
      <sheetName val="General Assumption"/>
      <sheetName val="Production Evaluat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verburden"/>
      <sheetName val="Base"/>
      <sheetName val="Master"/>
      <sheetName val="Run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Ru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Base"/>
      <sheetName val="5-Peralatan"/>
      <sheetName val="Data_AC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summary"/>
      <sheetName val="Base"/>
      <sheetName val="Rehab"/>
      <sheetName val="Hourly"/>
      <sheetName val="Input Coal"/>
      <sheetName val="MTD OB Forecasting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Source_Data"/>
      <sheetName val="EXA"/>
      <sheetName val="O_PERF"/>
      <sheetName val="summary"/>
      <sheetName val="Base"/>
      <sheetName val=" OB PLAN"/>
      <sheetName val="REPORT01"/>
      <sheetName val="EQL"/>
      <sheetName val="MA_PLANS_"/>
      <sheetName val="M_PLANS_"/>
      <sheetName val="Data Coal I"/>
      <sheetName val="Data Coal II"/>
      <sheetName val="Curah hujan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EPR MTD"/>
      <sheetName val="EXA"/>
      <sheetName val="DP Report"/>
      <sheetName val="Database"/>
      <sheetName val="Base"/>
      <sheetName val="Param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umm PRM"/>
      <sheetName val="rumus"/>
      <sheetName val="Database"/>
      <sheetName val="Base"/>
      <sheetName val="Source"/>
      <sheetName val="HOURLY"/>
      <sheetName val="PRO"/>
      <sheetName val="whrs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sekeeping"/>
      <sheetName val="ACUM"/>
      <sheetName val="TJ"/>
      <sheetName val="LM"/>
      <sheetName val="Stock"/>
      <sheetName val="Usage"/>
      <sheetName val="Project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Truck"/>
      <sheetName val="simulasi prod'ty"/>
      <sheetName val="PLAN"/>
      <sheetName val="Data Base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Run"/>
      <sheetName val="Project"/>
      <sheetName val="PLAN"/>
      <sheetName val="Rain &amp; Slippery Method"/>
      <sheetName val="MTD OB Forecasting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  <sheetName val="Distance(1)"/>
      <sheetName val="LOSE"/>
      <sheetName val="THIESS"/>
      <sheetName val="SCTM_OB"/>
      <sheetName val="SCTM_puasa"/>
      <sheetName val="DATA"/>
      <sheetName val="Overall"/>
      <sheetName val="KODJA"/>
      <sheetName val="crushnsp"/>
      <sheetName val="pittonsp"/>
      <sheetName val="productivity"/>
      <sheetName val="Cruser Sp71"/>
      <sheetName val="kptj001"/>
      <sheetName val="Distance-CO (m)"/>
      <sheetName val="Distance-OB (m)"/>
      <sheetName val="Tonnage-Coal (tonn)"/>
      <sheetName val="Volume-OB (bcm)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>
            <v>0</v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>
            <v>0</v>
          </cell>
          <cell r="R69">
            <v>0</v>
          </cell>
          <cell r="V69">
            <v>0</v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>
            <v>0</v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>
            <v>0</v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>
            <v>0</v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  <cell r="R201">
            <v>0</v>
          </cell>
          <cell r="V201">
            <v>0</v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>
            <v>0</v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>
            <v>0</v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>
            <v>0</v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>
            <v>0</v>
          </cell>
          <cell r="V333">
            <v>0</v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>
            <v>0</v>
          </cell>
          <cell r="R366">
            <v>0</v>
          </cell>
          <cell r="V366">
            <v>0</v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>
            <v>0</v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>
            <v>0</v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>
            <v>0</v>
          </cell>
          <cell r="V36">
            <v>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>
            <v>0</v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>
            <v>0</v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>
            <v>0</v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>
            <v>0</v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>
            <v>0</v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>
            <v>0</v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>
            <v>0</v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>
            <v>0</v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>
            <v>0</v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>
            <v>0</v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>
            <v>0</v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>
            <v>0</v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>
            <v>0</v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>
            <v>0</v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>
            <v>0</v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>
            <v>0</v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>
            <v>0</v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>
            <v>0</v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>
            <v>0</v>
          </cell>
          <cell r="V102">
            <v>0</v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>
            <v>0</v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>
            <v>0</v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>
            <v>0</v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>
            <v>0</v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>
            <v>0</v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>
            <v>0</v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>
            <v>0</v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>
            <v>0</v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>
            <v>0</v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>
            <v>0</v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>
            <v>0</v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>
            <v>0</v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>
            <v>0</v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>
            <v>0</v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>
            <v>0</v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>
            <v>0</v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>
            <v>0</v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>
            <v>0</v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>
            <v>0</v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>
            <v>0</v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>
            <v>0</v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>
            <v>0</v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>
            <v>0</v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>
            <v>0</v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>
            <v>0</v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>
            <v>0</v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>
            <v>0</v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ACUM"/>
      <sheetName val="TJ"/>
      <sheetName val="LM"/>
      <sheetName val="bantuan"/>
      <sheetName val="Project"/>
      <sheetName val="Plan"/>
      <sheetName val="Run"/>
      <sheetName val="Assumptions"/>
      <sheetName val="244 Black coal"/>
      <sheetName val="HOURLY"/>
      <sheetName val="Data_AC"/>
      <sheetName val="Detail Exp."/>
      <sheetName val="MTD OB Forecasting"/>
      <sheetName val="Database"/>
      <sheetName val="412src2"/>
      <sheetName val="Truck"/>
      <sheetName val="DP Report"/>
      <sheetName val="Coal_Mining"/>
      <sheetName val="M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Plan"/>
      <sheetName val="Project"/>
      <sheetName val="OPT_GL"/>
      <sheetName val="Truck"/>
      <sheetName val="Run"/>
      <sheetName val="Assumptions"/>
      <sheetName val="ASPAL (14)"/>
      <sheetName val="A_SQL2IMPS_"/>
      <sheetName val="Hourly"/>
      <sheetName val="Hourly Monitoring master"/>
      <sheetName val="MTD OB Forecasting"/>
      <sheetName val="bantuan"/>
      <sheetName val="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B3" t="str">
            <v>RP</v>
          </cell>
        </row>
        <row r="4">
          <cell r="B4" t="str">
            <v>SGD</v>
          </cell>
        </row>
        <row r="5">
          <cell r="B5" t="str">
            <v>USD</v>
          </cell>
        </row>
        <row r="6"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B3" t="str">
            <v>Banpu Public Company  Limted</v>
          </cell>
        </row>
        <row r="4">
          <cell r="B4" t="str">
            <v>Banpu Minerals Company  Limted</v>
          </cell>
        </row>
        <row r="5">
          <cell r="B5" t="str">
            <v>Promsin Company Limited</v>
          </cell>
        </row>
        <row r="6">
          <cell r="B6" t="str">
            <v>Banpu International Limted</v>
          </cell>
        </row>
      </sheetData>
      <sheetData sheetId="5" refreshError="1">
        <row r="2">
          <cell r="B2" t="str">
            <v>Description</v>
          </cell>
        </row>
        <row r="3">
          <cell r="B3" t="str">
            <v>Corporate</v>
          </cell>
        </row>
        <row r="4">
          <cell r="B4" t="str">
            <v>Coal Thailand Business</v>
          </cell>
        </row>
        <row r="5">
          <cell r="B5" t="str">
            <v>Minerals Business</v>
          </cell>
        </row>
        <row r="6">
          <cell r="B6" t="str">
            <v>Engineering Service Business</v>
          </cell>
        </row>
      </sheetData>
      <sheetData sheetId="6" refreshError="1">
        <row r="2">
          <cell r="B2" t="str">
            <v>Description</v>
          </cell>
        </row>
        <row r="3">
          <cell r="B3" t="str">
            <v>Administration</v>
          </cell>
        </row>
        <row r="4">
          <cell r="B4" t="str">
            <v>Office of CEO</v>
          </cell>
        </row>
        <row r="5">
          <cell r="B5" t="str">
            <v>Government Relations</v>
          </cell>
        </row>
        <row r="6">
          <cell r="B6" t="str">
            <v>Corporate Communications</v>
          </cell>
        </row>
      </sheetData>
      <sheetData sheetId="7" refreshError="1">
        <row r="2">
          <cell r="B2" t="str">
            <v>Description</v>
          </cell>
        </row>
        <row r="3">
          <cell r="B3" t="str">
            <v>Routine</v>
          </cell>
        </row>
        <row r="4">
          <cell r="B4" t="str">
            <v>Increase domestic coal sales valume in cement industy</v>
          </cell>
        </row>
        <row r="5">
          <cell r="B5" t="str">
            <v>Sell Coal to EGAT</v>
          </cell>
        </row>
        <row r="6">
          <cell r="B6" t="str">
            <v>Routine-Sales-Coal Thailand</v>
          </cell>
        </row>
      </sheetData>
      <sheetData sheetId="8" refreshError="1">
        <row r="2">
          <cell r="B2" t="str">
            <v>Description</v>
          </cell>
        </row>
        <row r="3">
          <cell r="B3" t="str">
            <v>Land</v>
          </cell>
        </row>
        <row r="4">
          <cell r="B4" t="str">
            <v>Land Improvement</v>
          </cell>
        </row>
        <row r="5">
          <cell r="B5" t="str">
            <v>Building</v>
          </cell>
        </row>
        <row r="6">
          <cell r="B6" t="str">
            <v>Structures</v>
          </cell>
        </row>
      </sheetData>
      <sheetData sheetId="9" refreshError="1">
        <row r="2">
          <cell r="B2" t="str">
            <v>Description</v>
          </cell>
        </row>
        <row r="3">
          <cell r="B3" t="str">
            <v>SETTING POND</v>
          </cell>
        </row>
        <row r="4">
          <cell r="B4" t="str">
            <v>CONTROLL WATER TANK</v>
          </cell>
        </row>
        <row r="5">
          <cell r="B5" t="str">
            <v>DOCUMENT ROOM</v>
          </cell>
        </row>
        <row r="6">
          <cell r="B6" t="str">
            <v>SPREADER &amp; TRIPPER CAR IN PROGRESS</v>
          </cell>
        </row>
      </sheetData>
      <sheetData sheetId="10" refreshError="1">
        <row r="2">
          <cell r="B2" t="str">
            <v>Description</v>
          </cell>
        </row>
        <row r="3">
          <cell r="B3" t="str">
            <v>Unspecified</v>
          </cell>
        </row>
        <row r="4">
          <cell r="B4" t="str">
            <v>LP-2 Project</v>
          </cell>
        </row>
        <row r="5">
          <cell r="B5" t="str">
            <v>Lampang 3 Project</v>
          </cell>
        </row>
        <row r="6">
          <cell r="B6" t="str">
            <v>LP-2 Project (Coordination)</v>
          </cell>
        </row>
      </sheetData>
      <sheetData sheetId="11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  <row r="6">
          <cell r="B6" t="str">
            <v>08</v>
          </cell>
        </row>
      </sheetData>
      <sheetData sheetId="21" refreshError="1">
        <row r="2">
          <cell r="B2" t="str">
            <v>Description</v>
          </cell>
        </row>
        <row r="4"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BOMAG"/>
      <sheetName val="SHE"/>
      <sheetName val="List"/>
      <sheetName val="dat"/>
      <sheetName val="Truck"/>
      <sheetName val="W_H"/>
      <sheetName val="Sum"/>
      <sheetName val="Plant_Week"/>
      <sheetName val="Rental"/>
      <sheetName val="Run"/>
      <sheetName val="Project"/>
      <sheetName val="PLAN"/>
      <sheetName val="MASTER"/>
      <sheetName val="Open Pits"/>
      <sheetName val="Summary"/>
      <sheetName val="OPT_GL"/>
      <sheetName val="Budget"/>
      <sheetName val="STD RATES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dBase"/>
      <sheetName val="dBonus"/>
      <sheetName val="Non-staff Tender Rates"/>
      <sheetName val="EX2500FIX"/>
      <sheetName val="Movement_Bench15 (ob)"/>
      <sheetName val="Movement_Bench15 (ore)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MacPro"/>
      <sheetName val="Unit"/>
      <sheetName val="G&amp;L"/>
      <sheetName val="Bonus"/>
      <sheetName val="input loading point"/>
      <sheetName val="Range"/>
      <sheetName val="Dates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Project"/>
      <sheetName val="Data Base"/>
      <sheetName val="LIST"/>
      <sheetName val="bantuan"/>
      <sheetName val="MTD OB Forecasting"/>
      <sheetName val="Plan"/>
      <sheetName val="summary"/>
      <sheetName val="Depth_41"/>
      <sheetName val="Run"/>
      <sheetName val="COST"/>
      <sheetName val="NEW_PELIKAN_"/>
      <sheetName val="sum_MSY"/>
      <sheetName val="SUM"/>
      <sheetName val="HOURLY"/>
      <sheetName val="M_PLANS_"/>
      <sheetName val="MA_PLANS_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ocean voyage"/>
      <sheetName val="OPT_GL"/>
      <sheetName val="Data Base"/>
      <sheetName val="LIST"/>
      <sheetName val="BB TO STOCK KTD "/>
      <sheetName val="LS-Rutin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bantuan"/>
      <sheetName val="Hourly_16_Des_2006"/>
      <sheetName val="Daily Plan"/>
      <sheetName val="DATA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mary"/>
      <sheetName val="Truck"/>
      <sheetName val="SUM"/>
      <sheetName val="database"/>
      <sheetName val="OPT_GL"/>
      <sheetName val="bantuan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Data Base"/>
      <sheetName val="Daily Plan"/>
      <sheetName val="SUM"/>
      <sheetName val="Rate"/>
      <sheetName val="A_SQL2IMPS_"/>
      <sheetName val="OPT_G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LIST"/>
      <sheetName val="Data Base"/>
      <sheetName val="Data"/>
      <sheetName val="Data loader"/>
      <sheetName val="Run"/>
      <sheetName val="Data_AC"/>
      <sheetName val="Daily Plan"/>
      <sheetName val="SUM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EPR_MTD"/>
      <sheetName val="SUM"/>
      <sheetName val="Data Base"/>
      <sheetName val="Truck"/>
      <sheetName val="Daily Plan"/>
      <sheetName val="Sales Mining"/>
      <sheetName val="ACUM"/>
      <sheetName val="TJ"/>
      <sheetName val="LM"/>
      <sheetName val="Run"/>
      <sheetName val="Hourly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_MSY"/>
      <sheetName val="DP Report"/>
      <sheetName val="Daily Plan"/>
      <sheetName val="Data Base"/>
      <sheetName val="ROM &amp; FC Actual"/>
      <sheetName val="notes"/>
      <sheetName val="PRODUKSI"/>
      <sheetName val="Run"/>
      <sheetName val="MA_PLANS_"/>
      <sheetName val="M_PLANS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sum_MSY"/>
      <sheetName val="DB "/>
      <sheetName val="bantuan"/>
      <sheetName val="Run"/>
      <sheetName val="Sheet2"/>
      <sheetName val="Sheet1"/>
      <sheetName val="Summ PRM"/>
      <sheetName val="SUM"/>
      <sheetName val="Data Base"/>
      <sheetName val="DP Report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EPR MTD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Daily Plan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B_TCM"/>
      <sheetName val="UP-CIVIL"/>
      <sheetName val="Konversi Jarak"/>
      <sheetName val="Cash Flow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Budget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HM"/>
      <sheetName val="OLIE"/>
      <sheetName val="II"/>
      <sheetName val="III"/>
      <sheetName val="SOS Summary "/>
      <sheetName val="DT ob"/>
      <sheetName val="DT coal"/>
      <sheetName val="Elec"/>
      <sheetName val="F1771-IV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Housekeeping"/>
      <sheetName val="SAD"/>
      <sheetName val="DATA MASTER JUN"/>
      <sheetName val="Run"/>
      <sheetName val="Stock"/>
      <sheetName val="Usage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  <sheetName val="DIV.1"/>
      <sheetName val="NP"/>
      <sheetName val="Excavator"/>
      <sheetName val="Dozer"/>
      <sheetName val="Pltrates"/>
    </sheetNames>
    <sheetDataSet>
      <sheetData sheetId="0" refreshError="1">
        <row r="33">
          <cell r="F33">
            <v>0</v>
          </cell>
        </row>
      </sheetData>
      <sheetData sheetId="1">
        <row r="33">
          <cell r="F33">
            <v>0</v>
          </cell>
        </row>
      </sheetData>
      <sheetData sheetId="2">
        <row r="33">
          <cell r="F33">
            <v>0</v>
          </cell>
        </row>
      </sheetData>
      <sheetData sheetId="3">
        <row r="33">
          <cell r="F33">
            <v>0</v>
          </cell>
        </row>
      </sheetData>
      <sheetData sheetId="4">
        <row r="33">
          <cell r="F33">
            <v>0</v>
          </cell>
        </row>
      </sheetData>
      <sheetData sheetId="5">
        <row r="33">
          <cell r="F33">
            <v>0</v>
          </cell>
        </row>
      </sheetData>
      <sheetData sheetId="6">
        <row r="33">
          <cell r="F33">
            <v>0</v>
          </cell>
        </row>
      </sheetData>
      <sheetData sheetId="7">
        <row r="33">
          <cell r="F33">
            <v>0</v>
          </cell>
        </row>
      </sheetData>
      <sheetData sheetId="8">
        <row r="33">
          <cell r="F33">
            <v>60098</v>
          </cell>
        </row>
      </sheetData>
      <sheetData sheetId="9">
        <row r="33">
          <cell r="F33">
            <v>60098</v>
          </cell>
        </row>
      </sheetData>
      <sheetData sheetId="10">
        <row r="33">
          <cell r="F33">
            <v>60098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33">
          <cell r="F33">
            <v>0</v>
          </cell>
        </row>
      </sheetData>
      <sheetData sheetId="44">
        <row r="33">
          <cell r="F33">
            <v>0</v>
          </cell>
        </row>
      </sheetData>
      <sheetData sheetId="45">
        <row r="33">
          <cell r="F33">
            <v>0</v>
          </cell>
        </row>
      </sheetData>
      <sheetData sheetId="46">
        <row r="33">
          <cell r="F33">
            <v>0</v>
          </cell>
        </row>
      </sheetData>
      <sheetData sheetId="47">
        <row r="33">
          <cell r="F33">
            <v>0</v>
          </cell>
        </row>
      </sheetData>
      <sheetData sheetId="48">
        <row r="33">
          <cell r="F33">
            <v>0</v>
          </cell>
        </row>
      </sheetData>
      <sheetData sheetId="49">
        <row r="33">
          <cell r="F33">
            <v>0</v>
          </cell>
        </row>
      </sheetData>
      <sheetData sheetId="50">
        <row r="33">
          <cell r="F33">
            <v>0</v>
          </cell>
        </row>
      </sheetData>
      <sheetData sheetId="51">
        <row r="33">
          <cell r="F33">
            <v>0</v>
          </cell>
        </row>
      </sheetData>
      <sheetData sheetId="52">
        <row r="33">
          <cell r="F33">
            <v>0</v>
          </cell>
        </row>
      </sheetData>
      <sheetData sheetId="53">
        <row r="33">
          <cell r="F33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>
        <row r="33">
          <cell r="F33">
            <v>0</v>
          </cell>
        </row>
      </sheetData>
      <sheetData sheetId="168">
        <row r="33">
          <cell r="F33">
            <v>0</v>
          </cell>
        </row>
      </sheetData>
      <sheetData sheetId="169">
        <row r="33">
          <cell r="F33">
            <v>0</v>
          </cell>
        </row>
      </sheetData>
      <sheetData sheetId="170">
        <row r="33">
          <cell r="F33">
            <v>0</v>
          </cell>
        </row>
      </sheetData>
      <sheetData sheetId="171">
        <row r="33">
          <cell r="F33">
            <v>0</v>
          </cell>
        </row>
      </sheetData>
      <sheetData sheetId="172">
        <row r="33">
          <cell r="F33">
            <v>0</v>
          </cell>
        </row>
      </sheetData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>
        <row r="33">
          <cell r="F33">
            <v>0</v>
          </cell>
        </row>
      </sheetData>
      <sheetData sheetId="189">
        <row r="33">
          <cell r="F33">
            <v>0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33">
          <cell r="F33">
            <v>0</v>
          </cell>
        </row>
      </sheetData>
      <sheetData sheetId="197">
        <row r="33">
          <cell r="F33">
            <v>0</v>
          </cell>
        </row>
      </sheetData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>
        <row r="33">
          <cell r="F33">
            <v>0</v>
          </cell>
        </row>
      </sheetData>
      <sheetData sheetId="210"/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>
        <row r="33">
          <cell r="F33">
            <v>0</v>
          </cell>
        </row>
      </sheetData>
      <sheetData sheetId="219">
        <row r="33">
          <cell r="F33">
            <v>0</v>
          </cell>
        </row>
      </sheetData>
      <sheetData sheetId="220">
        <row r="33">
          <cell r="F33">
            <v>0</v>
          </cell>
        </row>
      </sheetData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33">
          <cell r="F33">
            <v>0</v>
          </cell>
        </row>
      </sheetData>
      <sheetData sheetId="248"/>
      <sheetData sheetId="249">
        <row r="33">
          <cell r="F33">
            <v>0</v>
          </cell>
        </row>
      </sheetData>
      <sheetData sheetId="250">
        <row r="33">
          <cell r="F33">
            <v>0</v>
          </cell>
        </row>
      </sheetData>
      <sheetData sheetId="251"/>
      <sheetData sheetId="252"/>
      <sheetData sheetId="253">
        <row r="33">
          <cell r="F33">
            <v>0</v>
          </cell>
        </row>
      </sheetData>
      <sheetData sheetId="254"/>
      <sheetData sheetId="255"/>
      <sheetData sheetId="256"/>
      <sheetData sheetId="257"/>
      <sheetData sheetId="258"/>
      <sheetData sheetId="259">
        <row r="33">
          <cell r="F33">
            <v>0</v>
          </cell>
        </row>
      </sheetData>
      <sheetData sheetId="260"/>
      <sheetData sheetId="261"/>
      <sheetData sheetId="262"/>
      <sheetData sheetId="263"/>
      <sheetData sheetId="264"/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>
        <row r="33">
          <cell r="F33">
            <v>0</v>
          </cell>
        </row>
      </sheetData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/>
      <sheetData sheetId="271">
        <row r="33">
          <cell r="F33">
            <v>0</v>
          </cell>
        </row>
      </sheetData>
      <sheetData sheetId="272">
        <row r="33">
          <cell r="F33">
            <v>0</v>
          </cell>
        </row>
      </sheetData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DP Report"/>
      <sheetName val="Jul (CREM)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cov"/>
      <sheetName val="Petrosea"/>
      <sheetName val="2004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Ppls"/>
      <sheetName val="#REF"/>
      <sheetName val="PRO_COAL"/>
      <sheetName val="EDS110507"/>
      <sheetName val="MA"/>
      <sheetName val="Sheet3"/>
      <sheetName val="C-PF_ALL"/>
      <sheetName val="P_PA"/>
      <sheetName val="ExcRate"/>
      <sheetName val="EWH-UA"/>
      <sheetName val="DIGGER"/>
      <sheetName val="Risalah KOM"/>
      <sheetName val="20A.Sum"/>
      <sheetName val="KKP-II.2.2.1.2"/>
      <sheetName val="NAMES"/>
      <sheetName val="SUM_Steel-Strc"/>
      <sheetName val="Depr."/>
      <sheetName val="Personil"/>
      <sheetName val="GeneralInfo"/>
      <sheetName val="OK 18JUL"/>
      <sheetName val="NOT OK 18JUL"/>
      <sheetName val="I-PPh21"/>
      <sheetName val="SSP21"/>
      <sheetName val="SSP25-29"/>
      <sheetName val="Validasi"/>
      <sheetName val="Visa"/>
      <sheetName val="final (2)"/>
      <sheetName val="L4-Info"/>
      <sheetName val="DataReferensi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Q212"/>
  <sheetViews>
    <sheetView zoomScale="70" zoomScaleNormal="70" workbookViewId="0">
      <pane ySplit="3" topLeftCell="A166" activePane="bottomLeft" state="frozen"/>
      <selection pane="bottomLeft" activeCell="H190" sqref="H190"/>
    </sheetView>
  </sheetViews>
  <sheetFormatPr defaultColWidth="8.90625" defaultRowHeight="14.5" x14ac:dyDescent="0.35"/>
  <cols>
    <col min="1" max="1" width="27.453125" style="1" customWidth="1"/>
    <col min="2" max="2" width="9.453125" style="1" bestFit="1" customWidth="1"/>
    <col min="3" max="13" width="9.08984375" style="1" bestFit="1" customWidth="1"/>
    <col min="14" max="14" width="13.36328125" style="1" customWidth="1"/>
    <col min="15" max="15" width="1.6328125" style="1" customWidth="1"/>
    <col min="16" max="16384" width="8.90625" style="1"/>
  </cols>
  <sheetData>
    <row r="1" spans="1:16" x14ac:dyDescent="0.35">
      <c r="A1" s="3" t="s">
        <v>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6" x14ac:dyDescent="0.35">
      <c r="A2" s="1" t="s">
        <v>85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6" ht="15.65" customHeigh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</row>
    <row r="5" spans="1:16" s="2" customFormat="1" x14ac:dyDescent="0.35">
      <c r="A5" s="9" t="s">
        <v>14</v>
      </c>
      <c r="B5" s="10">
        <f t="shared" ref="B5:M5" si="0">SUM(B6:B7)</f>
        <v>7619.4482509159834</v>
      </c>
      <c r="C5" s="10">
        <f t="shared" si="0"/>
        <v>7224.3023415320331</v>
      </c>
      <c r="D5" s="10">
        <f t="shared" si="0"/>
        <v>6870.0230645853517</v>
      </c>
      <c r="E5" s="10">
        <f t="shared" si="0"/>
        <v>7815.914736806606</v>
      </c>
      <c r="F5" s="10">
        <f t="shared" si="0"/>
        <v>8233.4755375151999</v>
      </c>
      <c r="G5" s="10">
        <f t="shared" si="0"/>
        <v>7596.8792096389116</v>
      </c>
      <c r="H5" s="10">
        <f t="shared" si="0"/>
        <v>8769.1099760000016</v>
      </c>
      <c r="I5" s="10">
        <f t="shared" si="0"/>
        <v>8498.049198354307</v>
      </c>
      <c r="J5" s="10">
        <f t="shared" si="0"/>
        <v>8442.1756946414371</v>
      </c>
      <c r="K5" s="10">
        <f t="shared" si="0"/>
        <v>8242.1086181600003</v>
      </c>
      <c r="L5" s="10">
        <f t="shared" si="0"/>
        <v>7836.3005412799994</v>
      </c>
      <c r="M5" s="10">
        <f t="shared" si="0"/>
        <v>7566.6910208623995</v>
      </c>
      <c r="N5" s="10">
        <f>SUM(B5:M5)</f>
        <v>94714.47819029224</v>
      </c>
      <c r="P5" s="1" t="s">
        <v>61</v>
      </c>
    </row>
    <row r="6" spans="1:16" x14ac:dyDescent="0.35">
      <c r="A6" s="5" t="s">
        <v>15</v>
      </c>
      <c r="B6" s="8">
        <v>2904.7860139722798</v>
      </c>
      <c r="C6" s="8">
        <v>2754.4503289203089</v>
      </c>
      <c r="D6" s="8">
        <v>2424.3210080843396</v>
      </c>
      <c r="E6" s="8">
        <v>2767.1447268380184</v>
      </c>
      <c r="F6" s="8">
        <v>2927.6178277359995</v>
      </c>
      <c r="G6" s="8">
        <v>2460.4194197995207</v>
      </c>
      <c r="H6" s="8">
        <v>3157.9027600000004</v>
      </c>
      <c r="I6" s="8">
        <v>3107.217252161915</v>
      </c>
      <c r="J6" s="8">
        <v>2899.6425922558324</v>
      </c>
      <c r="K6" s="8">
        <v>2829.8233457599999</v>
      </c>
      <c r="L6" s="8">
        <v>2690.1553020799997</v>
      </c>
      <c r="M6" s="8">
        <v>2609.1784283023999</v>
      </c>
      <c r="N6" s="8">
        <f t="shared" ref="N6:N7" si="1">SUM(B6:M6)</f>
        <v>33532.659005910617</v>
      </c>
    </row>
    <row r="7" spans="1:16" x14ac:dyDescent="0.35">
      <c r="A7" s="5" t="s">
        <v>16</v>
      </c>
      <c r="B7" s="8">
        <v>4714.6622369437036</v>
      </c>
      <c r="C7" s="8">
        <v>4469.8520126117237</v>
      </c>
      <c r="D7" s="8">
        <v>4445.7020565010125</v>
      </c>
      <c r="E7" s="8">
        <v>5048.7700099685881</v>
      </c>
      <c r="F7" s="8">
        <v>5305.8577097792004</v>
      </c>
      <c r="G7" s="8">
        <v>5136.4597898393913</v>
      </c>
      <c r="H7" s="8">
        <v>5611.2072160000007</v>
      </c>
      <c r="I7" s="8">
        <v>5390.8319461923929</v>
      </c>
      <c r="J7" s="8">
        <v>5542.5331023856052</v>
      </c>
      <c r="K7" s="8">
        <v>5412.2852724000013</v>
      </c>
      <c r="L7" s="8">
        <v>5146.1452392000001</v>
      </c>
      <c r="M7" s="8">
        <v>4957.5125925599996</v>
      </c>
      <c r="N7" s="8">
        <f t="shared" si="1"/>
        <v>61181.819184381624</v>
      </c>
    </row>
    <row r="8" spans="1:16" s="2" customFormat="1" x14ac:dyDescent="0.35">
      <c r="A8" s="9" t="s">
        <v>17</v>
      </c>
      <c r="B8" s="10">
        <f>SUM(B9:B11)</f>
        <v>537.50000001155615</v>
      </c>
      <c r="C8" s="10">
        <f t="shared" ref="C8:M8" si="2">SUM(C9:C11)</f>
        <v>532.50000001144872</v>
      </c>
      <c r="D8" s="10">
        <f t="shared" si="2"/>
        <v>537.50000001155615</v>
      </c>
      <c r="E8" s="10">
        <f t="shared" si="2"/>
        <v>537.50000001155627</v>
      </c>
      <c r="F8" s="10">
        <f t="shared" si="2"/>
        <v>537.50000001155627</v>
      </c>
      <c r="G8" s="10">
        <f t="shared" si="2"/>
        <v>537.50000001155627</v>
      </c>
      <c r="H8" s="10">
        <f t="shared" si="2"/>
        <v>610.00000001311491</v>
      </c>
      <c r="I8" s="10">
        <f t="shared" si="2"/>
        <v>625.00000001343756</v>
      </c>
      <c r="J8" s="10">
        <f t="shared" si="2"/>
        <v>625.00000001343744</v>
      </c>
      <c r="K8" s="10">
        <f t="shared" si="2"/>
        <v>625.00000001343756</v>
      </c>
      <c r="L8" s="10">
        <f t="shared" si="2"/>
        <v>625.00000001343744</v>
      </c>
      <c r="M8" s="10">
        <f t="shared" si="2"/>
        <v>620.0000000133299</v>
      </c>
      <c r="N8" s="10">
        <f>SUM(B8:M8)</f>
        <v>6950.0000001494245</v>
      </c>
    </row>
    <row r="9" spans="1:16" x14ac:dyDescent="0.35">
      <c r="A9" s="5" t="s">
        <v>15</v>
      </c>
      <c r="B9" s="8">
        <v>192.50000000413874</v>
      </c>
      <c r="C9" s="8">
        <v>187.50000000403122</v>
      </c>
      <c r="D9" s="8">
        <v>192.50000000413874</v>
      </c>
      <c r="E9" s="8">
        <v>190.00000000408502</v>
      </c>
      <c r="F9" s="8">
        <v>185.0000000039775</v>
      </c>
      <c r="G9" s="8">
        <v>155.0000000033325</v>
      </c>
      <c r="H9" s="8">
        <v>130.00000000279499</v>
      </c>
      <c r="I9" s="8">
        <v>135.00000000290248</v>
      </c>
      <c r="J9" s="8">
        <v>145.00000000311749</v>
      </c>
      <c r="K9" s="8">
        <v>110.000000002365</v>
      </c>
      <c r="L9" s="8">
        <v>120.00000000257998</v>
      </c>
      <c r="M9" s="8">
        <v>120.00000000257998</v>
      </c>
      <c r="N9" s="8">
        <f t="shared" ref="N9:N11" si="3">SUM(B9:M9)</f>
        <v>1862.5000000400435</v>
      </c>
    </row>
    <row r="10" spans="1:16" x14ac:dyDescent="0.35">
      <c r="A10" s="5" t="s">
        <v>16</v>
      </c>
      <c r="B10" s="8">
        <v>345.00000000741744</v>
      </c>
      <c r="C10" s="8">
        <v>345.00000000741744</v>
      </c>
      <c r="D10" s="8">
        <v>345.00000000741744</v>
      </c>
      <c r="E10" s="8">
        <v>347.50000000747127</v>
      </c>
      <c r="F10" s="8">
        <v>352.50000000757871</v>
      </c>
      <c r="G10" s="8">
        <v>382.50000000822376</v>
      </c>
      <c r="H10" s="8">
        <v>480.00000001031992</v>
      </c>
      <c r="I10" s="8">
        <v>490.00000001053508</v>
      </c>
      <c r="J10" s="8">
        <v>480.00000001031998</v>
      </c>
      <c r="K10" s="8">
        <v>515.00000001107253</v>
      </c>
      <c r="L10" s="8">
        <v>505.00000001085749</v>
      </c>
      <c r="M10" s="8">
        <v>500.00000001074994</v>
      </c>
      <c r="N10" s="8">
        <f t="shared" si="3"/>
        <v>5087.5000001093813</v>
      </c>
    </row>
    <row r="11" spans="1:16" x14ac:dyDescent="0.35">
      <c r="A11" s="5" t="s">
        <v>68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</row>
    <row r="12" spans="1:16" s="2" customFormat="1" x14ac:dyDescent="0.35">
      <c r="A12" s="9" t="s">
        <v>18</v>
      </c>
      <c r="B12" s="11">
        <f t="shared" ref="B12:N12" si="4">B5/B8</f>
        <v>14.175717675817985</v>
      </c>
      <c r="C12" s="11">
        <f t="shared" si="4"/>
        <v>13.566764960331852</v>
      </c>
      <c r="D12" s="11">
        <f t="shared" si="4"/>
        <v>12.781438259418879</v>
      </c>
      <c r="E12" s="11">
        <f t="shared" si="4"/>
        <v>14.541236719327561</v>
      </c>
      <c r="F12" s="11">
        <f t="shared" si="4"/>
        <v>15.318094022954753</v>
      </c>
      <c r="G12" s="11">
        <f t="shared" si="4"/>
        <v>14.13372876181503</v>
      </c>
      <c r="H12" s="11">
        <f t="shared" si="4"/>
        <v>14.375590124281093</v>
      </c>
      <c r="I12" s="11">
        <f t="shared" si="4"/>
        <v>13.596878717074556</v>
      </c>
      <c r="J12" s="11">
        <f t="shared" si="4"/>
        <v>13.50748111113589</v>
      </c>
      <c r="K12" s="11">
        <f t="shared" si="4"/>
        <v>13.18737378877247</v>
      </c>
      <c r="L12" s="11">
        <f t="shared" si="4"/>
        <v>12.538080865778431</v>
      </c>
      <c r="M12" s="11">
        <f t="shared" si="4"/>
        <v>12.204340355967286</v>
      </c>
      <c r="N12" s="11">
        <f t="shared" si="4"/>
        <v>13.627982473130343</v>
      </c>
    </row>
    <row r="13" spans="1:16" s="2" customFormat="1" x14ac:dyDescent="0.35">
      <c r="A13" s="9" t="s">
        <v>19</v>
      </c>
      <c r="B13" s="10">
        <f>SUM(B14:B16)</f>
        <v>541.75000001155615</v>
      </c>
      <c r="C13" s="10">
        <f t="shared" ref="C13:M13" si="5">SUM(C14:C16)</f>
        <v>536.75000001144849</v>
      </c>
      <c r="D13" s="10">
        <f t="shared" si="5"/>
        <v>541.75000001155615</v>
      </c>
      <c r="E13" s="10">
        <f t="shared" si="5"/>
        <v>551.75000001155638</v>
      </c>
      <c r="F13" s="10">
        <f t="shared" si="5"/>
        <v>551.75000001155627</v>
      </c>
      <c r="G13" s="10">
        <f t="shared" si="5"/>
        <v>551.75000001155627</v>
      </c>
      <c r="H13" s="10">
        <f t="shared" si="5"/>
        <v>635.75000001311491</v>
      </c>
      <c r="I13" s="10">
        <f t="shared" si="5"/>
        <v>637.75000001343756</v>
      </c>
      <c r="J13" s="10">
        <f t="shared" si="5"/>
        <v>637.75000001343744</v>
      </c>
      <c r="K13" s="10">
        <f t="shared" si="5"/>
        <v>637.75000001343756</v>
      </c>
      <c r="L13" s="10">
        <f t="shared" si="5"/>
        <v>637.75000001343744</v>
      </c>
      <c r="M13" s="10">
        <f t="shared" si="5"/>
        <v>637.7500000133299</v>
      </c>
      <c r="N13" s="10">
        <f>SUM(B13:M13)</f>
        <v>7100.0000001494254</v>
      </c>
    </row>
    <row r="14" spans="1:16" x14ac:dyDescent="0.35">
      <c r="A14" s="5" t="s">
        <v>15</v>
      </c>
      <c r="B14" s="8">
        <v>192.50000000413874</v>
      </c>
      <c r="C14" s="8">
        <v>187.50000000403122</v>
      </c>
      <c r="D14" s="8">
        <v>192.50000000413874</v>
      </c>
      <c r="E14" s="8">
        <v>190.00000000408502</v>
      </c>
      <c r="F14" s="8">
        <v>185.0000000039775</v>
      </c>
      <c r="G14" s="8">
        <v>155.00000000333253</v>
      </c>
      <c r="H14" s="8">
        <v>130.00000000279499</v>
      </c>
      <c r="I14" s="8">
        <v>135.00000000290248</v>
      </c>
      <c r="J14" s="8">
        <v>145.00000000311749</v>
      </c>
      <c r="K14" s="8">
        <v>110.00000000236497</v>
      </c>
      <c r="L14" s="8">
        <v>120.00000000257998</v>
      </c>
      <c r="M14" s="8">
        <v>120.00000000257998</v>
      </c>
      <c r="N14" s="8">
        <f t="shared" ref="N14:N16" si="6">SUM(B14:M14)</f>
        <v>1862.5000000400439</v>
      </c>
    </row>
    <row r="15" spans="1:16" x14ac:dyDescent="0.35">
      <c r="A15" s="5" t="s">
        <v>16</v>
      </c>
      <c r="B15" s="8">
        <v>345.00000000741744</v>
      </c>
      <c r="C15" s="8">
        <v>345.00000000741733</v>
      </c>
      <c r="D15" s="8">
        <v>345.00000000741738</v>
      </c>
      <c r="E15" s="8">
        <v>349.00000000747139</v>
      </c>
      <c r="F15" s="8">
        <v>354.00000000757876</v>
      </c>
      <c r="G15" s="8">
        <v>384.00000000822376</v>
      </c>
      <c r="H15" s="8">
        <v>493.00000001031987</v>
      </c>
      <c r="I15" s="8">
        <v>490.00000001053502</v>
      </c>
      <c r="J15" s="8">
        <v>480.00000001031998</v>
      </c>
      <c r="K15" s="8">
        <v>515.00000001107253</v>
      </c>
      <c r="L15" s="8">
        <v>505.00000001085743</v>
      </c>
      <c r="M15" s="8">
        <v>505.00000001074989</v>
      </c>
      <c r="N15" s="8">
        <f t="shared" si="6"/>
        <v>5110.0000001093813</v>
      </c>
    </row>
    <row r="16" spans="1:16" x14ac:dyDescent="0.35">
      <c r="A16" s="5" t="s">
        <v>68</v>
      </c>
      <c r="B16" s="8">
        <v>4.25</v>
      </c>
      <c r="C16" s="8">
        <v>4.25</v>
      </c>
      <c r="D16" s="8">
        <v>4.25</v>
      </c>
      <c r="E16" s="8">
        <v>12.75</v>
      </c>
      <c r="F16" s="8">
        <v>12.75</v>
      </c>
      <c r="G16" s="8">
        <v>12.75</v>
      </c>
      <c r="H16" s="8">
        <v>12.75</v>
      </c>
      <c r="I16" s="8">
        <v>12.75</v>
      </c>
      <c r="J16" s="8">
        <v>12.75</v>
      </c>
      <c r="K16" s="8">
        <v>12.75</v>
      </c>
      <c r="L16" s="8">
        <v>12.75</v>
      </c>
      <c r="M16" s="8">
        <v>12.75</v>
      </c>
      <c r="N16" s="8">
        <f t="shared" si="6"/>
        <v>127.5</v>
      </c>
    </row>
    <row r="17" spans="1:14" s="2" customFormat="1" x14ac:dyDescent="0.35">
      <c r="A17" s="9" t="s">
        <v>20</v>
      </c>
      <c r="B17" s="11">
        <f t="shared" ref="B17:N17" si="7">B5/B13</f>
        <v>14.064509922941305</v>
      </c>
      <c r="C17" s="11">
        <f t="shared" si="7"/>
        <v>13.459342974155462</v>
      </c>
      <c r="D17" s="11">
        <f t="shared" si="7"/>
        <v>12.681168554570938</v>
      </c>
      <c r="E17" s="11">
        <f t="shared" si="7"/>
        <v>14.16568144384758</v>
      </c>
      <c r="F17" s="11">
        <f t="shared" si="7"/>
        <v>14.922474920421843</v>
      </c>
      <c r="G17" s="11">
        <f t="shared" si="7"/>
        <v>13.768698159455907</v>
      </c>
      <c r="H17" s="11">
        <f t="shared" si="7"/>
        <v>13.793330673722538</v>
      </c>
      <c r="I17" s="11">
        <f t="shared" si="7"/>
        <v>13.325047743120738</v>
      </c>
      <c r="J17" s="11">
        <f t="shared" si="7"/>
        <v>13.23743738841797</v>
      </c>
      <c r="K17" s="11">
        <f t="shared" si="7"/>
        <v>12.923729702840198</v>
      </c>
      <c r="L17" s="11">
        <f t="shared" si="7"/>
        <v>12.287417547808527</v>
      </c>
      <c r="M17" s="11">
        <f t="shared" si="7"/>
        <v>11.864666437795758</v>
      </c>
      <c r="N17" s="11">
        <f t="shared" si="7"/>
        <v>13.340067350464633</v>
      </c>
    </row>
    <row r="18" spans="1:14" s="2" customFormat="1" x14ac:dyDescent="0.35">
      <c r="A18" s="9" t="s">
        <v>21</v>
      </c>
      <c r="B18" s="10">
        <v>154.98219503174565</v>
      </c>
      <c r="C18" s="10">
        <v>150.19218160128071</v>
      </c>
      <c r="D18" s="10">
        <v>153.4445563810246</v>
      </c>
      <c r="E18" s="10">
        <v>142.73183471385479</v>
      </c>
      <c r="F18" s="10">
        <v>131.89202032321668</v>
      </c>
      <c r="G18" s="10">
        <v>90.256715538018611</v>
      </c>
      <c r="H18" s="10">
        <v>45.052828901866903</v>
      </c>
      <c r="I18" s="10">
        <v>60.104109115298094</v>
      </c>
      <c r="J18" s="10">
        <v>62.623267929485316</v>
      </c>
      <c r="K18" s="10">
        <v>73.637876407635943</v>
      </c>
      <c r="L18" s="10">
        <v>78.465631870437093</v>
      </c>
      <c r="M18" s="10">
        <v>85.419934164545566</v>
      </c>
      <c r="N18" s="10">
        <f>SUM(B18:M18)</f>
        <v>1228.8031519784099</v>
      </c>
    </row>
    <row r="19" spans="1:14" x14ac:dyDescent="0.35">
      <c r="A19" s="5" t="s">
        <v>60</v>
      </c>
      <c r="B19" s="8">
        <v>6066.6995236616567</v>
      </c>
      <c r="C19" s="8">
        <v>6061.0989599236254</v>
      </c>
      <c r="D19" s="8">
        <v>6072.9613669119926</v>
      </c>
      <c r="E19" s="8">
        <v>6113.1736688237306</v>
      </c>
      <c r="F19" s="8">
        <v>6106.3251425473118</v>
      </c>
      <c r="G19" s="8">
        <v>6216.0563483357264</v>
      </c>
      <c r="H19" s="8">
        <v>6397.4706275743638</v>
      </c>
      <c r="I19" s="8">
        <v>6374.5334781205074</v>
      </c>
      <c r="J19" s="8">
        <v>6369.4630224845687</v>
      </c>
      <c r="K19" s="8">
        <v>6395.7373996868109</v>
      </c>
      <c r="L19" s="8">
        <v>6207.9868019311343</v>
      </c>
      <c r="M19" s="8">
        <v>6224.9984283843123</v>
      </c>
      <c r="N19" s="8">
        <f>SUMPRODUCT(B19:M19,$B$18:$M$18)/SUM($B$18:$M$18)</f>
        <v>6169.7769053579887</v>
      </c>
    </row>
    <row r="20" spans="1:14" x14ac:dyDescent="0.35">
      <c r="A20" s="5" t="s">
        <v>22</v>
      </c>
      <c r="B20" s="7">
        <v>0.79938883027914631</v>
      </c>
      <c r="C20" s="7">
        <v>0.79960478901948973</v>
      </c>
      <c r="D20" s="7">
        <v>0.80630914143077848</v>
      </c>
      <c r="E20" s="7">
        <v>0.8023832108405784</v>
      </c>
      <c r="F20" s="7">
        <v>0.79513307340060657</v>
      </c>
      <c r="G20" s="7">
        <v>0.79813521543026744</v>
      </c>
      <c r="H20" s="7">
        <v>0.80005679709031075</v>
      </c>
      <c r="I20" s="7">
        <v>0.80071013621505049</v>
      </c>
      <c r="J20" s="7">
        <v>0.80424058075694882</v>
      </c>
      <c r="K20" s="7">
        <v>0.87778388186624534</v>
      </c>
      <c r="L20" s="7">
        <v>0.8910313898112916</v>
      </c>
      <c r="M20" s="7">
        <v>0.79704817292407448</v>
      </c>
      <c r="N20" s="7">
        <f t="shared" ref="N20:N23" si="8">SUMPRODUCT(B20:M20,$B$18:$M$18)/SUM($B$18:$M$18)</f>
        <v>0.81080180973763216</v>
      </c>
    </row>
    <row r="21" spans="1:14" x14ac:dyDescent="0.35">
      <c r="A21" s="5" t="s">
        <v>23</v>
      </c>
      <c r="B21" s="7">
        <v>8.593191295227772</v>
      </c>
      <c r="C21" s="7">
        <v>8.57234620886004</v>
      </c>
      <c r="D21" s="7">
        <v>8.465250519512912</v>
      </c>
      <c r="E21" s="7">
        <v>8.3496537003307214</v>
      </c>
      <c r="F21" s="7">
        <v>8.4544990866224978</v>
      </c>
      <c r="G21" s="7">
        <v>8.0611615745190282</v>
      </c>
      <c r="H21" s="7">
        <v>8.0877488091247116</v>
      </c>
      <c r="I21" s="7">
        <v>8.0139288328177987</v>
      </c>
      <c r="J21" s="7">
        <v>8.0939060328843269</v>
      </c>
      <c r="K21" s="7">
        <v>8.3113444802935348</v>
      </c>
      <c r="L21" s="7">
        <v>8.6583469356862057</v>
      </c>
      <c r="M21" s="7">
        <v>8.1211955802377105</v>
      </c>
      <c r="N21" s="7">
        <f t="shared" si="8"/>
        <v>8.3745644868486551</v>
      </c>
    </row>
    <row r="22" spans="1:14" x14ac:dyDescent="0.35">
      <c r="A22" s="5" t="s">
        <v>24</v>
      </c>
      <c r="B22" s="7">
        <v>8.4967581002306591</v>
      </c>
      <c r="C22" s="7">
        <v>8.6035878182729011</v>
      </c>
      <c r="D22" s="7">
        <v>8.5701167448006466</v>
      </c>
      <c r="E22" s="7">
        <v>8.295886974501947</v>
      </c>
      <c r="F22" s="7">
        <v>8.4360235925821563</v>
      </c>
      <c r="G22" s="7">
        <v>8.1042226801207473</v>
      </c>
      <c r="H22" s="7">
        <v>7.1124622582611954</v>
      </c>
      <c r="I22" s="7">
        <v>7.0457454723190676</v>
      </c>
      <c r="J22" s="7">
        <v>7.1276118781950286</v>
      </c>
      <c r="K22" s="7">
        <v>7.1603036855222175</v>
      </c>
      <c r="L22" s="7">
        <v>7.2146756054694317</v>
      </c>
      <c r="M22" s="7">
        <v>7.540279131288111</v>
      </c>
      <c r="N22" s="7">
        <f t="shared" si="8"/>
        <v>8.0403443049370615</v>
      </c>
    </row>
    <row r="23" spans="1:14" x14ac:dyDescent="0.35">
      <c r="A23" s="5" t="s">
        <v>25</v>
      </c>
      <c r="B23" s="7">
        <v>13.522120419071236</v>
      </c>
      <c r="C23" s="7">
        <v>13.628950137113483</v>
      </c>
      <c r="D23" s="7">
        <v>13.595479063641227</v>
      </c>
      <c r="E23" s="7">
        <v>13.321249293342527</v>
      </c>
      <c r="F23" s="7">
        <v>13.461385911422735</v>
      </c>
      <c r="G23" s="7">
        <v>13.129584998961327</v>
      </c>
      <c r="H23" s="7">
        <v>12.137824577101776</v>
      </c>
      <c r="I23" s="7">
        <v>12.071107791159649</v>
      </c>
      <c r="J23" s="7">
        <v>12.152974197035608</v>
      </c>
      <c r="K23" s="7">
        <v>12.185666004362798</v>
      </c>
      <c r="L23" s="7">
        <v>12.240037924310013</v>
      </c>
      <c r="M23" s="7">
        <v>12.565641450128691</v>
      </c>
      <c r="N23" s="7">
        <f t="shared" si="8"/>
        <v>13.065706623777643</v>
      </c>
    </row>
    <row r="24" spans="1:14" s="2" customFormat="1" x14ac:dyDescent="0.35">
      <c r="A24" s="9" t="s">
        <v>26</v>
      </c>
      <c r="B24" s="10">
        <v>37.517804972393101</v>
      </c>
      <c r="C24" s="10">
        <v>37.307818402750534</v>
      </c>
      <c r="D24" s="10">
        <v>39.055443623114158</v>
      </c>
      <c r="E24" s="10">
        <v>47.268165290230215</v>
      </c>
      <c r="F24" s="10">
        <v>53.107979680760806</v>
      </c>
      <c r="G24" s="10">
        <v>64.74328446531392</v>
      </c>
      <c r="H24" s="10">
        <v>84.947171100928088</v>
      </c>
      <c r="I24" s="10">
        <v>74.895890887604395</v>
      </c>
      <c r="J24" s="10">
        <v>82.376732073632169</v>
      </c>
      <c r="K24" s="10">
        <v>36.362123594729042</v>
      </c>
      <c r="L24" s="10">
        <v>41.534368132142887</v>
      </c>
      <c r="M24" s="10">
        <v>34.580065838034407</v>
      </c>
      <c r="N24" s="10">
        <f>SUM(B24:M24)</f>
        <v>633.69684806163377</v>
      </c>
    </row>
    <row r="25" spans="1:14" x14ac:dyDescent="0.35">
      <c r="A25" s="5" t="s">
        <v>60</v>
      </c>
      <c r="B25" s="8">
        <v>5995.4057681473259</v>
      </c>
      <c r="C25" s="8">
        <v>6102.8668263893796</v>
      </c>
      <c r="D25" s="8">
        <v>6012.8802747593891</v>
      </c>
      <c r="E25" s="8">
        <v>5956.2490886453397</v>
      </c>
      <c r="F25" s="8">
        <v>5900.9820142427507</v>
      </c>
      <c r="G25" s="8">
        <v>5903.8514241921393</v>
      </c>
      <c r="H25" s="8">
        <v>5953.1500966248623</v>
      </c>
      <c r="I25" s="8">
        <v>5935.2902531242025</v>
      </c>
      <c r="J25" s="8">
        <v>5994.0693909965221</v>
      </c>
      <c r="K25" s="8">
        <v>5972.6070218426266</v>
      </c>
      <c r="L25" s="8">
        <v>5974.5066679245583</v>
      </c>
      <c r="M25" s="8">
        <v>5973.0937532392509</v>
      </c>
      <c r="N25" s="8">
        <f>SUMPRODUCT(B25:M25,$B$24:$M$24)/SUM($B$24:$M$24)</f>
        <v>5965.7827396699631</v>
      </c>
    </row>
    <row r="26" spans="1:14" x14ac:dyDescent="0.35">
      <c r="A26" s="5" t="s">
        <v>22</v>
      </c>
      <c r="B26" s="7">
        <v>2.4295613389229067</v>
      </c>
      <c r="C26" s="7">
        <v>2.4050655472408091</v>
      </c>
      <c r="D26" s="7">
        <v>2.5318666130721192</v>
      </c>
      <c r="E26" s="7">
        <v>2.5966145443649666</v>
      </c>
      <c r="F26" s="7">
        <v>2.6452674432660652</v>
      </c>
      <c r="G26" s="7">
        <v>2.7646956869678796</v>
      </c>
      <c r="H26" s="7">
        <v>2.7577905061835821</v>
      </c>
      <c r="I26" s="7">
        <v>2.7055365434574292</v>
      </c>
      <c r="J26" s="7">
        <v>2.643182170730336</v>
      </c>
      <c r="K26" s="7">
        <v>2.4886633195301315</v>
      </c>
      <c r="L26" s="7">
        <v>2.384214949856013</v>
      </c>
      <c r="M26" s="7">
        <v>1.9721835230281968</v>
      </c>
      <c r="N26" s="7">
        <f t="shared" ref="N26:N29" si="9">SUMPRODUCT(B26:M26,$B$24:$M$24)/SUM($B$24:$M$24)</f>
        <v>2.5790489447985023</v>
      </c>
    </row>
    <row r="27" spans="1:14" x14ac:dyDescent="0.35">
      <c r="A27" s="5" t="s">
        <v>23</v>
      </c>
      <c r="B27" s="7">
        <v>13.650338133390873</v>
      </c>
      <c r="C27" s="7">
        <v>13.072659982013985</v>
      </c>
      <c r="D27" s="7">
        <v>13.536180359290373</v>
      </c>
      <c r="E27" s="7">
        <v>14.197738944160342</v>
      </c>
      <c r="F27" s="7">
        <v>14.748210087127436</v>
      </c>
      <c r="G27" s="7">
        <v>14.555829258716642</v>
      </c>
      <c r="H27" s="7">
        <v>13.682948785674105</v>
      </c>
      <c r="I27" s="7">
        <v>14.423529656510109</v>
      </c>
      <c r="J27" s="7">
        <v>13.830266694421123</v>
      </c>
      <c r="K27" s="7">
        <v>13.802136340491229</v>
      </c>
      <c r="L27" s="7">
        <v>13.963262263577962</v>
      </c>
      <c r="M27" s="7">
        <v>13.239604954281964</v>
      </c>
      <c r="N27" s="7">
        <f t="shared" si="9"/>
        <v>13.960595439757462</v>
      </c>
    </row>
    <row r="28" spans="1:14" x14ac:dyDescent="0.35">
      <c r="A28" s="5" t="s">
        <v>24</v>
      </c>
      <c r="B28" s="7">
        <v>6.0446714187122899</v>
      </c>
      <c r="C28" s="7">
        <v>6.0271092018648948</v>
      </c>
      <c r="D28" s="7">
        <v>6.0381378037085476</v>
      </c>
      <c r="E28" s="7">
        <v>6.0670306006769152</v>
      </c>
      <c r="F28" s="7">
        <v>6.0650681974266973</v>
      </c>
      <c r="G28" s="7">
        <v>7.0545207424561021</v>
      </c>
      <c r="H28" s="7">
        <v>6.8576284528796458</v>
      </c>
      <c r="I28" s="7">
        <v>6.9141155703557073</v>
      </c>
      <c r="J28" s="7">
        <v>7.1513479824037924</v>
      </c>
      <c r="K28" s="7">
        <v>7.5030577897811339</v>
      </c>
      <c r="L28" s="7">
        <v>7.5101273468544756</v>
      </c>
      <c r="M28" s="7">
        <v>7.123713872317385</v>
      </c>
      <c r="N28" s="7">
        <f t="shared" si="9"/>
        <v>6.7439986369460003</v>
      </c>
    </row>
    <row r="29" spans="1:14" x14ac:dyDescent="0.35">
      <c r="A29" s="5" t="s">
        <v>25</v>
      </c>
      <c r="B29" s="7">
        <v>11.070033737552869</v>
      </c>
      <c r="C29" s="7">
        <v>11.052471520705474</v>
      </c>
      <c r="D29" s="7">
        <v>11.063500122549128</v>
      </c>
      <c r="E29" s="7">
        <v>11.092392919517495</v>
      </c>
      <c r="F29" s="7">
        <v>11.090430516267276</v>
      </c>
      <c r="G29" s="7">
        <v>12.07988306129668</v>
      </c>
      <c r="H29" s="7">
        <v>11.882990771720229</v>
      </c>
      <c r="I29" s="7">
        <v>11.939477889196286</v>
      </c>
      <c r="J29" s="7">
        <v>12.176710301244373</v>
      </c>
      <c r="K29" s="7">
        <v>12.528420108621715</v>
      </c>
      <c r="L29" s="7">
        <v>12.535489665695055</v>
      </c>
      <c r="M29" s="7">
        <v>12.149076191157965</v>
      </c>
      <c r="N29" s="7">
        <f t="shared" si="9"/>
        <v>11.769360955786579</v>
      </c>
    </row>
    <row r="30" spans="1:14" s="2" customFormat="1" x14ac:dyDescent="0.35">
      <c r="A30" s="9" t="s">
        <v>27</v>
      </c>
      <c r="B30" s="10">
        <v>3.3845712783206716</v>
      </c>
      <c r="C30" s="10">
        <v>2.1986171307373499</v>
      </c>
      <c r="D30" s="10">
        <v>2.3031177893122021</v>
      </c>
      <c r="E30" s="10">
        <v>2.7672070184371251</v>
      </c>
      <c r="F30" s="10">
        <v>1.8758652434621963</v>
      </c>
      <c r="G30" s="10">
        <v>1.1105574718538087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13.639935932123354</v>
      </c>
    </row>
    <row r="31" spans="1:14" x14ac:dyDescent="0.35">
      <c r="A31" s="5" t="s">
        <v>60</v>
      </c>
      <c r="B31" s="8">
        <v>5821.8830389301438</v>
      </c>
      <c r="C31" s="8">
        <v>5816.4870718851098</v>
      </c>
      <c r="D31" s="8">
        <v>5824.2204187161951</v>
      </c>
      <c r="E31" s="8">
        <v>5826.2222569118403</v>
      </c>
      <c r="F31" s="8">
        <v>5821.6227744855487</v>
      </c>
      <c r="G31" s="8">
        <v>5824.0809155002926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f>SUMPRODUCT(B31:M31,$B$30:$M$30)/SUM($B$30:$M$30)</f>
        <v>5822.4314107916898</v>
      </c>
    </row>
    <row r="32" spans="1:14" x14ac:dyDescent="0.35">
      <c r="A32" s="5" t="s">
        <v>22</v>
      </c>
      <c r="B32" s="7">
        <v>0.89812632418464311</v>
      </c>
      <c r="C32" s="7">
        <v>0.89994493621741711</v>
      </c>
      <c r="D32" s="7">
        <v>0.90129646914644679</v>
      </c>
      <c r="E32" s="7">
        <v>0.90153153628846394</v>
      </c>
      <c r="F32" s="7">
        <v>0.9029212669795168</v>
      </c>
      <c r="G32" s="7">
        <v>0.90325731755353178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f t="shared" ref="N32:N35" si="10">SUMPRODUCT(B32:M32,$B$30:$M$30)/SUM($B$30:$M$30)</f>
        <v>0.90072278104426418</v>
      </c>
    </row>
    <row r="33" spans="1:14" x14ac:dyDescent="0.35">
      <c r="A33" s="5" t="s">
        <v>23</v>
      </c>
      <c r="B33" s="7">
        <v>8.66424594683774</v>
      </c>
      <c r="C33" s="7">
        <v>8.6537904008900739</v>
      </c>
      <c r="D33" s="7">
        <v>8.6423872541014521</v>
      </c>
      <c r="E33" s="7">
        <v>8.5289327371516634</v>
      </c>
      <c r="F33" s="7">
        <v>8.5159534696087835</v>
      </c>
      <c r="G33" s="7">
        <v>8.5014971668605828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f t="shared" si="10"/>
        <v>8.5977728246687075</v>
      </c>
    </row>
    <row r="34" spans="1:14" x14ac:dyDescent="0.35">
      <c r="A34" s="5" t="s">
        <v>24</v>
      </c>
      <c r="B34" s="7">
        <v>11.332980559812546</v>
      </c>
      <c r="C34" s="7">
        <v>11.33686874989186</v>
      </c>
      <c r="D34" s="7">
        <v>11.369267800815926</v>
      </c>
      <c r="E34" s="7">
        <v>11.35012826840938</v>
      </c>
      <c r="F34" s="7">
        <v>11.399581208015936</v>
      </c>
      <c r="G34" s="7">
        <v>11.357707284097838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f t="shared" si="10"/>
        <v>11.354385937535314</v>
      </c>
    </row>
    <row r="35" spans="1:14" x14ac:dyDescent="0.35">
      <c r="A35" s="5" t="s">
        <v>25</v>
      </c>
      <c r="B35" s="7">
        <v>16.332980559812547</v>
      </c>
      <c r="C35" s="7">
        <v>16.33686874989186</v>
      </c>
      <c r="D35" s="7">
        <v>16.369267800815926</v>
      </c>
      <c r="E35" s="7">
        <v>16.350128268409382</v>
      </c>
      <c r="F35" s="7">
        <v>16.399581208015938</v>
      </c>
      <c r="G35" s="7">
        <v>16.357707284097838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f t="shared" si="10"/>
        <v>16.354385937535316</v>
      </c>
    </row>
    <row r="36" spans="1:14" s="2" customFormat="1" x14ac:dyDescent="0.35">
      <c r="A36" s="9" t="s">
        <v>28</v>
      </c>
      <c r="B36" s="10">
        <v>2.521882492117089</v>
      </c>
      <c r="C36" s="10">
        <v>7.2154785630134359</v>
      </c>
      <c r="D36" s="10">
        <v>26.720101190114498</v>
      </c>
      <c r="E36" s="10">
        <v>6.3272232517840097</v>
      </c>
      <c r="F36" s="10">
        <v>12.63017381605996</v>
      </c>
      <c r="G36" s="10">
        <v>4.808785062682797</v>
      </c>
      <c r="H36" s="10">
        <v>12.094950861320664</v>
      </c>
      <c r="I36" s="10">
        <v>14.998053056294571</v>
      </c>
      <c r="J36" s="10">
        <v>83.697272769729182</v>
      </c>
      <c r="K36" s="10">
        <v>94.400599271572034</v>
      </c>
      <c r="L36" s="10">
        <v>71.335320101362981</v>
      </c>
      <c r="M36" s="10">
        <v>85.965623698155213</v>
      </c>
      <c r="N36" s="10">
        <f>SUM(B36:M36)</f>
        <v>422.7154641342064</v>
      </c>
    </row>
    <row r="37" spans="1:14" x14ac:dyDescent="0.35">
      <c r="A37" s="5" t="s">
        <v>60</v>
      </c>
      <c r="B37" s="8">
        <v>6013.7439830402591</v>
      </c>
      <c r="C37" s="8">
        <v>5958.5718837654094</v>
      </c>
      <c r="D37" s="8">
        <v>6011.5142410181879</v>
      </c>
      <c r="E37" s="8">
        <v>6033.7912126391166</v>
      </c>
      <c r="F37" s="8">
        <v>5987.1311344722953</v>
      </c>
      <c r="G37" s="8">
        <v>6002.8141464546325</v>
      </c>
      <c r="H37" s="8">
        <v>6036.2059277468388</v>
      </c>
      <c r="I37" s="8">
        <v>6005.6296270049379</v>
      </c>
      <c r="J37" s="8">
        <v>5996.4182585771696</v>
      </c>
      <c r="K37" s="8">
        <v>6012.5831882377197</v>
      </c>
      <c r="L37" s="8">
        <v>6026.6617065098399</v>
      </c>
      <c r="M37" s="8">
        <v>6027.4417066915366</v>
      </c>
      <c r="N37" s="8">
        <f>SUMPRODUCT(B37:M37,$B$36:$M$36)/SUM($N$36)</f>
        <v>6013.6725198079248</v>
      </c>
    </row>
    <row r="38" spans="1:14" x14ac:dyDescent="0.35">
      <c r="A38" s="5" t="s">
        <v>22</v>
      </c>
      <c r="B38" s="7">
        <v>1.5719258596243288</v>
      </c>
      <c r="C38" s="7">
        <v>1.5704927756355485</v>
      </c>
      <c r="D38" s="7">
        <v>1.5645054910609499</v>
      </c>
      <c r="E38" s="7">
        <v>1.5541280998263451</v>
      </c>
      <c r="F38" s="7">
        <v>1.5514425548091835</v>
      </c>
      <c r="G38" s="7">
        <v>1.5490809371241008</v>
      </c>
      <c r="H38" s="7">
        <v>1.5706205123520396</v>
      </c>
      <c r="I38" s="7">
        <v>1.5667220713882541</v>
      </c>
      <c r="J38" s="7">
        <v>1.5492652356708461</v>
      </c>
      <c r="K38" s="7">
        <v>1.5532509789014217</v>
      </c>
      <c r="L38" s="7">
        <v>1.5598161852155374</v>
      </c>
      <c r="M38" s="7">
        <v>1.5724278212094895</v>
      </c>
      <c r="N38" s="7">
        <f t="shared" ref="N38:N41" si="11">SUMPRODUCT(B38:M38,$B$36:$M$36)/SUM($N$36)</f>
        <v>1.5594733437535224</v>
      </c>
    </row>
    <row r="39" spans="1:14" x14ac:dyDescent="0.35">
      <c r="A39" s="5" t="s">
        <v>23</v>
      </c>
      <c r="B39" s="7">
        <v>6.0748081545659556</v>
      </c>
      <c r="C39" s="7">
        <v>6.1530970205235906</v>
      </c>
      <c r="D39" s="7">
        <v>6.1792075534550124</v>
      </c>
      <c r="E39" s="7">
        <v>5.1976319992471325</v>
      </c>
      <c r="F39" s="7">
        <v>5.2945573330686697</v>
      </c>
      <c r="G39" s="7">
        <v>5.2369339714032916</v>
      </c>
      <c r="H39" s="7">
        <v>5.1052577356075943</v>
      </c>
      <c r="I39" s="7">
        <v>5.3674074588461043</v>
      </c>
      <c r="J39" s="7">
        <v>5.3569250734287994</v>
      </c>
      <c r="K39" s="7">
        <v>5.1696910445757469</v>
      </c>
      <c r="L39" s="7">
        <v>5.1649102507825946</v>
      </c>
      <c r="M39" s="7">
        <v>5.3009891296063767</v>
      </c>
      <c r="N39" s="7">
        <f t="shared" si="11"/>
        <v>5.3287414331663765</v>
      </c>
    </row>
    <row r="40" spans="1:14" x14ac:dyDescent="0.35">
      <c r="A40" s="5" t="s">
        <v>24</v>
      </c>
      <c r="B40" s="7">
        <v>10.127325083840056</v>
      </c>
      <c r="C40" s="7">
        <v>10.233783513685028</v>
      </c>
      <c r="D40" s="7">
        <v>10.532646696345953</v>
      </c>
      <c r="E40" s="7">
        <v>10.352599613583598</v>
      </c>
      <c r="F40" s="7">
        <v>10.781853659182515</v>
      </c>
      <c r="G40" s="7">
        <v>10.481305172848286</v>
      </c>
      <c r="H40" s="7">
        <v>10.365902833746919</v>
      </c>
      <c r="I40" s="7">
        <v>10.468448068692119</v>
      </c>
      <c r="J40" s="7">
        <v>10.443603705511876</v>
      </c>
      <c r="K40" s="7">
        <v>10.274017908609304</v>
      </c>
      <c r="L40" s="7">
        <v>10.24039726981246</v>
      </c>
      <c r="M40" s="7">
        <v>9.9507726321549459</v>
      </c>
      <c r="N40" s="7">
        <f t="shared" si="11"/>
        <v>10.279206642306004</v>
      </c>
    </row>
    <row r="41" spans="1:14" x14ac:dyDescent="0.35">
      <c r="A41" s="5" t="s">
        <v>25</v>
      </c>
      <c r="B41" s="7">
        <v>15.127325083840059</v>
      </c>
      <c r="C41" s="7">
        <v>15.233783513685026</v>
      </c>
      <c r="D41" s="7">
        <v>15.532646696345955</v>
      </c>
      <c r="E41" s="7">
        <v>15.352599613583596</v>
      </c>
      <c r="F41" s="7">
        <v>15.781853659182515</v>
      </c>
      <c r="G41" s="7">
        <v>15.481305172848288</v>
      </c>
      <c r="H41" s="7">
        <v>15.365902833746915</v>
      </c>
      <c r="I41" s="7">
        <v>15.468448068692121</v>
      </c>
      <c r="J41" s="7">
        <v>15.443603705511876</v>
      </c>
      <c r="K41" s="7">
        <v>15.274017908609304</v>
      </c>
      <c r="L41" s="7">
        <v>15.240397269812457</v>
      </c>
      <c r="M41" s="7">
        <v>14.950772632154948</v>
      </c>
      <c r="N41" s="7">
        <f t="shared" si="11"/>
        <v>15.279206642306002</v>
      </c>
    </row>
    <row r="42" spans="1:14" s="2" customFormat="1" x14ac:dyDescent="0.35">
      <c r="A42" s="9" t="s">
        <v>29</v>
      </c>
      <c r="B42" s="10">
        <v>339.09354623697971</v>
      </c>
      <c r="C42" s="10">
        <v>335.58590431366656</v>
      </c>
      <c r="D42" s="10">
        <v>315.97678102799074</v>
      </c>
      <c r="E42" s="10">
        <v>339.90556973725023</v>
      </c>
      <c r="F42" s="10">
        <v>339.49396094805661</v>
      </c>
      <c r="G42" s="10">
        <v>378.08065747368715</v>
      </c>
      <c r="H42" s="10">
        <v>480.90504914899924</v>
      </c>
      <c r="I42" s="10">
        <v>475.00194695424045</v>
      </c>
      <c r="J42" s="10">
        <v>396.3027272405908</v>
      </c>
      <c r="K42" s="10">
        <v>420.59940073950054</v>
      </c>
      <c r="L42" s="10">
        <v>433.6646799094944</v>
      </c>
      <c r="M42" s="10">
        <v>419.03437631259465</v>
      </c>
      <c r="N42" s="10">
        <f>SUM(B42:M42)</f>
        <v>4673.6446000430515</v>
      </c>
    </row>
    <row r="43" spans="1:14" x14ac:dyDescent="0.35">
      <c r="A43" s="5" t="s">
        <v>60</v>
      </c>
      <c r="B43" s="8">
        <v>5916.7972906941595</v>
      </c>
      <c r="C43" s="8">
        <v>5925.4345063142891</v>
      </c>
      <c r="D43" s="8">
        <v>5916.7949036737691</v>
      </c>
      <c r="E43" s="8">
        <v>5912.980952840614</v>
      </c>
      <c r="F43" s="8">
        <v>5924.7514756611617</v>
      </c>
      <c r="G43" s="8">
        <v>5924.6892633555917</v>
      </c>
      <c r="H43" s="8">
        <v>5904.229432754244</v>
      </c>
      <c r="I43" s="8">
        <v>5885.0998442747577</v>
      </c>
      <c r="J43" s="8">
        <v>5912.8315469654126</v>
      </c>
      <c r="K43" s="8">
        <v>5911.5993544817393</v>
      </c>
      <c r="L43" s="8">
        <v>5931.5837237163742</v>
      </c>
      <c r="M43" s="8">
        <v>5905.9087610383558</v>
      </c>
      <c r="N43" s="8">
        <f>SUMPRODUCT(B43:M43,$B$43:$M$43)/SUM($B$43:$M$43)</f>
        <v>5914.4155370661638</v>
      </c>
    </row>
    <row r="44" spans="1:14" x14ac:dyDescent="0.35">
      <c r="A44" s="5" t="s">
        <v>22</v>
      </c>
      <c r="B44" s="7">
        <v>2.4966476929177563</v>
      </c>
      <c r="C44" s="7">
        <v>2.3877689379253044</v>
      </c>
      <c r="D44" s="7">
        <v>2.3757583063015502</v>
      </c>
      <c r="E44" s="7">
        <v>2.4775564096655827</v>
      </c>
      <c r="F44" s="7">
        <v>2.374329394428345</v>
      </c>
      <c r="G44" s="7">
        <v>2.3234040146916115</v>
      </c>
      <c r="H44" s="7">
        <v>2.4257585660475254</v>
      </c>
      <c r="I44" s="7">
        <v>2.4636130645651053</v>
      </c>
      <c r="J44" s="7">
        <v>2.4167182192891019</v>
      </c>
      <c r="K44" s="7">
        <v>2.4357905437595275</v>
      </c>
      <c r="L44" s="7">
        <v>2.3205566532405477</v>
      </c>
      <c r="M44" s="7">
        <v>2.4316069716957789</v>
      </c>
      <c r="N44" s="7">
        <f t="shared" ref="N44:N47" si="12">SUMPRODUCT(B44:M44,$B$43:$M$43)/SUM($B$43:$M$43)</f>
        <v>2.4107218075517403</v>
      </c>
    </row>
    <row r="45" spans="1:14" x14ac:dyDescent="0.35">
      <c r="A45" s="5" t="s">
        <v>23</v>
      </c>
      <c r="B45" s="7">
        <v>5.9842872271090917</v>
      </c>
      <c r="C45" s="7">
        <v>5.6662583965414441</v>
      </c>
      <c r="D45" s="7">
        <v>5.7800832870181598</v>
      </c>
      <c r="E45" s="7">
        <v>5.6993194464212262</v>
      </c>
      <c r="F45" s="7">
        <v>5.5739932443182454</v>
      </c>
      <c r="G45" s="7">
        <v>5.7147496734423422</v>
      </c>
      <c r="H45" s="7">
        <v>5.7034798554012829</v>
      </c>
      <c r="I45" s="7">
        <v>5.9277179055499509</v>
      </c>
      <c r="J45" s="7">
        <v>5.6702116883273499</v>
      </c>
      <c r="K45" s="7">
        <v>5.6370679249355851</v>
      </c>
      <c r="L45" s="7">
        <v>5.5901854958066695</v>
      </c>
      <c r="M45" s="7">
        <v>5.6938518419828652</v>
      </c>
      <c r="N45" s="7">
        <f t="shared" si="12"/>
        <v>5.7199741396739743</v>
      </c>
    </row>
    <row r="46" spans="1:14" x14ac:dyDescent="0.35">
      <c r="A46" s="5" t="s">
        <v>24</v>
      </c>
      <c r="B46" s="7">
        <v>10.283641671440318</v>
      </c>
      <c r="C46" s="7">
        <v>10.556237677028596</v>
      </c>
      <c r="D46" s="7">
        <v>10.683766753314643</v>
      </c>
      <c r="E46" s="7">
        <v>10.487339002148291</v>
      </c>
      <c r="F46" s="7">
        <v>10.689785351050897</v>
      </c>
      <c r="G46" s="7">
        <v>10.72389304702777</v>
      </c>
      <c r="H46" s="7">
        <v>10.619717599103479</v>
      </c>
      <c r="I46" s="7">
        <v>10.523637825608192</v>
      </c>
      <c r="J46" s="7">
        <v>10.478050145007465</v>
      </c>
      <c r="K46" s="7">
        <v>10.497093228274611</v>
      </c>
      <c r="L46" s="7">
        <v>10.552452127746783</v>
      </c>
      <c r="M46" s="7">
        <v>10.601733003407114</v>
      </c>
      <c r="N46" s="7">
        <f t="shared" si="12"/>
        <v>10.558154609501265</v>
      </c>
    </row>
    <row r="47" spans="1:14" x14ac:dyDescent="0.35">
      <c r="A47" s="5" t="s">
        <v>25</v>
      </c>
      <c r="B47" s="7">
        <v>15.283641671440318</v>
      </c>
      <c r="C47" s="7">
        <v>15.556237677028594</v>
      </c>
      <c r="D47" s="7">
        <v>15.683766753314643</v>
      </c>
      <c r="E47" s="7">
        <v>15.487339002148289</v>
      </c>
      <c r="F47" s="7">
        <v>15.689785351050896</v>
      </c>
      <c r="G47" s="7">
        <v>15.72389304702777</v>
      </c>
      <c r="H47" s="7">
        <v>15.619717599103481</v>
      </c>
      <c r="I47" s="7">
        <v>15.523637825608189</v>
      </c>
      <c r="J47" s="7">
        <v>15.478050145007463</v>
      </c>
      <c r="K47" s="7">
        <v>15.497093228274609</v>
      </c>
      <c r="L47" s="7">
        <v>15.552452127746781</v>
      </c>
      <c r="M47" s="7">
        <v>15.601733003407109</v>
      </c>
      <c r="N47" s="7">
        <f t="shared" si="12"/>
        <v>15.558154609501264</v>
      </c>
    </row>
    <row r="48" spans="1:14" s="2" customFormat="1" x14ac:dyDescent="0.35">
      <c r="A48" s="9" t="s">
        <v>68</v>
      </c>
      <c r="B48" s="10">
        <v>4.25</v>
      </c>
      <c r="C48" s="10">
        <v>4.25</v>
      </c>
      <c r="D48" s="10">
        <v>4.25</v>
      </c>
      <c r="E48" s="10">
        <v>12.75</v>
      </c>
      <c r="F48" s="10">
        <v>12.75</v>
      </c>
      <c r="G48" s="10">
        <v>12.75</v>
      </c>
      <c r="H48" s="10">
        <v>12.75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127.5</v>
      </c>
    </row>
    <row r="49" spans="1:16" x14ac:dyDescent="0.35">
      <c r="A49" s="5" t="s">
        <v>60</v>
      </c>
      <c r="B49" s="8">
        <v>3146.067415730337</v>
      </c>
      <c r="C49" s="8">
        <v>3146.067415730337</v>
      </c>
      <c r="D49" s="8">
        <v>3146.067415730337</v>
      </c>
      <c r="E49" s="8">
        <v>3146.067415730337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8">
        <f>SUMPRODUCT(B49:M49,$B$48:$M$48)/SUM($B$48:$M$48)</f>
        <v>3146.0674157303379</v>
      </c>
    </row>
    <row r="50" spans="1:16" x14ac:dyDescent="0.35">
      <c r="A50" s="5" t="s">
        <v>22</v>
      </c>
      <c r="B50" s="7">
        <v>2</v>
      </c>
      <c r="C50" s="7">
        <v>2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7">
        <f t="shared" ref="N50:N53" si="13">SUMPRODUCT(B50:M50,$B$48:$M$48)/SUM($B$48:$M$48)</f>
        <v>2</v>
      </c>
    </row>
    <row r="51" spans="1:16" x14ac:dyDescent="0.35">
      <c r="A51" s="5" t="s">
        <v>23</v>
      </c>
      <c r="B51" s="7">
        <v>40</v>
      </c>
      <c r="C51" s="7">
        <v>40</v>
      </c>
      <c r="D51" s="7">
        <v>40</v>
      </c>
      <c r="E51" s="7">
        <v>40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7">
        <f t="shared" si="13"/>
        <v>40</v>
      </c>
    </row>
    <row r="52" spans="1:16" x14ac:dyDescent="0.35">
      <c r="A52" s="5" t="s">
        <v>24</v>
      </c>
      <c r="B52" s="7">
        <v>11</v>
      </c>
      <c r="C52" s="7">
        <v>11</v>
      </c>
      <c r="D52" s="7">
        <v>11</v>
      </c>
      <c r="E52" s="7">
        <v>11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7">
        <f t="shared" si="13"/>
        <v>11</v>
      </c>
    </row>
    <row r="53" spans="1:16" x14ac:dyDescent="0.35">
      <c r="A53" s="5" t="s">
        <v>25</v>
      </c>
      <c r="B53" s="7">
        <v>20</v>
      </c>
      <c r="C53" s="7">
        <v>20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7">
        <f t="shared" si="13"/>
        <v>20</v>
      </c>
    </row>
    <row r="54" spans="1:16" x14ac:dyDescent="0.3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6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</row>
    <row r="56" spans="1:16" s="2" customFormat="1" x14ac:dyDescent="0.35">
      <c r="A56" s="9" t="s">
        <v>14</v>
      </c>
      <c r="B56" s="10">
        <f t="shared" ref="B56:N56" si="14">SUM(B57:B59)</f>
        <v>4195</v>
      </c>
      <c r="C56" s="10">
        <f t="shared" si="14"/>
        <v>4015</v>
      </c>
      <c r="D56" s="10">
        <f t="shared" si="14"/>
        <v>4020</v>
      </c>
      <c r="E56" s="10">
        <f t="shared" si="14"/>
        <v>4250</v>
      </c>
      <c r="F56" s="10">
        <f t="shared" si="14"/>
        <v>4410</v>
      </c>
      <c r="G56" s="10">
        <f t="shared" si="14"/>
        <v>4660</v>
      </c>
      <c r="H56" s="10">
        <f t="shared" si="14"/>
        <v>4720</v>
      </c>
      <c r="I56" s="10">
        <f t="shared" si="14"/>
        <v>5055</v>
      </c>
      <c r="J56" s="10">
        <f t="shared" si="14"/>
        <v>4740</v>
      </c>
      <c r="K56" s="10">
        <f t="shared" si="14"/>
        <v>3990</v>
      </c>
      <c r="L56" s="10">
        <f t="shared" si="14"/>
        <v>3805</v>
      </c>
      <c r="M56" s="10">
        <f t="shared" si="14"/>
        <v>3790</v>
      </c>
      <c r="N56" s="10">
        <f t="shared" si="14"/>
        <v>51650</v>
      </c>
      <c r="P56" s="1" t="s">
        <v>61</v>
      </c>
    </row>
    <row r="57" spans="1:16" x14ac:dyDescent="0.35">
      <c r="A57" s="5" t="s">
        <v>57</v>
      </c>
      <c r="B57" s="8">
        <v>2025</v>
      </c>
      <c r="C57" s="8">
        <v>1905</v>
      </c>
      <c r="D57" s="8">
        <v>1870</v>
      </c>
      <c r="E57" s="8">
        <v>2010</v>
      </c>
      <c r="F57" s="8">
        <v>2110</v>
      </c>
      <c r="G57" s="8">
        <v>2210</v>
      </c>
      <c r="H57" s="8">
        <v>2320</v>
      </c>
      <c r="I57" s="8">
        <v>2305</v>
      </c>
      <c r="J57" s="8">
        <v>2240</v>
      </c>
      <c r="K57" s="8">
        <v>1890</v>
      </c>
      <c r="L57" s="8">
        <v>1745</v>
      </c>
      <c r="M57" s="8">
        <v>1770</v>
      </c>
      <c r="N57" s="8">
        <f t="shared" ref="N57:N59" si="15">SUM(B57:M57)</f>
        <v>24400</v>
      </c>
    </row>
    <row r="58" spans="1:16" x14ac:dyDescent="0.35">
      <c r="A58" s="5" t="s">
        <v>56</v>
      </c>
      <c r="B58" s="8">
        <v>890</v>
      </c>
      <c r="C58" s="8">
        <v>810</v>
      </c>
      <c r="D58" s="8">
        <v>750</v>
      </c>
      <c r="E58" s="8">
        <v>940</v>
      </c>
      <c r="F58" s="8">
        <v>950</v>
      </c>
      <c r="G58" s="8">
        <v>950</v>
      </c>
      <c r="H58" s="8">
        <v>1000</v>
      </c>
      <c r="I58" s="8">
        <v>1050</v>
      </c>
      <c r="J58" s="8">
        <v>950</v>
      </c>
      <c r="K58" s="8">
        <v>900</v>
      </c>
      <c r="L58" s="8">
        <v>860</v>
      </c>
      <c r="M58" s="8">
        <v>950</v>
      </c>
      <c r="N58" s="8">
        <f t="shared" si="15"/>
        <v>11000</v>
      </c>
    </row>
    <row r="59" spans="1:16" x14ac:dyDescent="0.35">
      <c r="A59" s="5" t="s">
        <v>55</v>
      </c>
      <c r="B59" s="8">
        <v>1280</v>
      </c>
      <c r="C59" s="8">
        <v>1300</v>
      </c>
      <c r="D59" s="8">
        <v>1400</v>
      </c>
      <c r="E59" s="8">
        <v>1300</v>
      </c>
      <c r="F59" s="8">
        <v>1350</v>
      </c>
      <c r="G59" s="8">
        <v>1500</v>
      </c>
      <c r="H59" s="8">
        <v>1400</v>
      </c>
      <c r="I59" s="8">
        <v>1700</v>
      </c>
      <c r="J59" s="8">
        <v>1550</v>
      </c>
      <c r="K59" s="8">
        <v>1200</v>
      </c>
      <c r="L59" s="8">
        <v>1200</v>
      </c>
      <c r="M59" s="8">
        <v>1070</v>
      </c>
      <c r="N59" s="8">
        <f t="shared" si="15"/>
        <v>16250</v>
      </c>
    </row>
    <row r="60" spans="1:16" s="2" customFormat="1" x14ac:dyDescent="0.35">
      <c r="A60" s="9" t="s">
        <v>17</v>
      </c>
      <c r="B60" s="10">
        <f t="shared" ref="B60:N60" si="16">SUM(B61:B63)</f>
        <v>200</v>
      </c>
      <c r="C60" s="10">
        <f t="shared" si="16"/>
        <v>215</v>
      </c>
      <c r="D60" s="10">
        <f t="shared" si="16"/>
        <v>217</v>
      </c>
      <c r="E60" s="10">
        <f t="shared" si="16"/>
        <v>255</v>
      </c>
      <c r="F60" s="10">
        <f t="shared" si="16"/>
        <v>285</v>
      </c>
      <c r="G60" s="10">
        <f t="shared" si="16"/>
        <v>315</v>
      </c>
      <c r="H60" s="10">
        <f t="shared" si="16"/>
        <v>310</v>
      </c>
      <c r="I60" s="10">
        <f t="shared" si="16"/>
        <v>335.38697316446883</v>
      </c>
      <c r="J60" s="10">
        <f t="shared" si="16"/>
        <v>307</v>
      </c>
      <c r="K60" s="10">
        <f t="shared" si="16"/>
        <v>300</v>
      </c>
      <c r="L60" s="10">
        <f t="shared" si="16"/>
        <v>281</v>
      </c>
      <c r="M60" s="10">
        <f t="shared" si="16"/>
        <v>280</v>
      </c>
      <c r="N60" s="10">
        <f t="shared" si="16"/>
        <v>3300.3869731644691</v>
      </c>
    </row>
    <row r="61" spans="1:16" x14ac:dyDescent="0.35">
      <c r="A61" s="5" t="s">
        <v>57</v>
      </c>
      <c r="B61" s="8">
        <v>130</v>
      </c>
      <c r="C61" s="8">
        <v>145</v>
      </c>
      <c r="D61" s="8">
        <v>150</v>
      </c>
      <c r="E61" s="8">
        <v>160</v>
      </c>
      <c r="F61" s="8">
        <v>170</v>
      </c>
      <c r="G61" s="8">
        <v>200</v>
      </c>
      <c r="H61" s="8">
        <v>195</v>
      </c>
      <c r="I61" s="8">
        <v>210</v>
      </c>
      <c r="J61" s="8">
        <v>210</v>
      </c>
      <c r="K61" s="8">
        <v>195</v>
      </c>
      <c r="L61" s="8">
        <v>180</v>
      </c>
      <c r="M61" s="8">
        <v>185</v>
      </c>
      <c r="N61" s="8">
        <f t="shared" ref="N61:N63" si="17">SUM(B61:M61)</f>
        <v>2130</v>
      </c>
    </row>
    <row r="62" spans="1:16" x14ac:dyDescent="0.35">
      <c r="A62" s="5" t="s">
        <v>56</v>
      </c>
      <c r="B62" s="8">
        <v>45</v>
      </c>
      <c r="C62" s="8">
        <v>40</v>
      </c>
      <c r="D62" s="8">
        <v>37</v>
      </c>
      <c r="E62" s="8">
        <v>45</v>
      </c>
      <c r="F62" s="8">
        <v>50</v>
      </c>
      <c r="G62" s="8">
        <v>50</v>
      </c>
      <c r="H62" s="8">
        <v>50</v>
      </c>
      <c r="I62" s="8">
        <v>55</v>
      </c>
      <c r="J62" s="8">
        <v>47</v>
      </c>
      <c r="K62" s="8">
        <v>45</v>
      </c>
      <c r="L62" s="8">
        <v>41</v>
      </c>
      <c r="M62" s="8">
        <v>45</v>
      </c>
      <c r="N62" s="8">
        <f t="shared" si="17"/>
        <v>550</v>
      </c>
    </row>
    <row r="63" spans="1:16" x14ac:dyDescent="0.35">
      <c r="A63" s="5" t="s">
        <v>55</v>
      </c>
      <c r="B63" s="8">
        <v>25</v>
      </c>
      <c r="C63" s="8">
        <v>30</v>
      </c>
      <c r="D63" s="8">
        <v>30</v>
      </c>
      <c r="E63" s="8">
        <v>50</v>
      </c>
      <c r="F63" s="8">
        <v>65</v>
      </c>
      <c r="G63" s="8">
        <v>65</v>
      </c>
      <c r="H63" s="8">
        <v>65</v>
      </c>
      <c r="I63" s="8">
        <v>70.386973164468827</v>
      </c>
      <c r="J63" s="8">
        <v>50</v>
      </c>
      <c r="K63" s="8">
        <v>60</v>
      </c>
      <c r="L63" s="8">
        <v>60</v>
      </c>
      <c r="M63" s="8">
        <v>50</v>
      </c>
      <c r="N63" s="8">
        <f t="shared" si="17"/>
        <v>620.38697316446883</v>
      </c>
    </row>
    <row r="64" spans="1:16" s="2" customFormat="1" x14ac:dyDescent="0.35">
      <c r="A64" s="9" t="s">
        <v>32</v>
      </c>
      <c r="B64" s="11">
        <f t="shared" ref="B64:N64" si="18">B56/B60</f>
        <v>20.975000000000001</v>
      </c>
      <c r="C64" s="11">
        <f t="shared" si="18"/>
        <v>18.674418604651162</v>
      </c>
      <c r="D64" s="11">
        <f t="shared" si="18"/>
        <v>18.525345622119815</v>
      </c>
      <c r="E64" s="11">
        <f t="shared" si="18"/>
        <v>16.666666666666668</v>
      </c>
      <c r="F64" s="11">
        <f t="shared" si="18"/>
        <v>15.473684210526315</v>
      </c>
      <c r="G64" s="11">
        <f t="shared" si="18"/>
        <v>14.793650793650794</v>
      </c>
      <c r="H64" s="11">
        <f t="shared" si="18"/>
        <v>15.225806451612904</v>
      </c>
      <c r="I64" s="11">
        <f t="shared" si="18"/>
        <v>15.072141748096765</v>
      </c>
      <c r="J64" s="11">
        <f t="shared" si="18"/>
        <v>15.439739413680782</v>
      </c>
      <c r="K64" s="11">
        <f t="shared" si="18"/>
        <v>13.3</v>
      </c>
      <c r="L64" s="11">
        <f t="shared" si="18"/>
        <v>13.540925266903914</v>
      </c>
      <c r="M64" s="11">
        <f t="shared" si="18"/>
        <v>13.535714285714286</v>
      </c>
      <c r="N64" s="11">
        <f t="shared" si="18"/>
        <v>15.649679998123696</v>
      </c>
    </row>
    <row r="65" spans="1:15" s="2" customFormat="1" x14ac:dyDescent="0.35">
      <c r="A65" s="9" t="s">
        <v>33</v>
      </c>
      <c r="B65" s="10">
        <f>SUM(B66:B68)</f>
        <v>217</v>
      </c>
      <c r="C65" s="10">
        <f t="shared" ref="C65:N65" si="19">SUM(C66:C68)</f>
        <v>235</v>
      </c>
      <c r="D65" s="10">
        <f t="shared" si="19"/>
        <v>258</v>
      </c>
      <c r="E65" s="10">
        <f t="shared" si="19"/>
        <v>257</v>
      </c>
      <c r="F65" s="10">
        <f t="shared" si="19"/>
        <v>290</v>
      </c>
      <c r="G65" s="10">
        <f t="shared" si="19"/>
        <v>305</v>
      </c>
      <c r="H65" s="10">
        <f t="shared" si="19"/>
        <v>315</v>
      </c>
      <c r="I65" s="10">
        <f t="shared" si="19"/>
        <v>320</v>
      </c>
      <c r="J65" s="10">
        <f t="shared" si="19"/>
        <v>285</v>
      </c>
      <c r="K65" s="10">
        <f t="shared" si="19"/>
        <v>253</v>
      </c>
      <c r="L65" s="10">
        <f t="shared" si="19"/>
        <v>242</v>
      </c>
      <c r="M65" s="10">
        <f t="shared" si="19"/>
        <v>253</v>
      </c>
      <c r="N65" s="10">
        <f t="shared" si="19"/>
        <v>3230</v>
      </c>
    </row>
    <row r="66" spans="1:15" x14ac:dyDescent="0.35">
      <c r="A66" s="5" t="s">
        <v>35</v>
      </c>
      <c r="B66" s="8">
        <f>B73</f>
        <v>110</v>
      </c>
      <c r="C66" s="8">
        <f t="shared" ref="C66:M66" si="20">C73</f>
        <v>130</v>
      </c>
      <c r="D66" s="8">
        <f t="shared" si="20"/>
        <v>130</v>
      </c>
      <c r="E66" s="8">
        <f t="shared" si="20"/>
        <v>140</v>
      </c>
      <c r="F66" s="8">
        <f t="shared" si="20"/>
        <v>150</v>
      </c>
      <c r="G66" s="8">
        <f t="shared" si="20"/>
        <v>170</v>
      </c>
      <c r="H66" s="8">
        <f t="shared" si="20"/>
        <v>170</v>
      </c>
      <c r="I66" s="8">
        <f t="shared" si="20"/>
        <v>150</v>
      </c>
      <c r="J66" s="8">
        <f t="shared" si="20"/>
        <v>155</v>
      </c>
      <c r="K66" s="8">
        <f t="shared" si="20"/>
        <v>115</v>
      </c>
      <c r="L66" s="8">
        <f t="shared" si="20"/>
        <v>115</v>
      </c>
      <c r="M66" s="8">
        <f t="shared" si="20"/>
        <v>95</v>
      </c>
      <c r="N66" s="8">
        <f t="shared" ref="N66:N71" si="21">SUM(B66:M66)</f>
        <v>1630</v>
      </c>
    </row>
    <row r="67" spans="1:15" x14ac:dyDescent="0.35">
      <c r="A67" s="5" t="s">
        <v>39</v>
      </c>
      <c r="B67" s="8">
        <f>B79</f>
        <v>100</v>
      </c>
      <c r="C67" s="8">
        <f t="shared" ref="C67:M67" si="22">C79</f>
        <v>100</v>
      </c>
      <c r="D67" s="8">
        <f t="shared" si="22"/>
        <v>120</v>
      </c>
      <c r="E67" s="8">
        <f t="shared" si="22"/>
        <v>110</v>
      </c>
      <c r="F67" s="8">
        <f t="shared" si="22"/>
        <v>130</v>
      </c>
      <c r="G67" s="8">
        <f t="shared" si="22"/>
        <v>120</v>
      </c>
      <c r="H67" s="8">
        <f t="shared" si="22"/>
        <v>130</v>
      </c>
      <c r="I67" s="8">
        <f t="shared" si="22"/>
        <v>150</v>
      </c>
      <c r="J67" s="8">
        <f t="shared" si="22"/>
        <v>120</v>
      </c>
      <c r="K67" s="8">
        <f t="shared" si="22"/>
        <v>130</v>
      </c>
      <c r="L67" s="8">
        <f t="shared" si="22"/>
        <v>120</v>
      </c>
      <c r="M67" s="8">
        <f t="shared" si="22"/>
        <v>150</v>
      </c>
      <c r="N67" s="8">
        <f t="shared" si="21"/>
        <v>1480</v>
      </c>
    </row>
    <row r="68" spans="1:15" x14ac:dyDescent="0.35">
      <c r="A68" s="5" t="s">
        <v>41</v>
      </c>
      <c r="B68" s="8">
        <f>B85</f>
        <v>7</v>
      </c>
      <c r="C68" s="8">
        <f t="shared" ref="C68:M68" si="23">C85</f>
        <v>5</v>
      </c>
      <c r="D68" s="8">
        <f t="shared" si="23"/>
        <v>8</v>
      </c>
      <c r="E68" s="8">
        <f t="shared" si="23"/>
        <v>7</v>
      </c>
      <c r="F68" s="8">
        <f t="shared" si="23"/>
        <v>10</v>
      </c>
      <c r="G68" s="8">
        <f t="shared" si="23"/>
        <v>15</v>
      </c>
      <c r="H68" s="8">
        <f t="shared" si="23"/>
        <v>15</v>
      </c>
      <c r="I68" s="8">
        <f t="shared" si="23"/>
        <v>20</v>
      </c>
      <c r="J68" s="8">
        <f t="shared" si="23"/>
        <v>10</v>
      </c>
      <c r="K68" s="8">
        <f t="shared" si="23"/>
        <v>8</v>
      </c>
      <c r="L68" s="8">
        <f t="shared" si="23"/>
        <v>7</v>
      </c>
      <c r="M68" s="8">
        <f t="shared" si="23"/>
        <v>8</v>
      </c>
      <c r="N68" s="8">
        <f t="shared" si="21"/>
        <v>120</v>
      </c>
    </row>
    <row r="69" spans="1:15" x14ac:dyDescent="0.35">
      <c r="A69" s="9" t="s">
        <v>58</v>
      </c>
      <c r="B69" s="10">
        <f>B70+B71</f>
        <v>139.1</v>
      </c>
      <c r="C69" s="10">
        <f t="shared" ref="C69:M69" si="24">C70+C71</f>
        <v>139.4</v>
      </c>
      <c r="D69" s="10">
        <f t="shared" si="24"/>
        <v>138.6</v>
      </c>
      <c r="E69" s="10">
        <f t="shared" si="24"/>
        <v>138.1</v>
      </c>
      <c r="F69" s="10">
        <f t="shared" si="24"/>
        <v>139</v>
      </c>
      <c r="G69" s="10">
        <f t="shared" si="24"/>
        <v>138.30000000000001</v>
      </c>
      <c r="H69" s="10">
        <f t="shared" si="24"/>
        <v>138.5</v>
      </c>
      <c r="I69" s="10">
        <f t="shared" si="24"/>
        <v>137.69999999999999</v>
      </c>
      <c r="J69" s="10">
        <f t="shared" si="24"/>
        <v>145.6</v>
      </c>
      <c r="K69" s="10">
        <f t="shared" si="24"/>
        <v>146.19999999999999</v>
      </c>
      <c r="L69" s="10">
        <f t="shared" si="24"/>
        <v>138.30000000000001</v>
      </c>
      <c r="M69" s="10">
        <f t="shared" si="24"/>
        <v>137.69999999999999</v>
      </c>
      <c r="N69" s="10">
        <f>SUM(B69:M69)</f>
        <v>1676.5</v>
      </c>
      <c r="O69" s="2"/>
    </row>
    <row r="70" spans="1:15" x14ac:dyDescent="0.35">
      <c r="A70" s="5" t="s">
        <v>53</v>
      </c>
      <c r="B70" s="8">
        <f>B91</f>
        <v>56.6</v>
      </c>
      <c r="C70" s="8">
        <f t="shared" ref="C70:M70" si="25">C91</f>
        <v>56.9</v>
      </c>
      <c r="D70" s="8">
        <f t="shared" si="25"/>
        <v>56.1</v>
      </c>
      <c r="E70" s="8">
        <f t="shared" si="25"/>
        <v>55.6</v>
      </c>
      <c r="F70" s="8">
        <f t="shared" si="25"/>
        <v>56.5</v>
      </c>
      <c r="G70" s="8">
        <f t="shared" si="25"/>
        <v>55.8</v>
      </c>
      <c r="H70" s="8">
        <f t="shared" si="25"/>
        <v>56</v>
      </c>
      <c r="I70" s="8">
        <f t="shared" si="25"/>
        <v>55.2</v>
      </c>
      <c r="J70" s="8">
        <f t="shared" si="25"/>
        <v>55.6</v>
      </c>
      <c r="K70" s="8">
        <f t="shared" si="25"/>
        <v>56.2</v>
      </c>
      <c r="L70" s="8">
        <f t="shared" si="25"/>
        <v>55.8</v>
      </c>
      <c r="M70" s="8">
        <f t="shared" si="25"/>
        <v>55.2</v>
      </c>
      <c r="N70" s="8">
        <f t="shared" si="21"/>
        <v>671.5</v>
      </c>
    </row>
    <row r="71" spans="1:15" x14ac:dyDescent="0.35">
      <c r="A71" s="5" t="s">
        <v>54</v>
      </c>
      <c r="B71" s="8">
        <f>B97</f>
        <v>82.5</v>
      </c>
      <c r="C71" s="8">
        <f t="shared" ref="C71:M71" si="26">C97</f>
        <v>82.5</v>
      </c>
      <c r="D71" s="8">
        <f t="shared" si="26"/>
        <v>82.5</v>
      </c>
      <c r="E71" s="8">
        <f t="shared" si="26"/>
        <v>82.5</v>
      </c>
      <c r="F71" s="8">
        <f t="shared" si="26"/>
        <v>82.5</v>
      </c>
      <c r="G71" s="8">
        <f t="shared" si="26"/>
        <v>82.5</v>
      </c>
      <c r="H71" s="8">
        <f t="shared" si="26"/>
        <v>82.5</v>
      </c>
      <c r="I71" s="8">
        <f t="shared" si="26"/>
        <v>82.5</v>
      </c>
      <c r="J71" s="8">
        <f t="shared" si="26"/>
        <v>90</v>
      </c>
      <c r="K71" s="8">
        <f t="shared" si="26"/>
        <v>90</v>
      </c>
      <c r="L71" s="8">
        <f t="shared" si="26"/>
        <v>82.5</v>
      </c>
      <c r="M71" s="8">
        <f t="shared" si="26"/>
        <v>82.5</v>
      </c>
      <c r="N71" s="8">
        <f t="shared" si="21"/>
        <v>1005</v>
      </c>
    </row>
    <row r="72" spans="1:15" s="2" customFormat="1" x14ac:dyDescent="0.35">
      <c r="A72" s="9" t="s">
        <v>34</v>
      </c>
      <c r="B72" s="11">
        <f t="shared" ref="B72:N72" si="27">B56/B65</f>
        <v>19.331797235023043</v>
      </c>
      <c r="C72" s="11">
        <f t="shared" si="27"/>
        <v>17.085106382978722</v>
      </c>
      <c r="D72" s="11">
        <f t="shared" si="27"/>
        <v>15.581395348837209</v>
      </c>
      <c r="E72" s="11">
        <f t="shared" si="27"/>
        <v>16.536964980544749</v>
      </c>
      <c r="F72" s="11">
        <f t="shared" si="27"/>
        <v>15.206896551724139</v>
      </c>
      <c r="G72" s="11">
        <f t="shared" si="27"/>
        <v>15.278688524590164</v>
      </c>
      <c r="H72" s="11">
        <f t="shared" si="27"/>
        <v>14.984126984126984</v>
      </c>
      <c r="I72" s="11">
        <f t="shared" si="27"/>
        <v>15.796875</v>
      </c>
      <c r="J72" s="11">
        <f t="shared" si="27"/>
        <v>16.631578947368421</v>
      </c>
      <c r="K72" s="11">
        <f t="shared" si="27"/>
        <v>15.770750988142293</v>
      </c>
      <c r="L72" s="11">
        <f t="shared" si="27"/>
        <v>15.723140495867769</v>
      </c>
      <c r="M72" s="11">
        <f t="shared" si="27"/>
        <v>14.980237154150197</v>
      </c>
      <c r="N72" s="11">
        <f t="shared" si="27"/>
        <v>15.990712074303406</v>
      </c>
    </row>
    <row r="73" spans="1:15" s="2" customFormat="1" x14ac:dyDescent="0.35">
      <c r="A73" s="9" t="s">
        <v>35</v>
      </c>
      <c r="B73" s="10">
        <v>110</v>
      </c>
      <c r="C73" s="10">
        <v>130</v>
      </c>
      <c r="D73" s="10">
        <v>130</v>
      </c>
      <c r="E73" s="10">
        <v>140</v>
      </c>
      <c r="F73" s="10">
        <v>150</v>
      </c>
      <c r="G73" s="10">
        <v>170</v>
      </c>
      <c r="H73" s="10">
        <v>170</v>
      </c>
      <c r="I73" s="10">
        <v>150</v>
      </c>
      <c r="J73" s="10">
        <v>155</v>
      </c>
      <c r="K73" s="10">
        <v>115</v>
      </c>
      <c r="L73" s="10">
        <v>115</v>
      </c>
      <c r="M73" s="10">
        <v>95</v>
      </c>
      <c r="N73" s="10">
        <f>SUM(B73:M73)</f>
        <v>1630</v>
      </c>
    </row>
    <row r="74" spans="1:15" x14ac:dyDescent="0.35">
      <c r="A74" s="5" t="s">
        <v>60</v>
      </c>
      <c r="B74" s="8">
        <v>6331.7793828876238</v>
      </c>
      <c r="C74" s="8">
        <v>6327.6425693981791</v>
      </c>
      <c r="D74" s="8">
        <v>6345.3425138325065</v>
      </c>
      <c r="E74" s="8">
        <v>6327.8237416204238</v>
      </c>
      <c r="F74" s="8">
        <v>6373.2295595361038</v>
      </c>
      <c r="G74" s="8">
        <v>6243.3001857798381</v>
      </c>
      <c r="H74" s="8">
        <v>6268.7386978746026</v>
      </c>
      <c r="I74" s="8">
        <v>6402.2298368615757</v>
      </c>
      <c r="J74" s="8">
        <v>6455.7439711831212</v>
      </c>
      <c r="K74" s="8">
        <v>6429.1850997886104</v>
      </c>
      <c r="L74" s="8">
        <v>6453.9309387797784</v>
      </c>
      <c r="M74" s="8">
        <v>6360.7188727803714</v>
      </c>
      <c r="N74" s="8">
        <f>SUMPRODUCT(B74:M74,$B$73:$M$73)/SUM($B$73:$M$73)</f>
        <v>6355.6512817964895</v>
      </c>
    </row>
    <row r="75" spans="1:15" x14ac:dyDescent="0.35">
      <c r="A75" s="5" t="s">
        <v>36</v>
      </c>
      <c r="B75" s="7">
        <v>0.63238991761318497</v>
      </c>
      <c r="C75" s="7">
        <v>0.69248100776136201</v>
      </c>
      <c r="D75" s="7">
        <v>0.65200146322569297</v>
      </c>
      <c r="E75" s="7">
        <v>0.65479545313176901</v>
      </c>
      <c r="F75" s="7">
        <v>0.61486787827618805</v>
      </c>
      <c r="G75" s="7">
        <v>0.63759554200202295</v>
      </c>
      <c r="H75" s="7">
        <v>0.63464406615669899</v>
      </c>
      <c r="I75" s="7">
        <v>0.55063000651322802</v>
      </c>
      <c r="J75" s="7">
        <v>0.52383376576180996</v>
      </c>
      <c r="K75" s="7">
        <v>0.52785902773208504</v>
      </c>
      <c r="L75" s="7">
        <v>0.546982631574634</v>
      </c>
      <c r="M75" s="7">
        <v>0.54360501085869495</v>
      </c>
      <c r="N75" s="7">
        <f t="shared" ref="N75:N78" si="28">SUMPRODUCT(B75:M75,$B$73:$M$73)/SUM($B$73:$M$73)</f>
        <v>0.60341465782487103</v>
      </c>
    </row>
    <row r="76" spans="1:15" x14ac:dyDescent="0.35">
      <c r="A76" s="5" t="s">
        <v>37</v>
      </c>
      <c r="B76" s="7">
        <v>5.1400008226411904</v>
      </c>
      <c r="C76" s="7">
        <v>4.5591191358841403</v>
      </c>
      <c r="D76" s="7">
        <v>4.5963271300049602</v>
      </c>
      <c r="E76" s="7">
        <v>5.1237409897543804</v>
      </c>
      <c r="F76" s="7">
        <v>4.8279056232027298</v>
      </c>
      <c r="G76" s="7">
        <v>4.5406008919884</v>
      </c>
      <c r="H76" s="7">
        <v>5.46940983358121</v>
      </c>
      <c r="I76" s="7">
        <v>4.9514040687002403</v>
      </c>
      <c r="J76" s="7">
        <v>4.2318464131914997</v>
      </c>
      <c r="K76" s="7">
        <v>4.7988366524975996</v>
      </c>
      <c r="L76" s="7">
        <v>4.93003836984703</v>
      </c>
      <c r="M76" s="7">
        <v>4.9975468448450897</v>
      </c>
      <c r="N76" s="7">
        <f t="shared" si="28"/>
        <v>4.8411373574408625</v>
      </c>
    </row>
    <row r="77" spans="1:15" x14ac:dyDescent="0.35">
      <c r="A77" s="5" t="s">
        <v>38</v>
      </c>
      <c r="B77" s="7">
        <v>7.9684127195664098</v>
      </c>
      <c r="C77" s="7">
        <v>7.5073713345746302</v>
      </c>
      <c r="D77" s="7">
        <v>7.3053122036805602</v>
      </c>
      <c r="E77" s="7">
        <v>7.3141874168513201</v>
      </c>
      <c r="F77" s="7">
        <v>7.2934235711691597</v>
      </c>
      <c r="G77" s="7">
        <v>7.0845271641510301</v>
      </c>
      <c r="H77" s="7">
        <v>7.3044096894042596</v>
      </c>
      <c r="I77" s="7">
        <v>7.5575721221498098</v>
      </c>
      <c r="J77" s="7">
        <v>7.1826945652590499</v>
      </c>
      <c r="K77" s="7">
        <v>7.4774673877961497</v>
      </c>
      <c r="L77" s="7">
        <v>7.3249599667415399</v>
      </c>
      <c r="M77" s="7">
        <v>7.6231050296600698</v>
      </c>
      <c r="N77" s="7">
        <f t="shared" si="28"/>
        <v>7.386331839135952</v>
      </c>
    </row>
    <row r="78" spans="1:15" x14ac:dyDescent="0.35">
      <c r="A78" s="5" t="s">
        <v>25</v>
      </c>
      <c r="B78" s="7">
        <v>13.501773791466501</v>
      </c>
      <c r="C78" s="7">
        <v>14.506560947286875</v>
      </c>
      <c r="D78" s="7">
        <v>14.200725957541751</v>
      </c>
      <c r="E78" s="7">
        <v>13.742458193290251</v>
      </c>
      <c r="F78" s="7">
        <v>13.759598617916499</v>
      </c>
      <c r="G78" s="7">
        <v>15.888522129933875</v>
      </c>
      <c r="H78" s="7">
        <v>14.347097458553</v>
      </c>
      <c r="I78" s="7">
        <v>13.186564691276374</v>
      </c>
      <c r="J78" s="7">
        <v>13.129570168035125</v>
      </c>
      <c r="K78" s="7">
        <v>12.982684650667624</v>
      </c>
      <c r="L78" s="7">
        <v>12.464583441012387</v>
      </c>
      <c r="M78" s="7">
        <v>13.528504363957126</v>
      </c>
      <c r="N78" s="7">
        <f t="shared" si="28"/>
        <v>13.846499085482177</v>
      </c>
    </row>
    <row r="79" spans="1:15" s="2" customFormat="1" x14ac:dyDescent="0.35">
      <c r="A79" s="9" t="s">
        <v>39</v>
      </c>
      <c r="B79" s="10">
        <v>100</v>
      </c>
      <c r="C79" s="10">
        <v>100</v>
      </c>
      <c r="D79" s="10">
        <v>120</v>
      </c>
      <c r="E79" s="10">
        <v>110</v>
      </c>
      <c r="F79" s="10">
        <v>130</v>
      </c>
      <c r="G79" s="10">
        <v>120</v>
      </c>
      <c r="H79" s="10">
        <v>130</v>
      </c>
      <c r="I79" s="10">
        <v>150</v>
      </c>
      <c r="J79" s="10">
        <v>120</v>
      </c>
      <c r="K79" s="10">
        <v>130</v>
      </c>
      <c r="L79" s="10">
        <v>120</v>
      </c>
      <c r="M79" s="10">
        <v>150</v>
      </c>
      <c r="N79" s="10">
        <f>SUM(B79:M79)</f>
        <v>1480</v>
      </c>
    </row>
    <row r="80" spans="1:15" x14ac:dyDescent="0.35">
      <c r="A80" s="5" t="s">
        <v>60</v>
      </c>
      <c r="B80" s="8">
        <v>6528.8012797245638</v>
      </c>
      <c r="C80" s="8">
        <v>6523.4410485998433</v>
      </c>
      <c r="D80" s="8">
        <v>6602.1856468823917</v>
      </c>
      <c r="E80" s="8">
        <v>6481.08549184607</v>
      </c>
      <c r="F80" s="8">
        <v>6487.5273811442139</v>
      </c>
      <c r="G80" s="8">
        <v>6515.571438084402</v>
      </c>
      <c r="H80" s="8">
        <v>6445.0322974685605</v>
      </c>
      <c r="I80" s="8">
        <v>6472.1448439150581</v>
      </c>
      <c r="J80" s="8">
        <v>6412.4032320438118</v>
      </c>
      <c r="K80" s="8">
        <v>6476.7335262632087</v>
      </c>
      <c r="L80" s="8">
        <v>6460.6228119435345</v>
      </c>
      <c r="M80" s="8">
        <v>6423.295236099113</v>
      </c>
      <c r="N80" s="8">
        <f>SUMPRODUCT(B80:M80,$B$79:$M$79)/SUM($B$79:$M$79)</f>
        <v>6482.8119871932486</v>
      </c>
    </row>
    <row r="81" spans="1:16" x14ac:dyDescent="0.35">
      <c r="A81" s="5" t="s">
        <v>40</v>
      </c>
      <c r="B81" s="7">
        <v>1.8419030452067799</v>
      </c>
      <c r="C81" s="7">
        <v>2.1453577261518602</v>
      </c>
      <c r="D81" s="7">
        <v>1.7213436922084799</v>
      </c>
      <c r="E81" s="7">
        <v>1.7720411434008401</v>
      </c>
      <c r="F81" s="7">
        <v>1.7757748411372201</v>
      </c>
      <c r="G81" s="7">
        <v>2.0870683125705898</v>
      </c>
      <c r="H81" s="7">
        <v>1.81379341991147</v>
      </c>
      <c r="I81" s="7">
        <v>1.82869354084894</v>
      </c>
      <c r="J81" s="7">
        <v>1.84821414527398</v>
      </c>
      <c r="K81" s="7">
        <v>1.8968173866107201</v>
      </c>
      <c r="L81" s="7">
        <v>1.81902940099376</v>
      </c>
      <c r="M81" s="7">
        <v>1.9904988877701799</v>
      </c>
      <c r="N81" s="7">
        <f t="shared" ref="N81:N84" si="29">SUMPRODUCT(B81:M81,$B$79:$M$79)/SUM($B$79:$M$79)</f>
        <v>1.8762420726514626</v>
      </c>
    </row>
    <row r="82" spans="1:16" x14ac:dyDescent="0.35">
      <c r="A82" s="5" t="s">
        <v>37</v>
      </c>
      <c r="B82" s="7">
        <v>6.7257045938398603</v>
      </c>
      <c r="C82" s="7">
        <v>7.6729169335237897</v>
      </c>
      <c r="D82" s="7">
        <v>55.9656466134116</v>
      </c>
      <c r="E82" s="7">
        <v>5.9370559464232704</v>
      </c>
      <c r="F82" s="7">
        <v>5.2917712925480398</v>
      </c>
      <c r="G82" s="7">
        <v>7.3265169057402604</v>
      </c>
      <c r="H82" s="7">
        <v>5.9374765556133804</v>
      </c>
      <c r="I82" s="7">
        <v>5.9831573658387596</v>
      </c>
      <c r="J82" s="7">
        <v>6.0080331869390102</v>
      </c>
      <c r="K82" s="7">
        <v>6.0190798405328803</v>
      </c>
      <c r="L82" s="7">
        <v>6.0931431583968196</v>
      </c>
      <c r="M82" s="7">
        <v>5.9789559137233397</v>
      </c>
      <c r="N82" s="7">
        <f t="shared" si="29"/>
        <v>10.254553163544609</v>
      </c>
    </row>
    <row r="83" spans="1:16" x14ac:dyDescent="0.35">
      <c r="A83" s="5" t="s">
        <v>38</v>
      </c>
      <c r="B83" s="7">
        <v>7.2396068035292096</v>
      </c>
      <c r="C83" s="7">
        <v>7.1179754392605297</v>
      </c>
      <c r="D83" s="7">
        <v>6.70650535542008</v>
      </c>
      <c r="E83" s="7">
        <v>6.8833177652101698</v>
      </c>
      <c r="F83" s="7">
        <v>6.7128750919537499</v>
      </c>
      <c r="G83" s="7">
        <v>6.6876777458339998</v>
      </c>
      <c r="H83" s="7">
        <v>6.6455047447535698</v>
      </c>
      <c r="I83" s="7">
        <v>6.3583254552017303</v>
      </c>
      <c r="J83" s="7">
        <v>6.7263937642713101</v>
      </c>
      <c r="K83" s="7">
        <v>6.4663362167734801</v>
      </c>
      <c r="L83" s="7">
        <v>6.2063255544558302</v>
      </c>
      <c r="M83" s="7">
        <v>6.1537235204866203</v>
      </c>
      <c r="N83" s="7">
        <f t="shared" si="29"/>
        <v>6.6257918257808086</v>
      </c>
    </row>
    <row r="84" spans="1:16" x14ac:dyDescent="0.35">
      <c r="A84" s="5" t="s">
        <v>25</v>
      </c>
      <c r="B84" s="7">
        <v>11.802556881451491</v>
      </c>
      <c r="C84" s="7">
        <v>10.616484809103152</v>
      </c>
      <c r="D84" s="7">
        <v>10.666707929638552</v>
      </c>
      <c r="E84" s="7">
        <v>11.538927408118219</v>
      </c>
      <c r="F84" s="7">
        <v>11.478201392020001</v>
      </c>
      <c r="G84" s="7">
        <v>10.023203001736388</v>
      </c>
      <c r="H84" s="7">
        <v>11.71496750954244</v>
      </c>
      <c r="I84" s="7">
        <v>11.1861149948812</v>
      </c>
      <c r="J84" s="7">
        <v>11.92604943552946</v>
      </c>
      <c r="K84" s="7">
        <v>11.484406114408591</v>
      </c>
      <c r="L84" s="7">
        <v>11.08083488825698</v>
      </c>
      <c r="M84" s="7">
        <v>11.4168335968786</v>
      </c>
      <c r="N84" s="7">
        <f t="shared" si="29"/>
        <v>11.252249091491917</v>
      </c>
    </row>
    <row r="85" spans="1:16" s="2" customFormat="1" x14ac:dyDescent="0.35">
      <c r="A85" s="9" t="s">
        <v>64</v>
      </c>
      <c r="B85" s="10">
        <v>7</v>
      </c>
      <c r="C85" s="10">
        <v>5</v>
      </c>
      <c r="D85" s="10">
        <v>8</v>
      </c>
      <c r="E85" s="10">
        <v>7</v>
      </c>
      <c r="F85" s="10">
        <v>10</v>
      </c>
      <c r="G85" s="10">
        <v>15</v>
      </c>
      <c r="H85" s="10">
        <v>15</v>
      </c>
      <c r="I85" s="10">
        <v>20</v>
      </c>
      <c r="J85" s="10">
        <v>10</v>
      </c>
      <c r="K85" s="10">
        <v>8</v>
      </c>
      <c r="L85" s="10">
        <v>7</v>
      </c>
      <c r="M85" s="10">
        <v>8</v>
      </c>
      <c r="N85" s="10">
        <f>SUM(B85:M85)</f>
        <v>120</v>
      </c>
    </row>
    <row r="86" spans="1:16" x14ac:dyDescent="0.35">
      <c r="A86" s="5" t="s">
        <v>60</v>
      </c>
      <c r="B86" s="8">
        <v>3581.7630737660656</v>
      </c>
      <c r="C86" s="8">
        <v>3599.0009409474374</v>
      </c>
      <c r="D86" s="8">
        <v>4341.3047199482971</v>
      </c>
      <c r="E86" s="8">
        <v>3587.2262601626016</v>
      </c>
      <c r="F86" s="8">
        <v>3651.2002116062845</v>
      </c>
      <c r="G86" s="8">
        <v>5641.0448876583969</v>
      </c>
      <c r="H86" s="8">
        <v>5567.1957616646541</v>
      </c>
      <c r="I86" s="8">
        <v>5442.612127455508</v>
      </c>
      <c r="J86" s="8">
        <v>5422.5221928173087</v>
      </c>
      <c r="K86" s="8">
        <v>5471.7948296685745</v>
      </c>
      <c r="L86" s="8">
        <v>5388.1089836950741</v>
      </c>
      <c r="M86" s="8">
        <v>5438.948456537958</v>
      </c>
      <c r="N86" s="8">
        <f>SUMPRODUCT(B86:M86,$B$85:$M$85)/SUM($B$85:$M$85)</f>
        <v>4963.534610921115</v>
      </c>
    </row>
    <row r="87" spans="1:16" x14ac:dyDescent="0.35">
      <c r="A87" s="5" t="s">
        <v>42</v>
      </c>
      <c r="B87" s="7">
        <v>1.1599999999999999</v>
      </c>
      <c r="C87" s="7">
        <v>1.1499999999999999</v>
      </c>
      <c r="D87" s="7">
        <v>1.44</v>
      </c>
      <c r="E87" s="7">
        <v>0.51</v>
      </c>
      <c r="F87" s="7">
        <v>0.5</v>
      </c>
      <c r="G87" s="7">
        <v>1.45</v>
      </c>
      <c r="H87" s="7">
        <v>1.5216666666666649</v>
      </c>
      <c r="I87" s="7">
        <v>1.5933333333333299</v>
      </c>
      <c r="J87" s="7">
        <v>1.61333333333333</v>
      </c>
      <c r="K87" s="7">
        <v>1.5833333333333299</v>
      </c>
      <c r="L87" s="7">
        <v>1.5533333333333299</v>
      </c>
      <c r="M87" s="7">
        <v>1.61333333333333</v>
      </c>
      <c r="N87" s="7">
        <f t="shared" ref="N87:N90" si="30">SUMPRODUCT(B87:M87,$B$85:$M$85)/SUM($B$85:$M$85)</f>
        <v>1.3581805555555537</v>
      </c>
    </row>
    <row r="88" spans="1:16" x14ac:dyDescent="0.35">
      <c r="A88" s="5" t="s">
        <v>37</v>
      </c>
      <c r="B88" s="7">
        <v>13.6</v>
      </c>
      <c r="C88" s="7">
        <v>13.18</v>
      </c>
      <c r="D88" s="7">
        <v>12.69</v>
      </c>
      <c r="E88" s="7">
        <v>14.445</v>
      </c>
      <c r="F88" s="7">
        <v>14.2</v>
      </c>
      <c r="G88" s="7">
        <v>6.835</v>
      </c>
      <c r="H88" s="7">
        <v>8.9933333333333252</v>
      </c>
      <c r="I88" s="7">
        <v>11.15166666666665</v>
      </c>
      <c r="J88" s="7">
        <v>11.1416666666666</v>
      </c>
      <c r="K88" s="7">
        <v>11.011666666666599</v>
      </c>
      <c r="L88" s="7">
        <v>11.171666666666599</v>
      </c>
      <c r="M88" s="7">
        <v>11.9816666666666</v>
      </c>
      <c r="N88" s="7">
        <f t="shared" si="30"/>
        <v>11.164652777777754</v>
      </c>
    </row>
    <row r="89" spans="1:16" x14ac:dyDescent="0.35">
      <c r="A89" s="5" t="s">
        <v>38</v>
      </c>
      <c r="B89" s="7">
        <v>7.41</v>
      </c>
      <c r="C89" s="7">
        <v>7.54</v>
      </c>
      <c r="D89" s="7">
        <v>7.16</v>
      </c>
      <c r="E89" s="7">
        <v>6.52</v>
      </c>
      <c r="F89" s="7">
        <v>6.43</v>
      </c>
      <c r="G89" s="7">
        <v>6.09</v>
      </c>
      <c r="H89" s="7">
        <v>6.1266666666666652</v>
      </c>
      <c r="I89" s="7">
        <v>6.1633333333333304</v>
      </c>
      <c r="J89" s="7">
        <v>6.1633333333333304</v>
      </c>
      <c r="K89" s="7">
        <v>6.1633333333333304</v>
      </c>
      <c r="L89" s="7">
        <v>6.1633333333333304</v>
      </c>
      <c r="M89" s="7">
        <v>6.1633333333333304</v>
      </c>
      <c r="N89" s="7">
        <f t="shared" si="30"/>
        <v>6.3891388888888878</v>
      </c>
    </row>
    <row r="90" spans="1:16" x14ac:dyDescent="0.35">
      <c r="A90" s="5" t="s">
        <v>25</v>
      </c>
      <c r="B90" s="7">
        <v>13.89</v>
      </c>
      <c r="C90" s="7">
        <v>14.11</v>
      </c>
      <c r="D90" s="7">
        <v>14.411999999999999</v>
      </c>
      <c r="E90" s="7">
        <v>13.208</v>
      </c>
      <c r="F90" s="7">
        <v>13.587999999999999</v>
      </c>
      <c r="G90" s="7">
        <v>13.532</v>
      </c>
      <c r="H90" s="7">
        <v>13.394666666666662</v>
      </c>
      <c r="I90" s="7">
        <v>14.053333333333327</v>
      </c>
      <c r="J90" s="7">
        <v>14.0233333333333</v>
      </c>
      <c r="K90" s="7">
        <v>13.983333333333301</v>
      </c>
      <c r="L90" s="7">
        <v>14.453333333333299</v>
      </c>
      <c r="M90" s="7">
        <v>14.053333333333301</v>
      </c>
      <c r="N90" s="7">
        <f t="shared" si="30"/>
        <v>13.850655555555546</v>
      </c>
    </row>
    <row r="91" spans="1:16" hidden="1" x14ac:dyDescent="0.35">
      <c r="A91" s="28" t="s">
        <v>53</v>
      </c>
      <c r="B91" s="29">
        <v>56.6</v>
      </c>
      <c r="C91" s="29">
        <v>56.9</v>
      </c>
      <c r="D91" s="29">
        <v>56.1</v>
      </c>
      <c r="E91" s="29">
        <v>55.6</v>
      </c>
      <c r="F91" s="29">
        <v>56.5</v>
      </c>
      <c r="G91" s="29">
        <v>55.8</v>
      </c>
      <c r="H91" s="29">
        <v>56</v>
      </c>
      <c r="I91" s="29">
        <v>55.2</v>
      </c>
      <c r="J91" s="29">
        <v>55.6</v>
      </c>
      <c r="K91" s="29">
        <v>56.2</v>
      </c>
      <c r="L91" s="29">
        <v>55.8</v>
      </c>
      <c r="M91" s="29">
        <v>55.2</v>
      </c>
      <c r="N91" s="29">
        <f>SUM(B91:M91)</f>
        <v>671.5</v>
      </c>
      <c r="O91" s="2"/>
      <c r="P91"/>
    </row>
    <row r="92" spans="1:16" hidden="1" x14ac:dyDescent="0.35">
      <c r="A92" s="5" t="s">
        <v>60</v>
      </c>
      <c r="B92" s="8">
        <v>6322</v>
      </c>
      <c r="C92" s="8">
        <v>6322</v>
      </c>
      <c r="D92" s="8">
        <v>6322</v>
      </c>
      <c r="E92" s="8">
        <v>6322</v>
      </c>
      <c r="F92" s="8">
        <v>6322</v>
      </c>
      <c r="G92" s="8">
        <v>6322</v>
      </c>
      <c r="H92" s="8">
        <v>6322</v>
      </c>
      <c r="I92" s="8">
        <v>6322</v>
      </c>
      <c r="J92" s="8">
        <v>6322</v>
      </c>
      <c r="K92" s="8">
        <v>6322</v>
      </c>
      <c r="L92" s="8">
        <v>6322</v>
      </c>
      <c r="M92" s="8">
        <v>6322</v>
      </c>
      <c r="N92" s="8">
        <v>6322</v>
      </c>
      <c r="P92"/>
    </row>
    <row r="93" spans="1:16" hidden="1" x14ac:dyDescent="0.35">
      <c r="A93" s="5" t="s">
        <v>66</v>
      </c>
      <c r="B93" s="7">
        <v>0.6</v>
      </c>
      <c r="C93" s="7">
        <v>0.6</v>
      </c>
      <c r="D93" s="7">
        <v>0.6</v>
      </c>
      <c r="E93" s="7">
        <v>0.6</v>
      </c>
      <c r="F93" s="7">
        <v>0.6</v>
      </c>
      <c r="G93" s="7">
        <v>0.6</v>
      </c>
      <c r="H93" s="7">
        <v>0.6</v>
      </c>
      <c r="I93" s="7">
        <v>0.6</v>
      </c>
      <c r="J93" s="7">
        <v>0.6</v>
      </c>
      <c r="K93" s="7">
        <v>0.6</v>
      </c>
      <c r="L93" s="7">
        <v>0.6</v>
      </c>
      <c r="M93" s="7">
        <v>0.6</v>
      </c>
      <c r="N93" s="7">
        <v>0.6</v>
      </c>
      <c r="P93"/>
    </row>
    <row r="94" spans="1:16" hidden="1" x14ac:dyDescent="0.35">
      <c r="A94" s="5" t="s">
        <v>67</v>
      </c>
      <c r="B94" s="7">
        <v>7</v>
      </c>
      <c r="C94" s="7">
        <v>7</v>
      </c>
      <c r="D94" s="7">
        <v>7</v>
      </c>
      <c r="E94" s="7">
        <v>7</v>
      </c>
      <c r="F94" s="7">
        <v>7</v>
      </c>
      <c r="G94" s="7">
        <v>7</v>
      </c>
      <c r="H94" s="7">
        <v>7</v>
      </c>
      <c r="I94" s="7">
        <v>7</v>
      </c>
      <c r="J94" s="7">
        <v>7</v>
      </c>
      <c r="K94" s="7">
        <v>7</v>
      </c>
      <c r="L94" s="7">
        <v>7</v>
      </c>
      <c r="M94" s="7">
        <v>7</v>
      </c>
      <c r="N94" s="7">
        <v>7</v>
      </c>
      <c r="P94"/>
    </row>
    <row r="95" spans="1:16" hidden="1" x14ac:dyDescent="0.35">
      <c r="A95" s="5" t="s">
        <v>38</v>
      </c>
      <c r="B95" s="7">
        <v>12</v>
      </c>
      <c r="C95" s="7">
        <v>12</v>
      </c>
      <c r="D95" s="7">
        <v>12</v>
      </c>
      <c r="E95" s="7">
        <v>12</v>
      </c>
      <c r="F95" s="7">
        <v>12</v>
      </c>
      <c r="G95" s="7">
        <v>12</v>
      </c>
      <c r="H95" s="7">
        <v>12</v>
      </c>
      <c r="I95" s="7">
        <v>12</v>
      </c>
      <c r="J95" s="7">
        <v>12</v>
      </c>
      <c r="K95" s="7">
        <v>12</v>
      </c>
      <c r="L95" s="7">
        <v>12</v>
      </c>
      <c r="M95" s="7">
        <v>12</v>
      </c>
      <c r="N95" s="7">
        <v>12</v>
      </c>
      <c r="P95"/>
    </row>
    <row r="96" spans="1:16" hidden="1" x14ac:dyDescent="0.35">
      <c r="A96" s="5" t="s">
        <v>25</v>
      </c>
      <c r="B96" s="7">
        <v>14</v>
      </c>
      <c r="C96" s="7">
        <v>14</v>
      </c>
      <c r="D96" s="7">
        <v>14</v>
      </c>
      <c r="E96" s="7">
        <v>14</v>
      </c>
      <c r="F96" s="7">
        <v>14</v>
      </c>
      <c r="G96" s="7">
        <v>14</v>
      </c>
      <c r="H96" s="7">
        <v>14</v>
      </c>
      <c r="I96" s="7">
        <v>14</v>
      </c>
      <c r="J96" s="7">
        <v>14</v>
      </c>
      <c r="K96" s="7">
        <v>14</v>
      </c>
      <c r="L96" s="7">
        <v>14</v>
      </c>
      <c r="M96" s="7">
        <v>14</v>
      </c>
      <c r="N96" s="7">
        <v>14</v>
      </c>
      <c r="P96"/>
    </row>
    <row r="97" spans="1:16" hidden="1" x14ac:dyDescent="0.35">
      <c r="A97" s="28" t="s">
        <v>54</v>
      </c>
      <c r="B97" s="29">
        <v>82.5</v>
      </c>
      <c r="C97" s="29">
        <v>82.5</v>
      </c>
      <c r="D97" s="29">
        <v>82.5</v>
      </c>
      <c r="E97" s="29">
        <v>82.5</v>
      </c>
      <c r="F97" s="29">
        <v>82.5</v>
      </c>
      <c r="G97" s="29">
        <v>82.5</v>
      </c>
      <c r="H97" s="29">
        <v>82.5</v>
      </c>
      <c r="I97" s="29">
        <v>82.5</v>
      </c>
      <c r="J97" s="29">
        <v>90</v>
      </c>
      <c r="K97" s="29">
        <v>90</v>
      </c>
      <c r="L97" s="29">
        <v>82.5</v>
      </c>
      <c r="M97" s="29">
        <v>82.5</v>
      </c>
      <c r="N97" s="29">
        <f>SUM(B97:M97)</f>
        <v>1005</v>
      </c>
      <c r="O97" s="2"/>
      <c r="P97"/>
    </row>
    <row r="98" spans="1:16" hidden="1" x14ac:dyDescent="0.35">
      <c r="A98" s="5" t="s">
        <v>60</v>
      </c>
      <c r="B98" s="8">
        <v>5400</v>
      </c>
      <c r="C98" s="8">
        <v>5400</v>
      </c>
      <c r="D98" s="8">
        <v>5400</v>
      </c>
      <c r="E98" s="8">
        <v>5400</v>
      </c>
      <c r="F98" s="8">
        <v>5400</v>
      </c>
      <c r="G98" s="8">
        <v>5400</v>
      </c>
      <c r="H98" s="8">
        <v>5400</v>
      </c>
      <c r="I98" s="8">
        <v>5400</v>
      </c>
      <c r="J98" s="8">
        <v>5400</v>
      </c>
      <c r="K98" s="8">
        <v>5400</v>
      </c>
      <c r="L98" s="8">
        <v>5400</v>
      </c>
      <c r="M98" s="8">
        <v>5400</v>
      </c>
      <c r="N98" s="8">
        <v>5400</v>
      </c>
      <c r="P98"/>
    </row>
    <row r="99" spans="1:16" hidden="1" x14ac:dyDescent="0.35">
      <c r="A99" s="5" t="s">
        <v>42</v>
      </c>
      <c r="B99" s="7">
        <v>1</v>
      </c>
      <c r="C99" s="7">
        <v>1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P99"/>
    </row>
    <row r="100" spans="1:16" hidden="1" x14ac:dyDescent="0.35">
      <c r="A100" s="5" t="s">
        <v>67</v>
      </c>
      <c r="B100" s="7">
        <v>6</v>
      </c>
      <c r="C100" s="7">
        <v>6</v>
      </c>
      <c r="D100" s="7">
        <v>6</v>
      </c>
      <c r="E100" s="7">
        <v>6</v>
      </c>
      <c r="F100" s="7">
        <v>6</v>
      </c>
      <c r="G100" s="7">
        <v>6</v>
      </c>
      <c r="H100" s="7">
        <v>6</v>
      </c>
      <c r="I100" s="7">
        <v>6</v>
      </c>
      <c r="J100" s="7">
        <v>6</v>
      </c>
      <c r="K100" s="7">
        <v>6</v>
      </c>
      <c r="L100" s="7">
        <v>6</v>
      </c>
      <c r="M100" s="7">
        <v>6</v>
      </c>
      <c r="N100" s="7">
        <v>6</v>
      </c>
      <c r="P100"/>
    </row>
    <row r="101" spans="1:16" hidden="1" x14ac:dyDescent="0.35">
      <c r="A101" s="5" t="s">
        <v>38</v>
      </c>
      <c r="B101" s="7">
        <v>15</v>
      </c>
      <c r="C101" s="7">
        <v>15</v>
      </c>
      <c r="D101" s="7">
        <v>15</v>
      </c>
      <c r="E101" s="7">
        <v>15</v>
      </c>
      <c r="F101" s="7">
        <v>15</v>
      </c>
      <c r="G101" s="7">
        <v>15</v>
      </c>
      <c r="H101" s="7">
        <v>15</v>
      </c>
      <c r="I101" s="7">
        <v>15</v>
      </c>
      <c r="J101" s="7">
        <v>15</v>
      </c>
      <c r="K101" s="7">
        <v>15</v>
      </c>
      <c r="L101" s="7">
        <v>15</v>
      </c>
      <c r="M101" s="7">
        <v>15</v>
      </c>
      <c r="N101" s="7">
        <v>15</v>
      </c>
      <c r="P101"/>
    </row>
    <row r="102" spans="1:16" hidden="1" x14ac:dyDescent="0.35">
      <c r="A102" s="5" t="s">
        <v>25</v>
      </c>
      <c r="B102" s="7">
        <v>24</v>
      </c>
      <c r="C102" s="7">
        <v>24</v>
      </c>
      <c r="D102" s="7">
        <v>24</v>
      </c>
      <c r="E102" s="7">
        <v>24</v>
      </c>
      <c r="F102" s="7">
        <v>24</v>
      </c>
      <c r="G102" s="7">
        <v>24</v>
      </c>
      <c r="H102" s="7">
        <v>24</v>
      </c>
      <c r="I102" s="7">
        <v>24</v>
      </c>
      <c r="J102" s="7">
        <v>24</v>
      </c>
      <c r="K102" s="7">
        <v>24</v>
      </c>
      <c r="L102" s="7">
        <v>24</v>
      </c>
      <c r="M102" s="7">
        <v>24</v>
      </c>
      <c r="N102" s="7">
        <v>24</v>
      </c>
      <c r="P102"/>
    </row>
    <row r="104" spans="1:16" x14ac:dyDescent="0.35">
      <c r="A104" s="6" t="s">
        <v>48</v>
      </c>
      <c r="B104" s="6" t="s">
        <v>1</v>
      </c>
      <c r="C104" s="6" t="s">
        <v>2</v>
      </c>
      <c r="D104" s="6" t="s">
        <v>3</v>
      </c>
      <c r="E104" s="6" t="s">
        <v>4</v>
      </c>
      <c r="F104" s="6" t="s">
        <v>5</v>
      </c>
      <c r="G104" s="6" t="s">
        <v>6</v>
      </c>
      <c r="H104" s="6" t="s">
        <v>7</v>
      </c>
      <c r="I104" s="6" t="s">
        <v>8</v>
      </c>
      <c r="J104" s="6" t="s">
        <v>9</v>
      </c>
      <c r="K104" s="6" t="s">
        <v>10</v>
      </c>
      <c r="L104" s="6" t="s">
        <v>11</v>
      </c>
      <c r="M104" s="6" t="s">
        <v>12</v>
      </c>
      <c r="N104" s="6" t="s">
        <v>13</v>
      </c>
      <c r="O104" s="4"/>
    </row>
    <row r="105" spans="1:16" s="2" customFormat="1" x14ac:dyDescent="0.35">
      <c r="A105" s="9" t="s">
        <v>14</v>
      </c>
      <c r="B105" s="10">
        <f>SUM(B106:B108)</f>
        <v>7995</v>
      </c>
      <c r="C105" s="10">
        <f t="shared" ref="C105:N105" si="31">SUM(C106:C108)</f>
        <v>7084</v>
      </c>
      <c r="D105" s="10">
        <f t="shared" si="31"/>
        <v>7619</v>
      </c>
      <c r="E105" s="10">
        <f t="shared" si="31"/>
        <v>7232</v>
      </c>
      <c r="F105" s="10">
        <f t="shared" si="31"/>
        <v>7571</v>
      </c>
      <c r="G105" s="10">
        <f t="shared" si="31"/>
        <v>7592.9999999999991</v>
      </c>
      <c r="H105" s="10">
        <f t="shared" si="31"/>
        <v>8096.9999999999982</v>
      </c>
      <c r="I105" s="10">
        <f t="shared" si="31"/>
        <v>8330</v>
      </c>
      <c r="J105" s="10">
        <f t="shared" si="31"/>
        <v>7698</v>
      </c>
      <c r="K105" s="10">
        <f t="shared" si="31"/>
        <v>7481.9999999999991</v>
      </c>
      <c r="L105" s="10">
        <f t="shared" si="31"/>
        <v>6860</v>
      </c>
      <c r="M105" s="10">
        <f t="shared" si="31"/>
        <v>7389.0000000000009</v>
      </c>
      <c r="N105" s="10">
        <f t="shared" si="31"/>
        <v>90950</v>
      </c>
      <c r="P105" s="1" t="s">
        <v>61</v>
      </c>
    </row>
    <row r="106" spans="1:16" x14ac:dyDescent="0.35">
      <c r="A106" s="5" t="s">
        <v>30</v>
      </c>
      <c r="B106" s="8">
        <v>2085</v>
      </c>
      <c r="C106" s="8">
        <v>1783.9999999999998</v>
      </c>
      <c r="D106" s="8">
        <v>1974</v>
      </c>
      <c r="E106" s="8">
        <v>1997</v>
      </c>
      <c r="F106" s="8">
        <v>1991</v>
      </c>
      <c r="G106" s="8">
        <v>1967.9999999999993</v>
      </c>
      <c r="H106" s="8">
        <v>2131.9999999999986</v>
      </c>
      <c r="I106" s="8">
        <v>2305.0000000000009</v>
      </c>
      <c r="J106" s="8">
        <v>2063</v>
      </c>
      <c r="K106" s="8">
        <v>2061.9999999999991</v>
      </c>
      <c r="L106" s="8">
        <v>1755</v>
      </c>
      <c r="M106" s="8">
        <v>1884.0000000000009</v>
      </c>
      <c r="N106" s="8">
        <f>SUM(B106:M106)</f>
        <v>24000</v>
      </c>
    </row>
    <row r="107" spans="1:16" x14ac:dyDescent="0.35">
      <c r="A107" s="5" t="s">
        <v>57</v>
      </c>
      <c r="B107" s="8">
        <v>4250</v>
      </c>
      <c r="C107" s="8">
        <v>3810</v>
      </c>
      <c r="D107" s="8">
        <v>4105</v>
      </c>
      <c r="E107" s="8">
        <v>4235</v>
      </c>
      <c r="F107" s="8">
        <v>4480</v>
      </c>
      <c r="G107" s="8">
        <v>4475</v>
      </c>
      <c r="H107" s="8">
        <v>4785</v>
      </c>
      <c r="I107" s="8">
        <v>4825</v>
      </c>
      <c r="J107" s="8">
        <v>4495</v>
      </c>
      <c r="K107" s="8">
        <v>4420</v>
      </c>
      <c r="L107" s="8">
        <v>4115</v>
      </c>
      <c r="M107" s="8">
        <v>4455</v>
      </c>
      <c r="N107" s="8">
        <f t="shared" ref="N107:N108" si="32">SUM(B107:M107)</f>
        <v>52450</v>
      </c>
    </row>
    <row r="108" spans="1:16" x14ac:dyDescent="0.35">
      <c r="A108" s="5" t="s">
        <v>45</v>
      </c>
      <c r="B108" s="8">
        <v>1660</v>
      </c>
      <c r="C108" s="8">
        <v>1490</v>
      </c>
      <c r="D108" s="8">
        <v>1540</v>
      </c>
      <c r="E108" s="8">
        <v>1000</v>
      </c>
      <c r="F108" s="8">
        <v>1100</v>
      </c>
      <c r="G108" s="8">
        <v>1150</v>
      </c>
      <c r="H108" s="8">
        <v>1180</v>
      </c>
      <c r="I108" s="8">
        <v>1200</v>
      </c>
      <c r="J108" s="8">
        <v>1140</v>
      </c>
      <c r="K108" s="8">
        <v>1000</v>
      </c>
      <c r="L108" s="8">
        <v>990</v>
      </c>
      <c r="M108" s="8">
        <v>1050</v>
      </c>
      <c r="N108" s="8">
        <f t="shared" si="32"/>
        <v>14500</v>
      </c>
    </row>
    <row r="109" spans="1:16" s="2" customFormat="1" x14ac:dyDescent="0.35">
      <c r="A109" s="9" t="s">
        <v>17</v>
      </c>
      <c r="B109" s="10">
        <f t="shared" ref="B109:M109" si="33">SUM(B110:B112)</f>
        <v>684</v>
      </c>
      <c r="C109" s="10">
        <f t="shared" si="33"/>
        <v>657.99999999999989</v>
      </c>
      <c r="D109" s="10">
        <f t="shared" si="33"/>
        <v>685.5</v>
      </c>
      <c r="E109" s="10">
        <f t="shared" si="33"/>
        <v>564</v>
      </c>
      <c r="F109" s="10">
        <f t="shared" si="33"/>
        <v>663</v>
      </c>
      <c r="G109" s="10">
        <f t="shared" si="33"/>
        <v>712</v>
      </c>
      <c r="H109" s="10">
        <f t="shared" si="33"/>
        <v>745</v>
      </c>
      <c r="I109" s="10">
        <f t="shared" si="33"/>
        <v>751.99999999999989</v>
      </c>
      <c r="J109" s="10">
        <f t="shared" si="33"/>
        <v>704</v>
      </c>
      <c r="K109" s="10">
        <f t="shared" si="33"/>
        <v>627.5</v>
      </c>
      <c r="L109" s="10">
        <f t="shared" si="33"/>
        <v>589</v>
      </c>
      <c r="M109" s="10">
        <f t="shared" si="33"/>
        <v>616</v>
      </c>
      <c r="N109" s="10">
        <f>SUM(B109:M109)</f>
        <v>8000</v>
      </c>
    </row>
    <row r="110" spans="1:16" x14ac:dyDescent="0.35">
      <c r="A110" s="5" t="s">
        <v>30</v>
      </c>
      <c r="B110" s="8">
        <v>194</v>
      </c>
      <c r="C110" s="8">
        <v>187.99999999999989</v>
      </c>
      <c r="D110" s="8">
        <v>185.49999999999994</v>
      </c>
      <c r="E110" s="8">
        <v>155.99999999999997</v>
      </c>
      <c r="F110" s="8">
        <v>195.99999999999994</v>
      </c>
      <c r="G110" s="8">
        <v>211.99999999999994</v>
      </c>
      <c r="H110" s="8">
        <v>245</v>
      </c>
      <c r="I110" s="8">
        <v>251.99999999999989</v>
      </c>
      <c r="J110" s="8">
        <v>234.00000000000006</v>
      </c>
      <c r="K110" s="8">
        <v>192.49999999999994</v>
      </c>
      <c r="L110" s="8">
        <v>168.99999999999994</v>
      </c>
      <c r="M110" s="8">
        <v>176</v>
      </c>
      <c r="N110" s="8">
        <f>SUM(B110:M110)</f>
        <v>2399.9999999999995</v>
      </c>
    </row>
    <row r="111" spans="1:16" x14ac:dyDescent="0.35">
      <c r="A111" s="5" t="s">
        <v>57</v>
      </c>
      <c r="B111" s="8">
        <v>360</v>
      </c>
      <c r="C111" s="8">
        <v>350</v>
      </c>
      <c r="D111" s="8">
        <v>375</v>
      </c>
      <c r="E111" s="8">
        <v>335</v>
      </c>
      <c r="F111" s="8">
        <v>380</v>
      </c>
      <c r="G111" s="8">
        <v>415</v>
      </c>
      <c r="H111" s="8">
        <v>375</v>
      </c>
      <c r="I111" s="8">
        <v>400</v>
      </c>
      <c r="J111" s="8">
        <v>370</v>
      </c>
      <c r="K111" s="8">
        <v>350</v>
      </c>
      <c r="L111" s="8">
        <v>340</v>
      </c>
      <c r="M111" s="8">
        <v>350</v>
      </c>
      <c r="N111" s="8">
        <f t="shared" ref="N111:N112" si="34">SUM(B111:M111)</f>
        <v>4400</v>
      </c>
    </row>
    <row r="112" spans="1:16" x14ac:dyDescent="0.35">
      <c r="A112" s="5" t="s">
        <v>45</v>
      </c>
      <c r="B112" s="8">
        <v>130</v>
      </c>
      <c r="C112" s="8">
        <v>120</v>
      </c>
      <c r="D112" s="8">
        <v>125</v>
      </c>
      <c r="E112" s="8">
        <v>73</v>
      </c>
      <c r="F112" s="8">
        <v>87</v>
      </c>
      <c r="G112" s="8">
        <v>85</v>
      </c>
      <c r="H112" s="8">
        <v>125</v>
      </c>
      <c r="I112" s="8">
        <v>100</v>
      </c>
      <c r="J112" s="8">
        <v>100</v>
      </c>
      <c r="K112" s="8">
        <v>85</v>
      </c>
      <c r="L112" s="8">
        <v>80</v>
      </c>
      <c r="M112" s="8">
        <v>90</v>
      </c>
      <c r="N112" s="8">
        <f t="shared" si="34"/>
        <v>1200</v>
      </c>
    </row>
    <row r="113" spans="1:14" s="2" customFormat="1" x14ac:dyDescent="0.35">
      <c r="A113" s="9" t="s">
        <v>43</v>
      </c>
      <c r="B113" s="11">
        <f t="shared" ref="B113:N113" si="35">B105/B109</f>
        <v>11.68859649122807</v>
      </c>
      <c r="C113" s="11">
        <f t="shared" si="35"/>
        <v>10.765957446808512</v>
      </c>
      <c r="D113" s="11">
        <f t="shared" si="35"/>
        <v>11.114514952589351</v>
      </c>
      <c r="E113" s="11">
        <f t="shared" si="35"/>
        <v>12.822695035460994</v>
      </c>
      <c r="F113" s="11">
        <f t="shared" si="35"/>
        <v>11.419306184012067</v>
      </c>
      <c r="G113" s="11">
        <f t="shared" si="35"/>
        <v>10.664325842696629</v>
      </c>
      <c r="H113" s="11">
        <f t="shared" si="35"/>
        <v>10.868456375838925</v>
      </c>
      <c r="I113" s="11">
        <f t="shared" si="35"/>
        <v>11.077127659574471</v>
      </c>
      <c r="J113" s="11">
        <f t="shared" si="35"/>
        <v>10.934659090909092</v>
      </c>
      <c r="K113" s="11">
        <f t="shared" si="35"/>
        <v>11.923505976095615</v>
      </c>
      <c r="L113" s="11">
        <f t="shared" si="35"/>
        <v>11.646859083191851</v>
      </c>
      <c r="M113" s="11">
        <f t="shared" si="35"/>
        <v>11.995129870129871</v>
      </c>
      <c r="N113" s="11">
        <f t="shared" si="35"/>
        <v>11.36875</v>
      </c>
    </row>
    <row r="114" spans="1:14" s="2" customFormat="1" x14ac:dyDescent="0.35">
      <c r="A114" s="9" t="s">
        <v>34</v>
      </c>
      <c r="B114" s="11">
        <f t="shared" ref="B114:N114" si="36">B105/B115</f>
        <v>11.421428571428571</v>
      </c>
      <c r="C114" s="11">
        <f t="shared" si="36"/>
        <v>10.119999999999999</v>
      </c>
      <c r="D114" s="11">
        <f t="shared" si="36"/>
        <v>10.884285714285713</v>
      </c>
      <c r="E114" s="11">
        <f t="shared" si="36"/>
        <v>11.126153846153846</v>
      </c>
      <c r="F114" s="11">
        <f t="shared" si="36"/>
        <v>11.647692307692308</v>
      </c>
      <c r="G114" s="11">
        <f t="shared" si="36"/>
        <v>11.681538461538461</v>
      </c>
      <c r="H114" s="11">
        <f t="shared" si="36"/>
        <v>11.567142857142855</v>
      </c>
      <c r="I114" s="11">
        <f t="shared" si="36"/>
        <v>11.732394366197184</v>
      </c>
      <c r="J114" s="11">
        <f t="shared" si="36"/>
        <v>10.997142857142856</v>
      </c>
      <c r="K114" s="11">
        <f t="shared" si="36"/>
        <v>11.336363636363634</v>
      </c>
      <c r="L114" s="11">
        <f t="shared" si="36"/>
        <v>10.71875</v>
      </c>
      <c r="M114" s="11">
        <f t="shared" si="36"/>
        <v>11.545312500000001</v>
      </c>
      <c r="N114" s="11">
        <f t="shared" si="36"/>
        <v>11.228395061728396</v>
      </c>
    </row>
    <row r="115" spans="1:14" s="2" customFormat="1" x14ac:dyDescent="0.35">
      <c r="A115" s="9" t="s">
        <v>49</v>
      </c>
      <c r="B115" s="10">
        <f>B116+B122</f>
        <v>700</v>
      </c>
      <c r="C115" s="10">
        <f t="shared" ref="C115:N115" si="37">C116+C122</f>
        <v>700</v>
      </c>
      <c r="D115" s="10">
        <f t="shared" si="37"/>
        <v>700</v>
      </c>
      <c r="E115" s="10">
        <f t="shared" si="37"/>
        <v>650</v>
      </c>
      <c r="F115" s="10">
        <f t="shared" si="37"/>
        <v>650</v>
      </c>
      <c r="G115" s="10">
        <f t="shared" si="37"/>
        <v>650</v>
      </c>
      <c r="H115" s="10">
        <f t="shared" si="37"/>
        <v>700</v>
      </c>
      <c r="I115" s="10">
        <f t="shared" si="37"/>
        <v>710</v>
      </c>
      <c r="J115" s="10">
        <f t="shared" si="37"/>
        <v>700</v>
      </c>
      <c r="K115" s="10">
        <f t="shared" si="37"/>
        <v>660</v>
      </c>
      <c r="L115" s="10">
        <f t="shared" si="37"/>
        <v>640</v>
      </c>
      <c r="M115" s="10">
        <f t="shared" si="37"/>
        <v>640</v>
      </c>
      <c r="N115" s="10">
        <f t="shared" si="37"/>
        <v>8100</v>
      </c>
    </row>
    <row r="116" spans="1:14" s="2" customFormat="1" x14ac:dyDescent="0.35">
      <c r="A116" s="9" t="s">
        <v>89</v>
      </c>
      <c r="B116" s="10">
        <v>400</v>
      </c>
      <c r="C116" s="10">
        <v>480</v>
      </c>
      <c r="D116" s="10">
        <v>480</v>
      </c>
      <c r="E116" s="10">
        <v>465</v>
      </c>
      <c r="F116" s="10">
        <v>465</v>
      </c>
      <c r="G116" s="10">
        <v>460</v>
      </c>
      <c r="H116" s="10">
        <v>500</v>
      </c>
      <c r="I116" s="10">
        <v>490</v>
      </c>
      <c r="J116" s="10">
        <v>480</v>
      </c>
      <c r="K116" s="10">
        <v>460</v>
      </c>
      <c r="L116" s="10">
        <v>440</v>
      </c>
      <c r="M116" s="10">
        <v>440</v>
      </c>
      <c r="N116" s="10">
        <f>SUM(B116:M116)</f>
        <v>5560</v>
      </c>
    </row>
    <row r="117" spans="1:14" x14ac:dyDescent="0.35">
      <c r="A117" s="5" t="s">
        <v>60</v>
      </c>
      <c r="B117" s="8">
        <v>6030.4357814927362</v>
      </c>
      <c r="C117" s="8">
        <v>5774.2276646849386</v>
      </c>
      <c r="D117" s="8">
        <v>5860.9708116608763</v>
      </c>
      <c r="E117" s="8">
        <v>5868.1864226528614</v>
      </c>
      <c r="F117" s="8">
        <v>5954.6027202388759</v>
      </c>
      <c r="G117" s="8">
        <v>5916.1255336096965</v>
      </c>
      <c r="H117" s="8">
        <v>5984.1869808979909</v>
      </c>
      <c r="I117" s="8">
        <v>5944.3265998459783</v>
      </c>
      <c r="J117" s="8">
        <v>5921.0085428423181</v>
      </c>
      <c r="K117" s="8">
        <v>5916.7362162196005</v>
      </c>
      <c r="L117" s="8">
        <v>5898.2909887133328</v>
      </c>
      <c r="M117" s="8">
        <v>5928.9325032790275</v>
      </c>
      <c r="N117" s="8">
        <f>SUMPRODUCT(B117:M117,$B$116:$M$116)/SUM($B$116:$M$116)</f>
        <v>5915.2264206877153</v>
      </c>
    </row>
    <row r="118" spans="1:14" x14ac:dyDescent="0.35">
      <c r="A118" s="5" t="s">
        <v>22</v>
      </c>
      <c r="B118" s="7">
        <v>0.53158467391584474</v>
      </c>
      <c r="C118" s="7">
        <v>0.52888776957649841</v>
      </c>
      <c r="D118" s="7">
        <v>0.51140210533143016</v>
      </c>
      <c r="E118" s="7">
        <v>0.47876764008773132</v>
      </c>
      <c r="F118" s="7">
        <v>0.51889295774581812</v>
      </c>
      <c r="G118" s="7">
        <v>0.54684188086311158</v>
      </c>
      <c r="H118" s="7">
        <v>0.61559945024075446</v>
      </c>
      <c r="I118" s="7">
        <v>0.65164339698113882</v>
      </c>
      <c r="J118" s="7">
        <v>0.57082928603597893</v>
      </c>
      <c r="K118" s="7">
        <v>0.61027739358512456</v>
      </c>
      <c r="L118" s="7">
        <v>0.68842584286686559</v>
      </c>
      <c r="M118" s="7">
        <v>0.67517043062076731</v>
      </c>
      <c r="N118" s="7">
        <f t="shared" ref="N118:N121" si="38">SUMPRODUCT(B118:M118,$B$116:$M$116)/SUM($B$116:$M$116)</f>
        <v>0.57720242104926189</v>
      </c>
    </row>
    <row r="119" spans="1:14" x14ac:dyDescent="0.35">
      <c r="A119" s="5" t="s">
        <v>23</v>
      </c>
      <c r="B119" s="7">
        <v>4.5798126626659954</v>
      </c>
      <c r="C119" s="7">
        <v>4.3819201459010451</v>
      </c>
      <c r="D119" s="7">
        <v>4.7059230060586206</v>
      </c>
      <c r="E119" s="7">
        <v>4.7159271838283319</v>
      </c>
      <c r="F119" s="7">
        <v>4.4700417129915948</v>
      </c>
      <c r="G119" s="7">
        <v>4.6727263311539593</v>
      </c>
      <c r="H119" s="7">
        <v>5.1675000848450257</v>
      </c>
      <c r="I119" s="7">
        <v>5.2806866728952429</v>
      </c>
      <c r="J119" s="7">
        <v>5.376416049039725</v>
      </c>
      <c r="K119" s="7">
        <v>5.2082429049172614</v>
      </c>
      <c r="L119" s="7">
        <v>4.9554984587139774</v>
      </c>
      <c r="M119" s="7">
        <v>5.0376142722205035</v>
      </c>
      <c r="N119" s="7">
        <f t="shared" si="38"/>
        <v>4.8848465793008069</v>
      </c>
    </row>
    <row r="120" spans="1:14" x14ac:dyDescent="0.35">
      <c r="A120" s="5" t="s">
        <v>38</v>
      </c>
      <c r="B120" s="7">
        <v>11.532529614702808</v>
      </c>
      <c r="C120" s="7">
        <v>12.161691848905418</v>
      </c>
      <c r="D120" s="7">
        <v>11.768774375470745</v>
      </c>
      <c r="E120" s="7">
        <v>10.98217037670126</v>
      </c>
      <c r="F120" s="7">
        <v>11.996304820089939</v>
      </c>
      <c r="G120" s="7">
        <v>11.373388092536571</v>
      </c>
      <c r="H120" s="7">
        <v>10.851380733454274</v>
      </c>
      <c r="I120" s="7">
        <v>11.259921803513318</v>
      </c>
      <c r="J120" s="7">
        <v>11.128284461914429</v>
      </c>
      <c r="K120" s="7">
        <v>11.312911978882918</v>
      </c>
      <c r="L120" s="7">
        <v>11.810253610966651</v>
      </c>
      <c r="M120" s="7">
        <v>11.519677357231016</v>
      </c>
      <c r="N120" s="7">
        <f t="shared" si="38"/>
        <v>11.469446555956317</v>
      </c>
    </row>
    <row r="121" spans="1:14" x14ac:dyDescent="0.35">
      <c r="A121" s="5" t="s">
        <v>25</v>
      </c>
      <c r="B121" s="7">
        <v>16.073115860649153</v>
      </c>
      <c r="C121" s="7">
        <v>18.344657603302554</v>
      </c>
      <c r="D121" s="7">
        <v>16.11386576058236</v>
      </c>
      <c r="E121" s="7">
        <v>15.281800435496748</v>
      </c>
      <c r="F121" s="7">
        <v>15.684993194579956</v>
      </c>
      <c r="G121" s="7">
        <v>15.034525665926573</v>
      </c>
      <c r="H121" s="7">
        <v>13.98671336913484</v>
      </c>
      <c r="I121" s="7">
        <v>14.31000661999747</v>
      </c>
      <c r="J121" s="7">
        <v>14.291295324058144</v>
      </c>
      <c r="K121" s="7">
        <v>14.463594053767407</v>
      </c>
      <c r="L121" s="7">
        <v>14.864978729110646</v>
      </c>
      <c r="M121" s="7">
        <v>14.548488178736108</v>
      </c>
      <c r="N121" s="7">
        <f t="shared" si="38"/>
        <v>15.241913451679135</v>
      </c>
    </row>
    <row r="122" spans="1:14" s="2" customFormat="1" x14ac:dyDescent="0.35">
      <c r="A122" s="9" t="s">
        <v>90</v>
      </c>
      <c r="B122" s="10">
        <v>300</v>
      </c>
      <c r="C122" s="10">
        <v>220</v>
      </c>
      <c r="D122" s="10">
        <v>220</v>
      </c>
      <c r="E122" s="10">
        <v>185</v>
      </c>
      <c r="F122" s="10">
        <v>185</v>
      </c>
      <c r="G122" s="10">
        <v>190</v>
      </c>
      <c r="H122" s="10">
        <v>200</v>
      </c>
      <c r="I122" s="10">
        <v>220</v>
      </c>
      <c r="J122" s="10">
        <v>220</v>
      </c>
      <c r="K122" s="10">
        <v>200</v>
      </c>
      <c r="L122" s="10">
        <v>200</v>
      </c>
      <c r="M122" s="10">
        <v>200</v>
      </c>
      <c r="N122" s="10">
        <f>SUM(B122:M122)</f>
        <v>2540</v>
      </c>
    </row>
    <row r="123" spans="1:14" x14ac:dyDescent="0.35">
      <c r="A123" s="5" t="s">
        <v>60</v>
      </c>
      <c r="B123" s="8">
        <v>5978.3054556265597</v>
      </c>
      <c r="C123" s="8">
        <v>5788.4873674777928</v>
      </c>
      <c r="D123" s="8">
        <v>5780.4749200608012</v>
      </c>
      <c r="E123" s="8">
        <v>5757.1238943170265</v>
      </c>
      <c r="F123" s="8">
        <v>5689.0305770952909</v>
      </c>
      <c r="G123" s="8">
        <v>5723.4268887854187</v>
      </c>
      <c r="H123" s="8">
        <v>5710.0662701682413</v>
      </c>
      <c r="I123" s="8">
        <v>5767.3036052663256</v>
      </c>
      <c r="J123" s="8">
        <v>5816.7183587027257</v>
      </c>
      <c r="K123" s="8">
        <v>5783.9440068778431</v>
      </c>
      <c r="L123" s="8">
        <v>5714.3881793197588</v>
      </c>
      <c r="M123" s="8">
        <v>5899.7670661427646</v>
      </c>
      <c r="N123" s="8">
        <f>SUMPRODUCT(B123:M123,$B$122:$M$122)/SUM($N$122)</f>
        <v>5792.8232136227871</v>
      </c>
    </row>
    <row r="124" spans="1:14" x14ac:dyDescent="0.35">
      <c r="A124" s="5" t="s">
        <v>22</v>
      </c>
      <c r="B124" s="7">
        <v>1.787024420543599</v>
      </c>
      <c r="C124" s="7">
        <v>1.8050807511941165</v>
      </c>
      <c r="D124" s="7">
        <v>1.753484658353373</v>
      </c>
      <c r="E124" s="7">
        <v>1.7530000378904598</v>
      </c>
      <c r="F124" s="7">
        <v>1.7123074495204251</v>
      </c>
      <c r="G124" s="7">
        <v>1.7853721095868915</v>
      </c>
      <c r="H124" s="7">
        <v>1.8238815961156631</v>
      </c>
      <c r="I124" s="7">
        <v>1.7419960155643373</v>
      </c>
      <c r="J124" s="7">
        <v>1.7014004656420247</v>
      </c>
      <c r="K124" s="7">
        <v>1.7605879730997038</v>
      </c>
      <c r="L124" s="7">
        <v>1.767814198414398</v>
      </c>
      <c r="M124" s="7">
        <v>1.7232917279280713</v>
      </c>
      <c r="N124" s="7">
        <f t="shared" ref="N124:N127" si="39">SUMPRODUCT(B124:M124,$B$122:$M$122)/SUM($N$122)</f>
        <v>1.7606128453673298</v>
      </c>
    </row>
    <row r="125" spans="1:14" x14ac:dyDescent="0.35">
      <c r="A125" s="5" t="s">
        <v>23</v>
      </c>
      <c r="B125" s="7">
        <v>4.7301044978019764</v>
      </c>
      <c r="C125" s="7">
        <v>5.5271121039826419</v>
      </c>
      <c r="D125" s="7">
        <v>5.5457883214480397</v>
      </c>
      <c r="E125" s="7">
        <v>5.7432540624021691</v>
      </c>
      <c r="F125" s="7">
        <v>6.1338157267673825</v>
      </c>
      <c r="G125" s="7">
        <v>6.4531615243414668</v>
      </c>
      <c r="H125" s="7">
        <v>6.4437425567786066</v>
      </c>
      <c r="I125" s="7">
        <v>6.2121469296871501</v>
      </c>
      <c r="J125" s="7">
        <v>5.7608226161450142</v>
      </c>
      <c r="K125" s="7">
        <v>5.8895183832541882</v>
      </c>
      <c r="L125" s="7">
        <v>6.1089249013580069</v>
      </c>
      <c r="M125" s="7">
        <v>5.1119700187862556</v>
      </c>
      <c r="N125" s="7">
        <f t="shared" si="39"/>
        <v>5.7572096518405811</v>
      </c>
    </row>
    <row r="126" spans="1:14" x14ac:dyDescent="0.35">
      <c r="A126" s="5" t="s">
        <v>38</v>
      </c>
      <c r="B126" s="7">
        <v>11.089447843541894</v>
      </c>
      <c r="C126" s="7">
        <v>10.939007756939889</v>
      </c>
      <c r="D126" s="7">
        <v>11.103271057993588</v>
      </c>
      <c r="E126" s="7">
        <v>10.753087747400615</v>
      </c>
      <c r="F126" s="7">
        <v>10.931757250593529</v>
      </c>
      <c r="G126" s="7">
        <v>10.542872135234294</v>
      </c>
      <c r="H126" s="7">
        <v>10.926300465614883</v>
      </c>
      <c r="I126" s="7">
        <v>10.532727609486793</v>
      </c>
      <c r="J126" s="7">
        <v>10.519638665180322</v>
      </c>
      <c r="K126" s="7">
        <v>10.608982288782695</v>
      </c>
      <c r="L126" s="7">
        <v>10.409757384707607</v>
      </c>
      <c r="M126" s="7">
        <v>10.300642053236681</v>
      </c>
      <c r="N126" s="7">
        <f t="shared" si="39"/>
        <v>10.736864071482877</v>
      </c>
    </row>
    <row r="127" spans="1:14" x14ac:dyDescent="0.35">
      <c r="A127" s="5" t="s">
        <v>25</v>
      </c>
      <c r="B127" s="7">
        <v>14.77672590471496</v>
      </c>
      <c r="C127" s="7">
        <v>14.788491878026898</v>
      </c>
      <c r="D127" s="7">
        <v>14.968616021907097</v>
      </c>
      <c r="E127" s="7">
        <v>14.622565939548902</v>
      </c>
      <c r="F127" s="7">
        <v>15.039201128192587</v>
      </c>
      <c r="G127" s="7">
        <v>14.452434531645325</v>
      </c>
      <c r="H127" s="7">
        <v>14.766174108649652</v>
      </c>
      <c r="I127" s="7">
        <v>14.301752611637571</v>
      </c>
      <c r="J127" s="7">
        <v>14.225128330536242</v>
      </c>
      <c r="K127" s="7">
        <v>14.404258385302949</v>
      </c>
      <c r="L127" s="7">
        <v>14.445124735031138</v>
      </c>
      <c r="M127" s="7">
        <v>13.747354344462451</v>
      </c>
      <c r="N127" s="7">
        <f t="shared" si="39"/>
        <v>14.551758700752847</v>
      </c>
    </row>
    <row r="129" spans="1:16" x14ac:dyDescent="0.35">
      <c r="A129" s="6" t="s">
        <v>44</v>
      </c>
      <c r="B129" s="6" t="s">
        <v>1</v>
      </c>
      <c r="C129" s="6" t="s">
        <v>2</v>
      </c>
      <c r="D129" s="6" t="s">
        <v>3</v>
      </c>
      <c r="E129" s="6" t="s">
        <v>4</v>
      </c>
      <c r="F129" s="6" t="s">
        <v>5</v>
      </c>
      <c r="G129" s="6" t="s">
        <v>6</v>
      </c>
      <c r="H129" s="6" t="s">
        <v>7</v>
      </c>
      <c r="I129" s="6" t="s">
        <v>8</v>
      </c>
      <c r="J129" s="6" t="s">
        <v>9</v>
      </c>
      <c r="K129" s="6" t="s">
        <v>10</v>
      </c>
      <c r="L129" s="6" t="s">
        <v>11</v>
      </c>
      <c r="M129" s="6" t="s">
        <v>12</v>
      </c>
      <c r="N129" s="6" t="s">
        <v>13</v>
      </c>
      <c r="O129" s="4"/>
    </row>
    <row r="130" spans="1:16" s="2" customFormat="1" x14ac:dyDescent="0.35">
      <c r="A130" s="9" t="s">
        <v>14</v>
      </c>
      <c r="B130" s="10">
        <f t="shared" ref="B130:N130" si="40">SUM(B131:B131)</f>
        <v>103.00700003222835</v>
      </c>
      <c r="C130" s="10">
        <f t="shared" si="40"/>
        <v>93.069999998767926</v>
      </c>
      <c r="D130" s="10">
        <f t="shared" si="40"/>
        <v>98.05900000904235</v>
      </c>
      <c r="E130" s="10">
        <f t="shared" si="40"/>
        <v>280.62450003328621</v>
      </c>
      <c r="F130" s="10">
        <f t="shared" si="40"/>
        <v>579.37850009221097</v>
      </c>
      <c r="G130" s="10">
        <f t="shared" si="40"/>
        <v>448.88900009712</v>
      </c>
      <c r="H130" s="10">
        <f t="shared" si="40"/>
        <v>536.382999964639</v>
      </c>
      <c r="I130" s="10">
        <f t="shared" si="40"/>
        <v>575.345000118852</v>
      </c>
      <c r="J130" s="10">
        <f t="shared" si="40"/>
        <v>590.09399996139598</v>
      </c>
      <c r="K130" s="10">
        <f t="shared" si="40"/>
        <v>632.10300000592349</v>
      </c>
      <c r="L130" s="10">
        <f t="shared" si="40"/>
        <v>557.71999993702639</v>
      </c>
      <c r="M130" s="10">
        <f t="shared" si="40"/>
        <v>543.93500004792293</v>
      </c>
      <c r="N130" s="10">
        <f t="shared" si="40"/>
        <v>5038.6080002984163</v>
      </c>
      <c r="P130" s="1" t="s">
        <v>61</v>
      </c>
    </row>
    <row r="131" spans="1:16" x14ac:dyDescent="0.35">
      <c r="A131" s="5" t="s">
        <v>65</v>
      </c>
      <c r="B131" s="8">
        <v>103.00700003222835</v>
      </c>
      <c r="C131" s="8">
        <v>93.069999998767926</v>
      </c>
      <c r="D131" s="8">
        <v>98.05900000904235</v>
      </c>
      <c r="E131" s="8">
        <v>280.62450003328621</v>
      </c>
      <c r="F131" s="8">
        <v>579.37850009221097</v>
      </c>
      <c r="G131" s="8">
        <v>448.88900009712</v>
      </c>
      <c r="H131" s="8">
        <v>536.382999964639</v>
      </c>
      <c r="I131" s="8">
        <v>575.345000118852</v>
      </c>
      <c r="J131" s="8">
        <v>590.09399996139598</v>
      </c>
      <c r="K131" s="8">
        <v>632.10300000592349</v>
      </c>
      <c r="L131" s="8">
        <v>557.71999993702639</v>
      </c>
      <c r="M131" s="8">
        <v>543.93500004792293</v>
      </c>
      <c r="N131" s="8">
        <f>SUM(B131:M131)</f>
        <v>5038.6080002984163</v>
      </c>
    </row>
    <row r="132" spans="1:16" s="2" customFormat="1" x14ac:dyDescent="0.35">
      <c r="A132" s="9" t="s">
        <v>17</v>
      </c>
      <c r="B132" s="10">
        <f t="shared" ref="B132:N132" si="41">SUM(B133:B133)</f>
        <v>0</v>
      </c>
      <c r="C132" s="10">
        <f t="shared" si="41"/>
        <v>0</v>
      </c>
      <c r="D132" s="10">
        <f t="shared" si="41"/>
        <v>0</v>
      </c>
      <c r="E132" s="10">
        <f t="shared" si="41"/>
        <v>0</v>
      </c>
      <c r="F132" s="10">
        <f t="shared" si="41"/>
        <v>20</v>
      </c>
      <c r="G132" s="10">
        <f t="shared" si="41"/>
        <v>37</v>
      </c>
      <c r="H132" s="10">
        <f t="shared" si="41"/>
        <v>51</v>
      </c>
      <c r="I132" s="10">
        <f t="shared" si="41"/>
        <v>60</v>
      </c>
      <c r="J132" s="10">
        <f t="shared" si="41"/>
        <v>70</v>
      </c>
      <c r="K132" s="10">
        <f t="shared" si="41"/>
        <v>75</v>
      </c>
      <c r="L132" s="10">
        <f t="shared" si="41"/>
        <v>68</v>
      </c>
      <c r="M132" s="10">
        <f t="shared" si="41"/>
        <v>67</v>
      </c>
      <c r="N132" s="10">
        <f t="shared" si="41"/>
        <v>448</v>
      </c>
    </row>
    <row r="133" spans="1:16" x14ac:dyDescent="0.35">
      <c r="A133" s="5" t="s">
        <v>65</v>
      </c>
      <c r="B133" s="8">
        <v>0</v>
      </c>
      <c r="C133" s="8">
        <v>0</v>
      </c>
      <c r="D133" s="8">
        <v>0</v>
      </c>
      <c r="E133" s="8">
        <v>0</v>
      </c>
      <c r="F133" s="8">
        <v>20</v>
      </c>
      <c r="G133" s="8">
        <v>37</v>
      </c>
      <c r="H133" s="8">
        <v>51</v>
      </c>
      <c r="I133" s="8">
        <v>60</v>
      </c>
      <c r="J133" s="8">
        <v>70</v>
      </c>
      <c r="K133" s="8">
        <v>75</v>
      </c>
      <c r="L133" s="8">
        <v>68</v>
      </c>
      <c r="M133" s="8">
        <v>67</v>
      </c>
      <c r="N133" s="8">
        <f>SUM(B133:M133)</f>
        <v>448</v>
      </c>
    </row>
    <row r="134" spans="1:16" s="2" customFormat="1" x14ac:dyDescent="0.35">
      <c r="A134" s="9" t="s">
        <v>43</v>
      </c>
      <c r="B134" s="11">
        <f t="shared" ref="B134:M134" si="42">IFERROR(B130/B132,0)</f>
        <v>0</v>
      </c>
      <c r="C134" s="11">
        <f t="shared" si="42"/>
        <v>0</v>
      </c>
      <c r="D134" s="11">
        <f t="shared" si="42"/>
        <v>0</v>
      </c>
      <c r="E134" s="11">
        <f t="shared" si="42"/>
        <v>0</v>
      </c>
      <c r="F134" s="11">
        <f t="shared" si="42"/>
        <v>28.968925004610547</v>
      </c>
      <c r="G134" s="11">
        <f t="shared" si="42"/>
        <v>12.132135137760001</v>
      </c>
      <c r="H134" s="11">
        <f t="shared" si="42"/>
        <v>10.517313724796843</v>
      </c>
      <c r="I134" s="11">
        <f t="shared" si="42"/>
        <v>9.5890833353142</v>
      </c>
      <c r="J134" s="11">
        <f t="shared" si="42"/>
        <v>8.4299142851628002</v>
      </c>
      <c r="K134" s="11">
        <f t="shared" si="42"/>
        <v>8.4280400000789797</v>
      </c>
      <c r="L134" s="11">
        <f t="shared" si="42"/>
        <v>8.2017647049562701</v>
      </c>
      <c r="M134" s="11">
        <f t="shared" si="42"/>
        <v>8.1184328365361633</v>
      </c>
      <c r="N134" s="11">
        <f>N130/N132</f>
        <v>11.246892857808964</v>
      </c>
    </row>
    <row r="135" spans="1:16" s="2" customFormat="1" x14ac:dyDescent="0.35">
      <c r="A135" s="9" t="s">
        <v>34</v>
      </c>
      <c r="B135" s="11">
        <f>IFERROR(B130/B137,0)</f>
        <v>0</v>
      </c>
      <c r="C135" s="11">
        <f t="shared" ref="C135:M135" si="43">IFERROR(C130/C137,0)</f>
        <v>0</v>
      </c>
      <c r="D135" s="11">
        <f t="shared" si="43"/>
        <v>0</v>
      </c>
      <c r="E135" s="11">
        <f t="shared" si="43"/>
        <v>0</v>
      </c>
      <c r="F135" s="11">
        <f t="shared" si="43"/>
        <v>32.187694449567275</v>
      </c>
      <c r="G135" s="11">
        <f t="shared" si="43"/>
        <v>12.825400002774858</v>
      </c>
      <c r="H135" s="11">
        <f t="shared" si="43"/>
        <v>10.727659999292779</v>
      </c>
      <c r="I135" s="11">
        <f t="shared" si="43"/>
        <v>9.9197413813595166</v>
      </c>
      <c r="J135" s="11">
        <f t="shared" si="43"/>
        <v>8.6778529406087639</v>
      </c>
      <c r="K135" s="11">
        <f t="shared" si="43"/>
        <v>8.7792083334156032</v>
      </c>
      <c r="L135" s="11">
        <f t="shared" si="43"/>
        <v>8.4503030293488841</v>
      </c>
      <c r="M135" s="11">
        <f t="shared" si="43"/>
        <v>8.2414393946654982</v>
      </c>
      <c r="N135" s="11">
        <f t="shared" ref="N135" si="44">N130/N137</f>
        <v>11.63650808383006</v>
      </c>
    </row>
    <row r="136" spans="1:16" s="2" customFormat="1" x14ac:dyDescent="0.35">
      <c r="A136" s="9" t="s">
        <v>46</v>
      </c>
      <c r="B136" s="10">
        <v>14.6</v>
      </c>
      <c r="C136" s="10">
        <v>14.6</v>
      </c>
      <c r="D136" s="10">
        <v>7.3</v>
      </c>
      <c r="E136" s="10">
        <v>7.3</v>
      </c>
      <c r="F136" s="10">
        <v>21.9</v>
      </c>
      <c r="G136" s="10">
        <v>36.5</v>
      </c>
      <c r="H136" s="10">
        <v>43.8</v>
      </c>
      <c r="I136" s="10">
        <v>58.4</v>
      </c>
      <c r="J136" s="10">
        <v>58.4</v>
      </c>
      <c r="K136" s="10">
        <v>58.4</v>
      </c>
      <c r="L136" s="10">
        <v>58.4</v>
      </c>
      <c r="M136" s="10">
        <v>51.1</v>
      </c>
      <c r="N136" s="10">
        <f>SUM(B136:M136)</f>
        <v>430.7</v>
      </c>
    </row>
    <row r="137" spans="1:16" s="2" customFormat="1" x14ac:dyDescent="0.35">
      <c r="A137" s="9" t="s">
        <v>50</v>
      </c>
      <c r="B137" s="10">
        <v>0</v>
      </c>
      <c r="C137" s="10">
        <v>0</v>
      </c>
      <c r="D137" s="10">
        <v>0</v>
      </c>
      <c r="E137" s="10">
        <v>0</v>
      </c>
      <c r="F137" s="10">
        <v>18</v>
      </c>
      <c r="G137" s="10">
        <v>35</v>
      </c>
      <c r="H137" s="10">
        <v>50</v>
      </c>
      <c r="I137" s="10">
        <v>58</v>
      </c>
      <c r="J137" s="10">
        <v>68</v>
      </c>
      <c r="K137" s="10">
        <v>72</v>
      </c>
      <c r="L137" s="10">
        <v>66</v>
      </c>
      <c r="M137" s="10">
        <v>66</v>
      </c>
      <c r="N137" s="10">
        <f>SUM(B137:M137)</f>
        <v>433</v>
      </c>
    </row>
    <row r="138" spans="1:16" x14ac:dyDescent="0.35">
      <c r="A138" s="5" t="s">
        <v>60</v>
      </c>
      <c r="B138" s="8">
        <v>0</v>
      </c>
      <c r="C138" s="8">
        <v>0</v>
      </c>
      <c r="D138" s="8">
        <v>0</v>
      </c>
      <c r="E138" s="8">
        <v>0</v>
      </c>
      <c r="F138" s="8">
        <v>4442.3524630978109</v>
      </c>
      <c r="G138" s="8">
        <v>4414.0197341055573</v>
      </c>
      <c r="H138" s="8">
        <v>4416.3842473113355</v>
      </c>
      <c r="I138" s="8">
        <v>4432.5862004850405</v>
      </c>
      <c r="J138" s="8">
        <v>4408.9259713034116</v>
      </c>
      <c r="K138" s="8">
        <v>4423.0871583211037</v>
      </c>
      <c r="L138" s="8">
        <v>4453.7859806142369</v>
      </c>
      <c r="M138" s="8">
        <v>4407.9044655308044</v>
      </c>
      <c r="N138" s="8">
        <f>SUMPRODUCT(B138:M138,$B$137:$M$137)/SUM($B$137:$M$137)</f>
        <v>4423.7945910311291</v>
      </c>
    </row>
    <row r="139" spans="1:16" x14ac:dyDescent="0.35">
      <c r="A139" s="5" t="s">
        <v>22</v>
      </c>
      <c r="B139" s="7">
        <v>0</v>
      </c>
      <c r="C139" s="7">
        <v>0</v>
      </c>
      <c r="D139" s="7">
        <v>0</v>
      </c>
      <c r="E139" s="7">
        <v>0</v>
      </c>
      <c r="F139" s="7">
        <v>0.38873573353044444</v>
      </c>
      <c r="G139" s="7">
        <v>0.35403485131504908</v>
      </c>
      <c r="H139" s="7">
        <v>0.38863711531936274</v>
      </c>
      <c r="I139" s="7">
        <v>0.37485738989539719</v>
      </c>
      <c r="J139" s="7">
        <v>0.36433237274630625</v>
      </c>
      <c r="K139" s="7">
        <v>0.35476496479555497</v>
      </c>
      <c r="L139" s="7">
        <v>0.3569313165491026</v>
      </c>
      <c r="M139" s="7">
        <v>0.38385933871926886</v>
      </c>
      <c r="N139" s="7">
        <f t="shared" ref="N139:N142" si="45">SUMPRODUCT(B139:M139,$B$137:$M$137)/SUM($B$137:$M$137)</f>
        <v>0.36898824350858472</v>
      </c>
    </row>
    <row r="140" spans="1:16" x14ac:dyDescent="0.35">
      <c r="A140" s="5" t="s">
        <v>23</v>
      </c>
      <c r="B140" s="7">
        <v>0</v>
      </c>
      <c r="C140" s="7">
        <v>0</v>
      </c>
      <c r="D140" s="7">
        <v>0</v>
      </c>
      <c r="E140" s="7">
        <v>0</v>
      </c>
      <c r="F140" s="7">
        <v>4.3469189899646095</v>
      </c>
      <c r="G140" s="7">
        <v>4.2775242942804486</v>
      </c>
      <c r="H140" s="7">
        <v>4.5771833228759133</v>
      </c>
      <c r="I140" s="7">
        <v>4.410710810024324</v>
      </c>
      <c r="J140" s="7">
        <v>4.3137913551427269</v>
      </c>
      <c r="K140" s="7">
        <v>4.437983464347746</v>
      </c>
      <c r="L140" s="7">
        <v>4.3733361138806135</v>
      </c>
      <c r="M140" s="7">
        <v>4.6218111106752566</v>
      </c>
      <c r="N140" s="7">
        <f t="shared" si="45"/>
        <v>4.4323109091173567</v>
      </c>
    </row>
    <row r="141" spans="1:16" x14ac:dyDescent="0.35">
      <c r="A141" s="5" t="s">
        <v>38</v>
      </c>
      <c r="B141" s="7">
        <v>0</v>
      </c>
      <c r="C141" s="7">
        <v>0</v>
      </c>
      <c r="D141" s="7">
        <v>0</v>
      </c>
      <c r="E141" s="7">
        <v>0</v>
      </c>
      <c r="F141" s="7">
        <v>17.434023703251668</v>
      </c>
      <c r="G141" s="7">
        <v>17.203780063089837</v>
      </c>
      <c r="H141" s="7">
        <v>17.033950729465953</v>
      </c>
      <c r="I141" s="7">
        <v>16.871627410791572</v>
      </c>
      <c r="J141" s="7">
        <v>16.977285235598046</v>
      </c>
      <c r="K141" s="7">
        <v>16.725080655028712</v>
      </c>
      <c r="L141" s="7">
        <v>16.935726676875372</v>
      </c>
      <c r="M141" s="7">
        <v>16.762054197985886</v>
      </c>
      <c r="N141" s="7">
        <f t="shared" si="45"/>
        <v>16.92589236972162</v>
      </c>
    </row>
    <row r="142" spans="1:16" x14ac:dyDescent="0.35">
      <c r="A142" s="5" t="s">
        <v>25</v>
      </c>
      <c r="B142" s="7">
        <v>0</v>
      </c>
      <c r="C142" s="7">
        <v>0</v>
      </c>
      <c r="D142" s="7">
        <v>0</v>
      </c>
      <c r="E142" s="7">
        <v>0</v>
      </c>
      <c r="F142" s="7">
        <v>30.186701266561656</v>
      </c>
      <c r="G142" s="7">
        <v>30.265561275012825</v>
      </c>
      <c r="H142" s="7">
        <v>30.334870236874433</v>
      </c>
      <c r="I142" s="7">
        <v>30.21975773859311</v>
      </c>
      <c r="J142" s="7">
        <v>30.233061449365842</v>
      </c>
      <c r="K142" s="7">
        <v>30.245087481798901</v>
      </c>
      <c r="L142" s="7">
        <v>30.178269906357734</v>
      </c>
      <c r="M142" s="7">
        <v>30.227936505165239</v>
      </c>
      <c r="N142" s="7">
        <f t="shared" si="45"/>
        <v>30.236602375317773</v>
      </c>
    </row>
    <row r="144" spans="1:16" x14ac:dyDescent="0.35">
      <c r="A144" s="6" t="s">
        <v>52</v>
      </c>
      <c r="B144" s="6" t="s">
        <v>1</v>
      </c>
      <c r="C144" s="6" t="s">
        <v>2</v>
      </c>
      <c r="D144" s="6" t="s">
        <v>3</v>
      </c>
      <c r="E144" s="6" t="s">
        <v>4</v>
      </c>
      <c r="F144" s="6" t="s">
        <v>5</v>
      </c>
      <c r="G144" s="6" t="s">
        <v>6</v>
      </c>
      <c r="H144" s="6" t="s">
        <v>7</v>
      </c>
      <c r="I144" s="6" t="s">
        <v>8</v>
      </c>
      <c r="J144" s="6" t="s">
        <v>9</v>
      </c>
      <c r="K144" s="6" t="s">
        <v>10</v>
      </c>
      <c r="L144" s="6" t="s">
        <v>11</v>
      </c>
      <c r="M144" s="6" t="s">
        <v>12</v>
      </c>
      <c r="N144" s="6" t="s">
        <v>13</v>
      </c>
      <c r="O144" s="4"/>
    </row>
    <row r="145" spans="1:17" x14ac:dyDescent="0.35">
      <c r="A145" s="9" t="s">
        <v>14</v>
      </c>
      <c r="B145" s="10">
        <f t="shared" ref="B145:N145" si="46">SUM(B146:B146)</f>
        <v>630</v>
      </c>
      <c r="C145" s="10">
        <f t="shared" si="46"/>
        <v>580</v>
      </c>
      <c r="D145" s="10">
        <f t="shared" si="46"/>
        <v>630</v>
      </c>
      <c r="E145" s="10">
        <f t="shared" si="46"/>
        <v>610</v>
      </c>
      <c r="F145" s="10">
        <f t="shared" si="46"/>
        <v>700</v>
      </c>
      <c r="G145" s="10">
        <f t="shared" si="46"/>
        <v>675</v>
      </c>
      <c r="H145" s="10">
        <f t="shared" si="46"/>
        <v>745</v>
      </c>
      <c r="I145" s="10">
        <f t="shared" si="46"/>
        <v>790</v>
      </c>
      <c r="J145" s="10">
        <f t="shared" si="46"/>
        <v>785</v>
      </c>
      <c r="K145" s="10">
        <f t="shared" si="46"/>
        <v>880</v>
      </c>
      <c r="L145" s="10">
        <f t="shared" si="46"/>
        <v>705</v>
      </c>
      <c r="M145" s="10">
        <f t="shared" si="46"/>
        <v>770</v>
      </c>
      <c r="N145" s="10">
        <f t="shared" si="46"/>
        <v>8500</v>
      </c>
      <c r="O145" s="2"/>
      <c r="P145" s="1" t="s">
        <v>61</v>
      </c>
      <c r="Q145"/>
    </row>
    <row r="146" spans="1:17" x14ac:dyDescent="0.35">
      <c r="A146" s="5" t="s">
        <v>71</v>
      </c>
      <c r="B146" s="8">
        <v>630</v>
      </c>
      <c r="C146" s="8">
        <v>580</v>
      </c>
      <c r="D146" s="8">
        <v>630</v>
      </c>
      <c r="E146" s="8">
        <v>610</v>
      </c>
      <c r="F146" s="8">
        <v>700</v>
      </c>
      <c r="G146" s="8">
        <v>675</v>
      </c>
      <c r="H146" s="8">
        <v>745</v>
      </c>
      <c r="I146" s="8">
        <v>790</v>
      </c>
      <c r="J146" s="8">
        <v>785</v>
      </c>
      <c r="K146" s="8">
        <v>880</v>
      </c>
      <c r="L146" s="8">
        <v>705</v>
      </c>
      <c r="M146" s="8">
        <v>770</v>
      </c>
      <c r="N146" s="8">
        <f>SUM(B146:M146)</f>
        <v>8500</v>
      </c>
      <c r="Q146"/>
    </row>
    <row r="147" spans="1:17" x14ac:dyDescent="0.35">
      <c r="A147" s="9" t="s">
        <v>17</v>
      </c>
      <c r="B147" s="10">
        <f>SUM(B148:B149)</f>
        <v>184</v>
      </c>
      <c r="C147" s="10">
        <f t="shared" ref="C147:M147" si="47">SUM(C148:C149)</f>
        <v>166</v>
      </c>
      <c r="D147" s="10">
        <f t="shared" si="47"/>
        <v>182</v>
      </c>
      <c r="E147" s="10">
        <f t="shared" si="47"/>
        <v>175</v>
      </c>
      <c r="F147" s="10">
        <f t="shared" si="47"/>
        <v>180</v>
      </c>
      <c r="G147" s="10">
        <f t="shared" si="47"/>
        <v>175</v>
      </c>
      <c r="H147" s="10">
        <f t="shared" si="47"/>
        <v>160</v>
      </c>
      <c r="I147" s="10">
        <f t="shared" si="47"/>
        <v>160</v>
      </c>
      <c r="J147" s="10">
        <f t="shared" si="47"/>
        <v>160</v>
      </c>
      <c r="K147" s="10">
        <f t="shared" si="47"/>
        <v>196</v>
      </c>
      <c r="L147" s="10">
        <f t="shared" si="47"/>
        <v>175</v>
      </c>
      <c r="M147" s="10">
        <f t="shared" si="47"/>
        <v>187</v>
      </c>
      <c r="N147" s="10">
        <f>SUM(B147:M147)</f>
        <v>2100</v>
      </c>
      <c r="O147" s="2"/>
      <c r="Q147"/>
    </row>
    <row r="148" spans="1:17" x14ac:dyDescent="0.35">
      <c r="A148" s="5" t="s">
        <v>71</v>
      </c>
      <c r="B148" s="8">
        <v>119</v>
      </c>
      <c r="C148" s="8">
        <v>108</v>
      </c>
      <c r="D148" s="8">
        <v>118</v>
      </c>
      <c r="E148" s="8">
        <v>114</v>
      </c>
      <c r="F148" s="8">
        <v>131</v>
      </c>
      <c r="G148" s="8">
        <v>127</v>
      </c>
      <c r="H148" s="8">
        <v>125</v>
      </c>
      <c r="I148" s="8">
        <v>124</v>
      </c>
      <c r="J148" s="8">
        <v>126</v>
      </c>
      <c r="K148" s="8">
        <v>139</v>
      </c>
      <c r="L148" s="8">
        <v>114</v>
      </c>
      <c r="M148" s="8">
        <v>122</v>
      </c>
      <c r="N148" s="8">
        <f>SUM(B148:M148)</f>
        <v>1467</v>
      </c>
      <c r="Q148"/>
    </row>
    <row r="149" spans="1:17" x14ac:dyDescent="0.35">
      <c r="A149" s="5" t="s">
        <v>72</v>
      </c>
      <c r="B149" s="8">
        <v>65</v>
      </c>
      <c r="C149" s="8">
        <v>58</v>
      </c>
      <c r="D149" s="8">
        <v>64</v>
      </c>
      <c r="E149" s="8">
        <v>61</v>
      </c>
      <c r="F149" s="8">
        <v>49</v>
      </c>
      <c r="G149" s="8">
        <v>48</v>
      </c>
      <c r="H149" s="8">
        <v>35</v>
      </c>
      <c r="I149" s="8">
        <v>36</v>
      </c>
      <c r="J149" s="8">
        <v>34</v>
      </c>
      <c r="K149" s="8">
        <v>57</v>
      </c>
      <c r="L149" s="8">
        <v>61</v>
      </c>
      <c r="M149" s="8">
        <v>65</v>
      </c>
      <c r="N149" s="8">
        <f>SUM(B149:M149)</f>
        <v>633</v>
      </c>
      <c r="Q149"/>
    </row>
    <row r="150" spans="1:17" x14ac:dyDescent="0.35">
      <c r="A150" s="9" t="s">
        <v>43</v>
      </c>
      <c r="B150" s="11">
        <f t="shared" ref="B150:N150" si="48">B145/B147</f>
        <v>3.4239130434782608</v>
      </c>
      <c r="C150" s="11">
        <f t="shared" si="48"/>
        <v>3.4939759036144578</v>
      </c>
      <c r="D150" s="11">
        <f t="shared" si="48"/>
        <v>3.4615384615384617</v>
      </c>
      <c r="E150" s="11">
        <f t="shared" si="48"/>
        <v>3.4857142857142858</v>
      </c>
      <c r="F150" s="11">
        <f t="shared" si="48"/>
        <v>3.8888888888888888</v>
      </c>
      <c r="G150" s="11">
        <f t="shared" si="48"/>
        <v>3.8571428571428572</v>
      </c>
      <c r="H150" s="11">
        <f t="shared" si="48"/>
        <v>4.65625</v>
      </c>
      <c r="I150" s="11">
        <f t="shared" si="48"/>
        <v>4.9375</v>
      </c>
      <c r="J150" s="11">
        <f t="shared" si="48"/>
        <v>4.90625</v>
      </c>
      <c r="K150" s="11">
        <f t="shared" si="48"/>
        <v>4.4897959183673466</v>
      </c>
      <c r="L150" s="11">
        <f t="shared" si="48"/>
        <v>4.0285714285714285</v>
      </c>
      <c r="M150" s="11">
        <f t="shared" si="48"/>
        <v>4.117647058823529</v>
      </c>
      <c r="N150" s="11">
        <f t="shared" si="48"/>
        <v>4.0476190476190474</v>
      </c>
      <c r="O150" s="2"/>
      <c r="Q150"/>
    </row>
    <row r="151" spans="1:17" x14ac:dyDescent="0.35">
      <c r="A151" s="9" t="s">
        <v>34</v>
      </c>
      <c r="B151" s="11">
        <f t="shared" ref="B151:N151" si="49">B145/B152</f>
        <v>3.15</v>
      </c>
      <c r="C151" s="11">
        <f t="shared" si="49"/>
        <v>3.2222222222222223</v>
      </c>
      <c r="D151" s="11">
        <f t="shared" si="49"/>
        <v>3.3157894736842106</v>
      </c>
      <c r="E151" s="11">
        <f t="shared" si="49"/>
        <v>3.4857142857142858</v>
      </c>
      <c r="F151" s="11">
        <f t="shared" si="49"/>
        <v>3.8888888888888888</v>
      </c>
      <c r="G151" s="11">
        <f t="shared" si="49"/>
        <v>3.8571428571428572</v>
      </c>
      <c r="H151" s="11">
        <f t="shared" si="49"/>
        <v>8.2777777777777786</v>
      </c>
      <c r="I151" s="11">
        <f t="shared" si="49"/>
        <v>15.8</v>
      </c>
      <c r="J151" s="11">
        <f t="shared" si="49"/>
        <v>8.7222222222222214</v>
      </c>
      <c r="K151" s="11">
        <f t="shared" si="49"/>
        <v>4.1904761904761907</v>
      </c>
      <c r="L151" s="11">
        <f t="shared" si="49"/>
        <v>2.7115384615384617</v>
      </c>
      <c r="M151" s="11">
        <f t="shared" si="49"/>
        <v>3.0800000000000005</v>
      </c>
      <c r="N151" s="11">
        <f t="shared" si="49"/>
        <v>4.1463414634146343</v>
      </c>
      <c r="O151" s="2"/>
      <c r="Q151"/>
    </row>
    <row r="152" spans="1:17" x14ac:dyDescent="0.35">
      <c r="A152" s="9" t="s">
        <v>47</v>
      </c>
      <c r="B152" s="10">
        <v>200</v>
      </c>
      <c r="C152" s="10">
        <v>180</v>
      </c>
      <c r="D152" s="10">
        <v>190</v>
      </c>
      <c r="E152" s="10">
        <v>175</v>
      </c>
      <c r="F152" s="10">
        <v>180</v>
      </c>
      <c r="G152" s="10">
        <v>175</v>
      </c>
      <c r="H152" s="10">
        <v>90</v>
      </c>
      <c r="I152" s="10">
        <v>50</v>
      </c>
      <c r="J152" s="10">
        <v>90</v>
      </c>
      <c r="K152" s="10">
        <v>210</v>
      </c>
      <c r="L152" s="10">
        <v>260</v>
      </c>
      <c r="M152" s="10">
        <v>249.99999999999994</v>
      </c>
      <c r="N152" s="10">
        <f>SUM(B152:M152)</f>
        <v>2050</v>
      </c>
      <c r="O152" s="2"/>
      <c r="Q152"/>
    </row>
    <row r="153" spans="1:17" x14ac:dyDescent="0.35">
      <c r="A153" s="5" t="s">
        <v>60</v>
      </c>
      <c r="B153" s="8">
        <v>3597.7503671421059</v>
      </c>
      <c r="C153" s="8">
        <v>3594.5295983597939</v>
      </c>
      <c r="D153" s="8">
        <v>3663.6762112802235</v>
      </c>
      <c r="E153" s="8">
        <v>3731.5322801509137</v>
      </c>
      <c r="F153" s="8">
        <v>3747.0876814215917</v>
      </c>
      <c r="G153" s="8">
        <v>3753.0309161867781</v>
      </c>
      <c r="H153" s="8">
        <v>3709.984204356359</v>
      </c>
      <c r="I153" s="8">
        <v>3710.8590506722767</v>
      </c>
      <c r="J153" s="8">
        <v>3754.9789133429726</v>
      </c>
      <c r="K153" s="8">
        <v>3802.4689892377123</v>
      </c>
      <c r="L153" s="8">
        <v>3810.8051584828913</v>
      </c>
      <c r="M153" s="8">
        <v>3790.9104124565929</v>
      </c>
      <c r="N153" s="8">
        <f>SUMPRODUCT(B153:M153,$B$152:$M$152)/SUM($B$152:$M$152)</f>
        <v>3727.5040431597959</v>
      </c>
      <c r="O153" s="12"/>
      <c r="Q153"/>
    </row>
    <row r="154" spans="1:17" x14ac:dyDescent="0.35">
      <c r="A154" s="5" t="s">
        <v>22</v>
      </c>
      <c r="B154" s="7">
        <v>0.11568840145536496</v>
      </c>
      <c r="C154" s="7">
        <v>0.11701098805931437</v>
      </c>
      <c r="D154" s="7">
        <v>0.15581461251661183</v>
      </c>
      <c r="E154" s="7">
        <v>0.15133328051441322</v>
      </c>
      <c r="F154" s="7">
        <v>0.1530200312436015</v>
      </c>
      <c r="G154" s="7">
        <v>0.14876311698128147</v>
      </c>
      <c r="H154" s="7">
        <v>0.16963776317458534</v>
      </c>
      <c r="I154" s="7">
        <v>0.16909766793837699</v>
      </c>
      <c r="J154" s="7">
        <v>0.15832888187436817</v>
      </c>
      <c r="K154" s="7">
        <v>0.16553178492157389</v>
      </c>
      <c r="L154" s="7">
        <v>0.17247668907568034</v>
      </c>
      <c r="M154" s="7">
        <v>0.16287235032822131</v>
      </c>
      <c r="N154" s="7">
        <f t="shared" ref="N154:N157" si="50">SUMPRODUCT(B154:M154,$B$152:$M$152)/SUM($B$152:$M$152)</f>
        <v>0.15227341108882345</v>
      </c>
      <c r="Q154"/>
    </row>
    <row r="155" spans="1:17" x14ac:dyDescent="0.35">
      <c r="A155" s="5" t="s">
        <v>23</v>
      </c>
      <c r="B155" s="7">
        <v>10.145655446148792</v>
      </c>
      <c r="C155" s="7">
        <v>10.213899366234628</v>
      </c>
      <c r="D155" s="7">
        <v>9.4791856634986438</v>
      </c>
      <c r="E155" s="7">
        <v>8.2664499592751319</v>
      </c>
      <c r="F155" s="7">
        <v>7.9720279699913643</v>
      </c>
      <c r="G155" s="7">
        <v>8.1086561189791855</v>
      </c>
      <c r="H155" s="7">
        <v>9.7174821161794043</v>
      </c>
      <c r="I155" s="7">
        <v>9.7409059080640557</v>
      </c>
      <c r="J155" s="7">
        <v>8.5788059169355098</v>
      </c>
      <c r="K155" s="7">
        <v>6.4455548017586262</v>
      </c>
      <c r="L155" s="7">
        <v>5.4512092871833024</v>
      </c>
      <c r="M155" s="7">
        <v>5.9085709909776138</v>
      </c>
      <c r="N155" s="7">
        <f t="shared" si="50"/>
        <v>7.9761081652071226</v>
      </c>
      <c r="Q155"/>
    </row>
    <row r="156" spans="1:17" x14ac:dyDescent="0.35">
      <c r="A156" s="5" t="s">
        <v>38</v>
      </c>
      <c r="B156" s="7">
        <v>27.273778837579599</v>
      </c>
      <c r="C156" s="7">
        <v>27.292035739913089</v>
      </c>
      <c r="D156" s="7">
        <v>26.977085197877386</v>
      </c>
      <c r="E156" s="7">
        <v>25.124250417061894</v>
      </c>
      <c r="F156" s="7">
        <v>25.063917620785851</v>
      </c>
      <c r="G156" s="7">
        <v>24.254236087634794</v>
      </c>
      <c r="H156" s="7">
        <v>31.602710692812558</v>
      </c>
      <c r="I156" s="7">
        <v>31.478110610095825</v>
      </c>
      <c r="J156" s="7">
        <v>27.521644009129027</v>
      </c>
      <c r="K156" s="7">
        <v>26.441746202974993</v>
      </c>
      <c r="L156" s="7">
        <v>28.914291423592488</v>
      </c>
      <c r="M156" s="7">
        <v>29.04220061352094</v>
      </c>
      <c r="N156" s="7">
        <f t="shared" si="50"/>
        <v>27.254555501550691</v>
      </c>
      <c r="Q156"/>
    </row>
    <row r="157" spans="1:17" x14ac:dyDescent="0.35">
      <c r="A157" s="5" t="s">
        <v>25</v>
      </c>
      <c r="B157" s="7">
        <v>37.918497409869865</v>
      </c>
      <c r="C157" s="7">
        <v>37.923033965371602</v>
      </c>
      <c r="D157" s="7">
        <v>38.042986000504257</v>
      </c>
      <c r="E157" s="7">
        <v>37.950930536574255</v>
      </c>
      <c r="F157" s="7">
        <v>37.978955656242384</v>
      </c>
      <c r="G157" s="7">
        <v>38.073810954498576</v>
      </c>
      <c r="H157" s="7">
        <v>37.71754115883973</v>
      </c>
      <c r="I157" s="7">
        <v>37.733817466441451</v>
      </c>
      <c r="J157" s="7">
        <v>37.863692065067184</v>
      </c>
      <c r="K157" s="7">
        <v>38.416454448307448</v>
      </c>
      <c r="L157" s="7">
        <v>39.068495470080975</v>
      </c>
      <c r="M157" s="7">
        <v>39.167627929178792</v>
      </c>
      <c r="N157" s="7">
        <f t="shared" si="50"/>
        <v>38.285233081479049</v>
      </c>
      <c r="Q157"/>
    </row>
    <row r="158" spans="1:17" x14ac:dyDescent="0.35">
      <c r="Q158"/>
    </row>
    <row r="159" spans="1:17" x14ac:dyDescent="0.35">
      <c r="A159" s="6" t="s">
        <v>51</v>
      </c>
      <c r="B159" s="6" t="s">
        <v>1</v>
      </c>
      <c r="C159" s="6" t="s">
        <v>2</v>
      </c>
      <c r="D159" s="6" t="s">
        <v>3</v>
      </c>
      <c r="E159" s="6" t="s">
        <v>4</v>
      </c>
      <c r="F159" s="6" t="s">
        <v>5</v>
      </c>
      <c r="G159" s="6" t="s">
        <v>6</v>
      </c>
      <c r="H159" s="6" t="s">
        <v>7</v>
      </c>
      <c r="I159" s="6" t="s">
        <v>8</v>
      </c>
      <c r="J159" s="6" t="s">
        <v>9</v>
      </c>
      <c r="K159" s="6" t="s">
        <v>10</v>
      </c>
      <c r="L159" s="6" t="s">
        <v>11</v>
      </c>
      <c r="M159" s="6" t="s">
        <v>12</v>
      </c>
      <c r="N159" s="6" t="s">
        <v>13</v>
      </c>
      <c r="Q159"/>
    </row>
    <row r="160" spans="1:17" x14ac:dyDescent="0.35">
      <c r="A160" s="9" t="s">
        <v>14</v>
      </c>
      <c r="B160" s="10">
        <f t="shared" ref="B160:N160" si="51">SUM(B161:B161)</f>
        <v>767.63357127100005</v>
      </c>
      <c r="C160" s="10">
        <f t="shared" si="51"/>
        <v>734.79306200000008</v>
      </c>
      <c r="D160" s="10">
        <f t="shared" si="51"/>
        <v>815.14623877999998</v>
      </c>
      <c r="E160" s="10">
        <f t="shared" si="51"/>
        <v>831.02725012000008</v>
      </c>
      <c r="F160" s="10">
        <f t="shared" si="51"/>
        <v>859.47085252000011</v>
      </c>
      <c r="G160" s="10">
        <f t="shared" si="51"/>
        <v>916.35805732000006</v>
      </c>
      <c r="H160" s="10">
        <f t="shared" si="51"/>
        <v>1023.2017091352002</v>
      </c>
      <c r="I160" s="10">
        <f t="shared" si="51"/>
        <v>1020.3857924976001</v>
      </c>
      <c r="J160" s="10">
        <f t="shared" si="51"/>
        <v>1007.9938630520001</v>
      </c>
      <c r="K160" s="10">
        <f t="shared" si="51"/>
        <v>961.32265211400011</v>
      </c>
      <c r="L160" s="10">
        <f t="shared" si="51"/>
        <v>867.19803117200013</v>
      </c>
      <c r="M160" s="10">
        <f t="shared" si="51"/>
        <v>903.65561854819998</v>
      </c>
      <c r="N160" s="10">
        <f t="shared" si="51"/>
        <v>10708.18669853</v>
      </c>
      <c r="P160" s="1" t="s">
        <v>61</v>
      </c>
      <c r="Q160"/>
    </row>
    <row r="161" spans="1:17" x14ac:dyDescent="0.35">
      <c r="A161" s="5" t="s">
        <v>59</v>
      </c>
      <c r="B161" s="8">
        <v>767.63357127100005</v>
      </c>
      <c r="C161" s="8">
        <v>734.79306200000008</v>
      </c>
      <c r="D161" s="8">
        <v>815.14623877999998</v>
      </c>
      <c r="E161" s="8">
        <v>831.02725012000008</v>
      </c>
      <c r="F161" s="8">
        <v>859.47085252000011</v>
      </c>
      <c r="G161" s="8">
        <v>916.35805732000006</v>
      </c>
      <c r="H161" s="8">
        <v>1023.2017091352002</v>
      </c>
      <c r="I161" s="8">
        <v>1020.3857924976001</v>
      </c>
      <c r="J161" s="8">
        <v>1007.9938630520001</v>
      </c>
      <c r="K161" s="8">
        <v>961.32265211400011</v>
      </c>
      <c r="L161" s="8">
        <v>867.19803117200013</v>
      </c>
      <c r="M161" s="8">
        <v>903.65561854819998</v>
      </c>
      <c r="N161" s="8">
        <f>SUM(B161:M161)</f>
        <v>10708.18669853</v>
      </c>
      <c r="Q161"/>
    </row>
    <row r="162" spans="1:17" x14ac:dyDescent="0.35">
      <c r="A162" s="9" t="s">
        <v>17</v>
      </c>
      <c r="B162" s="10">
        <f t="shared" ref="B162:N162" si="52">SUM(B163:B163)</f>
        <v>40.602095820000009</v>
      </c>
      <c r="C162" s="10">
        <f t="shared" si="52"/>
        <v>37.593129600000012</v>
      </c>
      <c r="D162" s="10">
        <f t="shared" si="52"/>
        <v>41.629648580742867</v>
      </c>
      <c r="E162" s="10">
        <f t="shared" si="52"/>
        <v>45.553518102857154</v>
      </c>
      <c r="F162" s="10">
        <f t="shared" si="52"/>
        <v>50.25352550400001</v>
      </c>
      <c r="G162" s="10">
        <f t="shared" si="52"/>
        <v>55.254104701714297</v>
      </c>
      <c r="H162" s="10">
        <f t="shared" si="52"/>
        <v>61.454155932000013</v>
      </c>
      <c r="I162" s="10">
        <f t="shared" si="52"/>
        <v>61.231030158857159</v>
      </c>
      <c r="J162" s="10">
        <f t="shared" si="52"/>
        <v>61.114388533714298</v>
      </c>
      <c r="K162" s="10">
        <f t="shared" si="52"/>
        <v>55.889463240000005</v>
      </c>
      <c r="L162" s="10">
        <f t="shared" si="52"/>
        <v>46.816006268571442</v>
      </c>
      <c r="M162" s="10">
        <f t="shared" si="52"/>
        <v>48.608826084000015</v>
      </c>
      <c r="N162" s="10">
        <f t="shared" si="52"/>
        <v>605.9998925264573</v>
      </c>
      <c r="Q162"/>
    </row>
    <row r="163" spans="1:17" x14ac:dyDescent="0.35">
      <c r="A163" s="5" t="s">
        <v>59</v>
      </c>
      <c r="B163" s="8">
        <v>40.602095820000009</v>
      </c>
      <c r="C163" s="8">
        <v>37.593129600000012</v>
      </c>
      <c r="D163" s="8">
        <v>41.629648580742867</v>
      </c>
      <c r="E163" s="8">
        <v>45.553518102857154</v>
      </c>
      <c r="F163" s="8">
        <v>50.25352550400001</v>
      </c>
      <c r="G163" s="8">
        <v>55.254104701714297</v>
      </c>
      <c r="H163" s="8">
        <v>61.454155932000013</v>
      </c>
      <c r="I163" s="8">
        <v>61.231030158857159</v>
      </c>
      <c r="J163" s="8">
        <v>61.114388533714298</v>
      </c>
      <c r="K163" s="8">
        <v>55.889463240000005</v>
      </c>
      <c r="L163" s="8">
        <v>46.816006268571442</v>
      </c>
      <c r="M163" s="8">
        <v>48.608826084000015</v>
      </c>
      <c r="N163" s="8">
        <f>SUM(B163:M163)</f>
        <v>605.9998925264573</v>
      </c>
      <c r="Q163"/>
    </row>
    <row r="164" spans="1:17" x14ac:dyDescent="0.35">
      <c r="A164" s="9" t="s">
        <v>43</v>
      </c>
      <c r="B164" s="11">
        <f t="shared" ref="B164:N164" si="53">B160/B162</f>
        <v>18.906254856254854</v>
      </c>
      <c r="C164" s="11">
        <f t="shared" si="53"/>
        <v>19.545940170940167</v>
      </c>
      <c r="D164" s="11">
        <f t="shared" si="53"/>
        <v>19.58090607464489</v>
      </c>
      <c r="E164" s="11">
        <f t="shared" si="53"/>
        <v>18.24287749287749</v>
      </c>
      <c r="F164" s="11">
        <f t="shared" si="53"/>
        <v>17.102697649572647</v>
      </c>
      <c r="G164" s="11">
        <f t="shared" si="53"/>
        <v>16.584434084434083</v>
      </c>
      <c r="H164" s="11">
        <f t="shared" si="53"/>
        <v>16.649837486457205</v>
      </c>
      <c r="I164" s="11">
        <f t="shared" si="53"/>
        <v>16.664521074532335</v>
      </c>
      <c r="J164" s="11">
        <f t="shared" si="53"/>
        <v>16.493560473012526</v>
      </c>
      <c r="K164" s="11">
        <f t="shared" si="53"/>
        <v>17.200427350427351</v>
      </c>
      <c r="L164" s="11">
        <f t="shared" si="53"/>
        <v>18.523537146614068</v>
      </c>
      <c r="M164" s="11">
        <f t="shared" si="53"/>
        <v>18.590360873694202</v>
      </c>
      <c r="N164" s="11">
        <f t="shared" si="53"/>
        <v>17.6702782138901</v>
      </c>
      <c r="Q164"/>
    </row>
    <row r="165" spans="1:17" x14ac:dyDescent="0.35">
      <c r="A165" s="9" t="s">
        <v>34</v>
      </c>
      <c r="B165" s="11">
        <f t="shared" ref="B165:N165" si="54">B160/B166</f>
        <v>23.988549102218752</v>
      </c>
      <c r="C165" s="11">
        <f t="shared" si="54"/>
        <v>26.242609357142861</v>
      </c>
      <c r="D165" s="11">
        <f t="shared" si="54"/>
        <v>20.378655969499999</v>
      </c>
      <c r="E165" s="11">
        <f t="shared" si="54"/>
        <v>20.775681253000002</v>
      </c>
      <c r="F165" s="11">
        <f t="shared" si="54"/>
        <v>17.189417050400003</v>
      </c>
      <c r="G165" s="11">
        <f t="shared" si="54"/>
        <v>16.661055587636366</v>
      </c>
      <c r="H165" s="11">
        <f t="shared" si="54"/>
        <v>17.053361818920003</v>
      </c>
      <c r="I165" s="11">
        <f t="shared" si="54"/>
        <v>17.006429874960002</v>
      </c>
      <c r="J165" s="11">
        <f t="shared" si="54"/>
        <v>17.999890411642859</v>
      </c>
      <c r="K165" s="11">
        <f t="shared" si="54"/>
        <v>16.022044201900002</v>
      </c>
      <c r="L165" s="11">
        <f t="shared" si="54"/>
        <v>15.767236930400003</v>
      </c>
      <c r="M165" s="11">
        <f t="shared" si="54"/>
        <v>16.430102155421817</v>
      </c>
      <c r="N165" s="11">
        <f t="shared" si="54"/>
        <v>18.118759219170897</v>
      </c>
      <c r="Q165"/>
    </row>
    <row r="166" spans="1:17" x14ac:dyDescent="0.35">
      <c r="A166" s="9" t="s">
        <v>47</v>
      </c>
      <c r="B166" s="10">
        <v>32</v>
      </c>
      <c r="C166" s="10">
        <v>28</v>
      </c>
      <c r="D166" s="10">
        <v>40</v>
      </c>
      <c r="E166" s="10">
        <v>40</v>
      </c>
      <c r="F166" s="10">
        <v>50</v>
      </c>
      <c r="G166" s="10">
        <v>55</v>
      </c>
      <c r="H166" s="10">
        <v>60</v>
      </c>
      <c r="I166" s="10">
        <v>60</v>
      </c>
      <c r="J166" s="10">
        <v>56</v>
      </c>
      <c r="K166" s="10">
        <v>60</v>
      </c>
      <c r="L166" s="10">
        <v>55</v>
      </c>
      <c r="M166" s="10">
        <v>55</v>
      </c>
      <c r="N166" s="10">
        <f>SUM(B166:M166)</f>
        <v>591</v>
      </c>
      <c r="Q166"/>
    </row>
    <row r="167" spans="1:17" x14ac:dyDescent="0.35">
      <c r="A167" s="5" t="s">
        <v>60</v>
      </c>
      <c r="B167" s="8">
        <v>6898.8055211012088</v>
      </c>
      <c r="C167" s="8">
        <v>6898.8055211012088</v>
      </c>
      <c r="D167" s="8">
        <v>6898.8055211012088</v>
      </c>
      <c r="E167" s="8">
        <v>7061.2454757811793</v>
      </c>
      <c r="F167" s="8">
        <v>7061.2454757811793</v>
      </c>
      <c r="G167" s="8">
        <v>7061.2454757811793</v>
      </c>
      <c r="H167" s="8">
        <v>6892.9577927232394</v>
      </c>
      <c r="I167" s="8">
        <v>6892.9577927232394</v>
      </c>
      <c r="J167" s="8">
        <v>6930.9673816488739</v>
      </c>
      <c r="K167" s="8">
        <v>6803.0068098119236</v>
      </c>
      <c r="L167" s="8">
        <v>6804.9227840377098</v>
      </c>
      <c r="M167" s="8">
        <v>6822.1665520697816</v>
      </c>
      <c r="N167" s="8">
        <f>SUMPRODUCT(B167:M167,$B$166:$M$166)/SUM($B$166:$M$166)</f>
        <v>6914.924833624611</v>
      </c>
      <c r="Q167"/>
    </row>
    <row r="168" spans="1:17" x14ac:dyDescent="0.35">
      <c r="A168" s="5" t="s">
        <v>22</v>
      </c>
      <c r="B168" s="7">
        <v>1.2251228312281599</v>
      </c>
      <c r="C168" s="7">
        <v>1.12512283122816</v>
      </c>
      <c r="D168" s="7">
        <v>1.0112151228312201</v>
      </c>
      <c r="E168" s="7">
        <v>0.95954914928243795</v>
      </c>
      <c r="F168" s="7">
        <v>0.95954914928243795</v>
      </c>
      <c r="G168" s="7">
        <v>0.91395491492824299</v>
      </c>
      <c r="H168" s="7">
        <v>0.84902995532530001</v>
      </c>
      <c r="I168" s="7">
        <v>0.85954914928243797</v>
      </c>
      <c r="J168" s="7">
        <v>0.87490299553200002</v>
      </c>
      <c r="K168" s="7">
        <v>1.07512283122816</v>
      </c>
      <c r="L168" s="7">
        <v>1.0128512283122799</v>
      </c>
      <c r="M168" s="7">
        <v>1.0815122831228099</v>
      </c>
      <c r="N168" s="7">
        <f t="shared" ref="N168:N171" si="55">SUMPRODUCT(B168:M168,$B$166:$M$166)/SUM($B$166:$M$166)</f>
        <v>0.97967782668745695</v>
      </c>
      <c r="Q168"/>
    </row>
    <row r="169" spans="1:17" x14ac:dyDescent="0.35">
      <c r="A169" s="5" t="s">
        <v>23</v>
      </c>
      <c r="B169" s="7">
        <v>3.7895032807479305</v>
      </c>
      <c r="C169" s="7">
        <v>3.7895032807479305</v>
      </c>
      <c r="D169" s="7">
        <v>3.7895032807479305</v>
      </c>
      <c r="E169" s="7">
        <v>3.6003350251516499</v>
      </c>
      <c r="F169" s="7">
        <v>3.6003350251516499</v>
      </c>
      <c r="G169" s="7">
        <v>3.6003350251516499</v>
      </c>
      <c r="H169" s="7">
        <v>3.8710642165922149</v>
      </c>
      <c r="I169" s="7">
        <v>3.8710642165922149</v>
      </c>
      <c r="J169" s="7">
        <v>3.8710642165922149</v>
      </c>
      <c r="K169" s="7">
        <v>3.7895032807479305</v>
      </c>
      <c r="L169" s="7">
        <v>3.7895032807479305</v>
      </c>
      <c r="M169" s="7">
        <v>3.7895032807479305</v>
      </c>
      <c r="N169" s="7">
        <f t="shared" si="55"/>
        <v>3.7673803156838583</v>
      </c>
      <c r="Q169"/>
    </row>
    <row r="170" spans="1:17" x14ac:dyDescent="0.35">
      <c r="A170" s="5" t="s">
        <v>25</v>
      </c>
      <c r="B170" s="7">
        <v>8.7195491818423871</v>
      </c>
      <c r="C170" s="7">
        <v>8.7195491818423871</v>
      </c>
      <c r="D170" s="7">
        <v>8.7195491818423871</v>
      </c>
      <c r="E170" s="7">
        <v>7.3393185382452959</v>
      </c>
      <c r="F170" s="7">
        <v>7.3393185382452959</v>
      </c>
      <c r="G170" s="7">
        <v>7.3393185382452959</v>
      </c>
      <c r="H170" s="7">
        <v>9.7584776408271328</v>
      </c>
      <c r="I170" s="7">
        <v>9.7584776408271328</v>
      </c>
      <c r="J170" s="7">
        <v>9.7584776408271328</v>
      </c>
      <c r="K170" s="7">
        <v>8.7195491818423871</v>
      </c>
      <c r="L170" s="7">
        <v>8.7195491818423871</v>
      </c>
      <c r="M170" s="7">
        <v>8.7195491818423871</v>
      </c>
      <c r="N170" s="7">
        <f t="shared" si="55"/>
        <v>8.6903071606236697</v>
      </c>
      <c r="Q170"/>
    </row>
    <row r="171" spans="1:17" x14ac:dyDescent="0.35">
      <c r="A171" s="5" t="s">
        <v>38</v>
      </c>
      <c r="B171" s="7">
        <v>4.7164104927112831</v>
      </c>
      <c r="C171" s="7">
        <v>4.7164104927112831</v>
      </c>
      <c r="D171" s="7">
        <v>4.7164104927112831</v>
      </c>
      <c r="E171" s="7">
        <v>4.4046786506879778</v>
      </c>
      <c r="F171" s="7">
        <v>4.4046786506879778</v>
      </c>
      <c r="G171" s="7">
        <v>4.4046786506879778</v>
      </c>
      <c r="H171" s="7">
        <v>5.0328878476112884</v>
      </c>
      <c r="I171" s="7">
        <v>5.0328878476112884</v>
      </c>
      <c r="J171" s="7">
        <v>5.0328878476112884</v>
      </c>
      <c r="K171" s="7">
        <v>4.7164104927112831</v>
      </c>
      <c r="L171" s="7">
        <v>4.7164104927112831</v>
      </c>
      <c r="M171" s="7">
        <v>4.7164104927112831</v>
      </c>
      <c r="N171" s="7">
        <f t="shared" si="55"/>
        <v>4.734175124469358</v>
      </c>
      <c r="Q171"/>
    </row>
    <row r="173" spans="1:17" x14ac:dyDescent="0.35">
      <c r="A173" s="6" t="s">
        <v>86</v>
      </c>
      <c r="B173" s="6" t="s">
        <v>1</v>
      </c>
      <c r="C173" s="6" t="s">
        <v>2</v>
      </c>
      <c r="D173" s="6" t="s">
        <v>3</v>
      </c>
      <c r="E173" s="6" t="s">
        <v>4</v>
      </c>
      <c r="F173" s="6" t="s">
        <v>5</v>
      </c>
      <c r="G173" s="6" t="s">
        <v>6</v>
      </c>
      <c r="H173" s="6" t="s">
        <v>7</v>
      </c>
      <c r="I173" s="6" t="s">
        <v>8</v>
      </c>
      <c r="J173" s="6" t="s">
        <v>9</v>
      </c>
      <c r="K173" s="6" t="s">
        <v>10</v>
      </c>
      <c r="L173" s="6" t="s">
        <v>11</v>
      </c>
      <c r="M173" s="6" t="s">
        <v>12</v>
      </c>
      <c r="N173" s="6" t="s">
        <v>13</v>
      </c>
      <c r="Q173"/>
    </row>
    <row r="174" spans="1:17" x14ac:dyDescent="0.35">
      <c r="A174" s="9" t="s">
        <v>14</v>
      </c>
      <c r="B174" s="10">
        <f t="shared" ref="B174:N174" si="56">SUM(B175:B175)</f>
        <v>0</v>
      </c>
      <c r="C174" s="10">
        <f t="shared" si="56"/>
        <v>0</v>
      </c>
      <c r="D174" s="10">
        <f t="shared" si="56"/>
        <v>129</v>
      </c>
      <c r="E174" s="10">
        <f t="shared" si="56"/>
        <v>535</v>
      </c>
      <c r="F174" s="10">
        <f t="shared" si="56"/>
        <v>542</v>
      </c>
      <c r="G174" s="10">
        <f t="shared" si="56"/>
        <v>543</v>
      </c>
      <c r="H174" s="10">
        <f t="shared" si="56"/>
        <v>586</v>
      </c>
      <c r="I174" s="10">
        <f t="shared" si="56"/>
        <v>594</v>
      </c>
      <c r="J174" s="10">
        <f t="shared" si="56"/>
        <v>578</v>
      </c>
      <c r="K174" s="10">
        <f t="shared" si="56"/>
        <v>752</v>
      </c>
      <c r="L174" s="10">
        <f t="shared" si="56"/>
        <v>682</v>
      </c>
      <c r="M174" s="10">
        <f t="shared" si="56"/>
        <v>742.5</v>
      </c>
      <c r="N174" s="10">
        <f t="shared" si="56"/>
        <v>5683.5</v>
      </c>
      <c r="P174" s="1" t="s">
        <v>61</v>
      </c>
      <c r="Q174"/>
    </row>
    <row r="175" spans="1:17" x14ac:dyDescent="0.35">
      <c r="A175" s="5" t="s">
        <v>59</v>
      </c>
      <c r="B175" s="8">
        <v>0</v>
      </c>
      <c r="C175" s="8">
        <v>0</v>
      </c>
      <c r="D175" s="8">
        <v>129</v>
      </c>
      <c r="E175" s="8">
        <v>535</v>
      </c>
      <c r="F175" s="8">
        <v>542</v>
      </c>
      <c r="G175" s="8">
        <v>543</v>
      </c>
      <c r="H175" s="8">
        <v>586</v>
      </c>
      <c r="I175" s="8">
        <v>594</v>
      </c>
      <c r="J175" s="8">
        <v>578</v>
      </c>
      <c r="K175" s="8">
        <v>752</v>
      </c>
      <c r="L175" s="8">
        <v>682</v>
      </c>
      <c r="M175" s="8">
        <v>742.5</v>
      </c>
      <c r="N175" s="8">
        <f>SUM(B175:M175)</f>
        <v>5683.5</v>
      </c>
      <c r="Q175"/>
    </row>
    <row r="176" spans="1:17" x14ac:dyDescent="0.35">
      <c r="A176" s="9" t="s">
        <v>17</v>
      </c>
      <c r="B176" s="10">
        <f t="shared" ref="B176:N176" si="57">SUM(B177:B177)</f>
        <v>0</v>
      </c>
      <c r="C176" s="10">
        <f t="shared" si="57"/>
        <v>0</v>
      </c>
      <c r="D176" s="10">
        <f t="shared" si="57"/>
        <v>0</v>
      </c>
      <c r="E176" s="10">
        <f t="shared" si="57"/>
        <v>0</v>
      </c>
      <c r="F176" s="10">
        <f t="shared" si="57"/>
        <v>25</v>
      </c>
      <c r="G176" s="10">
        <f t="shared" si="57"/>
        <v>55</v>
      </c>
      <c r="H176" s="10">
        <f t="shared" si="57"/>
        <v>60</v>
      </c>
      <c r="I176" s="10">
        <f t="shared" si="57"/>
        <v>60</v>
      </c>
      <c r="J176" s="10">
        <f t="shared" si="57"/>
        <v>55</v>
      </c>
      <c r="K176" s="10">
        <f t="shared" si="57"/>
        <v>65</v>
      </c>
      <c r="L176" s="10">
        <f t="shared" si="57"/>
        <v>65</v>
      </c>
      <c r="M176" s="10">
        <f t="shared" si="57"/>
        <v>65</v>
      </c>
      <c r="N176" s="10">
        <f t="shared" si="57"/>
        <v>450</v>
      </c>
      <c r="Q176"/>
    </row>
    <row r="177" spans="1:17" x14ac:dyDescent="0.35">
      <c r="A177" s="5" t="s">
        <v>59</v>
      </c>
      <c r="B177" s="8">
        <v>0</v>
      </c>
      <c r="C177" s="8">
        <v>0</v>
      </c>
      <c r="D177" s="8">
        <v>0</v>
      </c>
      <c r="E177" s="8">
        <v>0</v>
      </c>
      <c r="F177" s="8">
        <v>25</v>
      </c>
      <c r="G177" s="8">
        <v>55</v>
      </c>
      <c r="H177" s="8">
        <v>60</v>
      </c>
      <c r="I177" s="8">
        <v>60</v>
      </c>
      <c r="J177" s="8">
        <v>55</v>
      </c>
      <c r="K177" s="8">
        <v>65</v>
      </c>
      <c r="L177" s="8">
        <v>65</v>
      </c>
      <c r="M177" s="8">
        <v>65</v>
      </c>
      <c r="N177" s="8">
        <f>SUM(B177:M177)</f>
        <v>450</v>
      </c>
      <c r="Q177"/>
    </row>
    <row r="178" spans="1:17" x14ac:dyDescent="0.35">
      <c r="A178" s="9" t="s">
        <v>43</v>
      </c>
      <c r="B178" s="11" t="e">
        <f t="shared" ref="B178:N178" si="58">B174/B176</f>
        <v>#DIV/0!</v>
      </c>
      <c r="C178" s="11" t="e">
        <f t="shared" si="58"/>
        <v>#DIV/0!</v>
      </c>
      <c r="D178" s="11" t="e">
        <f t="shared" si="58"/>
        <v>#DIV/0!</v>
      </c>
      <c r="E178" s="11" t="e">
        <f t="shared" si="58"/>
        <v>#DIV/0!</v>
      </c>
      <c r="F178" s="11">
        <f t="shared" si="58"/>
        <v>21.68</v>
      </c>
      <c r="G178" s="11">
        <f t="shared" si="58"/>
        <v>9.872727272727273</v>
      </c>
      <c r="H178" s="11">
        <f t="shared" si="58"/>
        <v>9.7666666666666675</v>
      </c>
      <c r="I178" s="11">
        <f t="shared" si="58"/>
        <v>9.9</v>
      </c>
      <c r="J178" s="11">
        <f t="shared" si="58"/>
        <v>10.50909090909091</v>
      </c>
      <c r="K178" s="11">
        <f t="shared" si="58"/>
        <v>11.569230769230769</v>
      </c>
      <c r="L178" s="11">
        <f t="shared" si="58"/>
        <v>10.492307692307692</v>
      </c>
      <c r="M178" s="11">
        <f t="shared" si="58"/>
        <v>11.423076923076923</v>
      </c>
      <c r="N178" s="11">
        <f t="shared" si="58"/>
        <v>12.63</v>
      </c>
      <c r="Q178"/>
    </row>
    <row r="179" spans="1:17" x14ac:dyDescent="0.35">
      <c r="A179" s="9" t="s">
        <v>34</v>
      </c>
      <c r="B179" s="11" t="e">
        <f t="shared" ref="B179:N179" si="59">B174/B180</f>
        <v>#DIV/0!</v>
      </c>
      <c r="C179" s="11" t="e">
        <f t="shared" si="59"/>
        <v>#DIV/0!</v>
      </c>
      <c r="D179" s="11" t="e">
        <f t="shared" si="59"/>
        <v>#DIV/0!</v>
      </c>
      <c r="E179" s="11" t="e">
        <f t="shared" si="59"/>
        <v>#DIV/0!</v>
      </c>
      <c r="F179" s="10">
        <f t="shared" si="59"/>
        <v>31.882352941176471</v>
      </c>
      <c r="G179" s="11">
        <f t="shared" si="59"/>
        <v>14.675675675675675</v>
      </c>
      <c r="H179" s="11">
        <f t="shared" si="59"/>
        <v>14.65</v>
      </c>
      <c r="I179" s="11">
        <f t="shared" si="59"/>
        <v>14.85</v>
      </c>
      <c r="J179" s="11">
        <f t="shared" si="59"/>
        <v>15.621621621621621</v>
      </c>
      <c r="K179" s="11">
        <f t="shared" si="59"/>
        <v>17.488372093023255</v>
      </c>
      <c r="L179" s="11">
        <f t="shared" si="59"/>
        <v>15.86046511627907</v>
      </c>
      <c r="M179" s="11">
        <f t="shared" si="59"/>
        <v>17.267441860465116</v>
      </c>
      <c r="N179" s="11">
        <f t="shared" si="59"/>
        <v>18.945</v>
      </c>
      <c r="Q179"/>
    </row>
    <row r="180" spans="1:17" x14ac:dyDescent="0.35">
      <c r="A180" s="9" t="s">
        <v>47</v>
      </c>
      <c r="B180" s="10">
        <v>0</v>
      </c>
      <c r="C180" s="10">
        <v>0</v>
      </c>
      <c r="D180" s="10">
        <v>0</v>
      </c>
      <c r="E180" s="10">
        <v>0</v>
      </c>
      <c r="F180" s="10">
        <v>17</v>
      </c>
      <c r="G180" s="10">
        <v>37</v>
      </c>
      <c r="H180" s="10">
        <v>40</v>
      </c>
      <c r="I180" s="10">
        <v>40</v>
      </c>
      <c r="J180" s="10">
        <v>37</v>
      </c>
      <c r="K180" s="10">
        <v>43</v>
      </c>
      <c r="L180" s="10">
        <v>43</v>
      </c>
      <c r="M180" s="10">
        <v>43</v>
      </c>
      <c r="N180" s="10">
        <f>SUM(B180:M180)</f>
        <v>300</v>
      </c>
      <c r="Q180"/>
    </row>
    <row r="181" spans="1:17" x14ac:dyDescent="0.35">
      <c r="A181" s="5" t="s">
        <v>87</v>
      </c>
      <c r="B181" s="8">
        <v>0</v>
      </c>
      <c r="C181" s="8">
        <v>0</v>
      </c>
      <c r="D181" s="8">
        <v>0</v>
      </c>
      <c r="E181" s="8">
        <v>0</v>
      </c>
      <c r="F181" s="8">
        <v>6479.8735513063575</v>
      </c>
      <c r="G181" s="8">
        <v>6587.4532361428255</v>
      </c>
      <c r="H181" s="8">
        <v>6598.4996530979815</v>
      </c>
      <c r="I181" s="8">
        <v>6640.8571020106665</v>
      </c>
      <c r="J181" s="8">
        <v>6546.9131928299039</v>
      </c>
      <c r="K181" s="8">
        <v>6622.554164152155</v>
      </c>
      <c r="L181" s="8">
        <v>6577.0751977468653</v>
      </c>
      <c r="M181" s="8">
        <v>6514.6913723446387</v>
      </c>
      <c r="N181" s="8">
        <f>SUMPRODUCT(B181:M181,$B$166:$M$166)/SUM($B$166:$M$166)</f>
        <v>5016.4002721866818</v>
      </c>
      <c r="Q181"/>
    </row>
    <row r="182" spans="1:17" x14ac:dyDescent="0.35">
      <c r="A182" s="5" t="s">
        <v>22</v>
      </c>
      <c r="B182" s="7">
        <v>0</v>
      </c>
      <c r="C182" s="7">
        <v>0</v>
      </c>
      <c r="D182" s="7">
        <v>0</v>
      </c>
      <c r="E182" s="7">
        <v>0</v>
      </c>
      <c r="F182" s="7">
        <v>1.1963137977016487</v>
      </c>
      <c r="G182" s="7">
        <v>1.2297945486871629</v>
      </c>
      <c r="H182" s="7">
        <v>1.1899371525763407</v>
      </c>
      <c r="I182" s="7">
        <v>1.1598452095168732</v>
      </c>
      <c r="J182" s="7">
        <v>1.043069152154005</v>
      </c>
      <c r="K182" s="7">
        <v>1.0998599026215141</v>
      </c>
      <c r="L182" s="7">
        <v>1.0171850237389215</v>
      </c>
      <c r="M182" s="7">
        <v>0.99868824240130705</v>
      </c>
      <c r="N182" s="7">
        <f t="shared" ref="N182:N185" si="60">SUMPRODUCT(B182:M182,$B$166:$M$166)/SUM($B$166:$M$166)</f>
        <v>0.85231442995617068</v>
      </c>
      <c r="Q182"/>
    </row>
    <row r="183" spans="1:17" x14ac:dyDescent="0.35">
      <c r="A183" s="5" t="s">
        <v>23</v>
      </c>
      <c r="B183" s="7">
        <v>0</v>
      </c>
      <c r="C183" s="7">
        <v>0</v>
      </c>
      <c r="D183" s="7">
        <v>0</v>
      </c>
      <c r="E183" s="7">
        <v>0</v>
      </c>
      <c r="F183" s="7">
        <v>6.1898218520392891</v>
      </c>
      <c r="G183" s="7">
        <v>6.1677029274238109</v>
      </c>
      <c r="H183" s="7">
        <v>6.5216776272949577</v>
      </c>
      <c r="I183" s="7">
        <v>6.2198206941014229</v>
      </c>
      <c r="J183" s="7">
        <v>5.4980496011602895</v>
      </c>
      <c r="K183" s="7">
        <v>6.2002253394155238</v>
      </c>
      <c r="L183" s="7">
        <v>5.4953496668146338</v>
      </c>
      <c r="M183" s="7">
        <v>5.9413443801343009</v>
      </c>
      <c r="N183" s="7">
        <f t="shared" si="60"/>
        <v>4.6059680600780979</v>
      </c>
      <c r="Q183"/>
    </row>
    <row r="184" spans="1:17" x14ac:dyDescent="0.35">
      <c r="A184" s="5" t="s">
        <v>38</v>
      </c>
      <c r="B184" s="7"/>
      <c r="C184" s="7"/>
      <c r="D184" s="7"/>
      <c r="E184" s="7">
        <v>0</v>
      </c>
      <c r="F184" s="7">
        <v>8.6260324569665645</v>
      </c>
      <c r="G184" s="7">
        <v>7.4000020850870269</v>
      </c>
      <c r="H184" s="7">
        <v>6.7387324662647368</v>
      </c>
      <c r="I184" s="7">
        <v>6.6265738034878963</v>
      </c>
      <c r="J184" s="7">
        <v>8.5113001863496525</v>
      </c>
      <c r="K184" s="7">
        <v>6.8655051550811086</v>
      </c>
      <c r="L184" s="7">
        <v>8.0494777521544147</v>
      </c>
      <c r="M184" s="7">
        <v>8.4500340109166245</v>
      </c>
      <c r="N184" s="7">
        <f t="shared" si="60"/>
        <v>5.8143085963157821</v>
      </c>
      <c r="Q184"/>
    </row>
    <row r="185" spans="1:17" x14ac:dyDescent="0.35">
      <c r="A185" s="5" t="s">
        <v>25</v>
      </c>
      <c r="B185" s="7">
        <v>0</v>
      </c>
      <c r="C185" s="7">
        <v>0</v>
      </c>
      <c r="D185" s="7">
        <v>0</v>
      </c>
      <c r="E185" s="7">
        <v>0</v>
      </c>
      <c r="F185" s="7">
        <v>14.780549266908384</v>
      </c>
      <c r="G185" s="7">
        <v>14.414034145582065</v>
      </c>
      <c r="H185" s="7">
        <v>14.368264087092488</v>
      </c>
      <c r="I185" s="7">
        <v>14.399810935412955</v>
      </c>
      <c r="J185" s="7">
        <v>15.000279257794638</v>
      </c>
      <c r="K185" s="7">
        <v>14.384707966561351</v>
      </c>
      <c r="L185" s="7">
        <v>15.075931068448858</v>
      </c>
      <c r="M185" s="7">
        <v>15.09520006903829</v>
      </c>
      <c r="N185" s="7">
        <f t="shared" si="60"/>
        <v>11.20202059508415</v>
      </c>
      <c r="Q185"/>
    </row>
    <row r="186" spans="1:17" x14ac:dyDescent="0.3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7" x14ac:dyDescent="0.35">
      <c r="E187" s="12"/>
      <c r="H187" s="12"/>
      <c r="K187" s="12"/>
      <c r="N187" s="12"/>
    </row>
    <row r="188" spans="1:17" x14ac:dyDescent="0.35">
      <c r="B188" s="12">
        <f>SUM(B5,B56,B105,B130,B145,B160,B174)</f>
        <v>21310.088822219208</v>
      </c>
      <c r="C188" s="12">
        <f t="shared" ref="C188:G188" si="61">SUM(C5,C56,C105,C130,C145,C160,C174)</f>
        <v>19731.165403530802</v>
      </c>
      <c r="D188" s="12">
        <f t="shared" si="61"/>
        <v>20181.228303374392</v>
      </c>
      <c r="E188" s="12">
        <f t="shared" si="61"/>
        <v>21554.566486959891</v>
      </c>
      <c r="F188" s="12">
        <f t="shared" si="61"/>
        <v>22895.324890127413</v>
      </c>
      <c r="G188" s="12">
        <f t="shared" si="61"/>
        <v>22433.126267056032</v>
      </c>
      <c r="H188" s="12">
        <f>SUM(B188:G188)</f>
        <v>128105.50017326773</v>
      </c>
      <c r="I188" s="12"/>
      <c r="J188" s="12"/>
      <c r="K188" s="12"/>
      <c r="L188" s="12"/>
      <c r="M188" s="12"/>
      <c r="N188" s="12"/>
    </row>
    <row r="189" spans="1:17" x14ac:dyDescent="0.35">
      <c r="B189" s="12">
        <f>SUM(B8,B60,B109,B132,B147,B162,B176)</f>
        <v>1646.102095831556</v>
      </c>
      <c r="C189" s="12">
        <f t="shared" ref="C189:G189" si="62">SUM(C8,C60,C109,C132,C147,C162,C176)</f>
        <v>1609.0931296114488</v>
      </c>
      <c r="D189" s="12">
        <f t="shared" si="62"/>
        <v>1663.629648592299</v>
      </c>
      <c r="E189" s="12">
        <f t="shared" si="62"/>
        <v>1577.0535181144135</v>
      </c>
      <c r="F189" s="12">
        <f t="shared" si="62"/>
        <v>1760.7535255155562</v>
      </c>
      <c r="G189" s="12">
        <f t="shared" si="62"/>
        <v>1886.7541047132706</v>
      </c>
      <c r="H189" s="12">
        <f t="shared" ref="H189:H190" si="63">SUM(B189:G189)</f>
        <v>10143.386022378543</v>
      </c>
      <c r="J189" s="12"/>
      <c r="K189" s="12"/>
      <c r="M189" s="12"/>
      <c r="N189" s="12"/>
    </row>
    <row r="190" spans="1:17" x14ac:dyDescent="0.35">
      <c r="B190" s="12">
        <f>SUM(B13,B65,B115,B137,B152,B166,B180)</f>
        <v>1690.750000011556</v>
      </c>
      <c r="C190" s="12">
        <f t="shared" ref="C190:G190" si="64">SUM(C13,C65,C115,C137,C152,C166,C180)</f>
        <v>1679.7500000114485</v>
      </c>
      <c r="D190" s="12">
        <f t="shared" si="64"/>
        <v>1729.750000011556</v>
      </c>
      <c r="E190" s="12">
        <f t="shared" si="64"/>
        <v>1673.7500000115565</v>
      </c>
      <c r="F190" s="12">
        <f t="shared" si="64"/>
        <v>1756.7500000115563</v>
      </c>
      <c r="G190" s="12">
        <f t="shared" si="64"/>
        <v>1808.7500000115563</v>
      </c>
      <c r="H190" s="12">
        <f t="shared" si="63"/>
        <v>10339.500000069229</v>
      </c>
      <c r="I190" s="12"/>
      <c r="J190" s="12"/>
      <c r="K190" s="12"/>
      <c r="L190" s="12"/>
      <c r="M190" s="12"/>
      <c r="N190" s="12"/>
    </row>
    <row r="191" spans="1:17" x14ac:dyDescent="0.35">
      <c r="E191" s="12"/>
      <c r="H191" s="12"/>
      <c r="K191" s="12"/>
      <c r="N191" s="12"/>
    </row>
    <row r="192" spans="1:17" x14ac:dyDescent="0.35">
      <c r="B192" s="12"/>
      <c r="C192" s="12"/>
      <c r="D192" s="12"/>
      <c r="E192" s="13"/>
      <c r="F192" s="12"/>
      <c r="G192" s="12"/>
      <c r="H192" s="13"/>
      <c r="I192" s="12"/>
      <c r="J192" s="12"/>
      <c r="K192" s="13"/>
      <c r="L192" s="12"/>
      <c r="M192" s="12"/>
      <c r="N192" s="13"/>
    </row>
    <row r="193" spans="2:13" x14ac:dyDescent="0.35">
      <c r="D193" s="12"/>
      <c r="G193" s="12"/>
      <c r="J193" s="12"/>
      <c r="M193" s="12"/>
    </row>
    <row r="196" spans="2:13" x14ac:dyDescent="0.3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2:13" x14ac:dyDescent="0.35">
      <c r="D197" s="12"/>
      <c r="G197" s="12"/>
      <c r="J197" s="12"/>
      <c r="M197" s="12"/>
    </row>
    <row r="200" spans="2:13" x14ac:dyDescent="0.3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2:13" x14ac:dyDescent="0.35">
      <c r="D201" s="12"/>
      <c r="G201" s="12"/>
      <c r="J201" s="12"/>
      <c r="M201" s="12"/>
    </row>
    <row r="206" spans="2:13" x14ac:dyDescent="0.3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2:13" x14ac:dyDescent="0.35">
      <c r="D207" s="12"/>
      <c r="G207" s="12"/>
      <c r="J207" s="12"/>
      <c r="M207" s="12"/>
    </row>
    <row r="211" spans="2:13" x14ac:dyDescent="0.3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spans="2:13" x14ac:dyDescent="0.35">
      <c r="D212" s="12"/>
      <c r="G212" s="12"/>
      <c r="J212" s="12"/>
      <c r="M212" s="12"/>
    </row>
  </sheetData>
  <pageMargins left="0.7" right="0.7" top="0.75" bottom="0.75" header="0.3" footer="0.3"/>
  <pageSetup paperSize="9" orientation="portrait" r:id="rId1"/>
  <ignoredErrors>
    <ignoredError sqref="N12 N17 N1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Q188"/>
  <sheetViews>
    <sheetView tabSelected="1" zoomScale="70" zoomScaleNormal="70" workbookViewId="0">
      <pane xSplit="1" ySplit="4" topLeftCell="B85" activePane="bottomRight" state="frozen"/>
      <selection pane="topRight" activeCell="B1" sqref="B1"/>
      <selection pane="bottomLeft" activeCell="A5" sqref="A5"/>
      <selection pane="bottomRight" activeCell="H123" sqref="H123"/>
    </sheetView>
  </sheetViews>
  <sheetFormatPr defaultColWidth="8.90625" defaultRowHeight="14.5" x14ac:dyDescent="0.35"/>
  <cols>
    <col min="1" max="1" width="27.453125" style="1" customWidth="1"/>
    <col min="2" max="13" width="11.81640625" style="1" bestFit="1" customWidth="1"/>
    <col min="14" max="14" width="13.36328125" style="1" customWidth="1"/>
    <col min="15" max="15" width="1.6328125" style="1" customWidth="1"/>
    <col min="16" max="16" width="13.6328125" style="1" customWidth="1"/>
    <col min="17" max="17" width="0" style="1" hidden="1" customWidth="1"/>
    <col min="18" max="16384" width="8.90625" style="1"/>
  </cols>
  <sheetData>
    <row r="1" spans="1:17" x14ac:dyDescent="0.35">
      <c r="A1" s="3" t="s">
        <v>97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7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7" ht="15.65" customHeight="1" x14ac:dyDescent="0.35">
      <c r="B3" s="4" t="s">
        <v>88</v>
      </c>
      <c r="C3" s="4" t="s">
        <v>88</v>
      </c>
      <c r="D3" s="4" t="s">
        <v>88</v>
      </c>
      <c r="E3" s="4" t="s">
        <v>88</v>
      </c>
      <c r="F3" s="4" t="s">
        <v>88</v>
      </c>
      <c r="G3" s="4" t="s">
        <v>88</v>
      </c>
      <c r="H3" s="4" t="s">
        <v>62</v>
      </c>
      <c r="I3" s="4" t="s">
        <v>62</v>
      </c>
      <c r="J3" s="4" t="s">
        <v>62</v>
      </c>
      <c r="K3" s="4" t="s">
        <v>62</v>
      </c>
      <c r="L3" s="4" t="s">
        <v>62</v>
      </c>
      <c r="M3" s="4" t="s">
        <v>62</v>
      </c>
      <c r="N3" s="4" t="s">
        <v>62</v>
      </c>
      <c r="O3" s="4"/>
      <c r="P3" s="4"/>
    </row>
    <row r="4" spans="1:17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  <c r="P4" s="6" t="s">
        <v>84</v>
      </c>
    </row>
    <row r="5" spans="1:17" s="2" customFormat="1" x14ac:dyDescent="0.35">
      <c r="A5" s="9" t="s">
        <v>14</v>
      </c>
      <c r="B5" s="10">
        <f t="shared" ref="B5:M5" si="0">SUM(B6:B7)</f>
        <v>6763.0375890000014</v>
      </c>
      <c r="C5" s="10">
        <f t="shared" si="0"/>
        <v>7421.6152662000004</v>
      </c>
      <c r="D5" s="10">
        <f t="shared" si="0"/>
        <v>6667.022282599999</v>
      </c>
      <c r="E5" s="10">
        <f t="shared" si="0"/>
        <v>6530.8425999999999</v>
      </c>
      <c r="F5" s="10">
        <f t="shared" si="0"/>
        <v>7716.6778090000025</v>
      </c>
      <c r="G5" s="10">
        <f t="shared" si="0"/>
        <v>7595.2420449999954</v>
      </c>
      <c r="H5" s="10">
        <f t="shared" si="0"/>
        <v>8982.5412797333338</v>
      </c>
      <c r="I5" s="10">
        <f t="shared" si="0"/>
        <v>8828.7538750997919</v>
      </c>
      <c r="J5" s="10">
        <f t="shared" si="0"/>
        <v>8894.6900812053882</v>
      </c>
      <c r="K5" s="10">
        <f t="shared" si="0"/>
        <v>8984.4937599999994</v>
      </c>
      <c r="L5" s="10">
        <f t="shared" si="0"/>
        <v>8557.0873599999995</v>
      </c>
      <c r="M5" s="10">
        <f t="shared" si="0"/>
        <v>8253.8721759999989</v>
      </c>
      <c r="N5" s="10">
        <f>SUM(B5:M5)</f>
        <v>95195.87612383852</v>
      </c>
      <c r="P5" s="10">
        <f>'Budget 2025'!N5</f>
        <v>94714.47819029224</v>
      </c>
      <c r="Q5" s="27">
        <f>N5/P5</f>
        <v>1.0050826224537615</v>
      </c>
    </row>
    <row r="6" spans="1:17" x14ac:dyDescent="0.35">
      <c r="A6" s="5" t="s">
        <v>15</v>
      </c>
      <c r="B6" s="30">
        <v>2244.6940840000002</v>
      </c>
      <c r="C6" s="30">
        <v>2827.0689547000002</v>
      </c>
      <c r="D6" s="30">
        <v>2295.7417960000002</v>
      </c>
      <c r="E6" s="30">
        <v>2096.5402220000001</v>
      </c>
      <c r="F6" s="30">
        <v>2379.9843150000002</v>
      </c>
      <c r="G6" s="30">
        <v>2441.2930139999985</v>
      </c>
      <c r="H6" s="8">
        <v>2684.5774190476191</v>
      </c>
      <c r="I6" s="8">
        <v>2586.0616134959623</v>
      </c>
      <c r="J6" s="8">
        <v>2605.3532761827587</v>
      </c>
      <c r="K6" s="8">
        <v>2792.096</v>
      </c>
      <c r="L6" s="8">
        <v>2669.4079999999999</v>
      </c>
      <c r="M6" s="8">
        <v>2582.3384000000001</v>
      </c>
      <c r="N6" s="8">
        <f t="shared" ref="N6:N7" si="1">SUM(B6:M6)</f>
        <v>30205.157094426344</v>
      </c>
      <c r="P6" s="8">
        <f>'Budget 2025'!N6</f>
        <v>33532.659005910617</v>
      </c>
    </row>
    <row r="7" spans="1:17" x14ac:dyDescent="0.35">
      <c r="A7" s="5" t="s">
        <v>16</v>
      </c>
      <c r="B7" s="30">
        <v>4518.3435050000007</v>
      </c>
      <c r="C7" s="30">
        <v>4594.5463115000002</v>
      </c>
      <c r="D7" s="30">
        <v>4371.2804865999988</v>
      </c>
      <c r="E7" s="30">
        <v>4434.3023780000003</v>
      </c>
      <c r="F7" s="30">
        <v>5336.6934940000019</v>
      </c>
      <c r="G7" s="30">
        <v>5153.9490309999974</v>
      </c>
      <c r="H7" s="8">
        <v>6297.9638606857143</v>
      </c>
      <c r="I7" s="8">
        <v>6242.69226160383</v>
      </c>
      <c r="J7" s="8">
        <v>6289.3368050226291</v>
      </c>
      <c r="K7" s="8">
        <v>6192.3977599999998</v>
      </c>
      <c r="L7" s="8">
        <v>5887.6793599999992</v>
      </c>
      <c r="M7" s="8">
        <v>5671.5337759999993</v>
      </c>
      <c r="N7" s="8">
        <f t="shared" si="1"/>
        <v>64990.719029412168</v>
      </c>
      <c r="P7" s="8">
        <f>'Budget 2025'!N7</f>
        <v>61181.819184381624</v>
      </c>
    </row>
    <row r="8" spans="1:17" s="2" customFormat="1" x14ac:dyDescent="0.35">
      <c r="A8" s="9" t="s">
        <v>17</v>
      </c>
      <c r="B8" s="10">
        <f>SUM(B9:B11)</f>
        <v>542.83357399999977</v>
      </c>
      <c r="C8" s="10">
        <f t="shared" ref="C8:N8" si="2">SUM(C9:C11)</f>
        <v>554.119505</v>
      </c>
      <c r="D8" s="10">
        <f t="shared" si="2"/>
        <v>482.78671800000012</v>
      </c>
      <c r="E8" s="10">
        <f t="shared" si="2"/>
        <v>444.51200610661351</v>
      </c>
      <c r="F8" s="10">
        <f t="shared" si="2"/>
        <v>639.80023539999979</v>
      </c>
      <c r="G8" s="10">
        <f t="shared" si="2"/>
        <v>581.91608790000009</v>
      </c>
      <c r="H8" s="10">
        <f t="shared" si="2"/>
        <v>635.31453573083411</v>
      </c>
      <c r="I8" s="10">
        <f t="shared" si="2"/>
        <v>660.00000001418994</v>
      </c>
      <c r="J8" s="10">
        <f t="shared" si="2"/>
        <v>650.00000001397507</v>
      </c>
      <c r="K8" s="10">
        <f t="shared" si="2"/>
        <v>650.00000001397495</v>
      </c>
      <c r="L8" s="10">
        <f t="shared" si="2"/>
        <v>650.00000001397495</v>
      </c>
      <c r="M8" s="10">
        <f t="shared" si="2"/>
        <v>581.21733782193496</v>
      </c>
      <c r="N8" s="10">
        <f t="shared" si="2"/>
        <v>7072.5000000154978</v>
      </c>
      <c r="P8" s="10">
        <f>'Budget 2025'!N8</f>
        <v>6950.0000001494245</v>
      </c>
      <c r="Q8" s="27">
        <f>N8/P8</f>
        <v>1.0176258992609266</v>
      </c>
    </row>
    <row r="9" spans="1:17" x14ac:dyDescent="0.35">
      <c r="A9" s="5" t="s">
        <v>15</v>
      </c>
      <c r="B9" s="30">
        <v>158.42587471319851</v>
      </c>
      <c r="C9" s="30">
        <v>192.5856716189881</v>
      </c>
      <c r="D9" s="30">
        <v>141.12356905548722</v>
      </c>
      <c r="E9" s="30">
        <v>88.560643702912401</v>
      </c>
      <c r="F9" s="30">
        <v>157.31739978085881</v>
      </c>
      <c r="G9" s="30">
        <v>130.17205463036214</v>
      </c>
      <c r="H9" s="8">
        <v>115.130169475755</v>
      </c>
      <c r="I9" s="8">
        <v>130.00000000279499</v>
      </c>
      <c r="J9" s="8">
        <v>130.00000000279499</v>
      </c>
      <c r="K9" s="8">
        <v>130.00000000279499</v>
      </c>
      <c r="L9" s="8">
        <v>130.00000000279499</v>
      </c>
      <c r="M9" s="8">
        <v>125.00000000268749</v>
      </c>
      <c r="N9" s="8">
        <f t="shared" ref="N9:N11" si="3">SUM(B9:M9)</f>
        <v>1628.3153829914295</v>
      </c>
      <c r="P9" s="8">
        <f>'Budget 2025'!N9</f>
        <v>1862.5000000400435</v>
      </c>
    </row>
    <row r="10" spans="1:17" x14ac:dyDescent="0.35">
      <c r="A10" s="5" t="s">
        <v>16</v>
      </c>
      <c r="B10" s="30">
        <v>384.40769928680129</v>
      </c>
      <c r="C10" s="30">
        <v>361.5338333810119</v>
      </c>
      <c r="D10" s="30">
        <v>341.6631489445129</v>
      </c>
      <c r="E10" s="30">
        <v>355.95136240370113</v>
      </c>
      <c r="F10" s="30">
        <v>482.48283561914104</v>
      </c>
      <c r="G10" s="30">
        <v>451.7440332696379</v>
      </c>
      <c r="H10" s="8">
        <v>520.18436625507911</v>
      </c>
      <c r="I10" s="8">
        <v>530.00000001139495</v>
      </c>
      <c r="J10" s="8">
        <v>520.00000001118008</v>
      </c>
      <c r="K10" s="8">
        <v>520.00000001117996</v>
      </c>
      <c r="L10" s="8">
        <v>520.00000001117996</v>
      </c>
      <c r="M10" s="8">
        <v>456.21733781924746</v>
      </c>
      <c r="N10" s="8">
        <f t="shared" si="3"/>
        <v>5444.1846170240678</v>
      </c>
      <c r="P10" s="8">
        <f>'Budget 2025'!N10</f>
        <v>5087.5000001093813</v>
      </c>
    </row>
    <row r="11" spans="1:17" x14ac:dyDescent="0.35">
      <c r="A11" s="5" t="s">
        <v>70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  <c r="P11" s="8">
        <f>'Budget 2025'!N11</f>
        <v>0</v>
      </c>
    </row>
    <row r="12" spans="1:17" s="2" customFormat="1" x14ac:dyDescent="0.35">
      <c r="A12" s="9" t="s">
        <v>18</v>
      </c>
      <c r="B12" s="11">
        <f t="shared" ref="B12:N12" si="4">B5/B8</f>
        <v>12.458768051439655</v>
      </c>
      <c r="C12" s="11">
        <f t="shared" si="4"/>
        <v>13.393528289894794</v>
      </c>
      <c r="D12" s="11">
        <f t="shared" si="4"/>
        <v>13.809456710447442</v>
      </c>
      <c r="E12" s="11">
        <f t="shared" si="4"/>
        <v>14.692162439440651</v>
      </c>
      <c r="F12" s="11">
        <f t="shared" si="4"/>
        <v>12.061073725888168</v>
      </c>
      <c r="G12" s="11">
        <f t="shared" si="4"/>
        <v>13.052125904285374</v>
      </c>
      <c r="H12" s="11">
        <f t="shared" si="4"/>
        <v>14.138730934906546</v>
      </c>
      <c r="I12" s="11">
        <f t="shared" si="4"/>
        <v>13.376899810469659</v>
      </c>
      <c r="J12" s="11">
        <f t="shared" si="4"/>
        <v>13.684138586175617</v>
      </c>
      <c r="K12" s="11">
        <f t="shared" si="4"/>
        <v>13.822298092010513</v>
      </c>
      <c r="L12" s="11">
        <f t="shared" si="4"/>
        <v>13.164749784332344</v>
      </c>
      <c r="M12" s="11">
        <f t="shared" si="4"/>
        <v>14.201008192444359</v>
      </c>
      <c r="N12" s="11">
        <f t="shared" si="4"/>
        <v>13.460003693691046</v>
      </c>
      <c r="P12" s="11">
        <f>'Budget 2025'!N12</f>
        <v>13.627982473130343</v>
      </c>
    </row>
    <row r="13" spans="1:17" s="2" customFormat="1" x14ac:dyDescent="0.35">
      <c r="A13" s="9" t="s">
        <v>19</v>
      </c>
      <c r="B13" s="10">
        <f>SUM(B14:B16)</f>
        <v>612.68292599999972</v>
      </c>
      <c r="C13" s="10">
        <f t="shared" ref="C13:M13" si="5">SUM(C14:C16)</f>
        <v>584.91494499999999</v>
      </c>
      <c r="D13" s="10">
        <f t="shared" si="5"/>
        <v>501.01073500000018</v>
      </c>
      <c r="E13" s="10">
        <f t="shared" si="5"/>
        <v>479.30494752121433</v>
      </c>
      <c r="F13" s="10">
        <f t="shared" si="5"/>
        <v>587.89845497878548</v>
      </c>
      <c r="G13" s="10">
        <f t="shared" si="5"/>
        <v>588.81158099999993</v>
      </c>
      <c r="H13" s="10">
        <f>SUM(H14:H16)</f>
        <v>625.75</v>
      </c>
      <c r="I13" s="10">
        <f t="shared" si="5"/>
        <v>664.25</v>
      </c>
      <c r="J13" s="10">
        <f t="shared" si="5"/>
        <v>672.74999999999989</v>
      </c>
      <c r="K13" s="10">
        <f t="shared" si="5"/>
        <v>632.00000001397495</v>
      </c>
      <c r="L13" s="10">
        <f t="shared" si="5"/>
        <v>632.00000001397507</v>
      </c>
      <c r="M13" s="10">
        <f t="shared" si="5"/>
        <v>553.62641047204966</v>
      </c>
      <c r="N13" s="10">
        <f>SUM(B13:M13)</f>
        <v>7134.9999999999991</v>
      </c>
      <c r="P13" s="10">
        <f>'Budget 2025'!N13</f>
        <v>7100.0000001494254</v>
      </c>
    </row>
    <row r="14" spans="1:17" x14ac:dyDescent="0.35">
      <c r="A14" s="5" t="s">
        <v>15</v>
      </c>
      <c r="B14" s="30">
        <v>203.84233071319855</v>
      </c>
      <c r="C14" s="30">
        <v>213.15935261898807</v>
      </c>
      <c r="D14" s="30">
        <v>151.07620705548723</v>
      </c>
      <c r="E14" s="30">
        <v>100.53441410291239</v>
      </c>
      <c r="F14" s="30">
        <v>127.35434238085875</v>
      </c>
      <c r="G14" s="30">
        <v>132.81291073036215</v>
      </c>
      <c r="H14" s="8">
        <v>175</v>
      </c>
      <c r="I14" s="8">
        <v>160.00000000279499</v>
      </c>
      <c r="J14" s="8">
        <v>130.00000000279499</v>
      </c>
      <c r="K14" s="8">
        <v>115.00000000279499</v>
      </c>
      <c r="L14" s="8">
        <v>115.00000000279499</v>
      </c>
      <c r="M14" s="8">
        <v>106.22044238701258</v>
      </c>
      <c r="N14" s="8">
        <f t="shared" ref="N14:N15" si="6">SUM(B14:M14)</f>
        <v>1729.9999999999991</v>
      </c>
      <c r="P14" s="8">
        <f>'Budget 2025'!N14</f>
        <v>1862.5000000400439</v>
      </c>
    </row>
    <row r="15" spans="1:17" x14ac:dyDescent="0.35">
      <c r="A15" s="5" t="s">
        <v>16</v>
      </c>
      <c r="B15" s="30">
        <v>408.8405952868012</v>
      </c>
      <c r="C15" s="30">
        <v>371.75559238101187</v>
      </c>
      <c r="D15" s="30">
        <v>349.93452794451292</v>
      </c>
      <c r="E15" s="30">
        <v>378.57866440370123</v>
      </c>
      <c r="F15" s="30">
        <v>460.534612619141</v>
      </c>
      <c r="G15" s="30">
        <v>455.99867026963784</v>
      </c>
      <c r="H15" s="8">
        <v>446.5</v>
      </c>
      <c r="I15" s="8">
        <v>499.99999999720501</v>
      </c>
      <c r="J15" s="8">
        <v>538.4999999972049</v>
      </c>
      <c r="K15" s="8">
        <v>504.25000001117996</v>
      </c>
      <c r="L15" s="8">
        <v>504.25000001118002</v>
      </c>
      <c r="M15" s="8">
        <v>434.6559680850371</v>
      </c>
      <c r="N15" s="8">
        <f t="shared" si="6"/>
        <v>5353.7986310066126</v>
      </c>
      <c r="P15" s="8">
        <f>'Budget 2025'!N15</f>
        <v>5110.0000001093813</v>
      </c>
    </row>
    <row r="16" spans="1:17" x14ac:dyDescent="0.35">
      <c r="A16" s="5" t="s">
        <v>68</v>
      </c>
      <c r="B16" s="30">
        <v>0</v>
      </c>
      <c r="C16" s="30">
        <v>0</v>
      </c>
      <c r="D16" s="30">
        <v>0</v>
      </c>
      <c r="E16" s="30">
        <v>0.19186901460068298</v>
      </c>
      <c r="F16" s="30">
        <v>9.4999787856703509E-3</v>
      </c>
      <c r="G16" s="30">
        <v>0</v>
      </c>
      <c r="H16" s="14">
        <v>4.25</v>
      </c>
      <c r="I16" s="14">
        <v>4.25</v>
      </c>
      <c r="J16" s="14">
        <v>4.25</v>
      </c>
      <c r="K16" s="14">
        <v>12.75</v>
      </c>
      <c r="L16" s="14">
        <v>12.75</v>
      </c>
      <c r="M16" s="14">
        <v>12.75</v>
      </c>
      <c r="N16" s="8">
        <f>SUM(B16:M16)</f>
        <v>51.201368993386353</v>
      </c>
      <c r="P16" s="14">
        <f>'Budget 2025'!N48</f>
        <v>127.5</v>
      </c>
    </row>
    <row r="17" spans="1:16" s="2" customFormat="1" x14ac:dyDescent="0.35">
      <c r="A17" s="9" t="s">
        <v>20</v>
      </c>
      <c r="B17" s="11">
        <f>B5/B13</f>
        <v>11.03839735367459</v>
      </c>
      <c r="C17" s="11">
        <f t="shared" ref="C17:N17" si="7">C5/C13</f>
        <v>12.688366624313216</v>
      </c>
      <c r="D17" s="11">
        <f t="shared" si="7"/>
        <v>13.307144571662715</v>
      </c>
      <c r="E17" s="11">
        <f t="shared" si="7"/>
        <v>13.625652382215272</v>
      </c>
      <c r="F17" s="11">
        <f t="shared" si="7"/>
        <v>13.125868495909657</v>
      </c>
      <c r="G17" s="11">
        <f t="shared" si="7"/>
        <v>12.899274216211444</v>
      </c>
      <c r="H17" s="11">
        <f t="shared" si="7"/>
        <v>14.35484023928619</v>
      </c>
      <c r="I17" s="11">
        <f t="shared" si="7"/>
        <v>13.291311817989902</v>
      </c>
      <c r="J17" s="11">
        <f t="shared" si="7"/>
        <v>13.221389938618193</v>
      </c>
      <c r="K17" s="11">
        <f t="shared" si="7"/>
        <v>14.215971138926157</v>
      </c>
      <c r="L17" s="11">
        <f t="shared" si="7"/>
        <v>13.539695189574021</v>
      </c>
      <c r="M17" s="11">
        <f t="shared" si="7"/>
        <v>14.908739937031424</v>
      </c>
      <c r="N17" s="11">
        <f t="shared" si="7"/>
        <v>13.342098966200215</v>
      </c>
      <c r="P17" s="11">
        <f>'Budget 2025'!N17</f>
        <v>13.340067350464633</v>
      </c>
    </row>
    <row r="18" spans="1:16" s="2" customFormat="1" x14ac:dyDescent="0.35">
      <c r="A18" s="9" t="s">
        <v>21</v>
      </c>
      <c r="B18" s="10">
        <v>146.18254208761763</v>
      </c>
      <c r="C18" s="10">
        <v>147.46076008666739</v>
      </c>
      <c r="D18" s="10">
        <v>104.99952079300986</v>
      </c>
      <c r="E18" s="10">
        <v>70.128193511949377</v>
      </c>
      <c r="F18" s="10">
        <v>84.530922874475152</v>
      </c>
      <c r="G18" s="10">
        <v>85.31518039640082</v>
      </c>
      <c r="H18" s="10">
        <v>110</v>
      </c>
      <c r="I18" s="10">
        <v>82.532988249962798</v>
      </c>
      <c r="J18" s="10">
        <v>60.337255432920834</v>
      </c>
      <c r="K18" s="10">
        <v>65.622327391428058</v>
      </c>
      <c r="L18" s="10">
        <v>60.81636999842123</v>
      </c>
      <c r="M18" s="10">
        <v>46.800000000812695</v>
      </c>
      <c r="N18" s="10">
        <f>SUM(B18:M18)</f>
        <v>1064.7260608236659</v>
      </c>
      <c r="P18" s="10">
        <f>'Budget 2025'!N18</f>
        <v>1228.8031519784099</v>
      </c>
    </row>
    <row r="19" spans="1:16" x14ac:dyDescent="0.35">
      <c r="A19" s="5" t="s">
        <v>60</v>
      </c>
      <c r="B19" s="30">
        <v>6193.987914326698</v>
      </c>
      <c r="C19" s="30">
        <v>6105.8161591164117</v>
      </c>
      <c r="D19" s="30">
        <v>6211.2744424291841</v>
      </c>
      <c r="E19" s="30">
        <v>6152.082852086849</v>
      </c>
      <c r="F19" s="30">
        <v>6133.039921128372</v>
      </c>
      <c r="G19" s="30">
        <v>6095.5898874627774</v>
      </c>
      <c r="H19" s="8">
        <v>5925.7693650113333</v>
      </c>
      <c r="I19" s="8">
        <v>6154.0268609762143</v>
      </c>
      <c r="J19" s="8">
        <v>6337.0595281612595</v>
      </c>
      <c r="K19" s="8">
        <v>6300.2367541144868</v>
      </c>
      <c r="L19" s="8">
        <v>6181.4880288573186</v>
      </c>
      <c r="M19" s="8">
        <v>6258.309016550741</v>
      </c>
      <c r="N19" s="14">
        <f>SUMPRODUCT(B19:M19,$B$18:$M$18)/SUM($B$18:$M$18)</f>
        <v>6153.9591864973163</v>
      </c>
      <c r="P19" s="8">
        <f>'Budget 2025'!N19</f>
        <v>6169.7769053579887</v>
      </c>
    </row>
    <row r="20" spans="1:16" x14ac:dyDescent="0.35">
      <c r="A20" s="5" t="s">
        <v>22</v>
      </c>
      <c r="B20" s="31">
        <v>0.61677596776492993</v>
      </c>
      <c r="C20" s="31">
        <v>0.68122223090752754</v>
      </c>
      <c r="D20" s="31">
        <v>0.59905827586206906</v>
      </c>
      <c r="E20" s="31">
        <v>0.64019198272624844</v>
      </c>
      <c r="F20" s="31">
        <v>0.77254238613409787</v>
      </c>
      <c r="G20" s="31">
        <v>0.68498819077916762</v>
      </c>
      <c r="H20" s="7">
        <v>0.96098610247668759</v>
      </c>
      <c r="I20" s="7">
        <v>0.99075429627955947</v>
      </c>
      <c r="J20" s="7">
        <v>0.81135624039559939</v>
      </c>
      <c r="K20" s="7">
        <v>0.90349601173384375</v>
      </c>
      <c r="L20" s="7">
        <v>0.84119688017731065</v>
      </c>
      <c r="M20" s="7">
        <v>0.81643430499357528</v>
      </c>
      <c r="N20" s="15">
        <f t="shared" ref="N20:N23" si="8">SUMPRODUCT(B20:M20,$B$18:$M$18)/SUM($B$18:$M$18)</f>
        <v>0.75817243283792679</v>
      </c>
      <c r="P20" s="7">
        <f>'Budget 2025'!N20</f>
        <v>0.81080180973763216</v>
      </c>
    </row>
    <row r="21" spans="1:16" x14ac:dyDescent="0.35">
      <c r="A21" s="5" t="s">
        <v>23</v>
      </c>
      <c r="B21" s="31">
        <v>8.4183399989495094</v>
      </c>
      <c r="C21" s="31">
        <v>8.3936009536465264</v>
      </c>
      <c r="D21" s="31">
        <v>8.4815141379310361</v>
      </c>
      <c r="E21" s="31">
        <v>7.9869977469019915</v>
      </c>
      <c r="F21" s="31">
        <v>8.4695030950674397</v>
      </c>
      <c r="G21" s="31">
        <v>7.7685138457089131</v>
      </c>
      <c r="H21" s="7">
        <v>9.6264563305023447</v>
      </c>
      <c r="I21" s="7">
        <v>8.3292905578298075</v>
      </c>
      <c r="J21" s="7">
        <v>8.6379460042916509</v>
      </c>
      <c r="K21" s="7">
        <v>8.984720035929902</v>
      </c>
      <c r="L21" s="7">
        <v>8.776860245506839</v>
      </c>
      <c r="M21" s="7">
        <v>8.2000182426506001</v>
      </c>
      <c r="N21" s="15">
        <f t="shared" si="8"/>
        <v>8.5208716423938622</v>
      </c>
      <c r="P21" s="7">
        <f>'Budget 2025'!N21</f>
        <v>8.3745644868486551</v>
      </c>
    </row>
    <row r="22" spans="1:16" x14ac:dyDescent="0.35">
      <c r="A22" s="5" t="s">
        <v>24</v>
      </c>
      <c r="B22" s="31">
        <v>8.6372077946439969</v>
      </c>
      <c r="C22" s="31">
        <v>9.424192370827793</v>
      </c>
      <c r="D22" s="31">
        <v>8.7141910344827593</v>
      </c>
      <c r="E22" s="31">
        <v>9.2338941043935421</v>
      </c>
      <c r="F22" s="31">
        <v>8.7192876783736235</v>
      </c>
      <c r="G22" s="31">
        <v>9.9019574386041036</v>
      </c>
      <c r="H22" s="7">
        <v>8.824196632151633</v>
      </c>
      <c r="I22" s="7">
        <v>7.8616937344903759</v>
      </c>
      <c r="J22" s="7">
        <v>7.2805441919446308</v>
      </c>
      <c r="K22" s="7">
        <v>7.2694030133946992</v>
      </c>
      <c r="L22" s="7">
        <v>7.2517444094335639</v>
      </c>
      <c r="M22" s="7">
        <v>7.1512635108545926</v>
      </c>
      <c r="N22" s="15">
        <f t="shared" si="8"/>
        <v>8.5545236664543491</v>
      </c>
      <c r="P22" s="7">
        <f>'Budget 2025'!N22</f>
        <v>8.0403443049370615</v>
      </c>
    </row>
    <row r="23" spans="1:16" x14ac:dyDescent="0.35">
      <c r="A23" s="5" t="s">
        <v>25</v>
      </c>
      <c r="B23" s="31">
        <v>11.489526228511828</v>
      </c>
      <c r="C23" s="31">
        <v>12.325214883139218</v>
      </c>
      <c r="D23" s="31">
        <v>11.133918275862067</v>
      </c>
      <c r="E23" s="31">
        <v>12.344041963950433</v>
      </c>
      <c r="F23" s="31">
        <v>12.370061640711539</v>
      </c>
      <c r="G23" s="31">
        <v>12.731420480562988</v>
      </c>
      <c r="H23" s="7">
        <v>13.513320403056591</v>
      </c>
      <c r="I23" s="7">
        <v>12.882139266600539</v>
      </c>
      <c r="J23" s="7">
        <v>12.305906510785213</v>
      </c>
      <c r="K23" s="7">
        <v>12.294765332235279</v>
      </c>
      <c r="L23" s="7">
        <v>12.277106728274141</v>
      </c>
      <c r="M23" s="7">
        <v>12.176625829695171</v>
      </c>
      <c r="N23" s="15">
        <f t="shared" si="8"/>
        <v>12.284013121966112</v>
      </c>
      <c r="P23" s="7">
        <f>'Budget 2025'!N23</f>
        <v>13.065706623777643</v>
      </c>
    </row>
    <row r="24" spans="1:16" s="2" customFormat="1" x14ac:dyDescent="0.35">
      <c r="A24" s="9" t="s">
        <v>26</v>
      </c>
      <c r="B24" s="10">
        <v>57.659788625580923</v>
      </c>
      <c r="C24" s="10">
        <v>65.69859253232066</v>
      </c>
      <c r="D24" s="10">
        <v>46.076686262477367</v>
      </c>
      <c r="E24" s="10">
        <v>30.406220590963024</v>
      </c>
      <c r="F24" s="10">
        <v>42.823419506383615</v>
      </c>
      <c r="G24" s="10">
        <v>47.497730333961321</v>
      </c>
      <c r="H24" s="10">
        <v>65</v>
      </c>
      <c r="I24" s="10">
        <v>77.467011752832192</v>
      </c>
      <c r="J24" s="10">
        <v>69.66274456987415</v>
      </c>
      <c r="K24" s="10">
        <v>49.377672611366918</v>
      </c>
      <c r="L24" s="10">
        <v>54.183630004373761</v>
      </c>
      <c r="M24" s="10">
        <v>59.420442386199881</v>
      </c>
      <c r="N24" s="10">
        <f>SUM(B24:M24)</f>
        <v>665.2739391763339</v>
      </c>
      <c r="P24" s="10">
        <f>'Budget 2025'!N24</f>
        <v>633.69684806163377</v>
      </c>
    </row>
    <row r="25" spans="1:16" x14ac:dyDescent="0.35">
      <c r="A25" s="5" t="s">
        <v>60</v>
      </c>
      <c r="B25" s="30">
        <v>5947.3931547538068</v>
      </c>
      <c r="C25" s="30">
        <v>5939.4464545088622</v>
      </c>
      <c r="D25" s="30">
        <v>6026.7648460035543</v>
      </c>
      <c r="E25" s="30">
        <v>5928.2234409265629</v>
      </c>
      <c r="F25" s="30">
        <v>6043.0524561832999</v>
      </c>
      <c r="G25" s="30">
        <v>6015.1688039765859</v>
      </c>
      <c r="H25" s="8">
        <v>5986.6305021611588</v>
      </c>
      <c r="I25" s="8">
        <v>5963.8687901848489</v>
      </c>
      <c r="J25" s="8">
        <v>5931.2923637499562</v>
      </c>
      <c r="K25" s="8">
        <v>5803.0188940507269</v>
      </c>
      <c r="L25" s="8">
        <v>5831.9498272687988</v>
      </c>
      <c r="M25" s="8">
        <v>5854.6471333267355</v>
      </c>
      <c r="N25" s="14">
        <f>SUMPRODUCT(B25:M25,$B$24:$M$24)/SUM($B$24:$M$24)</f>
        <v>5937.8902637100537</v>
      </c>
      <c r="P25" s="8">
        <f>'Budget 2025'!N25</f>
        <v>5965.7827396699631</v>
      </c>
    </row>
    <row r="26" spans="1:16" x14ac:dyDescent="0.35">
      <c r="A26" s="5" t="s">
        <v>22</v>
      </c>
      <c r="B26" s="31">
        <v>1.9789487701409629</v>
      </c>
      <c r="C26" s="31">
        <v>2.2887476533852658</v>
      </c>
      <c r="D26" s="31">
        <v>2.1709775263240609</v>
      </c>
      <c r="E26" s="31">
        <v>1.9301201688860021</v>
      </c>
      <c r="F26" s="31">
        <v>2.0257524309306989</v>
      </c>
      <c r="G26" s="31">
        <v>2.5171695417848103</v>
      </c>
      <c r="H26" s="7">
        <v>2.5490188270628527</v>
      </c>
      <c r="I26" s="7">
        <v>2.6090630907477621</v>
      </c>
      <c r="J26" s="7">
        <v>2.7874339697300181</v>
      </c>
      <c r="K26" s="7">
        <v>2.8221500388528185</v>
      </c>
      <c r="L26" s="7">
        <v>2.7371964487151903</v>
      </c>
      <c r="M26" s="7">
        <v>2.5772141834396316</v>
      </c>
      <c r="N26" s="15">
        <f t="shared" ref="N26:N28" si="9">SUMPRODUCT(B26:M26,$B$24:$M$24)/SUM($B$24:$M$24)</f>
        <v>2.4535552351122583</v>
      </c>
      <c r="P26" s="7">
        <f>'Budget 2025'!N26</f>
        <v>2.5790489447985023</v>
      </c>
    </row>
    <row r="27" spans="1:16" x14ac:dyDescent="0.35">
      <c r="A27" s="5" t="s">
        <v>23</v>
      </c>
      <c r="B27" s="31">
        <v>12.398871535373901</v>
      </c>
      <c r="C27" s="31">
        <v>11.628956260855835</v>
      </c>
      <c r="D27" s="31">
        <v>11.380258525852586</v>
      </c>
      <c r="E27" s="31">
        <v>12.152458590451443</v>
      </c>
      <c r="F27" s="31">
        <v>11.4907377681741</v>
      </c>
      <c r="G27" s="31">
        <v>11.721002359256291</v>
      </c>
      <c r="H27" s="7">
        <v>11.783674128577051</v>
      </c>
      <c r="I27" s="7">
        <v>12.597043350486949</v>
      </c>
      <c r="J27" s="7">
        <v>14.256213380368528</v>
      </c>
      <c r="K27" s="7">
        <v>15.989352172595501</v>
      </c>
      <c r="L27" s="7">
        <v>15.850540033046888</v>
      </c>
      <c r="M27" s="7">
        <v>16.138100669994841</v>
      </c>
      <c r="N27" s="15">
        <f t="shared" si="9"/>
        <v>13.173222992273971</v>
      </c>
      <c r="P27" s="7">
        <f>'Budget 2025'!N27</f>
        <v>13.960595439757462</v>
      </c>
    </row>
    <row r="28" spans="1:16" x14ac:dyDescent="0.35">
      <c r="A28" s="5" t="s">
        <v>24</v>
      </c>
      <c r="B28" s="31">
        <v>7.8249272357182269</v>
      </c>
      <c r="C28" s="31">
        <v>7.5595294489183651</v>
      </c>
      <c r="D28" s="31">
        <v>6.9977463460631784</v>
      </c>
      <c r="E28" s="31">
        <v>7.2613478402078595</v>
      </c>
      <c r="F28" s="31">
        <v>7.0928299120234612</v>
      </c>
      <c r="G28" s="31">
        <v>7.1802963139325984</v>
      </c>
      <c r="H28" s="7">
        <v>7.668849234039059</v>
      </c>
      <c r="I28" s="7">
        <v>7.6250459630122016</v>
      </c>
      <c r="J28" s="7">
        <v>6.9691951949642723</v>
      </c>
      <c r="K28" s="7">
        <v>7.3730054438022341</v>
      </c>
      <c r="L28" s="7">
        <v>7.266613969727965</v>
      </c>
      <c r="M28" s="7">
        <v>6.9805454736720147</v>
      </c>
      <c r="N28" s="15">
        <f t="shared" si="9"/>
        <v>7.3399578517426161</v>
      </c>
      <c r="P28" s="7">
        <f>'Budget 2025'!N28</f>
        <v>6.7439986369460003</v>
      </c>
    </row>
    <row r="29" spans="1:16" x14ac:dyDescent="0.35">
      <c r="A29" s="5" t="s">
        <v>25</v>
      </c>
      <c r="B29" s="31">
        <v>10.91108071603858</v>
      </c>
      <c r="C29" s="31">
        <v>11.826968963278771</v>
      </c>
      <c r="D29" s="31">
        <v>11.261991199119912</v>
      </c>
      <c r="E29" s="31">
        <v>11.64234599978348</v>
      </c>
      <c r="F29" s="31">
        <v>10.959217471832069</v>
      </c>
      <c r="G29" s="31">
        <v>10.871461223783035</v>
      </c>
      <c r="H29" s="7">
        <v>12.477139153114786</v>
      </c>
      <c r="I29" s="7">
        <v>12.645824750673071</v>
      </c>
      <c r="J29" s="7">
        <v>11.994557513804853</v>
      </c>
      <c r="K29" s="7">
        <v>12.398367762642815</v>
      </c>
      <c r="L29" s="7">
        <v>12.291976288568543</v>
      </c>
      <c r="M29" s="7">
        <v>12.005907792512595</v>
      </c>
      <c r="N29" s="15">
        <f>SUMPRODUCT(B29:M29,$B$24:$M$24)/SUM($B$24:$M$24)</f>
        <v>11.848632755168055</v>
      </c>
      <c r="P29" s="7">
        <f>'Budget 2025'!N29</f>
        <v>11.769360955786579</v>
      </c>
    </row>
    <row r="30" spans="1:16" s="2" customFormat="1" x14ac:dyDescent="0.35">
      <c r="A30" s="9" t="s">
        <v>27</v>
      </c>
      <c r="B30" s="10">
        <v>4.151163242611708</v>
      </c>
      <c r="C30" s="10">
        <v>4.8753097413604527</v>
      </c>
      <c r="D30" s="10">
        <v>8.9720619666679973</v>
      </c>
      <c r="E30" s="10">
        <v>7.4826072386839222</v>
      </c>
      <c r="F30" s="10">
        <v>9.866701819108771</v>
      </c>
      <c r="G30" s="10">
        <v>5.265915031343205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40.613759039776056</v>
      </c>
      <c r="P30" s="10">
        <f>'Budget 2025'!N30</f>
        <v>13.639935932123354</v>
      </c>
    </row>
    <row r="31" spans="1:16" x14ac:dyDescent="0.35">
      <c r="A31" s="5" t="s">
        <v>60</v>
      </c>
      <c r="B31" s="30">
        <v>5768.2424127002841</v>
      </c>
      <c r="C31" s="30">
        <v>5970.6106647059114</v>
      </c>
      <c r="D31" s="30">
        <v>5842.9196379868717</v>
      </c>
      <c r="E31" s="30">
        <v>6060.3314911773823</v>
      </c>
      <c r="F31" s="30">
        <v>5981.1885803837649</v>
      </c>
      <c r="G31" s="30">
        <v>5851.1389676723711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14">
        <f>SUMPRODUCT(B31:M31,$B$30:$M$30)/SUM($B$30:$M$30)</f>
        <v>5925.3272815189812</v>
      </c>
      <c r="P31" s="8">
        <f>'Budget 2025'!N31</f>
        <v>5822.4314107916898</v>
      </c>
    </row>
    <row r="32" spans="1:16" x14ac:dyDescent="0.35">
      <c r="A32" s="5" t="s">
        <v>22</v>
      </c>
      <c r="B32" s="31">
        <v>0.90470615455807502</v>
      </c>
      <c r="C32" s="31">
        <v>0.97326494377589257</v>
      </c>
      <c r="D32" s="31">
        <v>0.89969841743804124</v>
      </c>
      <c r="E32" s="31">
        <v>0.91618025751072962</v>
      </c>
      <c r="F32" s="31">
        <v>0.86186580170410543</v>
      </c>
      <c r="G32" s="31">
        <v>1.0313830392714856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15">
        <f t="shared" ref="N32:N35" si="10">SUMPRODUCT(B32:M32,$B$30:$M$30)/SUM($B$30:$M$30)</f>
        <v>0.91996080100142696</v>
      </c>
      <c r="P32" s="7">
        <f>'Budget 2025'!N32</f>
        <v>0.90072278104426418</v>
      </c>
    </row>
    <row r="33" spans="1:16" x14ac:dyDescent="0.35">
      <c r="A33" s="5" t="s">
        <v>23</v>
      </c>
      <c r="B33" s="31">
        <v>8.4980055529847291</v>
      </c>
      <c r="C33" s="31">
        <v>6.4547129611363179</v>
      </c>
      <c r="D33" s="31">
        <v>6.9734338608539863</v>
      </c>
      <c r="E33" s="31">
        <v>5.5176511900117049</v>
      </c>
      <c r="F33" s="31">
        <v>5.7561376839659175</v>
      </c>
      <c r="G33" s="31">
        <v>6.6074957313602729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15">
        <f t="shared" si="10"/>
        <v>6.4556062321413252</v>
      </c>
      <c r="P33" s="7">
        <f>'Budget 2025'!N33</f>
        <v>8.5977728246687075</v>
      </c>
    </row>
    <row r="34" spans="1:16" x14ac:dyDescent="0.35">
      <c r="A34" s="5" t="s">
        <v>24</v>
      </c>
      <c r="B34" s="31">
        <v>10.861527070800557</v>
      </c>
      <c r="C34" s="31">
        <v>11.334284868810418</v>
      </c>
      <c r="D34" s="31">
        <v>10.915240370259779</v>
      </c>
      <c r="E34" s="31">
        <v>11.119527896995708</v>
      </c>
      <c r="F34" s="31">
        <v>11.717851471727343</v>
      </c>
      <c r="G34" s="31">
        <v>11.463807626636312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15">
        <f t="shared" si="10"/>
        <v>11.263802918727611</v>
      </c>
      <c r="P34" s="7">
        <f>'Budget 2025'!N34</f>
        <v>11.354385937535314</v>
      </c>
    </row>
    <row r="35" spans="1:16" x14ac:dyDescent="0.35">
      <c r="A35" s="5" t="s">
        <v>25</v>
      </c>
      <c r="B35" s="31">
        <v>14.308472929199445</v>
      </c>
      <c r="C35" s="31">
        <v>13.9608147563622</v>
      </c>
      <c r="D35" s="31">
        <v>14.885350851000299</v>
      </c>
      <c r="E35" s="31">
        <v>13.934471322668747</v>
      </c>
      <c r="F35" s="31">
        <v>14.518514717273431</v>
      </c>
      <c r="G35" s="31">
        <v>15.49118952760387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15">
        <f t="shared" si="10"/>
        <v>14.529650211844835</v>
      </c>
      <c r="P35" s="7">
        <f>'Budget 2025'!N35</f>
        <v>16.354385937535316</v>
      </c>
    </row>
    <row r="36" spans="1:16" s="2" customFormat="1" x14ac:dyDescent="0.35">
      <c r="A36" s="9" t="s">
        <v>28</v>
      </c>
      <c r="B36" s="10">
        <v>16.38566518254413</v>
      </c>
      <c r="C36" s="10">
        <v>4.2318727287405782</v>
      </c>
      <c r="D36" s="10">
        <v>27.481460631257185</v>
      </c>
      <c r="E36" s="10">
        <v>41.321236306640401</v>
      </c>
      <c r="F36" s="10">
        <v>24.257871087413818</v>
      </c>
      <c r="G36" s="10">
        <v>32.490625810917038</v>
      </c>
      <c r="H36" s="10">
        <v>35</v>
      </c>
      <c r="I36" s="10">
        <v>30.467451145767157</v>
      </c>
      <c r="J36" s="10">
        <v>80.151997606900139</v>
      </c>
      <c r="K36" s="10">
        <v>88.528775195068789</v>
      </c>
      <c r="L36" s="10">
        <v>72.511649360363577</v>
      </c>
      <c r="M36" s="10">
        <v>60.948547054591387</v>
      </c>
      <c r="N36" s="10">
        <f>SUM(B36:M36)</f>
        <v>513.77715211020416</v>
      </c>
      <c r="P36" s="10">
        <f>'Budget 2025'!N36</f>
        <v>422.7154641342064</v>
      </c>
    </row>
    <row r="37" spans="1:16" x14ac:dyDescent="0.35">
      <c r="A37" s="5" t="s">
        <v>60</v>
      </c>
      <c r="B37" s="30">
        <v>6095.6967316306664</v>
      </c>
      <c r="C37" s="30">
        <v>5702.0802424913845</v>
      </c>
      <c r="D37" s="30">
        <v>5950.0061155340236</v>
      </c>
      <c r="E37" s="30">
        <v>5974.4203759867623</v>
      </c>
      <c r="F37" s="30">
        <v>6089.814788562283</v>
      </c>
      <c r="G37" s="30">
        <v>6004.3095037354497</v>
      </c>
      <c r="H37" s="8">
        <v>5920.2903403538448</v>
      </c>
      <c r="I37" s="8">
        <v>6012.8395408933875</v>
      </c>
      <c r="J37" s="8">
        <v>6017.1851270384377</v>
      </c>
      <c r="K37" s="8">
        <v>5997.8717341119755</v>
      </c>
      <c r="L37" s="8">
        <v>6036.7777688591286</v>
      </c>
      <c r="M37" s="8">
        <v>6034.8958409902079</v>
      </c>
      <c r="N37" s="14">
        <f>SUMPRODUCT(B37:M37,$B$36:$M$36)/SUM($B$36:$M$36)</f>
        <v>6007.3556608019553</v>
      </c>
      <c r="P37" s="8">
        <f>'Budget 2025'!N37</f>
        <v>6013.6725198079248</v>
      </c>
    </row>
    <row r="38" spans="1:16" x14ac:dyDescent="0.35">
      <c r="A38" s="5" t="s">
        <v>22</v>
      </c>
      <c r="B38" s="31">
        <v>1.5214167643610788</v>
      </c>
      <c r="C38" s="31">
        <v>1.2568181818181818</v>
      </c>
      <c r="D38" s="31">
        <v>1.4097728602066681</v>
      </c>
      <c r="E38" s="31">
        <v>1.4839949600810158</v>
      </c>
      <c r="F38" s="31">
        <v>1.5035755356017644</v>
      </c>
      <c r="G38" s="31">
        <v>1.4015115921530044</v>
      </c>
      <c r="H38" s="7">
        <v>1.5626347196198915</v>
      </c>
      <c r="I38" s="7">
        <v>1.6135067501285698</v>
      </c>
      <c r="J38" s="7">
        <v>1.5927848862317164</v>
      </c>
      <c r="K38" s="7">
        <v>1.5670641855423411</v>
      </c>
      <c r="L38" s="7">
        <v>1.5972032166707153</v>
      </c>
      <c r="M38" s="7">
        <v>1.5768973715447916</v>
      </c>
      <c r="N38" s="15">
        <f t="shared" ref="N38:N41" si="11">SUMPRODUCT(B38:M38,$B$36:$M$36)/SUM($B$36:$M$36)</f>
        <v>1.54637673346171</v>
      </c>
      <c r="P38" s="7">
        <f>'Budget 2025'!N38</f>
        <v>1.5594733437535224</v>
      </c>
    </row>
    <row r="39" spans="1:16" x14ac:dyDescent="0.35">
      <c r="A39" s="5" t="s">
        <v>23</v>
      </c>
      <c r="B39" s="31">
        <v>5.1476459554513481</v>
      </c>
      <c r="C39" s="31">
        <v>7.9572727272727271</v>
      </c>
      <c r="D39" s="31">
        <v>6.2814993176057712</v>
      </c>
      <c r="E39" s="31">
        <v>5.8970893290313464</v>
      </c>
      <c r="F39" s="31">
        <v>5.4006541430371771</v>
      </c>
      <c r="G39" s="31">
        <v>5.663074534161491</v>
      </c>
      <c r="H39" s="7">
        <v>6.9484475922864739</v>
      </c>
      <c r="I39" s="7">
        <v>5.7415659342645018</v>
      </c>
      <c r="J39" s="7">
        <v>5.4286145106177566</v>
      </c>
      <c r="K39" s="7">
        <v>5.4881788009392771</v>
      </c>
      <c r="L39" s="7">
        <v>5.2385808094070292</v>
      </c>
      <c r="M39" s="7">
        <v>5.261188081439399</v>
      </c>
      <c r="N39" s="15">
        <f t="shared" si="11"/>
        <v>5.6229617378512549</v>
      </c>
      <c r="P39" s="7">
        <f>'Budget 2025'!N39</f>
        <v>5.3287414331663765</v>
      </c>
    </row>
    <row r="40" spans="1:16" x14ac:dyDescent="0.35">
      <c r="A40" s="5" t="s">
        <v>24</v>
      </c>
      <c r="B40" s="31">
        <v>11.525389800703399</v>
      </c>
      <c r="C40" s="31">
        <v>13.017272727272728</v>
      </c>
      <c r="D40" s="31">
        <v>11.444174302983036</v>
      </c>
      <c r="E40" s="31">
        <v>12.148881561903865</v>
      </c>
      <c r="F40" s="31">
        <v>11.241298440453688</v>
      </c>
      <c r="G40" s="31">
        <v>12.009315232765511</v>
      </c>
      <c r="H40" s="7">
        <v>10.737886487975809</v>
      </c>
      <c r="I40" s="7">
        <v>10.505685048958467</v>
      </c>
      <c r="J40" s="7">
        <v>10.288956872084226</v>
      </c>
      <c r="K40" s="7">
        <v>10.25283731662565</v>
      </c>
      <c r="L40" s="7">
        <v>10.153584015384258</v>
      </c>
      <c r="M40" s="7">
        <v>9.8519593701116044</v>
      </c>
      <c r="N40" s="15">
        <f t="shared" si="11"/>
        <v>10.682263598758857</v>
      </c>
      <c r="P40" s="7">
        <f>'Budget 2025'!N40</f>
        <v>10.279206642306004</v>
      </c>
    </row>
    <row r="41" spans="1:16" x14ac:dyDescent="0.35">
      <c r="A41" s="5" t="s">
        <v>25</v>
      </c>
      <c r="B41" s="31">
        <v>13.645354630715124</v>
      </c>
      <c r="C41" s="31">
        <v>15.082727272727272</v>
      </c>
      <c r="D41" s="31">
        <v>14.292212906999417</v>
      </c>
      <c r="E41" s="31">
        <v>14.144595511174961</v>
      </c>
      <c r="F41" s="31">
        <v>13.581214949590422</v>
      </c>
      <c r="G41" s="31">
        <v>14.361058360494434</v>
      </c>
      <c r="H41" s="7">
        <v>15.732427326170102</v>
      </c>
      <c r="I41" s="7">
        <v>15.505685048958465</v>
      </c>
      <c r="J41" s="7">
        <v>15.288956872084228</v>
      </c>
      <c r="K41" s="7">
        <v>15.252837316625648</v>
      </c>
      <c r="L41" s="7">
        <v>15.153584015384263</v>
      </c>
      <c r="M41" s="7">
        <v>14.851959370111603</v>
      </c>
      <c r="N41" s="15">
        <f t="shared" si="11"/>
        <v>14.916070852261692</v>
      </c>
      <c r="P41" s="7">
        <f>'Budget 2025'!N41</f>
        <v>15.279206642306002</v>
      </c>
    </row>
    <row r="42" spans="1:16" s="2" customFormat="1" x14ac:dyDescent="0.35">
      <c r="A42" s="9" t="s">
        <v>29</v>
      </c>
      <c r="B42" s="10">
        <v>388.30376686164584</v>
      </c>
      <c r="C42" s="10">
        <v>362.6484099109108</v>
      </c>
      <c r="D42" s="10">
        <v>313.48100534658772</v>
      </c>
      <c r="E42" s="10">
        <v>329.77482085837693</v>
      </c>
      <c r="F42" s="10">
        <v>426.41003971261847</v>
      </c>
      <c r="G42" s="10">
        <v>418.24212942737762</v>
      </c>
      <c r="H42" s="10">
        <v>411.5</v>
      </c>
      <c r="I42" s="10">
        <v>469.53254885143787</v>
      </c>
      <c r="J42" s="10">
        <v>458.34800239030477</v>
      </c>
      <c r="K42" s="10">
        <v>415.72122481611115</v>
      </c>
      <c r="L42" s="10">
        <v>431.73835065081641</v>
      </c>
      <c r="M42" s="10">
        <v>373.70742103044569</v>
      </c>
      <c r="N42" s="10">
        <f>SUM(B42:M42)</f>
        <v>4799.4077198566329</v>
      </c>
      <c r="P42" s="10">
        <f>'Budget 2025'!N42</f>
        <v>4673.6446000430515</v>
      </c>
    </row>
    <row r="43" spans="1:16" x14ac:dyDescent="0.35">
      <c r="A43" s="5" t="s">
        <v>60</v>
      </c>
      <c r="B43" s="30">
        <v>5993.4452554404252</v>
      </c>
      <c r="C43" s="30">
        <v>6000.7558555057667</v>
      </c>
      <c r="D43" s="30">
        <v>5998.3259441489454</v>
      </c>
      <c r="E43" s="30">
        <v>5980.6623548882908</v>
      </c>
      <c r="F43" s="30">
        <v>6016.1816433377553</v>
      </c>
      <c r="G43" s="30">
        <v>6037.4356645351763</v>
      </c>
      <c r="H43" s="8">
        <v>5851.8827849154313</v>
      </c>
      <c r="I43" s="8">
        <v>5882.2518025201243</v>
      </c>
      <c r="J43" s="8">
        <v>5920.888833976157</v>
      </c>
      <c r="K43" s="8">
        <v>5906.9496222311791</v>
      </c>
      <c r="L43" s="8">
        <v>5933.0040849721991</v>
      </c>
      <c r="M43" s="8">
        <v>5902.3214950105166</v>
      </c>
      <c r="N43" s="14">
        <f>SUMPRODUCT(B43:M43,$B$42:$M$42)/SUM($B$42:$M$42)</f>
        <v>5949.3220835563152</v>
      </c>
      <c r="P43" s="8">
        <f>'Budget 2025'!N43</f>
        <v>5914.4155370661638</v>
      </c>
    </row>
    <row r="44" spans="1:16" x14ac:dyDescent="0.35">
      <c r="A44" s="5" t="s">
        <v>22</v>
      </c>
      <c r="B44" s="31">
        <v>2.2774465474765262</v>
      </c>
      <c r="C44" s="31">
        <v>2.2808085536365952</v>
      </c>
      <c r="D44" s="31">
        <v>2.3121792450411491</v>
      </c>
      <c r="E44" s="31">
        <v>2.3365918889488917</v>
      </c>
      <c r="F44" s="31">
        <v>2.2916821927383682</v>
      </c>
      <c r="G44" s="31">
        <v>2.3282707585884017</v>
      </c>
      <c r="H44" s="7">
        <v>2.4873753013788389</v>
      </c>
      <c r="I44" s="7">
        <v>2.5095031651827671</v>
      </c>
      <c r="J44" s="7">
        <v>2.4359111418215944</v>
      </c>
      <c r="K44" s="7">
        <v>2.4707700555606817</v>
      </c>
      <c r="L44" s="7">
        <v>2.3449845771505902</v>
      </c>
      <c r="M44" s="7">
        <v>2.4541834653375409</v>
      </c>
      <c r="N44" s="15">
        <f t="shared" ref="N44:N47" si="12">SUMPRODUCT(B44:M44,$B$42:$M$42)/SUM($B$42:$M$42)</f>
        <v>2.3821448931408988</v>
      </c>
      <c r="P44" s="7">
        <f>'Budget 2025'!N44</f>
        <v>2.4107218075517403</v>
      </c>
    </row>
    <row r="45" spans="1:16" x14ac:dyDescent="0.35">
      <c r="A45" s="5" t="s">
        <v>23</v>
      </c>
      <c r="B45" s="31">
        <v>5.9664258541025621</v>
      </c>
      <c r="C45" s="31">
        <v>5.8860489423321738</v>
      </c>
      <c r="D45" s="31">
        <v>6.2336990191972967</v>
      </c>
      <c r="E45" s="31">
        <v>5.9769499898191363</v>
      </c>
      <c r="F45" s="31">
        <v>5.7339946364479575</v>
      </c>
      <c r="G45" s="31">
        <v>5.8093452702283068</v>
      </c>
      <c r="H45" s="7">
        <v>6.5738922030455837</v>
      </c>
      <c r="I45" s="7">
        <v>6.1350042339456161</v>
      </c>
      <c r="J45" s="7">
        <v>5.6629320038949604</v>
      </c>
      <c r="K45" s="7">
        <v>5.7751014078964102</v>
      </c>
      <c r="L45" s="7">
        <v>5.7114780810895693</v>
      </c>
      <c r="M45" s="7">
        <v>5.7240392559257263</v>
      </c>
      <c r="N45" s="15">
        <f t="shared" si="12"/>
        <v>5.9254057879675468</v>
      </c>
      <c r="P45" s="7">
        <f>'Budget 2025'!N45</f>
        <v>5.7199741396739743</v>
      </c>
    </row>
    <row r="46" spans="1:16" x14ac:dyDescent="0.35">
      <c r="A46" s="5" t="s">
        <v>24</v>
      </c>
      <c r="B46" s="31">
        <v>11.432183440353811</v>
      </c>
      <c r="C46" s="31">
        <v>11.49045444178053</v>
      </c>
      <c r="D46" s="31">
        <v>11.114391420896254</v>
      </c>
      <c r="E46" s="31">
        <v>11.487336744660947</v>
      </c>
      <c r="F46" s="31">
        <v>11.507947758017322</v>
      </c>
      <c r="G46" s="31">
        <v>11.274037802821478</v>
      </c>
      <c r="H46" s="7">
        <v>10.805118634726092</v>
      </c>
      <c r="I46" s="7">
        <v>10.507167404907982</v>
      </c>
      <c r="J46" s="7">
        <v>10.448413279486195</v>
      </c>
      <c r="K46" s="7">
        <v>10.483862499237249</v>
      </c>
      <c r="L46" s="7">
        <v>10.488688259672083</v>
      </c>
      <c r="M46" s="7">
        <v>10.579405425474986</v>
      </c>
      <c r="N46" s="15">
        <f t="shared" si="12"/>
        <v>10.940939643996845</v>
      </c>
      <c r="P46" s="7">
        <f>'Budget 2025'!N46</f>
        <v>10.558154609501265</v>
      </c>
    </row>
    <row r="47" spans="1:16" x14ac:dyDescent="0.35">
      <c r="A47" s="5" t="s">
        <v>25</v>
      </c>
      <c r="B47" s="31">
        <v>13.742009082724024</v>
      </c>
      <c r="C47" s="31">
        <v>13.585974709326994</v>
      </c>
      <c r="D47" s="31">
        <v>13.4706462814673</v>
      </c>
      <c r="E47" s="31">
        <v>13.788683068188186</v>
      </c>
      <c r="F47" s="31">
        <v>13.727395840665105</v>
      </c>
      <c r="G47" s="31">
        <v>13.462718000410847</v>
      </c>
      <c r="H47" s="7">
        <v>15.667145412989676</v>
      </c>
      <c r="I47" s="7">
        <v>15.50716740490798</v>
      </c>
      <c r="J47" s="7">
        <v>15.448413279486195</v>
      </c>
      <c r="K47" s="7">
        <v>15.483862499237251</v>
      </c>
      <c r="L47" s="7">
        <v>15.488688259672083</v>
      </c>
      <c r="M47" s="7">
        <v>15.579405425474988</v>
      </c>
      <c r="N47" s="15">
        <f t="shared" si="12"/>
        <v>14.641849070967876</v>
      </c>
      <c r="P47" s="7">
        <f>'Budget 2025'!N47</f>
        <v>15.558154609501264</v>
      </c>
    </row>
    <row r="48" spans="1:16" s="2" customFormat="1" x14ac:dyDescent="0.35">
      <c r="A48" s="9" t="s">
        <v>68</v>
      </c>
      <c r="B48" s="10">
        <v>0</v>
      </c>
      <c r="C48" s="10">
        <v>0</v>
      </c>
      <c r="D48" s="10">
        <v>0</v>
      </c>
      <c r="E48" s="10">
        <v>0.19186901460068298</v>
      </c>
      <c r="F48" s="10">
        <v>9.4999787856703509E-3</v>
      </c>
      <c r="G48" s="10">
        <v>0</v>
      </c>
      <c r="H48" s="10">
        <v>4.25</v>
      </c>
      <c r="I48" s="10">
        <v>4.25</v>
      </c>
      <c r="J48" s="10">
        <v>4.25</v>
      </c>
      <c r="K48" s="10">
        <v>12.75</v>
      </c>
      <c r="L48" s="10">
        <v>12.75</v>
      </c>
      <c r="M48" s="10">
        <v>12.75</v>
      </c>
      <c r="N48" s="10">
        <f>SUM(B48:M48)</f>
        <v>51.201368993386353</v>
      </c>
      <c r="P48" s="10">
        <f>'Budget 2025'!N48</f>
        <v>127.5</v>
      </c>
    </row>
    <row r="49" spans="1:17" x14ac:dyDescent="0.35">
      <c r="A49" s="5" t="s">
        <v>60</v>
      </c>
      <c r="B49" s="30">
        <v>0</v>
      </c>
      <c r="C49" s="30">
        <v>0</v>
      </c>
      <c r="D49" s="30">
        <v>0</v>
      </c>
      <c r="E49" s="30">
        <v>3966.2693181818177</v>
      </c>
      <c r="F49" s="30">
        <v>4270.5018260671077</v>
      </c>
      <c r="G49" s="30">
        <v>0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14">
        <f>SUMPRODUCT(B49:M49,$B$48:$M$48)/SUM($B$48:$M$48)</f>
        <v>3149.3496215999253</v>
      </c>
      <c r="P49" s="8">
        <f>'Budget 2025'!N49</f>
        <v>3146.0674157303379</v>
      </c>
    </row>
    <row r="50" spans="1:17" x14ac:dyDescent="0.35">
      <c r="A50" s="5" t="s">
        <v>22</v>
      </c>
      <c r="B50" s="31">
        <v>0</v>
      </c>
      <c r="C50" s="31">
        <v>0</v>
      </c>
      <c r="D50" s="31">
        <v>0</v>
      </c>
      <c r="E50" s="31">
        <v>0.95</v>
      </c>
      <c r="F50" s="31">
        <v>1.2</v>
      </c>
      <c r="G50" s="31">
        <v>0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15">
        <f t="shared" ref="N50:N53" si="13">SUMPRODUCT(B50:M50,$B$48:$M$48)/SUM($B$48:$M$48)</f>
        <v>1.9959168582311491</v>
      </c>
      <c r="P50" s="7">
        <f>'Budget 2025'!N50</f>
        <v>2</v>
      </c>
    </row>
    <row r="51" spans="1:17" x14ac:dyDescent="0.35">
      <c r="A51" s="5" t="s">
        <v>23</v>
      </c>
      <c r="B51" s="31">
        <v>0</v>
      </c>
      <c r="C51" s="31">
        <v>0</v>
      </c>
      <c r="D51" s="31">
        <v>0</v>
      </c>
      <c r="E51" s="31">
        <v>24.4</v>
      </c>
      <c r="F51" s="31">
        <v>21.1</v>
      </c>
      <c r="G51" s="31">
        <v>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15">
        <f t="shared" si="13"/>
        <v>39.938034738344015</v>
      </c>
      <c r="P51" s="7">
        <f>'Budget 2025'!N51</f>
        <v>40</v>
      </c>
    </row>
    <row r="52" spans="1:17" x14ac:dyDescent="0.35">
      <c r="A52" s="5" t="s">
        <v>24</v>
      </c>
      <c r="B52" s="31">
        <v>0</v>
      </c>
      <c r="C52" s="31">
        <v>0</v>
      </c>
      <c r="D52" s="31">
        <v>0</v>
      </c>
      <c r="E52" s="31">
        <v>12</v>
      </c>
      <c r="F52" s="31">
        <v>12.38</v>
      </c>
      <c r="G52" s="31">
        <v>0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15">
        <f t="shared" si="13"/>
        <v>11.004003388763909</v>
      </c>
      <c r="P52" s="7">
        <f>'Budget 2025'!N52</f>
        <v>11</v>
      </c>
    </row>
    <row r="53" spans="1:17" x14ac:dyDescent="0.35">
      <c r="A53" s="5" t="s">
        <v>25</v>
      </c>
      <c r="B53" s="31">
        <v>0</v>
      </c>
      <c r="C53" s="31">
        <v>0</v>
      </c>
      <c r="D53" s="31">
        <v>0</v>
      </c>
      <c r="E53" s="31">
        <v>22.9</v>
      </c>
      <c r="F53" s="31">
        <v>20.37</v>
      </c>
      <c r="G53" s="31">
        <v>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15">
        <f t="shared" si="13"/>
        <v>20.010935940688718</v>
      </c>
      <c r="P53" s="7">
        <f>'Budget 2025'!N53</f>
        <v>20</v>
      </c>
    </row>
    <row r="55" spans="1:17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  <c r="P55" s="6" t="s">
        <v>84</v>
      </c>
    </row>
    <row r="56" spans="1:17" s="2" customFormat="1" x14ac:dyDescent="0.35">
      <c r="A56" s="9" t="s">
        <v>14</v>
      </c>
      <c r="B56" s="10">
        <f t="shared" ref="B56:N56" si="14">SUM(B57:B59)</f>
        <v>3736.1073783000002</v>
      </c>
      <c r="C56" s="10">
        <f t="shared" si="14"/>
        <v>3365.8926857000001</v>
      </c>
      <c r="D56" s="10">
        <f t="shared" si="14"/>
        <v>3574.4766829</v>
      </c>
      <c r="E56" s="10">
        <f t="shared" si="14"/>
        <v>2859.5105236999998</v>
      </c>
      <c r="F56" s="10">
        <f t="shared" si="14"/>
        <v>3323.9622126902514</v>
      </c>
      <c r="G56" s="10">
        <f t="shared" si="14"/>
        <v>3270.3634989999996</v>
      </c>
      <c r="H56" s="10">
        <f t="shared" si="14"/>
        <v>4685</v>
      </c>
      <c r="I56" s="10">
        <f t="shared" si="14"/>
        <v>4783</v>
      </c>
      <c r="J56" s="10">
        <f t="shared" si="14"/>
        <v>4966</v>
      </c>
      <c r="K56" s="10">
        <f t="shared" si="14"/>
        <v>4167.3758692097508</v>
      </c>
      <c r="L56" s="10">
        <f t="shared" si="14"/>
        <v>3907</v>
      </c>
      <c r="M56" s="10">
        <f t="shared" si="14"/>
        <v>4261.3111484999936</v>
      </c>
      <c r="N56" s="10">
        <f t="shared" si="14"/>
        <v>46899.999999999993</v>
      </c>
      <c r="P56" s="10">
        <f>'Budget 2025'!N56</f>
        <v>51650</v>
      </c>
      <c r="Q56" s="27">
        <f>N56/P56</f>
        <v>0.90803484995159711</v>
      </c>
    </row>
    <row r="57" spans="1:17" x14ac:dyDescent="0.35">
      <c r="A57" s="5" t="s">
        <v>57</v>
      </c>
      <c r="B57" s="30">
        <v>1350.2909304</v>
      </c>
      <c r="C57" s="30">
        <v>1037.3668819000002</v>
      </c>
      <c r="D57" s="30">
        <v>1287.9434149000001</v>
      </c>
      <c r="E57" s="30">
        <v>1083.7445134</v>
      </c>
      <c r="F57" s="30">
        <v>1489.2826008000002</v>
      </c>
      <c r="G57" s="30">
        <v>1746.4091493999999</v>
      </c>
      <c r="H57" s="8">
        <v>2530</v>
      </c>
      <c r="I57" s="8">
        <v>2583</v>
      </c>
      <c r="J57" s="8">
        <v>2946</v>
      </c>
      <c r="K57" s="8">
        <v>2342</v>
      </c>
      <c r="L57" s="8">
        <v>2212</v>
      </c>
      <c r="M57" s="8">
        <v>2488</v>
      </c>
      <c r="N57" s="8">
        <f t="shared" ref="N57:N59" si="15">SUM(B57:M57)</f>
        <v>23096.037490800001</v>
      </c>
      <c r="P57" s="8">
        <f>'Budget 2025'!N57</f>
        <v>24400</v>
      </c>
    </row>
    <row r="58" spans="1:17" x14ac:dyDescent="0.35">
      <c r="A58" s="5" t="s">
        <v>56</v>
      </c>
      <c r="B58" s="30">
        <v>1111.1510321000001</v>
      </c>
      <c r="C58" s="30">
        <v>916.39878569999996</v>
      </c>
      <c r="D58" s="30">
        <v>928.16861180000001</v>
      </c>
      <c r="E58" s="30">
        <v>747.55617540000003</v>
      </c>
      <c r="F58" s="30">
        <v>747.65213079025102</v>
      </c>
      <c r="G58" s="30">
        <v>820.03989999999988</v>
      </c>
      <c r="H58" s="8">
        <v>1000</v>
      </c>
      <c r="I58" s="8">
        <v>1050</v>
      </c>
      <c r="J58" s="8">
        <v>950</v>
      </c>
      <c r="K58" s="8">
        <v>900.37586920975082</v>
      </c>
      <c r="L58" s="8">
        <v>860</v>
      </c>
      <c r="M58" s="8">
        <v>931.69739499999901</v>
      </c>
      <c r="N58" s="8">
        <f t="shared" si="15"/>
        <v>10963.0399</v>
      </c>
      <c r="P58" s="8">
        <f>'Budget 2025'!N58</f>
        <v>11000</v>
      </c>
    </row>
    <row r="59" spans="1:17" x14ac:dyDescent="0.35">
      <c r="A59" s="5" t="s">
        <v>55</v>
      </c>
      <c r="B59" s="30">
        <v>1274.6654158000001</v>
      </c>
      <c r="C59" s="30">
        <v>1412.1270181</v>
      </c>
      <c r="D59" s="30">
        <v>1358.3646561999999</v>
      </c>
      <c r="E59" s="30">
        <v>1028.2098349</v>
      </c>
      <c r="F59" s="30">
        <v>1087.0274810999999</v>
      </c>
      <c r="G59" s="30">
        <v>703.91444959999978</v>
      </c>
      <c r="H59" s="8">
        <v>1155</v>
      </c>
      <c r="I59" s="8">
        <v>1150</v>
      </c>
      <c r="J59" s="8">
        <v>1070</v>
      </c>
      <c r="K59" s="8">
        <v>925</v>
      </c>
      <c r="L59" s="8">
        <v>835</v>
      </c>
      <c r="M59" s="8">
        <v>841.61375349999435</v>
      </c>
      <c r="N59" s="8">
        <f t="shared" si="15"/>
        <v>12840.922609199995</v>
      </c>
      <c r="P59" s="8">
        <f>'Budget 2025'!N59</f>
        <v>16250</v>
      </c>
    </row>
    <row r="60" spans="1:17" s="2" customFormat="1" x14ac:dyDescent="0.35">
      <c r="A60" s="9" t="s">
        <v>17</v>
      </c>
      <c r="B60" s="10">
        <f>SUM(B61:B64)</f>
        <v>197.28444138867229</v>
      </c>
      <c r="C60" s="10">
        <f t="shared" ref="C60:M60" si="16">SUM(C61:C64)</f>
        <v>200.75357796750075</v>
      </c>
      <c r="D60" s="10">
        <f t="shared" si="16"/>
        <v>248.68881130000003</v>
      </c>
      <c r="E60" s="10">
        <f t="shared" si="16"/>
        <v>198.20231918502608</v>
      </c>
      <c r="F60" s="10">
        <f t="shared" si="16"/>
        <v>259.78555720438169</v>
      </c>
      <c r="G60" s="10">
        <f t="shared" si="16"/>
        <v>238.82221423181485</v>
      </c>
      <c r="H60" s="10">
        <f t="shared" si="16"/>
        <v>275</v>
      </c>
      <c r="I60" s="10">
        <f t="shared" si="16"/>
        <v>365</v>
      </c>
      <c r="J60" s="10">
        <f t="shared" si="16"/>
        <v>390</v>
      </c>
      <c r="K60" s="10">
        <f t="shared" si="16"/>
        <v>400</v>
      </c>
      <c r="L60" s="10">
        <f t="shared" si="16"/>
        <v>362</v>
      </c>
      <c r="M60" s="10">
        <f t="shared" si="16"/>
        <v>329.46307872260422</v>
      </c>
      <c r="N60" s="10">
        <f>SUM(B60:M60)</f>
        <v>3465</v>
      </c>
      <c r="P60" s="10">
        <f>'Budget 2025'!N60</f>
        <v>3300.3869731644691</v>
      </c>
      <c r="Q60" s="27">
        <f>N60/P60</f>
        <v>1.0498768866117834</v>
      </c>
    </row>
    <row r="61" spans="1:17" x14ac:dyDescent="0.35">
      <c r="A61" s="5" t="s">
        <v>57</v>
      </c>
      <c r="B61" s="30">
        <v>128.19277</v>
      </c>
      <c r="C61" s="30">
        <v>118.22784999999999</v>
      </c>
      <c r="D61" s="30">
        <v>164.35410000000002</v>
      </c>
      <c r="E61" s="30">
        <v>128.78624000000002</v>
      </c>
      <c r="F61" s="30">
        <v>159.75186000000011</v>
      </c>
      <c r="G61" s="30">
        <v>139.0814</v>
      </c>
      <c r="H61" s="8">
        <v>175</v>
      </c>
      <c r="I61" s="8">
        <v>175</v>
      </c>
      <c r="J61" s="8">
        <v>190</v>
      </c>
      <c r="K61" s="8">
        <v>200</v>
      </c>
      <c r="L61" s="8">
        <v>182</v>
      </c>
      <c r="M61" s="8">
        <v>178</v>
      </c>
      <c r="N61" s="8">
        <f t="shared" ref="N61:N64" si="17">SUM(B61:M61)</f>
        <v>1938.3942200000001</v>
      </c>
      <c r="P61" s="8">
        <f>'Budget 2025'!N61</f>
        <v>2130</v>
      </c>
    </row>
    <row r="62" spans="1:17" x14ac:dyDescent="0.35">
      <c r="A62" s="5" t="s">
        <v>56</v>
      </c>
      <c r="B62" s="30">
        <v>31.192090000000004</v>
      </c>
      <c r="C62" s="30">
        <v>36.397179999999992</v>
      </c>
      <c r="D62" s="30">
        <v>40.624770000000005</v>
      </c>
      <c r="E62" s="30">
        <v>29.665050000000001</v>
      </c>
      <c r="F62" s="30">
        <v>37.020569999999999</v>
      </c>
      <c r="G62" s="30">
        <v>39.386580000000002</v>
      </c>
      <c r="H62" s="8">
        <v>50</v>
      </c>
      <c r="I62" s="8">
        <v>60</v>
      </c>
      <c r="J62" s="8">
        <v>60</v>
      </c>
      <c r="K62" s="8">
        <v>60</v>
      </c>
      <c r="L62" s="8">
        <v>50</v>
      </c>
      <c r="M62" s="8">
        <v>46</v>
      </c>
      <c r="N62" s="8">
        <f t="shared" si="17"/>
        <v>540.28624000000002</v>
      </c>
      <c r="P62" s="8">
        <f>'Budget 2025'!N62</f>
        <v>550</v>
      </c>
    </row>
    <row r="63" spans="1:17" x14ac:dyDescent="0.35">
      <c r="A63" s="5" t="s">
        <v>55</v>
      </c>
      <c r="B63" s="30">
        <v>37.899581388672281</v>
      </c>
      <c r="C63" s="30">
        <v>46.128547967500772</v>
      </c>
      <c r="D63" s="30">
        <v>39.361681300000001</v>
      </c>
      <c r="E63" s="30">
        <v>35.601389185026051</v>
      </c>
      <c r="F63" s="30">
        <v>60.018567204381597</v>
      </c>
      <c r="G63" s="30">
        <v>60.354234231814843</v>
      </c>
      <c r="H63" s="8">
        <v>50</v>
      </c>
      <c r="I63" s="8">
        <v>130</v>
      </c>
      <c r="J63" s="8">
        <v>140</v>
      </c>
      <c r="K63" s="8">
        <v>140</v>
      </c>
      <c r="L63" s="8">
        <v>130</v>
      </c>
      <c r="M63" s="8">
        <v>105.46307872260422</v>
      </c>
      <c r="N63" s="8">
        <f t="shared" si="17"/>
        <v>974.8270799999998</v>
      </c>
      <c r="P63" s="8">
        <f>'Budget 2025'!N63</f>
        <v>620.38697316446883</v>
      </c>
    </row>
    <row r="64" spans="1:17" x14ac:dyDescent="0.35">
      <c r="A64" s="5" t="s">
        <v>45</v>
      </c>
      <c r="B64" s="30">
        <v>0</v>
      </c>
      <c r="C64" s="30">
        <v>0</v>
      </c>
      <c r="D64" s="30">
        <v>4.3482599999999989</v>
      </c>
      <c r="E64" s="30">
        <v>4.1496400000000007</v>
      </c>
      <c r="F64" s="30">
        <v>2.9945599999999999</v>
      </c>
      <c r="G64" s="30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f t="shared" si="17"/>
        <v>11.492459999999999</v>
      </c>
      <c r="P64" s="8"/>
    </row>
    <row r="65" spans="1:16" s="2" customFormat="1" x14ac:dyDescent="0.35">
      <c r="A65" s="9" t="s">
        <v>32</v>
      </c>
      <c r="B65" s="11">
        <f>B56/B60</f>
        <v>18.937668637231525</v>
      </c>
      <c r="C65" s="11">
        <f t="shared" ref="C65:N65" si="18">C56/C60</f>
        <v>16.766289895191267</v>
      </c>
      <c r="D65" s="11">
        <f t="shared" si="18"/>
        <v>14.373291119189163</v>
      </c>
      <c r="E65" s="11">
        <f t="shared" si="18"/>
        <v>14.427230394971241</v>
      </c>
      <c r="F65" s="11">
        <f t="shared" si="18"/>
        <v>12.795023127768349</v>
      </c>
      <c r="G65" s="11">
        <f t="shared" si="18"/>
        <v>13.693715676823903</v>
      </c>
      <c r="H65" s="11">
        <f t="shared" si="18"/>
        <v>17.036363636363635</v>
      </c>
      <c r="I65" s="11">
        <f t="shared" si="18"/>
        <v>13.104109589041096</v>
      </c>
      <c r="J65" s="11">
        <f t="shared" si="18"/>
        <v>12.733333333333333</v>
      </c>
      <c r="K65" s="11">
        <f t="shared" si="18"/>
        <v>10.418439673024377</v>
      </c>
      <c r="L65" s="11">
        <f t="shared" si="18"/>
        <v>10.792817679558011</v>
      </c>
      <c r="M65" s="11">
        <f t="shared" si="18"/>
        <v>12.934108322613778</v>
      </c>
      <c r="N65" s="11">
        <f t="shared" si="18"/>
        <v>13.535353535353533</v>
      </c>
      <c r="P65" s="11">
        <f>'Budget 2025'!N64</f>
        <v>15.649679998123696</v>
      </c>
    </row>
    <row r="66" spans="1:16" s="2" customFormat="1" x14ac:dyDescent="0.35">
      <c r="A66" s="9" t="s">
        <v>33</v>
      </c>
      <c r="B66" s="10">
        <f t="shared" ref="B66:N66" si="19">SUM(B67:B68)</f>
        <v>236.94320000000002</v>
      </c>
      <c r="C66" s="10">
        <f t="shared" si="19"/>
        <v>220.64958999999999</v>
      </c>
      <c r="D66" s="10">
        <f t="shared" si="19"/>
        <v>280.32180000000005</v>
      </c>
      <c r="E66" s="10">
        <f t="shared" si="19"/>
        <v>200.31362000000001</v>
      </c>
      <c r="F66" s="10">
        <f t="shared" si="19"/>
        <v>238.30634000000001</v>
      </c>
      <c r="G66" s="10">
        <f t="shared" si="19"/>
        <v>285.54104999999998</v>
      </c>
      <c r="H66" s="10">
        <f t="shared" si="19"/>
        <v>285</v>
      </c>
      <c r="I66" s="10">
        <f t="shared" si="19"/>
        <v>285</v>
      </c>
      <c r="J66" s="10">
        <f t="shared" si="19"/>
        <v>295</v>
      </c>
      <c r="K66" s="10">
        <f t="shared" si="19"/>
        <v>370</v>
      </c>
      <c r="L66" s="10">
        <f t="shared" si="19"/>
        <v>365</v>
      </c>
      <c r="M66" s="10">
        <f t="shared" si="19"/>
        <v>338</v>
      </c>
      <c r="N66" s="10">
        <f t="shared" si="19"/>
        <v>3400.0756000000001</v>
      </c>
      <c r="P66" s="10">
        <f>'Budget 2025'!N65</f>
        <v>3230</v>
      </c>
    </row>
    <row r="67" spans="1:16" x14ac:dyDescent="0.35">
      <c r="A67" s="5" t="s">
        <v>35</v>
      </c>
      <c r="B67" s="30">
        <v>162.67978000000002</v>
      </c>
      <c r="C67" s="30">
        <v>131.47763</v>
      </c>
      <c r="D67" s="30">
        <v>143.77029000000002</v>
      </c>
      <c r="E67" s="30">
        <v>110.81858</v>
      </c>
      <c r="F67" s="30">
        <v>152.73346000000001</v>
      </c>
      <c r="G67" s="30">
        <v>123.57035</v>
      </c>
      <c r="H67" s="8">
        <v>150</v>
      </c>
      <c r="I67" s="8">
        <v>130</v>
      </c>
      <c r="J67" s="8">
        <v>140</v>
      </c>
      <c r="K67" s="8">
        <v>210</v>
      </c>
      <c r="L67" s="8">
        <v>210</v>
      </c>
      <c r="M67" s="8">
        <v>205</v>
      </c>
      <c r="N67" s="8">
        <f t="shared" ref="N67:N72" si="20">SUM(B67:M67)</f>
        <v>1870.0500900000002</v>
      </c>
      <c r="P67" s="8">
        <f>'Budget 2025'!N66</f>
        <v>1630</v>
      </c>
    </row>
    <row r="68" spans="1:16" x14ac:dyDescent="0.35">
      <c r="A68" s="5" t="s">
        <v>39</v>
      </c>
      <c r="B68" s="30">
        <v>74.263419999999996</v>
      </c>
      <c r="C68" s="30">
        <v>89.171959999999999</v>
      </c>
      <c r="D68" s="30">
        <v>136.55151000000001</v>
      </c>
      <c r="E68" s="30">
        <v>89.495040000000003</v>
      </c>
      <c r="F68" s="30">
        <v>85.572879999999998</v>
      </c>
      <c r="G68" s="30">
        <v>161.97069999999997</v>
      </c>
      <c r="H68" s="8">
        <v>135</v>
      </c>
      <c r="I68" s="8">
        <v>155</v>
      </c>
      <c r="J68" s="8">
        <v>155</v>
      </c>
      <c r="K68" s="8">
        <v>160</v>
      </c>
      <c r="L68" s="8">
        <v>155</v>
      </c>
      <c r="M68" s="8">
        <v>133</v>
      </c>
      <c r="N68" s="8">
        <f t="shared" si="20"/>
        <v>1530.0255099999999</v>
      </c>
      <c r="P68" s="8">
        <f>'Budget 2025'!N67</f>
        <v>1480</v>
      </c>
    </row>
    <row r="69" spans="1:16" x14ac:dyDescent="0.35">
      <c r="A69" s="5" t="s">
        <v>41</v>
      </c>
      <c r="B69" s="30">
        <v>0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f t="shared" si="20"/>
        <v>0</v>
      </c>
      <c r="P69" s="8">
        <f>'Budget 2025'!N68</f>
        <v>120</v>
      </c>
    </row>
    <row r="70" spans="1:16" hidden="1" x14ac:dyDescent="0.35">
      <c r="A70" s="9" t="s">
        <v>58</v>
      </c>
      <c r="B70" s="10">
        <f>B71+B72</f>
        <v>57.125659999999996</v>
      </c>
      <c r="C70" s="10">
        <f t="shared" ref="C70:M70" si="21">C71+C72</f>
        <v>53.497250000000001</v>
      </c>
      <c r="D70" s="10">
        <f t="shared" si="21"/>
        <v>58.810299999999984</v>
      </c>
      <c r="E70" s="10">
        <f t="shared" si="21"/>
        <v>75.263139999999993</v>
      </c>
      <c r="F70" s="10">
        <f t="shared" si="21"/>
        <v>125.39815</v>
      </c>
      <c r="G70" s="10">
        <f t="shared" si="21"/>
        <v>94.756160000000008</v>
      </c>
      <c r="H70" s="10">
        <f t="shared" si="21"/>
        <v>83.146400000000028</v>
      </c>
      <c r="I70" s="10">
        <f t="shared" si="21"/>
        <v>58.183650000000014</v>
      </c>
      <c r="J70" s="10">
        <f t="shared" si="21"/>
        <v>37.139549999999993</v>
      </c>
      <c r="K70" s="10">
        <f t="shared" si="21"/>
        <v>68.754850000000019</v>
      </c>
      <c r="L70" s="10">
        <f t="shared" si="21"/>
        <v>52.997440000000012</v>
      </c>
      <c r="M70" s="10">
        <f t="shared" si="21"/>
        <v>55</v>
      </c>
      <c r="N70" s="10">
        <f>SUM(B70:M70)</f>
        <v>820.07255000000009</v>
      </c>
      <c r="O70" s="2"/>
      <c r="P70" s="10">
        <f>'Budget 2025'!N69</f>
        <v>1676.5</v>
      </c>
    </row>
    <row r="71" spans="1:16" hidden="1" x14ac:dyDescent="0.35">
      <c r="A71" s="5" t="s">
        <v>53</v>
      </c>
      <c r="B71" s="30">
        <f>B86</f>
        <v>7.10975</v>
      </c>
      <c r="C71" s="30">
        <f t="shared" ref="C71:M71" si="22">C86</f>
        <v>40.527500000000003</v>
      </c>
      <c r="D71" s="30">
        <f t="shared" si="22"/>
        <v>51.952449999999985</v>
      </c>
      <c r="E71" s="30">
        <f t="shared" si="22"/>
        <v>50.126389999999994</v>
      </c>
      <c r="F71" s="30">
        <f t="shared" si="22"/>
        <v>109.9789</v>
      </c>
      <c r="G71" s="8">
        <f t="shared" si="22"/>
        <v>87.843810000000005</v>
      </c>
      <c r="H71" s="8">
        <f t="shared" si="22"/>
        <v>83.146400000000028</v>
      </c>
      <c r="I71" s="8">
        <f t="shared" si="22"/>
        <v>58.183650000000014</v>
      </c>
      <c r="J71" s="8">
        <f t="shared" si="22"/>
        <v>37.139549999999993</v>
      </c>
      <c r="K71" s="8">
        <f t="shared" si="22"/>
        <v>60.314450000000015</v>
      </c>
      <c r="L71" s="8">
        <f t="shared" si="22"/>
        <v>52.997440000000012</v>
      </c>
      <c r="M71" s="8">
        <f t="shared" si="22"/>
        <v>45</v>
      </c>
      <c r="N71" s="8">
        <f t="shared" si="20"/>
        <v>684.32029</v>
      </c>
      <c r="P71" s="8">
        <f>'Budget 2025'!N70</f>
        <v>671.5</v>
      </c>
    </row>
    <row r="72" spans="1:16" hidden="1" x14ac:dyDescent="0.35">
      <c r="A72" s="5" t="s">
        <v>54</v>
      </c>
      <c r="B72" s="30">
        <f>B92</f>
        <v>50.015909999999998</v>
      </c>
      <c r="C72" s="30">
        <f t="shared" ref="C72:M72" si="23">C92</f>
        <v>12.969749999999998</v>
      </c>
      <c r="D72" s="30">
        <f t="shared" si="23"/>
        <v>6.85785</v>
      </c>
      <c r="E72" s="30">
        <f t="shared" si="23"/>
        <v>25.136750000000003</v>
      </c>
      <c r="F72" s="30">
        <f t="shared" si="23"/>
        <v>15.41925</v>
      </c>
      <c r="G72" s="8">
        <f t="shared" si="23"/>
        <v>6.91235</v>
      </c>
      <c r="H72" s="8">
        <f t="shared" si="23"/>
        <v>0</v>
      </c>
      <c r="I72" s="8">
        <f t="shared" si="23"/>
        <v>0</v>
      </c>
      <c r="J72" s="8">
        <f t="shared" si="23"/>
        <v>0</v>
      </c>
      <c r="K72" s="8">
        <f t="shared" si="23"/>
        <v>8.4404000000000003</v>
      </c>
      <c r="L72" s="8">
        <f t="shared" si="23"/>
        <v>0</v>
      </c>
      <c r="M72" s="8">
        <f t="shared" si="23"/>
        <v>10</v>
      </c>
      <c r="N72" s="8">
        <f t="shared" si="20"/>
        <v>135.75226000000001</v>
      </c>
      <c r="P72" s="8">
        <f>'Budget 2025'!N71</f>
        <v>1005</v>
      </c>
    </row>
    <row r="73" spans="1:16" s="2" customFormat="1" x14ac:dyDescent="0.35">
      <c r="A73" s="9" t="s">
        <v>34</v>
      </c>
      <c r="B73" s="11">
        <f t="shared" ref="B73:N73" si="24">B56/B66</f>
        <v>15.767945137484427</v>
      </c>
      <c r="C73" s="11">
        <f t="shared" si="24"/>
        <v>15.254470609711989</v>
      </c>
      <c r="D73" s="11">
        <f t="shared" si="24"/>
        <v>12.751333228097135</v>
      </c>
      <c r="E73" s="11">
        <f t="shared" si="24"/>
        <v>14.275167727985744</v>
      </c>
      <c r="F73" s="11">
        <f t="shared" si="24"/>
        <v>13.948274362697406</v>
      </c>
      <c r="G73" s="11">
        <f t="shared" si="24"/>
        <v>11.453216618065948</v>
      </c>
      <c r="H73" s="11">
        <f t="shared" si="24"/>
        <v>16.438596491228068</v>
      </c>
      <c r="I73" s="11">
        <f t="shared" si="24"/>
        <v>16.782456140350877</v>
      </c>
      <c r="J73" s="11">
        <f t="shared" si="24"/>
        <v>16.833898305084745</v>
      </c>
      <c r="K73" s="11">
        <f t="shared" si="24"/>
        <v>11.263178024891218</v>
      </c>
      <c r="L73" s="11">
        <f t="shared" si="24"/>
        <v>10.704109589041096</v>
      </c>
      <c r="M73" s="11">
        <f t="shared" si="24"/>
        <v>12.607429433431934</v>
      </c>
      <c r="N73" s="11">
        <f t="shared" si="24"/>
        <v>13.793810937615619</v>
      </c>
      <c r="P73" s="11">
        <f>'Budget 2025'!N72</f>
        <v>15.990712074303406</v>
      </c>
    </row>
    <row r="74" spans="1:16" s="2" customFormat="1" x14ac:dyDescent="0.35">
      <c r="A74" s="9" t="s">
        <v>35</v>
      </c>
      <c r="B74" s="10">
        <v>162.67978000000002</v>
      </c>
      <c r="C74" s="10">
        <v>131.47763</v>
      </c>
      <c r="D74" s="10">
        <v>143.77029000000002</v>
      </c>
      <c r="E74" s="10">
        <v>110.81858</v>
      </c>
      <c r="F74" s="10">
        <v>152.73346000000001</v>
      </c>
      <c r="G74" s="10">
        <v>123.57035</v>
      </c>
      <c r="H74" s="10">
        <v>150</v>
      </c>
      <c r="I74" s="10">
        <v>130</v>
      </c>
      <c r="J74" s="10">
        <v>140</v>
      </c>
      <c r="K74" s="10">
        <v>210</v>
      </c>
      <c r="L74" s="10">
        <v>210</v>
      </c>
      <c r="M74" s="10">
        <v>205</v>
      </c>
      <c r="N74" s="10">
        <f>SUM(B74:M74)</f>
        <v>1870.0500900000002</v>
      </c>
      <c r="P74" s="10">
        <f>'Budget 2025'!N73</f>
        <v>1630</v>
      </c>
    </row>
    <row r="75" spans="1:16" x14ac:dyDescent="0.35">
      <c r="A75" s="5" t="s">
        <v>60</v>
      </c>
      <c r="B75" s="30">
        <v>6732.4288086363313</v>
      </c>
      <c r="C75" s="30">
        <v>6572.6204638233148</v>
      </c>
      <c r="D75" s="30">
        <v>6596.2444685343407</v>
      </c>
      <c r="E75" s="30">
        <v>6621.4348514888561</v>
      </c>
      <c r="F75" s="30">
        <v>6741.0993359946833</v>
      </c>
      <c r="G75" s="30">
        <v>6692.9195232520942</v>
      </c>
      <c r="H75" s="8">
        <v>6657.8158061113754</v>
      </c>
      <c r="I75" s="8">
        <v>6624.8328899487342</v>
      </c>
      <c r="J75" s="8">
        <v>6659.8708490387471</v>
      </c>
      <c r="K75" s="8">
        <v>6614.0604019122447</v>
      </c>
      <c r="L75" s="8">
        <v>6499.3350311266358</v>
      </c>
      <c r="M75" s="8">
        <v>6509.8577606035524</v>
      </c>
      <c r="N75" s="8">
        <f>SUMPRODUCT(B75:M75,$B$74:$M$74)/SUM($B$74:$M$74)</f>
        <v>6619.4798386506418</v>
      </c>
      <c r="P75" s="8">
        <f>'Budget 2025'!N74</f>
        <v>6355.6512817964895</v>
      </c>
    </row>
    <row r="76" spans="1:16" x14ac:dyDescent="0.35">
      <c r="A76" s="5" t="s">
        <v>36</v>
      </c>
      <c r="B76" s="31">
        <v>0.62136758785397472</v>
      </c>
      <c r="C76" s="31">
        <v>0.63582598773814603</v>
      </c>
      <c r="D76" s="31">
        <v>0.77705894256234498</v>
      </c>
      <c r="E76" s="31">
        <v>0.69370662734212352</v>
      </c>
      <c r="F76" s="31">
        <v>0.70929892880322509</v>
      </c>
      <c r="G76" s="31">
        <v>0.60985571519434023</v>
      </c>
      <c r="H76" s="7">
        <v>0.74439474967995001</v>
      </c>
      <c r="I76" s="7">
        <v>0.74419127361078696</v>
      </c>
      <c r="J76" s="7">
        <v>0.72939132854317401</v>
      </c>
      <c r="K76" s="7">
        <v>0.73130478730273096</v>
      </c>
      <c r="L76" s="7">
        <v>0.73393623597621105</v>
      </c>
      <c r="M76" s="7">
        <v>0.72252261503499005</v>
      </c>
      <c r="N76" s="7">
        <f t="shared" ref="N76:N79" si="25">SUMPRODUCT(B76:M76,$B$74:$M$74)/SUM($B$74:$M$74)</f>
        <v>0.70763066463317337</v>
      </c>
      <c r="P76" s="7">
        <f>'Budget 2025'!N75</f>
        <v>0.60341465782487103</v>
      </c>
    </row>
    <row r="77" spans="1:16" x14ac:dyDescent="0.35">
      <c r="A77" s="5" t="s">
        <v>37</v>
      </c>
      <c r="B77" s="31">
        <v>3.4667263050153529</v>
      </c>
      <c r="C77" s="31">
        <v>4.5743182457352685</v>
      </c>
      <c r="D77" s="31">
        <v>4.3675199388967902</v>
      </c>
      <c r="E77" s="31">
        <v>4.7703819396252607</v>
      </c>
      <c r="F77" s="31">
        <v>3.7542016636596935</v>
      </c>
      <c r="G77" s="31">
        <v>3.8464488163592483</v>
      </c>
      <c r="H77" s="7">
        <v>4.5216209652081201</v>
      </c>
      <c r="I77" s="7">
        <v>4.8390937616395098</v>
      </c>
      <c r="J77" s="7">
        <v>4.7494317974904101</v>
      </c>
      <c r="K77" s="7">
        <v>4.5482093623526598</v>
      </c>
      <c r="L77" s="7">
        <v>5.1359892164080696</v>
      </c>
      <c r="M77" s="7">
        <v>4.9913708076294299</v>
      </c>
      <c r="N77" s="7">
        <f t="shared" si="25"/>
        <v>4.491757273682401</v>
      </c>
      <c r="P77" s="7">
        <f>'Budget 2025'!N76</f>
        <v>4.8411373574408625</v>
      </c>
    </row>
    <row r="78" spans="1:16" x14ac:dyDescent="0.35">
      <c r="A78" s="5" t="s">
        <v>38</v>
      </c>
      <c r="B78" s="31">
        <v>6.8418485158648927</v>
      </c>
      <c r="C78" s="31">
        <v>7.5668957260287177</v>
      </c>
      <c r="D78" s="31">
        <v>6.8217935631669997</v>
      </c>
      <c r="E78" s="31">
        <v>6.8812413254684266</v>
      </c>
      <c r="F78" s="31">
        <v>6.8541574820028233</v>
      </c>
      <c r="G78" s="31">
        <v>6.8496795413555462</v>
      </c>
      <c r="H78" s="7">
        <v>6.9395693322421099</v>
      </c>
      <c r="I78" s="7">
        <v>7.1348945446627496</v>
      </c>
      <c r="J78" s="7">
        <v>7.0912875385448499</v>
      </c>
      <c r="K78" s="7">
        <v>6.9100342740549996</v>
      </c>
      <c r="L78" s="7">
        <v>7.4196498810309803</v>
      </c>
      <c r="M78" s="7">
        <v>7.1055792634609398</v>
      </c>
      <c r="N78" s="7">
        <f t="shared" si="25"/>
        <v>7.043476794053479</v>
      </c>
      <c r="P78" s="7">
        <f>'Budget 2025'!N77</f>
        <v>7.386331839135952</v>
      </c>
    </row>
    <row r="79" spans="1:16" x14ac:dyDescent="0.35">
      <c r="A79" s="5" t="s">
        <v>25</v>
      </c>
      <c r="B79" s="31">
        <v>11.173252541794611</v>
      </c>
      <c r="C79" s="31">
        <v>12.091738836971983</v>
      </c>
      <c r="D79" s="31">
        <v>12.465839606149499</v>
      </c>
      <c r="E79" s="31">
        <v>11.342955586398332</v>
      </c>
      <c r="F79" s="31">
        <v>11.0393102421655</v>
      </c>
      <c r="G79" s="31">
        <v>11.067432497190106</v>
      </c>
      <c r="H79" s="7">
        <v>10.190731820403601</v>
      </c>
      <c r="I79" s="7">
        <v>10.131789543837501</v>
      </c>
      <c r="J79" s="7">
        <v>10.104645497854101</v>
      </c>
      <c r="K79" s="7">
        <v>11.193021053497</v>
      </c>
      <c r="L79" s="7">
        <v>11.4006104009488</v>
      </c>
      <c r="M79" s="7">
        <v>11.790339214955599</v>
      </c>
      <c r="N79" s="7">
        <f t="shared" si="25"/>
        <v>11.193516490856128</v>
      </c>
      <c r="P79" s="7">
        <f>'Budget 2025'!N78</f>
        <v>13.846499085482177</v>
      </c>
    </row>
    <row r="80" spans="1:16" s="2" customFormat="1" x14ac:dyDescent="0.35">
      <c r="A80" s="9" t="s">
        <v>39</v>
      </c>
      <c r="B80" s="10">
        <v>74.263419999999996</v>
      </c>
      <c r="C80" s="10">
        <v>89.171959999999999</v>
      </c>
      <c r="D80" s="10">
        <v>136.55151000000001</v>
      </c>
      <c r="E80" s="10">
        <v>89.495040000000003</v>
      </c>
      <c r="F80" s="10">
        <v>85.572879999999998</v>
      </c>
      <c r="G80" s="10">
        <v>161.97069999999997</v>
      </c>
      <c r="H80" s="10">
        <v>135</v>
      </c>
      <c r="I80" s="10">
        <v>155</v>
      </c>
      <c r="J80" s="10">
        <v>155</v>
      </c>
      <c r="K80" s="10">
        <v>160</v>
      </c>
      <c r="L80" s="10">
        <v>155</v>
      </c>
      <c r="M80" s="10">
        <v>133</v>
      </c>
      <c r="N80" s="10">
        <f>SUM(B80:M80)</f>
        <v>1530.0255099999999</v>
      </c>
      <c r="P80" s="10">
        <f>'Budget 2025'!N79</f>
        <v>1480</v>
      </c>
    </row>
    <row r="81" spans="1:16" x14ac:dyDescent="0.35">
      <c r="A81" s="5" t="s">
        <v>60</v>
      </c>
      <c r="B81" s="30">
        <v>6697.6811591672858</v>
      </c>
      <c r="C81" s="30">
        <v>6682.5379240818311</v>
      </c>
      <c r="D81" s="30">
        <v>6375.2051752295674</v>
      </c>
      <c r="E81" s="30">
        <v>6514.9911242548424</v>
      </c>
      <c r="F81" s="30">
        <v>6575.136370974933</v>
      </c>
      <c r="G81" s="30">
        <v>6545.7938887267619</v>
      </c>
      <c r="H81" s="8">
        <v>6451.6435722292736</v>
      </c>
      <c r="I81" s="8">
        <v>6460.3590737358609</v>
      </c>
      <c r="J81" s="8">
        <v>6447.9253614134241</v>
      </c>
      <c r="K81" s="8">
        <v>6407.7499475421973</v>
      </c>
      <c r="L81" s="8">
        <v>6411.4461921886568</v>
      </c>
      <c r="M81" s="8">
        <v>6345.2981848245436</v>
      </c>
      <c r="N81" s="8">
        <f>SUMPRODUCT(B81:M81,$B$80:$M$80)/SUM($B$80:$M$80)</f>
        <v>6473.3992255219973</v>
      </c>
      <c r="P81" s="8">
        <f>'Budget 2025'!N80</f>
        <v>6482.8119871932486</v>
      </c>
    </row>
    <row r="82" spans="1:16" x14ac:dyDescent="0.35">
      <c r="A82" s="5" t="s">
        <v>40</v>
      </c>
      <c r="B82" s="31">
        <v>1.6301900580353075</v>
      </c>
      <c r="C82" s="31">
        <v>1.4796922293816033</v>
      </c>
      <c r="D82" s="31">
        <v>1.6016478929006499</v>
      </c>
      <c r="E82" s="31">
        <v>1.6141192103264999</v>
      </c>
      <c r="F82" s="31">
        <v>1.5957798135784826</v>
      </c>
      <c r="G82" s="31">
        <v>1.6294485719002809</v>
      </c>
      <c r="H82" s="7">
        <v>1.77929896859498</v>
      </c>
      <c r="I82" s="7">
        <v>1.8443889584728399</v>
      </c>
      <c r="J82" s="7">
        <v>1.76238224929037</v>
      </c>
      <c r="K82" s="7">
        <v>1.6789931051573801</v>
      </c>
      <c r="L82" s="7">
        <v>1.75395908396598</v>
      </c>
      <c r="M82" s="7">
        <v>1.85903403897494</v>
      </c>
      <c r="N82" s="7">
        <f t="shared" ref="N82:N85" si="26">SUMPRODUCT(B82:M82,$B$80:$M$80)/SUM($B$80:$M$80)</f>
        <v>1.7017108604241018</v>
      </c>
      <c r="P82" s="7">
        <f>'Budget 2025'!N81</f>
        <v>1.8762420726514626</v>
      </c>
    </row>
    <row r="83" spans="1:16" x14ac:dyDescent="0.35">
      <c r="A83" s="5" t="s">
        <v>37</v>
      </c>
      <c r="B83" s="31">
        <v>2.9843464191303815</v>
      </c>
      <c r="C83" s="31">
        <v>3.6682929221448353</v>
      </c>
      <c r="D83" s="31">
        <v>5.3381230356324902</v>
      </c>
      <c r="E83" s="31">
        <v>5.3340234043503516</v>
      </c>
      <c r="F83" s="31">
        <v>5.1497909690079569</v>
      </c>
      <c r="G83" s="31">
        <v>6.3738964503879822</v>
      </c>
      <c r="H83" s="7">
        <v>6.1376913638505997</v>
      </c>
      <c r="I83" s="7">
        <v>6.7338162298419002</v>
      </c>
      <c r="J83" s="7">
        <v>6.13436650995056</v>
      </c>
      <c r="K83" s="7">
        <v>5.7548820737305899</v>
      </c>
      <c r="L83" s="7">
        <v>5.5483023353451104</v>
      </c>
      <c r="M83" s="7">
        <v>6.4676282311881703</v>
      </c>
      <c r="N83" s="7">
        <f t="shared" si="26"/>
        <v>5.681094926325617</v>
      </c>
      <c r="P83" s="7">
        <f>'Budget 2025'!N82</f>
        <v>10.254553163544609</v>
      </c>
    </row>
    <row r="84" spans="1:16" x14ac:dyDescent="0.35">
      <c r="A84" s="5" t="s">
        <v>38</v>
      </c>
      <c r="B84" s="31">
        <v>6.3755446507246818</v>
      </c>
      <c r="C84" s="31">
        <v>6.3149361242504378</v>
      </c>
      <c r="D84" s="31">
        <v>6.5134369326499497</v>
      </c>
      <c r="E84" s="31">
        <v>6.5208039662334185</v>
      </c>
      <c r="F84" s="31">
        <v>6.2532880788345446</v>
      </c>
      <c r="G84" s="31">
        <v>6.2532600297176817</v>
      </c>
      <c r="H84" s="7">
        <v>6.12155838659812</v>
      </c>
      <c r="I84" s="7">
        <v>6.4294020283164901</v>
      </c>
      <c r="J84" s="7">
        <v>6.3968352820746102</v>
      </c>
      <c r="K84" s="7">
        <v>6.24181122212019</v>
      </c>
      <c r="L84" s="7">
        <v>6.0833277318842303</v>
      </c>
      <c r="M84" s="7">
        <v>5.7327028957739099</v>
      </c>
      <c r="N84" s="7">
        <f t="shared" si="26"/>
        <v>6.2587670586777264</v>
      </c>
      <c r="P84" s="7">
        <f>'Budget 2025'!N83</f>
        <v>6.6257918257808086</v>
      </c>
    </row>
    <row r="85" spans="1:16" x14ac:dyDescent="0.35">
      <c r="A85" s="5" t="s">
        <v>25</v>
      </c>
      <c r="B85" s="31">
        <v>11.0449544225335</v>
      </c>
      <c r="C85" s="31">
        <v>10.871045849007412</v>
      </c>
      <c r="D85" s="31">
        <v>11.7658468486225</v>
      </c>
      <c r="E85" s="31">
        <v>12.110349167001655</v>
      </c>
      <c r="F85" s="31">
        <v>11.286190516818465</v>
      </c>
      <c r="G85" s="31">
        <v>10.087073997028233</v>
      </c>
      <c r="H85" s="7">
        <v>10.731200609880901</v>
      </c>
      <c r="I85" s="7">
        <v>10.8891347799083</v>
      </c>
      <c r="J85" s="7">
        <v>10.7193950847825</v>
      </c>
      <c r="K85" s="7">
        <v>11.074146770974201</v>
      </c>
      <c r="L85" s="7">
        <v>11.312686580554001</v>
      </c>
      <c r="M85" s="7">
        <v>11.8046809675071</v>
      </c>
      <c r="N85" s="7">
        <f t="shared" si="26"/>
        <v>11.093329965377327</v>
      </c>
      <c r="P85" s="7">
        <f>'Budget 2025'!N84</f>
        <v>11.252249091491917</v>
      </c>
    </row>
    <row r="86" spans="1:16" hidden="1" x14ac:dyDescent="0.35">
      <c r="A86" s="9" t="s">
        <v>53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v>109.9789</v>
      </c>
      <c r="G86" s="10">
        <v>87.843810000000005</v>
      </c>
      <c r="H86" s="10">
        <v>83.146400000000028</v>
      </c>
      <c r="I86" s="10">
        <v>58.183650000000014</v>
      </c>
      <c r="J86" s="10">
        <v>37.139549999999993</v>
      </c>
      <c r="K86" s="10">
        <v>60.314450000000015</v>
      </c>
      <c r="L86" s="10">
        <v>52.997440000000012</v>
      </c>
      <c r="M86" s="10">
        <v>45</v>
      </c>
      <c r="N86" s="10">
        <f>SUM(B86:M86)</f>
        <v>684.32029</v>
      </c>
      <c r="O86" s="2"/>
      <c r="P86" s="10">
        <f>'Budget 2025'!N91</f>
        <v>671.5</v>
      </c>
    </row>
    <row r="87" spans="1:16" hidden="1" x14ac:dyDescent="0.35">
      <c r="A87" s="5" t="s">
        <v>60</v>
      </c>
      <c r="B87" s="8">
        <v>6322</v>
      </c>
      <c r="C87" s="8">
        <v>6322</v>
      </c>
      <c r="D87" s="8">
        <v>6322</v>
      </c>
      <c r="E87" s="8">
        <v>6322</v>
      </c>
      <c r="F87" s="8">
        <v>6322</v>
      </c>
      <c r="G87" s="8">
        <v>6322</v>
      </c>
      <c r="H87" s="8">
        <v>6322</v>
      </c>
      <c r="I87" s="8">
        <v>6322</v>
      </c>
      <c r="J87" s="8">
        <v>6322</v>
      </c>
      <c r="K87" s="8">
        <v>6322</v>
      </c>
      <c r="L87" s="8">
        <v>6322</v>
      </c>
      <c r="M87" s="8">
        <v>6322</v>
      </c>
      <c r="N87" s="14">
        <f>SUMPRODUCT(B87:M87,$B$86:$M$86)/SUM($B$86:$M$86)</f>
        <v>6322</v>
      </c>
      <c r="P87" s="8">
        <f>'Budget 2025'!N92</f>
        <v>6322</v>
      </c>
    </row>
    <row r="88" spans="1:16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7">
        <v>0.6</v>
      </c>
      <c r="G88" s="7">
        <v>0.6</v>
      </c>
      <c r="H88" s="7">
        <v>0.6</v>
      </c>
      <c r="I88" s="7">
        <v>0.6</v>
      </c>
      <c r="J88" s="7">
        <v>0.6</v>
      </c>
      <c r="K88" s="7">
        <v>0.6</v>
      </c>
      <c r="L88" s="7">
        <v>0.6</v>
      </c>
      <c r="M88" s="7">
        <v>0.6</v>
      </c>
      <c r="N88" s="15">
        <f t="shared" ref="N88:N91" si="27">SUMPRODUCT(B88:M88,$B$86:$M$86)/SUM($B$86:$M$86)</f>
        <v>0.6</v>
      </c>
      <c r="P88" s="7">
        <f>'Budget 2025'!N93</f>
        <v>0.6</v>
      </c>
    </row>
    <row r="89" spans="1:16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7">
        <v>7</v>
      </c>
      <c r="G89" s="7">
        <v>7</v>
      </c>
      <c r="H89" s="7">
        <v>7</v>
      </c>
      <c r="I89" s="7">
        <v>7</v>
      </c>
      <c r="J89" s="7">
        <v>7</v>
      </c>
      <c r="K89" s="7">
        <v>7</v>
      </c>
      <c r="L89" s="7">
        <v>7</v>
      </c>
      <c r="M89" s="7">
        <v>7</v>
      </c>
      <c r="N89" s="15">
        <f t="shared" si="27"/>
        <v>7.0000000000000009</v>
      </c>
      <c r="P89" s="7">
        <f>'Budget 2025'!N94</f>
        <v>7</v>
      </c>
    </row>
    <row r="90" spans="1:16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7">
        <v>12</v>
      </c>
      <c r="G90" s="7">
        <v>12</v>
      </c>
      <c r="H90" s="7">
        <v>12</v>
      </c>
      <c r="I90" s="7">
        <v>12</v>
      </c>
      <c r="J90" s="7">
        <v>12</v>
      </c>
      <c r="K90" s="7">
        <v>12</v>
      </c>
      <c r="L90" s="7">
        <v>12</v>
      </c>
      <c r="M90" s="7">
        <v>12</v>
      </c>
      <c r="N90" s="15">
        <f t="shared" si="27"/>
        <v>12</v>
      </c>
      <c r="P90" s="7">
        <f>'Budget 2025'!N95</f>
        <v>12</v>
      </c>
    </row>
    <row r="91" spans="1:16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7">
        <v>14</v>
      </c>
      <c r="G91" s="7">
        <v>14</v>
      </c>
      <c r="H91" s="7">
        <v>14</v>
      </c>
      <c r="I91" s="7">
        <v>14</v>
      </c>
      <c r="J91" s="7">
        <v>14</v>
      </c>
      <c r="K91" s="7">
        <v>14</v>
      </c>
      <c r="L91" s="7">
        <v>14</v>
      </c>
      <c r="M91" s="7">
        <v>14</v>
      </c>
      <c r="N91" s="15">
        <f t="shared" si="27"/>
        <v>14.000000000000002</v>
      </c>
      <c r="P91" s="7">
        <f>'Budget 2025'!N96</f>
        <v>14</v>
      </c>
    </row>
    <row r="92" spans="1:16" hidden="1" x14ac:dyDescent="0.35">
      <c r="A92" s="9" t="s">
        <v>54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v>15.41925</v>
      </c>
      <c r="G92" s="10">
        <v>6.91235</v>
      </c>
      <c r="H92" s="10">
        <v>0</v>
      </c>
      <c r="I92" s="10">
        <v>0</v>
      </c>
      <c r="J92" s="10">
        <v>0</v>
      </c>
      <c r="K92" s="10">
        <v>8.4404000000000003</v>
      </c>
      <c r="L92" s="10">
        <v>0</v>
      </c>
      <c r="M92" s="10">
        <v>10</v>
      </c>
      <c r="N92" s="10">
        <f>SUM(B92:M92)</f>
        <v>135.75226000000001</v>
      </c>
      <c r="O92" s="2"/>
      <c r="P92" s="10">
        <f>'Budget 2025'!N97</f>
        <v>1005</v>
      </c>
    </row>
    <row r="93" spans="1:16" hidden="1" x14ac:dyDescent="0.35">
      <c r="A93" s="5" t="s">
        <v>60</v>
      </c>
      <c r="B93" s="8">
        <v>5400</v>
      </c>
      <c r="C93" s="8">
        <v>5400</v>
      </c>
      <c r="D93" s="8">
        <v>5400</v>
      </c>
      <c r="E93" s="8">
        <v>5400</v>
      </c>
      <c r="F93" s="8">
        <v>5400</v>
      </c>
      <c r="G93" s="8">
        <v>5400</v>
      </c>
      <c r="H93" s="8">
        <v>5400</v>
      </c>
      <c r="I93" s="8">
        <v>5400</v>
      </c>
      <c r="J93" s="8">
        <v>5400</v>
      </c>
      <c r="K93" s="8">
        <v>5400</v>
      </c>
      <c r="L93" s="8">
        <v>5400</v>
      </c>
      <c r="M93" s="8">
        <v>5400</v>
      </c>
      <c r="N93" s="14">
        <f>SUMPRODUCT(B93:M93,$B$93:$M$93)/SUM($B$93:$M$93)</f>
        <v>5400</v>
      </c>
      <c r="P93" s="8">
        <f>'Budget 2025'!N98</f>
        <v>5400</v>
      </c>
    </row>
    <row r="94" spans="1:16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15">
        <f t="shared" ref="N94:N97" si="28">SUMPRODUCT(B94:M94,$B$93:$M$93)/SUM($B$93:$M$93)</f>
        <v>1</v>
      </c>
      <c r="P94" s="7">
        <f>'Budget 2025'!N99</f>
        <v>1</v>
      </c>
    </row>
    <row r="95" spans="1:16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7">
        <v>6</v>
      </c>
      <c r="G95" s="7">
        <v>6</v>
      </c>
      <c r="H95" s="7">
        <v>6</v>
      </c>
      <c r="I95" s="7">
        <v>6</v>
      </c>
      <c r="J95" s="7">
        <v>6</v>
      </c>
      <c r="K95" s="7">
        <v>6</v>
      </c>
      <c r="L95" s="7">
        <v>6</v>
      </c>
      <c r="M95" s="7">
        <v>6</v>
      </c>
      <c r="N95" s="15">
        <f t="shared" si="28"/>
        <v>6</v>
      </c>
      <c r="P95" s="7">
        <f>'Budget 2025'!N100</f>
        <v>6</v>
      </c>
    </row>
    <row r="96" spans="1:16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7">
        <v>15</v>
      </c>
      <c r="G96" s="7">
        <v>15</v>
      </c>
      <c r="H96" s="7">
        <v>15</v>
      </c>
      <c r="I96" s="7">
        <v>15</v>
      </c>
      <c r="J96" s="7">
        <v>15</v>
      </c>
      <c r="K96" s="7">
        <v>15</v>
      </c>
      <c r="L96" s="7">
        <v>15</v>
      </c>
      <c r="M96" s="7">
        <v>15</v>
      </c>
      <c r="N96" s="15">
        <f t="shared" si="28"/>
        <v>15</v>
      </c>
      <c r="P96" s="7">
        <f>'Budget 2025'!N101</f>
        <v>15</v>
      </c>
    </row>
    <row r="97" spans="1:17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7">
        <v>24</v>
      </c>
      <c r="G97" s="7">
        <v>24</v>
      </c>
      <c r="H97" s="7">
        <v>24</v>
      </c>
      <c r="I97" s="7">
        <v>24</v>
      </c>
      <c r="J97" s="7">
        <v>24</v>
      </c>
      <c r="K97" s="7">
        <v>24</v>
      </c>
      <c r="L97" s="7">
        <v>24</v>
      </c>
      <c r="M97" s="7">
        <v>24</v>
      </c>
      <c r="N97" s="15">
        <f t="shared" si="28"/>
        <v>24</v>
      </c>
      <c r="P97" s="7">
        <f>'Budget 2025'!N102</f>
        <v>24</v>
      </c>
    </row>
    <row r="99" spans="1:17" x14ac:dyDescent="0.35">
      <c r="A99" s="6" t="s">
        <v>48</v>
      </c>
      <c r="B99" s="6" t="s">
        <v>1</v>
      </c>
      <c r="C99" s="6" t="s">
        <v>2</v>
      </c>
      <c r="D99" s="6" t="s">
        <v>3</v>
      </c>
      <c r="E99" s="6" t="s">
        <v>4</v>
      </c>
      <c r="F99" s="6" t="s">
        <v>5</v>
      </c>
      <c r="G99" s="6" t="s">
        <v>6</v>
      </c>
      <c r="H99" s="6" t="s">
        <v>7</v>
      </c>
      <c r="I99" s="6" t="s">
        <v>8</v>
      </c>
      <c r="J99" s="6" t="s">
        <v>9</v>
      </c>
      <c r="K99" s="6" t="s">
        <v>10</v>
      </c>
      <c r="L99" s="6" t="s">
        <v>11</v>
      </c>
      <c r="M99" s="6" t="s">
        <v>12</v>
      </c>
      <c r="N99" s="6" t="s">
        <v>13</v>
      </c>
      <c r="O99" s="4"/>
      <c r="P99" s="6" t="s">
        <v>84</v>
      </c>
    </row>
    <row r="100" spans="1:17" s="2" customFormat="1" x14ac:dyDescent="0.35">
      <c r="A100" s="9" t="s">
        <v>14</v>
      </c>
      <c r="B100" s="10">
        <f>SUM(B101:B103)</f>
        <v>7740.8130849999998</v>
      </c>
      <c r="C100" s="10">
        <f t="shared" ref="C100:N100" si="29">SUM(C101:C103)</f>
        <v>6674.4387483499995</v>
      </c>
      <c r="D100" s="10">
        <f t="shared" si="29"/>
        <v>7334.0009450000007</v>
      </c>
      <c r="E100" s="10">
        <f t="shared" si="29"/>
        <v>6431.8589449999999</v>
      </c>
      <c r="F100" s="10">
        <f t="shared" si="29"/>
        <v>7155.0962639999998</v>
      </c>
      <c r="G100" s="10">
        <f t="shared" si="29"/>
        <v>4209.2758919999997</v>
      </c>
      <c r="H100" s="10">
        <f t="shared" si="29"/>
        <v>3809</v>
      </c>
      <c r="I100" s="10">
        <f t="shared" si="29"/>
        <v>8880</v>
      </c>
      <c r="J100" s="10">
        <f t="shared" si="29"/>
        <v>8735</v>
      </c>
      <c r="K100" s="10">
        <f t="shared" si="29"/>
        <v>8556</v>
      </c>
      <c r="L100" s="10">
        <f t="shared" si="29"/>
        <v>8467</v>
      </c>
      <c r="M100" s="10">
        <f t="shared" si="29"/>
        <v>8535.5160126500014</v>
      </c>
      <c r="N100" s="10">
        <f t="shared" si="29"/>
        <v>86527.999891999993</v>
      </c>
      <c r="P100" s="10">
        <f>'Budget 2025'!N105</f>
        <v>90950</v>
      </c>
      <c r="Q100" s="27">
        <f>N100/P100</f>
        <v>0.95137987786695977</v>
      </c>
    </row>
    <row r="101" spans="1:17" x14ac:dyDescent="0.35">
      <c r="A101" s="5" t="s">
        <v>30</v>
      </c>
      <c r="B101" s="30">
        <v>1657.8773700000002</v>
      </c>
      <c r="C101" s="30">
        <v>1407.4206810000001</v>
      </c>
      <c r="D101" s="30">
        <v>1552.9195340000001</v>
      </c>
      <c r="E101" s="30">
        <v>1926.5002199999999</v>
      </c>
      <c r="F101" s="30">
        <v>1498.8407709999999</v>
      </c>
      <c r="G101" s="30">
        <v>509.61574999999999</v>
      </c>
      <c r="H101" s="8">
        <v>399</v>
      </c>
      <c r="I101" s="8">
        <v>2211</v>
      </c>
      <c r="J101" s="8">
        <v>2245</v>
      </c>
      <c r="K101" s="8">
        <v>2135</v>
      </c>
      <c r="L101" s="8">
        <v>2122</v>
      </c>
      <c r="M101" s="8">
        <v>2165.8254239999997</v>
      </c>
      <c r="N101" s="8">
        <f>SUM(B101:M101)</f>
        <v>19830.999749999999</v>
      </c>
      <c r="P101" s="8">
        <f>'Budget 2025'!N106</f>
        <v>24000</v>
      </c>
    </row>
    <row r="102" spans="1:17" x14ac:dyDescent="0.35">
      <c r="A102" s="5" t="s">
        <v>57</v>
      </c>
      <c r="B102" s="30">
        <v>4075.4608039999994</v>
      </c>
      <c r="C102" s="30">
        <v>3313.9760443499999</v>
      </c>
      <c r="D102" s="30">
        <v>3758.0614150000001</v>
      </c>
      <c r="E102" s="30">
        <v>3301.2629649999999</v>
      </c>
      <c r="F102" s="30">
        <v>4117.1198409999997</v>
      </c>
      <c r="G102" s="30">
        <v>2842.4128519999999</v>
      </c>
      <c r="H102" s="8">
        <v>2750</v>
      </c>
      <c r="I102" s="8">
        <v>5289</v>
      </c>
      <c r="J102" s="8">
        <v>5295</v>
      </c>
      <c r="K102" s="8">
        <v>5285</v>
      </c>
      <c r="L102" s="8">
        <v>5285</v>
      </c>
      <c r="M102" s="8">
        <v>5292.7059306500005</v>
      </c>
      <c r="N102" s="8">
        <f t="shared" ref="N102:N103" si="30">SUM(B102:M102)</f>
        <v>50604.999852000001</v>
      </c>
      <c r="P102" s="8">
        <f>'Budget 2025'!N107</f>
        <v>52450</v>
      </c>
    </row>
    <row r="103" spans="1:17" x14ac:dyDescent="0.35">
      <c r="A103" s="5" t="s">
        <v>45</v>
      </c>
      <c r="B103" s="30">
        <v>2007.474911</v>
      </c>
      <c r="C103" s="30">
        <v>1953.042023</v>
      </c>
      <c r="D103" s="30">
        <v>2023.0199959999998</v>
      </c>
      <c r="E103" s="30">
        <v>1204.0957599999999</v>
      </c>
      <c r="F103" s="30">
        <v>1539.1356519999999</v>
      </c>
      <c r="G103" s="30">
        <v>857.24729000000002</v>
      </c>
      <c r="H103" s="8">
        <v>660</v>
      </c>
      <c r="I103" s="8">
        <v>1380</v>
      </c>
      <c r="J103" s="8">
        <v>1195</v>
      </c>
      <c r="K103" s="8">
        <v>1136</v>
      </c>
      <c r="L103" s="8">
        <v>1060</v>
      </c>
      <c r="M103" s="8">
        <v>1076.984658000001</v>
      </c>
      <c r="N103" s="8">
        <f t="shared" si="30"/>
        <v>16092.00029</v>
      </c>
      <c r="P103" s="8">
        <f>'Budget 2025'!N108</f>
        <v>14500</v>
      </c>
    </row>
    <row r="104" spans="1:17" s="2" customFormat="1" x14ac:dyDescent="0.35">
      <c r="A104" s="9" t="s">
        <v>17</v>
      </c>
      <c r="B104" s="10">
        <f t="shared" ref="B104:N104" si="31">SUM(B105:B107)</f>
        <v>737.08651599999996</v>
      </c>
      <c r="C104" s="10">
        <f t="shared" si="31"/>
        <v>743.29978599999993</v>
      </c>
      <c r="D104" s="10">
        <f t="shared" si="31"/>
        <v>904.27686199999994</v>
      </c>
      <c r="E104" s="10">
        <f t="shared" si="31"/>
        <v>705.02388599999995</v>
      </c>
      <c r="F104" s="10">
        <f t="shared" si="31"/>
        <v>817.68324000000007</v>
      </c>
      <c r="G104" s="10">
        <f t="shared" si="31"/>
        <v>480.06511999999998</v>
      </c>
      <c r="H104" s="10">
        <f t="shared" si="31"/>
        <v>325</v>
      </c>
      <c r="I104" s="10">
        <f t="shared" si="31"/>
        <v>795</v>
      </c>
      <c r="J104" s="10">
        <f t="shared" si="31"/>
        <v>732</v>
      </c>
      <c r="K104" s="10">
        <f t="shared" si="31"/>
        <v>655</v>
      </c>
      <c r="L104" s="10">
        <f t="shared" si="31"/>
        <v>613</v>
      </c>
      <c r="M104" s="10">
        <f t="shared" si="31"/>
        <v>587.56458999999984</v>
      </c>
      <c r="N104" s="10">
        <f t="shared" si="31"/>
        <v>8095</v>
      </c>
      <c r="P104" s="10">
        <f>'Budget 2025'!N109</f>
        <v>8000</v>
      </c>
      <c r="Q104" s="27">
        <f>N104/P104</f>
        <v>1.0118750000000001</v>
      </c>
    </row>
    <row r="105" spans="1:17" x14ac:dyDescent="0.35">
      <c r="A105" s="5" t="s">
        <v>30</v>
      </c>
      <c r="B105" s="30">
        <v>144.00795199999999</v>
      </c>
      <c r="C105" s="30">
        <v>216.67156200000002</v>
      </c>
      <c r="D105" s="30">
        <v>291.63490000000002</v>
      </c>
      <c r="E105" s="30">
        <v>238.84664000000004</v>
      </c>
      <c r="F105" s="30">
        <v>276.47867000000002</v>
      </c>
      <c r="G105" s="30">
        <v>109.46150999999999</v>
      </c>
      <c r="H105" s="8">
        <v>60</v>
      </c>
      <c r="I105" s="8">
        <v>215</v>
      </c>
      <c r="J105" s="8">
        <v>209</v>
      </c>
      <c r="K105" s="8">
        <v>185</v>
      </c>
      <c r="L105" s="8">
        <v>165</v>
      </c>
      <c r="M105" s="8">
        <v>138.89876599999988</v>
      </c>
      <c r="N105" s="8">
        <f>SUM(B105:M105)</f>
        <v>2250</v>
      </c>
      <c r="P105" s="8">
        <f>'Budget 2025'!N110</f>
        <v>2399.9999999999995</v>
      </c>
    </row>
    <row r="106" spans="1:17" x14ac:dyDescent="0.35">
      <c r="A106" s="5" t="s">
        <v>57</v>
      </c>
      <c r="B106" s="30">
        <v>410.23883599999988</v>
      </c>
      <c r="C106" s="30">
        <v>366.34674399999994</v>
      </c>
      <c r="D106" s="30">
        <v>418.92814199999998</v>
      </c>
      <c r="E106" s="30">
        <v>215.22142599999995</v>
      </c>
      <c r="F106" s="30">
        <v>277.18131</v>
      </c>
      <c r="G106" s="30">
        <v>240.81111000000004</v>
      </c>
      <c r="H106" s="8">
        <v>180</v>
      </c>
      <c r="I106" s="8">
        <v>500</v>
      </c>
      <c r="J106" s="8">
        <v>463</v>
      </c>
      <c r="K106" s="8">
        <v>440</v>
      </c>
      <c r="L106" s="8">
        <v>420</v>
      </c>
      <c r="M106" s="8">
        <v>418.27243200000004</v>
      </c>
      <c r="N106" s="8">
        <f t="shared" ref="N106:N107" si="32">SUM(B106:M106)</f>
        <v>4350</v>
      </c>
      <c r="P106" s="8">
        <f>'Budget 2025'!N111</f>
        <v>4400</v>
      </c>
    </row>
    <row r="107" spans="1:17" x14ac:dyDescent="0.35">
      <c r="A107" s="5" t="s">
        <v>45</v>
      </c>
      <c r="B107" s="30">
        <v>182.83972800000004</v>
      </c>
      <c r="C107" s="30">
        <v>160.28147999999996</v>
      </c>
      <c r="D107" s="30">
        <v>193.71382</v>
      </c>
      <c r="E107" s="30">
        <v>250.95582000000002</v>
      </c>
      <c r="F107" s="30">
        <v>264.02325999999999</v>
      </c>
      <c r="G107" s="30">
        <v>129.79249999999999</v>
      </c>
      <c r="H107" s="8">
        <v>85</v>
      </c>
      <c r="I107" s="8">
        <v>80</v>
      </c>
      <c r="J107" s="8">
        <v>60</v>
      </c>
      <c r="K107" s="8">
        <v>30</v>
      </c>
      <c r="L107" s="8">
        <v>28</v>
      </c>
      <c r="M107" s="8">
        <v>30.393391999999949</v>
      </c>
      <c r="N107" s="8">
        <f t="shared" si="32"/>
        <v>1495</v>
      </c>
      <c r="P107" s="8">
        <f>'Budget 2025'!N112</f>
        <v>1200</v>
      </c>
    </row>
    <row r="108" spans="1:17" s="2" customFormat="1" x14ac:dyDescent="0.35">
      <c r="A108" s="9" t="s">
        <v>43</v>
      </c>
      <c r="B108" s="11">
        <f t="shared" ref="B108:N108" si="33">IFERROR(B100/B104,0)</f>
        <v>10.501905701663928</v>
      </c>
      <c r="C108" s="11">
        <f t="shared" si="33"/>
        <v>8.9794708327145951</v>
      </c>
      <c r="D108" s="11">
        <f t="shared" si="33"/>
        <v>8.1103490017197863</v>
      </c>
      <c r="E108" s="11">
        <f t="shared" si="33"/>
        <v>9.1228950858552906</v>
      </c>
      <c r="F108" s="11">
        <f t="shared" si="33"/>
        <v>8.7504499468522781</v>
      </c>
      <c r="G108" s="11">
        <f t="shared" si="33"/>
        <v>8.7681352313202847</v>
      </c>
      <c r="H108" s="11">
        <f t="shared" si="33"/>
        <v>11.72</v>
      </c>
      <c r="I108" s="11">
        <f t="shared" si="33"/>
        <v>11.169811320754716</v>
      </c>
      <c r="J108" s="11">
        <f t="shared" si="33"/>
        <v>11.933060109289617</v>
      </c>
      <c r="K108" s="11">
        <f t="shared" si="33"/>
        <v>13.062595419847328</v>
      </c>
      <c r="L108" s="11">
        <f t="shared" si="33"/>
        <v>13.812398042414356</v>
      </c>
      <c r="M108" s="11">
        <f t="shared" si="33"/>
        <v>14.526940795819577</v>
      </c>
      <c r="N108" s="11">
        <f t="shared" si="33"/>
        <v>10.689067312168005</v>
      </c>
      <c r="P108" s="11">
        <f>'Budget 2025'!N113</f>
        <v>11.36875</v>
      </c>
    </row>
    <row r="109" spans="1:17" s="2" customFormat="1" x14ac:dyDescent="0.35">
      <c r="A109" s="9" t="s">
        <v>34</v>
      </c>
      <c r="B109" s="11">
        <f t="shared" ref="B109:N109" si="34">IFERROR(B100/B110,0)</f>
        <v>10.369454160507381</v>
      </c>
      <c r="C109" s="11">
        <f t="shared" si="34"/>
        <v>9.7156790917336799</v>
      </c>
      <c r="D109" s="11">
        <f t="shared" si="34"/>
        <v>10.345828741261522</v>
      </c>
      <c r="E109" s="11">
        <f t="shared" si="34"/>
        <v>9.5165696254649106</v>
      </c>
      <c r="F109" s="11">
        <f t="shared" si="34"/>
        <v>8.8291239450171766</v>
      </c>
      <c r="G109" s="11">
        <f t="shared" si="34"/>
        <v>6.9990442615888693</v>
      </c>
      <c r="H109" s="11">
        <f t="shared" si="34"/>
        <v>9.4751243781094523</v>
      </c>
      <c r="I109" s="11">
        <f t="shared" si="34"/>
        <v>12.333333333333334</v>
      </c>
      <c r="J109" s="11">
        <f t="shared" si="34"/>
        <v>12.131944444444445</v>
      </c>
      <c r="K109" s="11">
        <f t="shared" si="34"/>
        <v>12.222857142857142</v>
      </c>
      <c r="L109" s="11">
        <f t="shared" si="34"/>
        <v>12.095714285714285</v>
      </c>
      <c r="M109" s="11">
        <f t="shared" si="34"/>
        <v>14.46760526563568</v>
      </c>
      <c r="N109" s="11">
        <f t="shared" si="34"/>
        <v>10.732820626643511</v>
      </c>
      <c r="P109" s="11">
        <f>'Budget 2025'!N114</f>
        <v>11.228395061728396</v>
      </c>
    </row>
    <row r="110" spans="1:17" s="2" customFormat="1" x14ac:dyDescent="0.35">
      <c r="A110" s="9" t="s">
        <v>49</v>
      </c>
      <c r="B110" s="10">
        <f>B111+B117</f>
        <v>746.50149999999996</v>
      </c>
      <c r="C110" s="10">
        <f t="shared" ref="C110:N110" si="35">C111+C117</f>
        <v>686.9760399999999</v>
      </c>
      <c r="D110" s="10">
        <f t="shared" si="35"/>
        <v>708.88481999999999</v>
      </c>
      <c r="E110" s="10">
        <f t="shared" si="35"/>
        <v>675.85897</v>
      </c>
      <c r="F110" s="10">
        <f t="shared" si="35"/>
        <v>810.39707999999996</v>
      </c>
      <c r="G110" s="10">
        <f t="shared" si="35"/>
        <v>601.40724</v>
      </c>
      <c r="H110" s="10">
        <f t="shared" si="35"/>
        <v>402</v>
      </c>
      <c r="I110" s="10">
        <f t="shared" si="35"/>
        <v>720</v>
      </c>
      <c r="J110" s="10">
        <f t="shared" si="35"/>
        <v>720</v>
      </c>
      <c r="K110" s="10">
        <f t="shared" si="35"/>
        <v>700</v>
      </c>
      <c r="L110" s="10">
        <f t="shared" si="35"/>
        <v>700</v>
      </c>
      <c r="M110" s="10">
        <f t="shared" si="35"/>
        <v>589.97435000000098</v>
      </c>
      <c r="N110" s="10">
        <f t="shared" si="35"/>
        <v>8062.0000000000009</v>
      </c>
      <c r="P110" s="10">
        <f>'Budget 2025'!N115</f>
        <v>8100</v>
      </c>
    </row>
    <row r="111" spans="1:17" s="2" customFormat="1" x14ac:dyDescent="0.35">
      <c r="A111" s="9" t="s">
        <v>89</v>
      </c>
      <c r="B111" s="10">
        <v>625.84960000000001</v>
      </c>
      <c r="C111" s="10">
        <v>567.95553999999993</v>
      </c>
      <c r="D111" s="10">
        <v>547.06701999999996</v>
      </c>
      <c r="E111" s="10">
        <v>503.71762000000001</v>
      </c>
      <c r="F111" s="10">
        <v>489.63754</v>
      </c>
      <c r="G111" s="10">
        <v>461.79504999999995</v>
      </c>
      <c r="H111" s="10">
        <v>302</v>
      </c>
      <c r="I111" s="10">
        <v>510</v>
      </c>
      <c r="J111" s="10">
        <v>510</v>
      </c>
      <c r="K111" s="10">
        <v>470</v>
      </c>
      <c r="L111" s="10">
        <v>480</v>
      </c>
      <c r="M111" s="10">
        <v>403.977630000001</v>
      </c>
      <c r="N111" s="10">
        <f>SUM(B111:M111)</f>
        <v>5872.0000000000009</v>
      </c>
      <c r="P111" s="10">
        <f>'Budget 2025'!N116</f>
        <v>5560</v>
      </c>
    </row>
    <row r="112" spans="1:17" x14ac:dyDescent="0.35">
      <c r="A112" s="5" t="s">
        <v>60</v>
      </c>
      <c r="B112" s="30">
        <v>6097.4966620771311</v>
      </c>
      <c r="C112" s="30">
        <v>6119.1855987285335</v>
      </c>
      <c r="D112" s="30">
        <v>6220.8649019951563</v>
      </c>
      <c r="E112" s="30">
        <v>6062.7438749011899</v>
      </c>
      <c r="F112" s="30">
        <v>6140.1294179612487</v>
      </c>
      <c r="G112" s="30">
        <v>6191.6877228706289</v>
      </c>
      <c r="H112" s="8">
        <v>6281</v>
      </c>
      <c r="I112" s="8">
        <v>6269.0811084830793</v>
      </c>
      <c r="J112" s="8">
        <v>6201.9084735295401</v>
      </c>
      <c r="K112" s="8">
        <v>6161.6014710710824</v>
      </c>
      <c r="L112" s="8">
        <v>6136.993378414697</v>
      </c>
      <c r="M112" s="8">
        <v>6137.6231929260493</v>
      </c>
      <c r="N112" s="8">
        <f>SUMPRODUCT(B112:M112,$B$111:$M$111)/SUM($B$111:$M$111)</f>
        <v>6163.598335044293</v>
      </c>
      <c r="P112" s="8">
        <f>'Budget 2025'!N117</f>
        <v>5915.2264206877153</v>
      </c>
    </row>
    <row r="113" spans="1:17" x14ac:dyDescent="0.35">
      <c r="A113" s="5" t="s">
        <v>22</v>
      </c>
      <c r="B113" s="31">
        <v>0.54476856174772381</v>
      </c>
      <c r="C113" s="31">
        <v>0.56823755577160673</v>
      </c>
      <c r="D113" s="31">
        <v>0.47738051823407301</v>
      </c>
      <c r="E113" s="31">
        <v>0.62875019916689101</v>
      </c>
      <c r="F113" s="31">
        <v>0.59200945175937258</v>
      </c>
      <c r="G113" s="31">
        <v>0.56238910213552795</v>
      </c>
      <c r="H113" s="7">
        <v>0.52861192784528288</v>
      </c>
      <c r="I113" s="7">
        <v>0.52030925611921086</v>
      </c>
      <c r="J113" s="7">
        <v>0.52863354108588145</v>
      </c>
      <c r="K113" s="7">
        <v>0.56473801918592759</v>
      </c>
      <c r="L113" s="7">
        <v>0.54742334427629069</v>
      </c>
      <c r="M113" s="7">
        <v>0.51719992435177942</v>
      </c>
      <c r="N113" s="7">
        <f t="shared" ref="N113:N116" si="36">SUMPRODUCT(B113:M113,$B$111:$M$111)/SUM($B$111:$M$111)</f>
        <v>0.54885149925071552</v>
      </c>
      <c r="P113" s="7">
        <f>'Budget 2025'!N118</f>
        <v>0.57720242104926189</v>
      </c>
    </row>
    <row r="114" spans="1:17" x14ac:dyDescent="0.35">
      <c r="A114" s="5" t="s">
        <v>23</v>
      </c>
      <c r="B114" s="31">
        <v>4.6247036218938993</v>
      </c>
      <c r="C114" s="31">
        <v>4.6317549926095838</v>
      </c>
      <c r="D114" s="31">
        <v>3.9165292789903665</v>
      </c>
      <c r="E114" s="31">
        <v>4.3086556847699526</v>
      </c>
      <c r="F114" s="31">
        <v>4.0161303834217623</v>
      </c>
      <c r="G114" s="31">
        <v>3.8465269745029387</v>
      </c>
      <c r="H114" s="7">
        <v>3.34</v>
      </c>
      <c r="I114" s="7">
        <v>3.6586829371322196</v>
      </c>
      <c r="J114" s="7">
        <v>3.6632235700214433</v>
      </c>
      <c r="K114" s="7">
        <v>3.7697007865001648</v>
      </c>
      <c r="L114" s="7">
        <v>3.9355605769700537</v>
      </c>
      <c r="M114" s="7">
        <v>3.9199886907815102</v>
      </c>
      <c r="N114" s="7">
        <f>(SUMPRODUCT(B114:M114,$B$111:$M$111)/SUM($B$111:$M$111))</f>
        <v>4.0136194537024066</v>
      </c>
      <c r="P114" s="7">
        <f>'Budget 2025'!N119</f>
        <v>4.8848465793008069</v>
      </c>
    </row>
    <row r="115" spans="1:17" x14ac:dyDescent="0.35">
      <c r="A115" s="5" t="s">
        <v>38</v>
      </c>
      <c r="B115" s="31">
        <v>10.459827963863422</v>
      </c>
      <c r="C115" s="31">
        <v>10.573971921117533</v>
      </c>
      <c r="D115" s="31">
        <v>10.575172994270675</v>
      </c>
      <c r="E115" s="31">
        <v>11.111197834085232</v>
      </c>
      <c r="F115" s="31">
        <v>11.08589093233836</v>
      </c>
      <c r="G115" s="31">
        <v>10.970758577822915</v>
      </c>
      <c r="H115" s="7">
        <v>10.88</v>
      </c>
      <c r="I115" s="7">
        <v>10.813135701712572</v>
      </c>
      <c r="J115" s="7">
        <v>10.992614543198467</v>
      </c>
      <c r="K115" s="7">
        <v>10.979614745966092</v>
      </c>
      <c r="L115" s="7">
        <v>11.012068969043611</v>
      </c>
      <c r="M115" s="7">
        <v>11.080763406738527</v>
      </c>
      <c r="N115" s="7">
        <f t="shared" si="36"/>
        <v>10.857911300246473</v>
      </c>
      <c r="P115" s="7">
        <f>'Budget 2025'!N120</f>
        <v>11.469446555956317</v>
      </c>
    </row>
    <row r="116" spans="1:17" x14ac:dyDescent="0.35">
      <c r="A116" s="5" t="s">
        <v>25</v>
      </c>
      <c r="B116" s="31">
        <v>16.139047791846501</v>
      </c>
      <c r="C116" s="31">
        <v>16.036590798701749</v>
      </c>
      <c r="D116" s="31">
        <v>15.504113514763937</v>
      </c>
      <c r="E116" s="31">
        <v>16.877892815802095</v>
      </c>
      <c r="F116" s="31">
        <v>16.108435921403331</v>
      </c>
      <c r="G116" s="31">
        <v>15.28311152842889</v>
      </c>
      <c r="H116" s="7">
        <v>14.64</v>
      </c>
      <c r="I116" s="7">
        <v>14.593721586162815</v>
      </c>
      <c r="J116" s="7">
        <v>15.318724328838535</v>
      </c>
      <c r="K116" s="7">
        <v>15.545570646627352</v>
      </c>
      <c r="L116" s="7">
        <v>15.709039437245734</v>
      </c>
      <c r="M116" s="7">
        <v>15.751914979170252</v>
      </c>
      <c r="N116" s="7">
        <f t="shared" si="36"/>
        <v>15.671650952268124</v>
      </c>
      <c r="P116" s="7">
        <f>'Budget 2025'!N121</f>
        <v>15.241913451679135</v>
      </c>
    </row>
    <row r="117" spans="1:17" s="2" customFormat="1" x14ac:dyDescent="0.35">
      <c r="A117" s="9" t="s">
        <v>90</v>
      </c>
      <c r="B117" s="10">
        <v>120.6519</v>
      </c>
      <c r="C117" s="10">
        <v>119.02050000000001</v>
      </c>
      <c r="D117" s="10">
        <v>161.81780000000003</v>
      </c>
      <c r="E117" s="10">
        <v>172.14134999999999</v>
      </c>
      <c r="F117" s="10">
        <v>320.75953999999996</v>
      </c>
      <c r="G117" s="10">
        <v>139.61219</v>
      </c>
      <c r="H117" s="10">
        <v>100</v>
      </c>
      <c r="I117" s="10">
        <v>210</v>
      </c>
      <c r="J117" s="10">
        <v>210</v>
      </c>
      <c r="K117" s="10">
        <v>230</v>
      </c>
      <c r="L117" s="10">
        <v>220</v>
      </c>
      <c r="M117" s="10">
        <v>185.99672000000001</v>
      </c>
      <c r="N117" s="10">
        <f>SUM(B117:M117)</f>
        <v>2190</v>
      </c>
      <c r="P117" s="10">
        <f>'Budget 2025'!N122</f>
        <v>2540</v>
      </c>
    </row>
    <row r="118" spans="1:17" x14ac:dyDescent="0.35">
      <c r="A118" s="5" t="s">
        <v>60</v>
      </c>
      <c r="B118" s="30">
        <v>6099.4690130578811</v>
      </c>
      <c r="C118" s="30">
        <v>6066.5598806413072</v>
      </c>
      <c r="D118" s="30">
        <v>6046.9118208238369</v>
      </c>
      <c r="E118" s="30">
        <v>6012.6397188048568</v>
      </c>
      <c r="F118" s="30">
        <v>6083.6959776372842</v>
      </c>
      <c r="G118" s="30">
        <v>6162.7206873050427</v>
      </c>
      <c r="H118" s="8">
        <v>6185</v>
      </c>
      <c r="I118" s="8">
        <v>6154.0172218013959</v>
      </c>
      <c r="J118" s="8">
        <v>6129.8603842553639</v>
      </c>
      <c r="K118" s="8">
        <v>6090.9755461571876</v>
      </c>
      <c r="L118" s="8">
        <v>6085.8513185109514</v>
      </c>
      <c r="M118" s="8">
        <v>6077.9452199846937</v>
      </c>
      <c r="N118" s="8">
        <f>SUMPRODUCT(B118:M118,$B$117:$M$117)/SUM($B$117:$M$117)</f>
        <v>6096.6564815551974</v>
      </c>
      <c r="P118" s="8">
        <f>'Budget 2025'!N123</f>
        <v>5792.8232136227871</v>
      </c>
    </row>
    <row r="119" spans="1:17" x14ac:dyDescent="0.35">
      <c r="A119" s="5" t="s">
        <v>22</v>
      </c>
      <c r="B119" s="31">
        <v>1.9961279544590722</v>
      </c>
      <c r="C119" s="31">
        <v>1.9949662635342156</v>
      </c>
      <c r="D119" s="31">
        <v>1.9373569700124953</v>
      </c>
      <c r="E119" s="31">
        <v>1.9317556589393237</v>
      </c>
      <c r="F119" s="31">
        <v>1.8618285371717795</v>
      </c>
      <c r="G119" s="31">
        <v>1.9218312905141084</v>
      </c>
      <c r="H119" s="7">
        <v>1.87</v>
      </c>
      <c r="I119" s="7">
        <v>1.9045667911917428</v>
      </c>
      <c r="J119" s="7">
        <v>1.9023461938240378</v>
      </c>
      <c r="K119" s="7">
        <v>1.9368557108379119</v>
      </c>
      <c r="L119" s="7">
        <v>1.9274229830832261</v>
      </c>
      <c r="M119" s="7">
        <v>1.8978212694645968</v>
      </c>
      <c r="N119" s="7">
        <f t="shared" ref="N119:N122" si="37">SUMPRODUCT(B119:M119,$B$117:$M$117)/SUM($B$117:$M$117)</f>
        <v>1.9172478769552079</v>
      </c>
      <c r="P119" s="7">
        <f>'Budget 2025'!N124</f>
        <v>1.7606128453673298</v>
      </c>
    </row>
    <row r="120" spans="1:17" x14ac:dyDescent="0.35">
      <c r="A120" s="5" t="s">
        <v>23</v>
      </c>
      <c r="B120" s="31">
        <v>4.8307037060507492</v>
      </c>
      <c r="C120" s="31">
        <v>4.7802382800980334</v>
      </c>
      <c r="D120" s="31">
        <v>6.3090045272673523</v>
      </c>
      <c r="E120" s="31">
        <v>6.1221153570451898</v>
      </c>
      <c r="F120" s="31">
        <v>6.1220704658009568</v>
      </c>
      <c r="G120" s="31">
        <v>5.6906471465025783</v>
      </c>
      <c r="H120" s="7">
        <v>5.19</v>
      </c>
      <c r="I120" s="7">
        <v>5.4517865395468634</v>
      </c>
      <c r="J120" s="7">
        <v>5.4710665845321937</v>
      </c>
      <c r="K120" s="7">
        <v>5.5443399102377224</v>
      </c>
      <c r="L120" s="7">
        <v>5.5384993282277426</v>
      </c>
      <c r="M120" s="7">
        <v>5.5695595177561898</v>
      </c>
      <c r="N120" s="7">
        <f>(SUMPRODUCT(B120:M120,$B$117:$M$117)/SUM($B$117:$M$117))</f>
        <v>5.6288317683861182</v>
      </c>
      <c r="P120" s="7">
        <f>'Budget 2025'!N125</f>
        <v>5.7572096518405811</v>
      </c>
    </row>
    <row r="121" spans="1:17" x14ac:dyDescent="0.35">
      <c r="A121" s="5" t="s">
        <v>38</v>
      </c>
      <c r="B121" s="31">
        <v>10.559011156017789</v>
      </c>
      <c r="C121" s="31">
        <v>11.003026553086062</v>
      </c>
      <c r="D121" s="31">
        <v>10.077375752603418</v>
      </c>
      <c r="E121" s="31">
        <v>10.296401380035585</v>
      </c>
      <c r="F121" s="31">
        <v>10.237662600735755</v>
      </c>
      <c r="G121" s="31">
        <v>9.8856279118987569</v>
      </c>
      <c r="H121" s="7">
        <v>10.029999999999999</v>
      </c>
      <c r="I121" s="7">
        <v>10.19019493253222</v>
      </c>
      <c r="J121" s="7">
        <v>10.206569267206486</v>
      </c>
      <c r="K121" s="7">
        <v>10.261774976561586</v>
      </c>
      <c r="L121" s="7">
        <v>10.258635378370965</v>
      </c>
      <c r="M121" s="7">
        <v>10.314879771095256</v>
      </c>
      <c r="N121" s="7">
        <f t="shared" si="37"/>
        <v>10.26147493649481</v>
      </c>
      <c r="P121" s="7">
        <f>'Budget 2025'!N126</f>
        <v>10.736864071482877</v>
      </c>
    </row>
    <row r="122" spans="1:17" x14ac:dyDescent="0.35">
      <c r="A122" s="5" t="s">
        <v>25</v>
      </c>
      <c r="B122" s="31">
        <v>15.541759210005772</v>
      </c>
      <c r="C122" s="31">
        <v>16.161000976304042</v>
      </c>
      <c r="D122" s="31">
        <v>15.264434858668292</v>
      </c>
      <c r="E122" s="31">
        <v>15.426747091382191</v>
      </c>
      <c r="F122" s="31">
        <v>15.278628657581015</v>
      </c>
      <c r="G122" s="31">
        <v>14.392570787951549</v>
      </c>
      <c r="H122" s="7">
        <v>13.81</v>
      </c>
      <c r="I122" s="7">
        <v>14.003405560963397</v>
      </c>
      <c r="J122" s="7">
        <v>14.348039317058735</v>
      </c>
      <c r="K122" s="7">
        <v>14.867714596548065</v>
      </c>
      <c r="L122" s="7">
        <v>14.949225817863882</v>
      </c>
      <c r="M122" s="7">
        <v>15.039234268405384</v>
      </c>
      <c r="N122" s="7">
        <f t="shared" si="37"/>
        <v>14.92003263308229</v>
      </c>
      <c r="P122" s="7">
        <f>'Budget 2025'!N127</f>
        <v>14.551758700752847</v>
      </c>
    </row>
    <row r="124" spans="1:17" x14ac:dyDescent="0.35">
      <c r="A124" s="6" t="s">
        <v>44</v>
      </c>
      <c r="B124" s="6" t="s">
        <v>1</v>
      </c>
      <c r="C124" s="6" t="s">
        <v>2</v>
      </c>
      <c r="D124" s="6" t="s">
        <v>3</v>
      </c>
      <c r="E124" s="6" t="s">
        <v>4</v>
      </c>
      <c r="F124" s="6" t="s">
        <v>5</v>
      </c>
      <c r="G124" s="6" t="s">
        <v>6</v>
      </c>
      <c r="H124" s="6" t="s">
        <v>7</v>
      </c>
      <c r="I124" s="6" t="s">
        <v>8</v>
      </c>
      <c r="J124" s="6" t="s">
        <v>9</v>
      </c>
      <c r="K124" s="6" t="s">
        <v>10</v>
      </c>
      <c r="L124" s="6" t="s">
        <v>11</v>
      </c>
      <c r="M124" s="6" t="s">
        <v>12</v>
      </c>
      <c r="N124" s="6" t="s">
        <v>13</v>
      </c>
      <c r="O124" s="4"/>
      <c r="P124" s="6" t="s">
        <v>84</v>
      </c>
    </row>
    <row r="125" spans="1:17" s="2" customFormat="1" x14ac:dyDescent="0.35">
      <c r="A125" s="9" t="s">
        <v>14</v>
      </c>
      <c r="B125" s="10">
        <f t="shared" ref="B125:N125" si="38">SUM(B126:B126)</f>
        <v>0</v>
      </c>
      <c r="C125" s="10">
        <f t="shared" si="38"/>
        <v>0</v>
      </c>
      <c r="D125" s="10">
        <f t="shared" si="38"/>
        <v>0</v>
      </c>
      <c r="E125" s="10">
        <f t="shared" si="38"/>
        <v>0</v>
      </c>
      <c r="F125" s="10">
        <f t="shared" si="38"/>
        <v>0</v>
      </c>
      <c r="G125" s="10">
        <f t="shared" si="38"/>
        <v>47.864999999999981</v>
      </c>
      <c r="H125" s="10">
        <f t="shared" si="38"/>
        <v>104.35</v>
      </c>
      <c r="I125" s="10">
        <f t="shared" si="38"/>
        <v>343</v>
      </c>
      <c r="J125" s="10">
        <f t="shared" si="38"/>
        <v>394.03399999999999</v>
      </c>
      <c r="K125" s="10">
        <f t="shared" si="38"/>
        <v>442.03399999999999</v>
      </c>
      <c r="L125" s="10">
        <f t="shared" si="38"/>
        <v>428.03399999999999</v>
      </c>
      <c r="M125" s="10">
        <f t="shared" si="38"/>
        <v>359.68299999999999</v>
      </c>
      <c r="N125" s="10">
        <f t="shared" si="38"/>
        <v>2119</v>
      </c>
      <c r="P125" s="10">
        <f>'Budget 2025'!N130</f>
        <v>5038.6080002984163</v>
      </c>
      <c r="Q125" s="27">
        <f>N125/P125</f>
        <v>0.42055266055118801</v>
      </c>
    </row>
    <row r="126" spans="1:17" x14ac:dyDescent="0.35">
      <c r="A126" s="5" t="s">
        <v>69</v>
      </c>
      <c r="B126" s="30">
        <v>0</v>
      </c>
      <c r="C126" s="30">
        <v>0</v>
      </c>
      <c r="D126" s="30">
        <v>0</v>
      </c>
      <c r="E126" s="30">
        <v>0</v>
      </c>
      <c r="F126" s="30">
        <v>0</v>
      </c>
      <c r="G126" s="30">
        <v>47.864999999999981</v>
      </c>
      <c r="H126" s="8">
        <v>104.35</v>
      </c>
      <c r="I126" s="8">
        <v>343</v>
      </c>
      <c r="J126" s="8">
        <v>394.03399999999999</v>
      </c>
      <c r="K126" s="8">
        <v>442.03399999999999</v>
      </c>
      <c r="L126" s="8">
        <v>428.03399999999999</v>
      </c>
      <c r="M126" s="8">
        <v>359.68299999999999</v>
      </c>
      <c r="N126" s="8">
        <f t="shared" ref="N126:N128" si="39">SUM(B126:M126)</f>
        <v>2119</v>
      </c>
      <c r="P126" s="8">
        <f>'Budget 2025'!N131</f>
        <v>5038.6080002984163</v>
      </c>
    </row>
    <row r="127" spans="1:17" s="2" customFormat="1" x14ac:dyDescent="0.35">
      <c r="A127" s="9" t="s">
        <v>17</v>
      </c>
      <c r="B127" s="10">
        <f>SUM(B128:B128)</f>
        <v>0</v>
      </c>
      <c r="C127" s="10">
        <f t="shared" ref="C127:M127" si="40">SUM(C128:C128)</f>
        <v>0</v>
      </c>
      <c r="D127" s="10">
        <f t="shared" si="40"/>
        <v>0</v>
      </c>
      <c r="E127" s="10">
        <f t="shared" si="40"/>
        <v>0</v>
      </c>
      <c r="F127" s="10">
        <f t="shared" si="40"/>
        <v>0</v>
      </c>
      <c r="G127" s="10">
        <f t="shared" si="40"/>
        <v>0</v>
      </c>
      <c r="H127" s="10">
        <f t="shared" si="40"/>
        <v>0</v>
      </c>
      <c r="I127" s="10">
        <f t="shared" si="40"/>
        <v>0</v>
      </c>
      <c r="J127" s="10">
        <f t="shared" si="40"/>
        <v>26</v>
      </c>
      <c r="K127" s="10">
        <f t="shared" si="40"/>
        <v>59</v>
      </c>
      <c r="L127" s="10">
        <f t="shared" si="40"/>
        <v>57</v>
      </c>
      <c r="M127" s="10">
        <f t="shared" si="40"/>
        <v>58</v>
      </c>
      <c r="N127" s="10">
        <f t="shared" si="39"/>
        <v>200</v>
      </c>
      <c r="P127" s="10">
        <f>'Budget 2025'!N132</f>
        <v>448</v>
      </c>
      <c r="Q127" s="27">
        <f>N127/P127</f>
        <v>0.44642857142857145</v>
      </c>
    </row>
    <row r="128" spans="1:17" x14ac:dyDescent="0.35">
      <c r="A128" s="5" t="s">
        <v>69</v>
      </c>
      <c r="B128" s="30">
        <v>0</v>
      </c>
      <c r="C128" s="30">
        <v>0</v>
      </c>
      <c r="D128" s="30">
        <v>0</v>
      </c>
      <c r="E128" s="30">
        <v>0</v>
      </c>
      <c r="F128" s="30">
        <v>0</v>
      </c>
      <c r="G128" s="30">
        <v>0</v>
      </c>
      <c r="H128" s="8">
        <v>0</v>
      </c>
      <c r="I128" s="8">
        <v>0</v>
      </c>
      <c r="J128" s="8">
        <v>26</v>
      </c>
      <c r="K128" s="8">
        <v>59</v>
      </c>
      <c r="L128" s="8">
        <v>57</v>
      </c>
      <c r="M128" s="8">
        <v>58</v>
      </c>
      <c r="N128" s="8">
        <f t="shared" si="39"/>
        <v>200</v>
      </c>
      <c r="P128" s="8">
        <f>'Budget 2025'!N133</f>
        <v>448</v>
      </c>
    </row>
    <row r="129" spans="1:17" s="2" customFormat="1" x14ac:dyDescent="0.35">
      <c r="A129" s="9" t="s">
        <v>43</v>
      </c>
      <c r="B129" s="11">
        <f t="shared" ref="B129:M129" si="41">IFERROR(B125/B127,0)</f>
        <v>0</v>
      </c>
      <c r="C129" s="11">
        <f t="shared" si="41"/>
        <v>0</v>
      </c>
      <c r="D129" s="11">
        <f t="shared" si="41"/>
        <v>0</v>
      </c>
      <c r="E129" s="11">
        <f t="shared" si="41"/>
        <v>0</v>
      </c>
      <c r="F129" s="11">
        <f t="shared" si="41"/>
        <v>0</v>
      </c>
      <c r="G129" s="11">
        <f t="shared" si="41"/>
        <v>0</v>
      </c>
      <c r="H129" s="11">
        <f t="shared" si="41"/>
        <v>0</v>
      </c>
      <c r="I129" s="11">
        <f t="shared" si="41"/>
        <v>0</v>
      </c>
      <c r="J129" s="11">
        <f t="shared" si="41"/>
        <v>15.155153846153846</v>
      </c>
      <c r="K129" s="11">
        <f t="shared" si="41"/>
        <v>7.4921016949152541</v>
      </c>
      <c r="L129" s="11">
        <f t="shared" si="41"/>
        <v>7.5093684210526312</v>
      </c>
      <c r="M129" s="11">
        <f t="shared" si="41"/>
        <v>6.2014310344827583</v>
      </c>
      <c r="N129" s="11">
        <f>N125/N127</f>
        <v>10.595000000000001</v>
      </c>
      <c r="P129" s="11">
        <f>'Budget 2025'!N134</f>
        <v>11.246892857808964</v>
      </c>
    </row>
    <row r="130" spans="1:17" s="2" customFormat="1" x14ac:dyDescent="0.35">
      <c r="A130" s="9" t="s">
        <v>34</v>
      </c>
      <c r="B130" s="11">
        <f t="shared" ref="B130:M130" si="42">IFERROR(B125/B132,0)</f>
        <v>0</v>
      </c>
      <c r="C130" s="11">
        <f t="shared" si="42"/>
        <v>0</v>
      </c>
      <c r="D130" s="11">
        <f t="shared" si="42"/>
        <v>0</v>
      </c>
      <c r="E130" s="11">
        <f t="shared" si="42"/>
        <v>0</v>
      </c>
      <c r="F130" s="11">
        <f t="shared" si="42"/>
        <v>0</v>
      </c>
      <c r="G130" s="11">
        <f t="shared" si="42"/>
        <v>0</v>
      </c>
      <c r="H130" s="11">
        <f t="shared" si="42"/>
        <v>0</v>
      </c>
      <c r="I130" s="11">
        <f t="shared" si="42"/>
        <v>0</v>
      </c>
      <c r="J130" s="11">
        <f t="shared" si="42"/>
        <v>17.910636363636364</v>
      </c>
      <c r="K130" s="11">
        <f t="shared" si="42"/>
        <v>7.8934642857142858</v>
      </c>
      <c r="L130" s="11">
        <f t="shared" si="42"/>
        <v>7.7824363636363634</v>
      </c>
      <c r="M130" s="11">
        <f t="shared" si="42"/>
        <v>5.9947166666666662</v>
      </c>
      <c r="N130" s="11">
        <f>N125/N132</f>
        <v>10.979274611398964</v>
      </c>
      <c r="P130" s="11">
        <f>'Budget 2025'!N135</f>
        <v>11.63650808383006</v>
      </c>
    </row>
    <row r="131" spans="1:17" s="2" customFormat="1" x14ac:dyDescent="0.35">
      <c r="A131" s="9" t="s">
        <v>46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7.5</v>
      </c>
      <c r="J131" s="10">
        <v>36.700000000000003</v>
      </c>
      <c r="K131" s="10">
        <v>68</v>
      </c>
      <c r="L131" s="10">
        <v>44.2</v>
      </c>
      <c r="M131" s="10">
        <v>66.099999999999994</v>
      </c>
      <c r="N131" s="10">
        <f>SUM(B131:M131)</f>
        <v>222.5</v>
      </c>
      <c r="P131" s="10">
        <f>'Budget 2025'!N136</f>
        <v>430.7</v>
      </c>
    </row>
    <row r="132" spans="1:17" s="2" customFormat="1" x14ac:dyDescent="0.35">
      <c r="A132" s="9" t="s">
        <v>50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22</v>
      </c>
      <c r="K132" s="10">
        <v>56</v>
      </c>
      <c r="L132" s="10">
        <v>55</v>
      </c>
      <c r="M132" s="10">
        <v>60</v>
      </c>
      <c r="N132" s="10">
        <f>SUM(B132:M132)</f>
        <v>193</v>
      </c>
      <c r="P132" s="10">
        <f>'Budget 2025'!N137</f>
        <v>433</v>
      </c>
    </row>
    <row r="133" spans="1:17" x14ac:dyDescent="0.35">
      <c r="A133" s="5" t="s">
        <v>60</v>
      </c>
      <c r="B133" s="30">
        <v>0</v>
      </c>
      <c r="C133" s="30">
        <v>0</v>
      </c>
      <c r="D133" s="30">
        <v>0</v>
      </c>
      <c r="E133" s="30">
        <v>0</v>
      </c>
      <c r="F133" s="30">
        <v>0</v>
      </c>
      <c r="G133" s="30">
        <v>0</v>
      </c>
      <c r="H133" s="8">
        <v>0</v>
      </c>
      <c r="I133" s="8">
        <v>0</v>
      </c>
      <c r="J133" s="8">
        <v>4432.8755135949605</v>
      </c>
      <c r="K133" s="8">
        <v>4380.2803123296153</v>
      </c>
      <c r="L133" s="8">
        <v>4389.5883815118659</v>
      </c>
      <c r="M133" s="8">
        <v>4258.127827766808</v>
      </c>
      <c r="N133" s="8">
        <f>SUMPRODUCT(B133:M133,$B$132:$M$132)/SUM($B$132:$M$132)</f>
        <v>4350.953313153931</v>
      </c>
      <c r="P133" s="8">
        <f>'Budget 2025'!N138</f>
        <v>4423.7945910311291</v>
      </c>
    </row>
    <row r="134" spans="1:17" x14ac:dyDescent="0.35">
      <c r="A134" s="5" t="s">
        <v>22</v>
      </c>
      <c r="B134" s="30">
        <v>0</v>
      </c>
      <c r="C134" s="30">
        <v>0</v>
      </c>
      <c r="D134" s="30">
        <v>0</v>
      </c>
      <c r="E134" s="30">
        <v>0</v>
      </c>
      <c r="F134" s="30">
        <v>0</v>
      </c>
      <c r="G134" s="30">
        <v>0</v>
      </c>
      <c r="H134" s="7">
        <v>0</v>
      </c>
      <c r="I134" s="7">
        <v>0</v>
      </c>
      <c r="J134" s="7">
        <v>0.42589620091698116</v>
      </c>
      <c r="K134" s="7">
        <v>0.39214311815833125</v>
      </c>
      <c r="L134" s="7">
        <v>0.38832503871255264</v>
      </c>
      <c r="M134" s="7">
        <v>0.32216667917072772</v>
      </c>
      <c r="N134" s="15">
        <f t="shared" ref="N134:N137" si="43">SUMPRODUCT(B134:M134,$B$132:$M$132)/SUM($B$132:$M$132)</f>
        <v>0.37314823272784553</v>
      </c>
      <c r="P134" s="7">
        <f>'Budget 2025'!N139</f>
        <v>0.36898824350858472</v>
      </c>
    </row>
    <row r="135" spans="1:17" x14ac:dyDescent="0.35">
      <c r="A135" s="5" t="s">
        <v>23</v>
      </c>
      <c r="B135" s="30">
        <v>0</v>
      </c>
      <c r="C135" s="30">
        <v>0</v>
      </c>
      <c r="D135" s="30">
        <v>0</v>
      </c>
      <c r="E135" s="30">
        <v>0</v>
      </c>
      <c r="F135" s="30">
        <v>0</v>
      </c>
      <c r="G135" s="30">
        <v>0</v>
      </c>
      <c r="H135" s="7">
        <v>0</v>
      </c>
      <c r="I135" s="7">
        <v>0</v>
      </c>
      <c r="J135" s="7">
        <v>4.8164646593450531</v>
      </c>
      <c r="K135" s="7">
        <v>5.5125069655646994</v>
      </c>
      <c r="L135" s="7">
        <v>5.0819750404427353</v>
      </c>
      <c r="M135" s="7">
        <v>5.3704318480311368</v>
      </c>
      <c r="N135" s="15">
        <f t="shared" si="43"/>
        <v>5.2663064802250412</v>
      </c>
      <c r="P135" s="7">
        <f>'Budget 2025'!N140</f>
        <v>4.4323109091173567</v>
      </c>
    </row>
    <row r="136" spans="1:17" x14ac:dyDescent="0.35">
      <c r="A136" s="5" t="s">
        <v>38</v>
      </c>
      <c r="B136" s="30">
        <v>0</v>
      </c>
      <c r="C136" s="30">
        <v>0</v>
      </c>
      <c r="D136" s="30">
        <v>0</v>
      </c>
      <c r="E136" s="30">
        <v>0</v>
      </c>
      <c r="F136" s="30">
        <v>0</v>
      </c>
      <c r="G136" s="30">
        <v>0</v>
      </c>
      <c r="H136" s="7">
        <v>0</v>
      </c>
      <c r="I136" s="7">
        <v>0</v>
      </c>
      <c r="J136" s="7">
        <v>16.917822881871093</v>
      </c>
      <c r="K136" s="7">
        <v>16.565185582655097</v>
      </c>
      <c r="L136" s="7">
        <v>16.450757235952526</v>
      </c>
      <c r="M136" s="7">
        <v>15.568234572735596</v>
      </c>
      <c r="N136" s="15">
        <f t="shared" si="43"/>
        <v>16.26284050969624</v>
      </c>
      <c r="P136" s="7">
        <f>'Budget 2025'!N141</f>
        <v>16.92589236972162</v>
      </c>
    </row>
    <row r="137" spans="1:17" x14ac:dyDescent="0.35">
      <c r="A137" s="5" t="s">
        <v>25</v>
      </c>
      <c r="B137" s="30">
        <v>0</v>
      </c>
      <c r="C137" s="30">
        <v>0</v>
      </c>
      <c r="D137" s="30">
        <v>0</v>
      </c>
      <c r="E137" s="30">
        <v>0</v>
      </c>
      <c r="F137" s="30">
        <v>0</v>
      </c>
      <c r="G137" s="30">
        <v>0</v>
      </c>
      <c r="H137" s="7">
        <v>0</v>
      </c>
      <c r="I137" s="7">
        <v>0</v>
      </c>
      <c r="J137" s="7">
        <v>29.712125382556522</v>
      </c>
      <c r="K137" s="7">
        <v>30.393887037771364</v>
      </c>
      <c r="L137" s="7">
        <v>30.274660478416536</v>
      </c>
      <c r="M137" s="7">
        <v>29.424757489545357</v>
      </c>
      <c r="N137" s="15">
        <f t="shared" si="43"/>
        <v>29.98091299594337</v>
      </c>
      <c r="P137" s="7">
        <f>'Budget 2025'!N142</f>
        <v>30.236602375317773</v>
      </c>
    </row>
    <row r="139" spans="1:17" x14ac:dyDescent="0.35">
      <c r="A139" s="6" t="s">
        <v>52</v>
      </c>
      <c r="B139" s="6" t="s">
        <v>1</v>
      </c>
      <c r="C139" s="6" t="s">
        <v>2</v>
      </c>
      <c r="D139" s="6" t="s">
        <v>3</v>
      </c>
      <c r="E139" s="6" t="s">
        <v>4</v>
      </c>
      <c r="F139" s="6" t="s">
        <v>5</v>
      </c>
      <c r="G139" s="6" t="s">
        <v>6</v>
      </c>
      <c r="H139" s="6" t="s">
        <v>7</v>
      </c>
      <c r="I139" s="6" t="s">
        <v>8</v>
      </c>
      <c r="J139" s="6" t="s">
        <v>9</v>
      </c>
      <c r="K139" s="6" t="s">
        <v>10</v>
      </c>
      <c r="L139" s="6" t="s">
        <v>11</v>
      </c>
      <c r="M139" s="6" t="s">
        <v>12</v>
      </c>
      <c r="N139" s="6" t="s">
        <v>13</v>
      </c>
      <c r="O139" s="4"/>
      <c r="P139" s="6" t="s">
        <v>84</v>
      </c>
    </row>
    <row r="140" spans="1:17" x14ac:dyDescent="0.35">
      <c r="A140" s="9" t="s">
        <v>14</v>
      </c>
      <c r="B140" s="10">
        <f>B141</f>
        <v>534.77292739999996</v>
      </c>
      <c r="C140" s="10">
        <f t="shared" ref="C140:M140" si="44">C141</f>
        <v>568.32123179999974</v>
      </c>
      <c r="D140" s="10">
        <f t="shared" si="44"/>
        <v>598.84629849999999</v>
      </c>
      <c r="E140" s="10">
        <f t="shared" si="44"/>
        <v>615.73748850000004</v>
      </c>
      <c r="F140" s="10">
        <f t="shared" si="44"/>
        <v>586.95212330000004</v>
      </c>
      <c r="G140" s="10">
        <f t="shared" si="44"/>
        <v>712.28874019999898</v>
      </c>
      <c r="H140" s="10">
        <f t="shared" si="44"/>
        <v>785</v>
      </c>
      <c r="I140" s="10">
        <f t="shared" si="44"/>
        <v>985</v>
      </c>
      <c r="J140" s="10">
        <f t="shared" si="44"/>
        <v>975</v>
      </c>
      <c r="K140" s="10">
        <f t="shared" si="44"/>
        <v>875</v>
      </c>
      <c r="L140" s="10">
        <f t="shared" si="44"/>
        <v>730</v>
      </c>
      <c r="M140" s="10">
        <f t="shared" si="44"/>
        <v>783.08119030000125</v>
      </c>
      <c r="N140" s="10">
        <f>SUM(B140:M140)</f>
        <v>8750</v>
      </c>
      <c r="O140" s="2"/>
      <c r="P140" s="10">
        <f>'Budget 2025'!N145</f>
        <v>8500</v>
      </c>
      <c r="Q140" s="27">
        <f>N140/P140</f>
        <v>1.0294117647058822</v>
      </c>
    </row>
    <row r="141" spans="1:17" x14ac:dyDescent="0.35">
      <c r="A141" s="5" t="s">
        <v>71</v>
      </c>
      <c r="B141" s="30">
        <v>534.77292739999996</v>
      </c>
      <c r="C141" s="30">
        <v>568.32123179999974</v>
      </c>
      <c r="D141" s="30">
        <v>598.84629849999999</v>
      </c>
      <c r="E141" s="30">
        <v>615.73748850000004</v>
      </c>
      <c r="F141" s="30">
        <v>586.95212330000004</v>
      </c>
      <c r="G141" s="30">
        <v>712.28874019999898</v>
      </c>
      <c r="H141" s="8">
        <v>785</v>
      </c>
      <c r="I141" s="8">
        <v>985</v>
      </c>
      <c r="J141" s="8">
        <v>975</v>
      </c>
      <c r="K141" s="8">
        <v>875</v>
      </c>
      <c r="L141" s="8">
        <v>730</v>
      </c>
      <c r="M141" s="8">
        <v>783.08119030000125</v>
      </c>
      <c r="N141" s="8">
        <f>SUM(B141:M141)</f>
        <v>8750</v>
      </c>
      <c r="P141" s="8">
        <f>'Budget 2025'!N146</f>
        <v>8500</v>
      </c>
    </row>
    <row r="142" spans="1:17" x14ac:dyDescent="0.35">
      <c r="A142" s="9" t="s">
        <v>17</v>
      </c>
      <c r="B142" s="10">
        <f t="shared" ref="B142:N142" si="45">SUM(B143:B145)</f>
        <v>202.94750400000001</v>
      </c>
      <c r="C142" s="10">
        <f t="shared" si="45"/>
        <v>206.07165499999999</v>
      </c>
      <c r="D142" s="10">
        <f t="shared" si="45"/>
        <v>193.28730299999998</v>
      </c>
      <c r="E142" s="10">
        <f t="shared" si="45"/>
        <v>202.80895999999998</v>
      </c>
      <c r="F142" s="10">
        <f t="shared" si="45"/>
        <v>197.45907500000001</v>
      </c>
      <c r="G142" s="10">
        <f t="shared" si="45"/>
        <v>174.325559</v>
      </c>
      <c r="H142" s="10">
        <f t="shared" si="45"/>
        <v>160</v>
      </c>
      <c r="I142" s="10">
        <f t="shared" si="45"/>
        <v>160</v>
      </c>
      <c r="J142" s="10">
        <f t="shared" si="45"/>
        <v>160</v>
      </c>
      <c r="K142" s="10">
        <f t="shared" si="45"/>
        <v>210</v>
      </c>
      <c r="L142" s="10">
        <f t="shared" si="45"/>
        <v>210</v>
      </c>
      <c r="M142" s="10">
        <f t="shared" si="45"/>
        <v>223.09994400000005</v>
      </c>
      <c r="N142" s="10">
        <f t="shared" si="45"/>
        <v>2300</v>
      </c>
      <c r="O142" s="2"/>
      <c r="P142" s="10">
        <f>'Budget 2025'!N147</f>
        <v>2100</v>
      </c>
      <c r="Q142" s="27">
        <f>N142/P142</f>
        <v>1.0952380952380953</v>
      </c>
    </row>
    <row r="143" spans="1:17" x14ac:dyDescent="0.35">
      <c r="A143" s="5" t="s">
        <v>71</v>
      </c>
      <c r="B143" s="30">
        <v>134.19455500000001</v>
      </c>
      <c r="C143" s="30">
        <v>121.73226</v>
      </c>
      <c r="D143" s="30">
        <v>118.18790999999999</v>
      </c>
      <c r="E143" s="30">
        <v>126.21339999999998</v>
      </c>
      <c r="F143" s="30">
        <v>139.745475</v>
      </c>
      <c r="G143" s="30">
        <v>118.80562899999998</v>
      </c>
      <c r="H143" s="8">
        <v>120</v>
      </c>
      <c r="I143" s="8">
        <v>122.14216163583251</v>
      </c>
      <c r="J143" s="8">
        <v>116.04070305272896</v>
      </c>
      <c r="K143" s="8">
        <v>135.39473684210526</v>
      </c>
      <c r="L143" s="8">
        <v>135.39473684210526</v>
      </c>
      <c r="M143" s="8">
        <v>143.84075336842108</v>
      </c>
      <c r="N143" s="8">
        <f>SUM(B143:M143)</f>
        <v>1531.6923207411928</v>
      </c>
      <c r="P143" s="8">
        <f>'Budget 2025'!N148</f>
        <v>1467</v>
      </c>
    </row>
    <row r="144" spans="1:17" x14ac:dyDescent="0.35">
      <c r="A144" s="5" t="s">
        <v>72</v>
      </c>
      <c r="B144" s="30">
        <v>43.933678999999998</v>
      </c>
      <c r="C144" s="30">
        <v>48.031835000000001</v>
      </c>
      <c r="D144" s="30">
        <v>42.718553</v>
      </c>
      <c r="E144" s="30">
        <v>42.436599999999999</v>
      </c>
      <c r="F144" s="30">
        <v>20.472460000000002</v>
      </c>
      <c r="G144" s="30">
        <v>15.515700000000001</v>
      </c>
      <c r="H144" s="8"/>
      <c r="I144" s="8"/>
      <c r="J144" s="8"/>
      <c r="K144" s="8"/>
      <c r="L144" s="8"/>
      <c r="M144" s="8"/>
      <c r="N144" s="8">
        <f t="shared" ref="N144:N145" si="46">SUM(B144:M144)</f>
        <v>213.10882700000002</v>
      </c>
      <c r="P144" s="8">
        <f>'Budget 2025'!N149</f>
        <v>633</v>
      </c>
    </row>
    <row r="145" spans="1:17" x14ac:dyDescent="0.35">
      <c r="A145" s="5" t="s">
        <v>98</v>
      </c>
      <c r="B145" s="30">
        <v>24.819269999999999</v>
      </c>
      <c r="C145" s="30">
        <v>36.307560000000002</v>
      </c>
      <c r="D145" s="30">
        <v>32.380839999999999</v>
      </c>
      <c r="E145" s="30">
        <v>34.15896</v>
      </c>
      <c r="F145" s="30">
        <v>37.241140000000001</v>
      </c>
      <c r="G145" s="30">
        <v>40.00423</v>
      </c>
      <c r="H145" s="8">
        <v>40</v>
      </c>
      <c r="I145" s="8">
        <v>37.857838364167478</v>
      </c>
      <c r="J145" s="8">
        <v>43.959296947271049</v>
      </c>
      <c r="K145" s="8">
        <v>74.605263157894754</v>
      </c>
      <c r="L145" s="8">
        <v>74.60526315789474</v>
      </c>
      <c r="M145" s="8">
        <v>79.259190631578988</v>
      </c>
      <c r="N145" s="8">
        <f t="shared" si="46"/>
        <v>555.19885225880705</v>
      </c>
      <c r="P145" s="8"/>
    </row>
    <row r="146" spans="1:17" x14ac:dyDescent="0.35">
      <c r="A146" s="9" t="s">
        <v>43</v>
      </c>
      <c r="B146" s="11">
        <f>IFERROR(B140/B142,0)</f>
        <v>2.63503081762464</v>
      </c>
      <c r="C146" s="11">
        <f t="shared" ref="C146:N146" si="47">C140/C142</f>
        <v>2.7578816300572719</v>
      </c>
      <c r="D146" s="11">
        <f t="shared" si="47"/>
        <v>3.0982185027435563</v>
      </c>
      <c r="E146" s="11">
        <f t="shared" si="47"/>
        <v>3.0360467727855815</v>
      </c>
      <c r="F146" s="11">
        <f t="shared" si="47"/>
        <v>2.9725254374862233</v>
      </c>
      <c r="G146" s="11">
        <f t="shared" si="47"/>
        <v>4.0859684849770019</v>
      </c>
      <c r="H146" s="11">
        <f t="shared" si="47"/>
        <v>4.90625</v>
      </c>
      <c r="I146" s="11">
        <f t="shared" si="47"/>
        <v>6.15625</v>
      </c>
      <c r="J146" s="11">
        <f t="shared" si="47"/>
        <v>6.09375</v>
      </c>
      <c r="K146" s="11">
        <f t="shared" si="47"/>
        <v>4.166666666666667</v>
      </c>
      <c r="L146" s="11">
        <f t="shared" si="47"/>
        <v>3.4761904761904763</v>
      </c>
      <c r="M146" s="11">
        <f t="shared" si="47"/>
        <v>3.5100017340210585</v>
      </c>
      <c r="N146" s="11">
        <f t="shared" si="47"/>
        <v>3.8043478260869565</v>
      </c>
      <c r="O146" s="2"/>
      <c r="P146" s="11">
        <f>'Budget 2025'!N150</f>
        <v>4.0476190476190474</v>
      </c>
    </row>
    <row r="147" spans="1:17" x14ac:dyDescent="0.35">
      <c r="A147" s="9" t="s">
        <v>34</v>
      </c>
      <c r="B147" s="11">
        <f>IFERROR(B140/B148,0)</f>
        <v>1.9919507237959937</v>
      </c>
      <c r="C147" s="11">
        <f t="shared" ref="C147:N147" si="48">C140/C148</f>
        <v>3.2809207976167176</v>
      </c>
      <c r="D147" s="11">
        <f t="shared" si="48"/>
        <v>3.3141826893276956</v>
      </c>
      <c r="E147" s="11">
        <f t="shared" si="48"/>
        <v>2.9182716546910439</v>
      </c>
      <c r="F147" s="11">
        <f t="shared" si="48"/>
        <v>3.3720690813493284</v>
      </c>
      <c r="G147" s="11">
        <f t="shared" si="48"/>
        <v>4.2392489741352204</v>
      </c>
      <c r="H147" s="11">
        <f t="shared" si="48"/>
        <v>6.541666666666667</v>
      </c>
      <c r="I147" s="11">
        <f t="shared" si="48"/>
        <v>9.85</v>
      </c>
      <c r="J147" s="11">
        <f t="shared" si="48"/>
        <v>6.9642857142857144</v>
      </c>
      <c r="K147" s="11">
        <f t="shared" si="48"/>
        <v>3.7234042553191489</v>
      </c>
      <c r="L147" s="11">
        <f t="shared" si="48"/>
        <v>3.0416666666666665</v>
      </c>
      <c r="M147" s="11">
        <f t="shared" si="48"/>
        <v>3.2628382929166717</v>
      </c>
      <c r="N147" s="11">
        <f t="shared" si="48"/>
        <v>3.888097159984309</v>
      </c>
      <c r="O147" s="2"/>
      <c r="P147" s="11">
        <f>'Budget 2025'!N151</f>
        <v>4.1463414634146343</v>
      </c>
    </row>
    <row r="148" spans="1:17" x14ac:dyDescent="0.35">
      <c r="A148" s="9" t="s">
        <v>47</v>
      </c>
      <c r="B148" s="10">
        <v>268.46694600000001</v>
      </c>
      <c r="C148" s="10">
        <v>173.22004000000001</v>
      </c>
      <c r="D148" s="10">
        <v>180.69200000000001</v>
      </c>
      <c r="E148" s="10">
        <v>210.99388999999999</v>
      </c>
      <c r="F148" s="10">
        <v>174.06290000000001</v>
      </c>
      <c r="G148" s="10">
        <v>168.022389</v>
      </c>
      <c r="H148" s="10">
        <v>120</v>
      </c>
      <c r="I148" s="10">
        <v>100</v>
      </c>
      <c r="J148" s="10">
        <v>140</v>
      </c>
      <c r="K148" s="10">
        <v>235</v>
      </c>
      <c r="L148" s="10">
        <v>240</v>
      </c>
      <c r="M148" s="10">
        <v>240</v>
      </c>
      <c r="N148" s="10">
        <f>SUM(B148:M148)</f>
        <v>2250.458165</v>
      </c>
      <c r="O148" s="2"/>
      <c r="P148" s="10">
        <f>'Budget 2025'!N152</f>
        <v>2050</v>
      </c>
    </row>
    <row r="149" spans="1:17" x14ac:dyDescent="0.35">
      <c r="A149" s="5" t="s">
        <v>60</v>
      </c>
      <c r="B149" s="30">
        <v>3724.8809012552201</v>
      </c>
      <c r="C149" s="30">
        <v>3770.9785346502144</v>
      </c>
      <c r="D149" s="30">
        <v>3744.4235526449265</v>
      </c>
      <c r="E149" s="30">
        <v>3734.7558438011138</v>
      </c>
      <c r="F149" s="30">
        <v>3761.512838364034</v>
      </c>
      <c r="G149" s="30">
        <v>3721.541673901505</v>
      </c>
      <c r="H149" s="8">
        <v>3633.829653807978</v>
      </c>
      <c r="I149" s="8">
        <v>3697.9788669412392</v>
      </c>
      <c r="J149" s="8">
        <v>3700.54660017888</v>
      </c>
      <c r="K149" s="8">
        <v>3695.4460798286327</v>
      </c>
      <c r="L149" s="8">
        <v>3699.2231693836134</v>
      </c>
      <c r="M149" s="8">
        <v>3711.1078398883228</v>
      </c>
      <c r="N149" s="14">
        <f>SUMPRODUCT(B149:M149,$B$148:$M$148)/SUM($B$148:$M$148)</f>
        <v>3718.6649468995115</v>
      </c>
      <c r="O149" s="12"/>
      <c r="P149" s="8">
        <f>'Budget 2025'!N153</f>
        <v>3727.5040431597959</v>
      </c>
    </row>
    <row r="150" spans="1:17" x14ac:dyDescent="0.35">
      <c r="A150" s="5" t="s">
        <v>22</v>
      </c>
      <c r="B150" s="31">
        <v>0.18178953948758228</v>
      </c>
      <c r="C150" s="31">
        <v>0.16189916060897536</v>
      </c>
      <c r="D150" s="31">
        <v>0.15271493152519808</v>
      </c>
      <c r="E150" s="31">
        <v>0.1861802189727271</v>
      </c>
      <c r="F150" s="31">
        <v>0.18490418490158569</v>
      </c>
      <c r="G150" s="31">
        <v>0.20676409229400924</v>
      </c>
      <c r="H150" s="7">
        <v>0.1796852313022726</v>
      </c>
      <c r="I150" s="7">
        <v>0.16298863529156604</v>
      </c>
      <c r="J150" s="7">
        <v>0.14662281414801082</v>
      </c>
      <c r="K150" s="7">
        <v>0.13926663297552541</v>
      </c>
      <c r="L150" s="7">
        <v>0.17224318173002137</v>
      </c>
      <c r="M150" s="7">
        <v>0.15979843948674036</v>
      </c>
      <c r="N150" s="15">
        <f t="shared" ref="N150:N153" si="49">SUMPRODUCT(B150:M150,$B$148:$M$148)/SUM($B$148:$M$148)</f>
        <v>0.16950228670750411</v>
      </c>
      <c r="P150" s="7">
        <f>'Budget 2025'!N154</f>
        <v>0.15227341108882345</v>
      </c>
    </row>
    <row r="151" spans="1:17" x14ac:dyDescent="0.35">
      <c r="A151" s="5" t="s">
        <v>23</v>
      </c>
      <c r="B151" s="31">
        <v>9.3880395190102508</v>
      </c>
      <c r="C151" s="31">
        <v>9.0395142472422201</v>
      </c>
      <c r="D151" s="31">
        <v>7.3286176647692667</v>
      </c>
      <c r="E151" s="31">
        <v>7.42950380961679</v>
      </c>
      <c r="F151" s="31">
        <v>6.5335358000086119</v>
      </c>
      <c r="G151" s="31">
        <v>7.3269428959145237</v>
      </c>
      <c r="H151" s="7">
        <v>9.0545790913823012</v>
      </c>
      <c r="I151" s="7">
        <v>8.3445007515930403</v>
      </c>
      <c r="J151" s="7">
        <v>8.5258148313185593</v>
      </c>
      <c r="K151" s="7">
        <v>8.3155644409316416</v>
      </c>
      <c r="L151" s="7">
        <v>8.0550152272438957</v>
      </c>
      <c r="M151" s="7">
        <v>7.4460874266390729</v>
      </c>
      <c r="N151" s="15">
        <f t="shared" si="49"/>
        <v>8.0585272163143244</v>
      </c>
      <c r="P151" s="7">
        <f>'Budget 2025'!N155</f>
        <v>7.9761081652071226</v>
      </c>
    </row>
    <row r="152" spans="1:17" x14ac:dyDescent="0.35">
      <c r="A152" s="5" t="s">
        <v>38</v>
      </c>
      <c r="B152" s="31">
        <v>21.063572858906412</v>
      </c>
      <c r="C152" s="31">
        <v>19.287261528899752</v>
      </c>
      <c r="D152" s="31">
        <v>18.616761290985004</v>
      </c>
      <c r="E152" s="31">
        <v>20.317303551788733</v>
      </c>
      <c r="F152" s="31">
        <v>19.980341604431985</v>
      </c>
      <c r="G152" s="31">
        <v>28.588364953009734</v>
      </c>
      <c r="H152" s="7">
        <v>19.666659001554891</v>
      </c>
      <c r="I152" s="7">
        <v>23.167688201414812</v>
      </c>
      <c r="J152" s="7">
        <v>23.313461560637311</v>
      </c>
      <c r="K152" s="7">
        <v>22.22511225047602</v>
      </c>
      <c r="L152" s="7">
        <v>23.439882421398202</v>
      </c>
      <c r="M152" s="7">
        <v>22.740455115275928</v>
      </c>
      <c r="N152" s="15">
        <f>SUMPRODUCT(B152:M152,$B$148:$M$148)/SUM($B$148:$M$148)</f>
        <v>21.850971186059155</v>
      </c>
      <c r="P152" s="7">
        <f>'Budget 2025'!N156</f>
        <v>27.254555501550691</v>
      </c>
    </row>
    <row r="153" spans="1:17" x14ac:dyDescent="0.35">
      <c r="A153" s="5" t="s">
        <v>25</v>
      </c>
      <c r="B153" s="31">
        <v>38.34719394905261</v>
      </c>
      <c r="C153" s="31">
        <v>38.205865635397664</v>
      </c>
      <c r="D153" s="31">
        <v>39.115132485452676</v>
      </c>
      <c r="E153" s="31">
        <v>39.340891969116079</v>
      </c>
      <c r="F153" s="31">
        <v>39.272117270289797</v>
      </c>
      <c r="G153" s="31">
        <v>38.778045685608426</v>
      </c>
      <c r="H153" s="7">
        <v>39.121856153733297</v>
      </c>
      <c r="I153" s="7">
        <v>37.772922322747895</v>
      </c>
      <c r="J153" s="7">
        <v>37.753587596725936</v>
      </c>
      <c r="K153" s="7">
        <v>37.78796788755632</v>
      </c>
      <c r="L153" s="7">
        <v>37.498513102977007</v>
      </c>
      <c r="M153" s="7">
        <v>37.947348788661991</v>
      </c>
      <c r="N153" s="15">
        <f t="shared" si="49"/>
        <v>38.382162066252995</v>
      </c>
      <c r="P153" s="7">
        <f>'Budget 2025'!N157</f>
        <v>38.285233081479049</v>
      </c>
    </row>
    <row r="155" spans="1:17" x14ac:dyDescent="0.35">
      <c r="A155" s="6" t="s">
        <v>51</v>
      </c>
      <c r="B155" s="6" t="s">
        <v>1</v>
      </c>
      <c r="C155" s="6" t="s">
        <v>2</v>
      </c>
      <c r="D155" s="6" t="s">
        <v>3</v>
      </c>
      <c r="E155" s="6" t="s">
        <v>4</v>
      </c>
      <c r="F155" s="6" t="s">
        <v>5</v>
      </c>
      <c r="G155" s="6" t="s">
        <v>6</v>
      </c>
      <c r="H155" s="6" t="s">
        <v>7</v>
      </c>
      <c r="I155" s="6" t="s">
        <v>8</v>
      </c>
      <c r="J155" s="6" t="s">
        <v>9</v>
      </c>
      <c r="K155" s="6" t="s">
        <v>10</v>
      </c>
      <c r="L155" s="6" t="s">
        <v>11</v>
      </c>
      <c r="M155" s="6" t="s">
        <v>12</v>
      </c>
      <c r="N155" s="6" t="s">
        <v>13</v>
      </c>
      <c r="P155" s="6" t="s">
        <v>84</v>
      </c>
    </row>
    <row r="156" spans="1:17" x14ac:dyDescent="0.35">
      <c r="A156" s="9" t="s">
        <v>14</v>
      </c>
      <c r="B156" s="10">
        <f t="shared" ref="B156" si="50">SUM(B157:B157)</f>
        <v>661.74428069999999</v>
      </c>
      <c r="C156" s="10">
        <f t="shared" ref="C156" si="51">SUM(C157:C157)</f>
        <v>587.57625299999995</v>
      </c>
      <c r="D156" s="10">
        <f t="shared" ref="D156" si="52">SUM(D157:D157)</f>
        <v>862.78976650000004</v>
      </c>
      <c r="E156" s="10">
        <f t="shared" ref="E156" si="53">SUM(E157:E157)</f>
        <v>732.04360150000002</v>
      </c>
      <c r="F156" s="10">
        <f t="shared" ref="F156" si="54">SUM(F157:F157)</f>
        <v>823.00242780000008</v>
      </c>
      <c r="G156" s="10">
        <f t="shared" ref="G156" si="55">SUM(G157:G157)</f>
        <v>817.64083950000008</v>
      </c>
      <c r="H156" s="10">
        <f t="shared" ref="H156" si="56">SUM(H157:H157)</f>
        <v>1097.9530147321993</v>
      </c>
      <c r="I156" s="10">
        <f t="shared" ref="I156" si="57">SUM(I157:I157)</f>
        <v>1114.5397620945969</v>
      </c>
      <c r="J156" s="10">
        <f t="shared" ref="J156" si="58">SUM(J157:J157)</f>
        <v>1084.499617553837</v>
      </c>
      <c r="K156" s="10">
        <f t="shared" ref="K156" si="59">SUM(K157:K157)</f>
        <v>1037.828406615834</v>
      </c>
      <c r="L156" s="10">
        <f t="shared" ref="L156" si="60">SUM(L157:L157)</f>
        <v>926.05557057866702</v>
      </c>
      <c r="M156" s="10">
        <f t="shared" ref="M156" si="61">SUM(M157:M157)</f>
        <v>962.51315795486698</v>
      </c>
      <c r="N156" s="10">
        <f t="shared" ref="N156" si="62">SUM(N157:N157)</f>
        <v>10708.18669853</v>
      </c>
      <c r="P156" s="10">
        <f>'Budget 2025'!N160</f>
        <v>10708.18669853</v>
      </c>
      <c r="Q156" s="27">
        <f>N156/P156</f>
        <v>1</v>
      </c>
    </row>
    <row r="157" spans="1:17" x14ac:dyDescent="0.35">
      <c r="A157" s="5" t="s">
        <v>55</v>
      </c>
      <c r="B157" s="30">
        <v>661.74428069999999</v>
      </c>
      <c r="C157" s="30">
        <v>587.57625299999995</v>
      </c>
      <c r="D157" s="30">
        <v>862.78976650000004</v>
      </c>
      <c r="E157" s="30">
        <v>732.04360150000002</v>
      </c>
      <c r="F157" s="30">
        <v>823.00242780000008</v>
      </c>
      <c r="G157" s="30">
        <v>817.64083950000008</v>
      </c>
      <c r="H157" s="8">
        <v>1097.9530147321993</v>
      </c>
      <c r="I157" s="8">
        <v>1114.5397620945969</v>
      </c>
      <c r="J157" s="8">
        <v>1084.499617553837</v>
      </c>
      <c r="K157" s="8">
        <v>1037.828406615834</v>
      </c>
      <c r="L157" s="8">
        <v>926.05557057866702</v>
      </c>
      <c r="M157" s="8">
        <v>962.51315795486698</v>
      </c>
      <c r="N157" s="8">
        <f>SUM(B157:M157)</f>
        <v>10708.18669853</v>
      </c>
      <c r="P157" s="8">
        <f>'Budget 2025'!N161</f>
        <v>10708.18669853</v>
      </c>
    </row>
    <row r="158" spans="1:17" x14ac:dyDescent="0.35">
      <c r="A158" s="9" t="s">
        <v>17</v>
      </c>
      <c r="B158" s="10">
        <f>SUM(B159:B160)</f>
        <v>36.66854</v>
      </c>
      <c r="C158" s="10">
        <f t="shared" ref="C158:N158" si="63">SUM(C159:C160)</f>
        <v>40.429600000000001</v>
      </c>
      <c r="D158" s="10">
        <f t="shared" si="63"/>
        <v>41.222171000000003</v>
      </c>
      <c r="E158" s="10">
        <f t="shared" si="63"/>
        <v>46.549130000000005</v>
      </c>
      <c r="F158" s="10">
        <f t="shared" si="63"/>
        <v>48.071481157090901</v>
      </c>
      <c r="G158" s="10">
        <f t="shared" si="63"/>
        <v>50.944810476000001</v>
      </c>
      <c r="H158" s="10">
        <f t="shared" si="63"/>
        <v>60</v>
      </c>
      <c r="I158" s="10">
        <f t="shared" si="63"/>
        <v>60</v>
      </c>
      <c r="J158" s="10">
        <f t="shared" si="63"/>
        <v>60</v>
      </c>
      <c r="K158" s="10">
        <f t="shared" si="63"/>
        <v>56.107069202454802</v>
      </c>
      <c r="L158" s="10">
        <f t="shared" si="63"/>
        <v>53.381268762787897</v>
      </c>
      <c r="M158" s="10">
        <f t="shared" si="63"/>
        <v>52.625929401666397</v>
      </c>
      <c r="N158" s="10">
        <f t="shared" si="63"/>
        <v>606.00000000000011</v>
      </c>
      <c r="P158" s="10">
        <f>'Budget 2025'!N162</f>
        <v>605.9998925264573</v>
      </c>
      <c r="Q158" s="27">
        <f>N158/P158</f>
        <v>1.0000001773491121</v>
      </c>
    </row>
    <row r="159" spans="1:17" x14ac:dyDescent="0.35">
      <c r="A159" s="5" t="s">
        <v>55</v>
      </c>
      <c r="B159" s="30">
        <v>36.66854</v>
      </c>
      <c r="C159" s="30">
        <v>40.429600000000001</v>
      </c>
      <c r="D159" s="30">
        <v>17.41958</v>
      </c>
      <c r="E159" s="30">
        <v>19.569130000000001</v>
      </c>
      <c r="F159" s="30">
        <v>11.152659999999999</v>
      </c>
      <c r="G159" s="30">
        <v>16.219370000000001</v>
      </c>
      <c r="H159" s="8">
        <v>40</v>
      </c>
      <c r="I159" s="8">
        <v>56</v>
      </c>
      <c r="J159" s="8">
        <v>56</v>
      </c>
      <c r="K159" s="8">
        <v>50.488139209838749</v>
      </c>
      <c r="L159" s="8">
        <v>45.913628262990386</v>
      </c>
      <c r="M159" s="8">
        <v>45.422170280162256</v>
      </c>
      <c r="N159" s="8">
        <f>SUM(B159:M159)</f>
        <v>435.28281775299149</v>
      </c>
      <c r="P159" s="8">
        <f>'Budget 2025'!N163</f>
        <v>605.9998925264573</v>
      </c>
    </row>
    <row r="160" spans="1:17" x14ac:dyDescent="0.35">
      <c r="A160" s="5" t="s">
        <v>92</v>
      </c>
      <c r="B160" s="30"/>
      <c r="C160" s="30"/>
      <c r="D160" s="30">
        <v>23.802591</v>
      </c>
      <c r="E160" s="30">
        <v>26.98</v>
      </c>
      <c r="F160" s="30">
        <v>36.918821157090903</v>
      </c>
      <c r="G160" s="30">
        <v>34.725440476000003</v>
      </c>
      <c r="H160" s="8">
        <v>20</v>
      </c>
      <c r="I160" s="8">
        <v>4</v>
      </c>
      <c r="J160" s="8">
        <v>4</v>
      </c>
      <c r="K160" s="8">
        <v>5.6189299926160512</v>
      </c>
      <c r="L160" s="8">
        <v>7.4676404997975077</v>
      </c>
      <c r="M160" s="8">
        <v>7.2037591215041399</v>
      </c>
      <c r="N160" s="8">
        <f>SUM(B160:M160)</f>
        <v>170.71718224700859</v>
      </c>
      <c r="P160" s="8"/>
    </row>
    <row r="161" spans="1:16" x14ac:dyDescent="0.35">
      <c r="A161" s="9" t="s">
        <v>43</v>
      </c>
      <c r="B161" s="11">
        <f>IFERROR(B156/B158,0)</f>
        <v>18.046649272100826</v>
      </c>
      <c r="C161" s="11">
        <f t="shared" ref="C161:M161" si="64">IFERROR(C156/C158,0)</f>
        <v>14.533318484476718</v>
      </c>
      <c r="D161" s="11">
        <f t="shared" si="64"/>
        <v>20.930235976654409</v>
      </c>
      <c r="E161" s="11">
        <f t="shared" si="64"/>
        <v>15.726257429515867</v>
      </c>
      <c r="F161" s="11">
        <f t="shared" si="64"/>
        <v>17.120388388086958</v>
      </c>
      <c r="G161" s="11">
        <f t="shared" si="64"/>
        <v>16.049541294989979</v>
      </c>
      <c r="H161" s="11">
        <f t="shared" si="64"/>
        <v>18.299216912203324</v>
      </c>
      <c r="I161" s="11">
        <f t="shared" si="64"/>
        <v>18.575662701576615</v>
      </c>
      <c r="J161" s="11">
        <f t="shared" si="64"/>
        <v>18.074993625897282</v>
      </c>
      <c r="K161" s="11">
        <f t="shared" si="64"/>
        <v>18.497284234736444</v>
      </c>
      <c r="L161" s="11">
        <f t="shared" si="64"/>
        <v>17.347949796656401</v>
      </c>
      <c r="M161" s="11">
        <f t="shared" si="64"/>
        <v>18.289713243988601</v>
      </c>
      <c r="N161" s="11">
        <f t="shared" ref="N161" si="65">N156/N158</f>
        <v>17.670275080082504</v>
      </c>
      <c r="P161" s="11">
        <f>'Budget 2025'!N164</f>
        <v>17.6702782138901</v>
      </c>
    </row>
    <row r="162" spans="1:16" x14ac:dyDescent="0.35">
      <c r="A162" s="9" t="s">
        <v>34</v>
      </c>
      <c r="B162" s="11">
        <f>IFERROR(B156/B163,0)</f>
        <v>69.670860188563026</v>
      </c>
      <c r="C162" s="11">
        <f t="shared" ref="C162:M162" si="66">IFERROR(C156/C163,0)</f>
        <v>99.011071455652996</v>
      </c>
      <c r="D162" s="11">
        <f t="shared" si="66"/>
        <v>36.507066938879134</v>
      </c>
      <c r="E162" s="11">
        <f t="shared" si="66"/>
        <v>28.540323535202507</v>
      </c>
      <c r="F162" s="11">
        <f t="shared" si="66"/>
        <v>19.149749618344057</v>
      </c>
      <c r="G162" s="11">
        <f t="shared" si="66"/>
        <v>17.707355082954688</v>
      </c>
      <c r="H162" s="11">
        <f t="shared" si="66"/>
        <v>36.598433824406648</v>
      </c>
      <c r="I162" s="11">
        <f t="shared" si="66"/>
        <v>24.767550268768819</v>
      </c>
      <c r="J162" s="11">
        <f t="shared" si="66"/>
        <v>21.689992351076739</v>
      </c>
      <c r="K162" s="11">
        <f t="shared" si="66"/>
        <v>15.966590871012844</v>
      </c>
      <c r="L162" s="11">
        <f t="shared" si="66"/>
        <v>7.7087163083318382</v>
      </c>
      <c r="M162" s="11">
        <f t="shared" si="66"/>
        <v>7.5787793372164414</v>
      </c>
      <c r="N162" s="11">
        <f t="shared" ref="N162" si="67">N156/N163</f>
        <v>18.11875921917088</v>
      </c>
      <c r="P162" s="11">
        <f>'Budget 2025'!N165</f>
        <v>18.118759219170897</v>
      </c>
    </row>
    <row r="163" spans="1:16" x14ac:dyDescent="0.35">
      <c r="A163" s="9" t="s">
        <v>47</v>
      </c>
      <c r="B163" s="10">
        <v>9.4981500000000008</v>
      </c>
      <c r="C163" s="10">
        <v>5.93445</v>
      </c>
      <c r="D163" s="10">
        <v>23.633500000000002</v>
      </c>
      <c r="E163" s="10">
        <v>25.649450000000002</v>
      </c>
      <c r="F163" s="10">
        <v>42.97719</v>
      </c>
      <c r="G163" s="10">
        <v>46.17521</v>
      </c>
      <c r="H163" s="10">
        <v>30</v>
      </c>
      <c r="I163" s="10">
        <v>45</v>
      </c>
      <c r="J163" s="10">
        <v>50</v>
      </c>
      <c r="K163" s="10">
        <v>64.999999999999943</v>
      </c>
      <c r="L163" s="10">
        <v>120.13097038968151</v>
      </c>
      <c r="M163" s="10">
        <v>127.00107961031914</v>
      </c>
      <c r="N163" s="10">
        <f>SUM(B163:M163)</f>
        <v>591.00000000000057</v>
      </c>
      <c r="P163" s="10">
        <f>'Budget 2025'!N166</f>
        <v>591</v>
      </c>
    </row>
    <row r="164" spans="1:16" x14ac:dyDescent="0.35">
      <c r="A164" s="9" t="s">
        <v>73</v>
      </c>
      <c r="B164" s="10">
        <v>9.4981500000000008</v>
      </c>
      <c r="C164" s="10">
        <v>5.93445</v>
      </c>
      <c r="D164" s="10">
        <v>23.633500000000002</v>
      </c>
      <c r="E164" s="10">
        <v>25.649450000000002</v>
      </c>
      <c r="F164" s="10">
        <v>42.97719</v>
      </c>
      <c r="G164" s="10">
        <v>46.17521</v>
      </c>
      <c r="H164" s="10">
        <v>30</v>
      </c>
      <c r="I164" s="10">
        <v>45</v>
      </c>
      <c r="J164" s="10">
        <v>50</v>
      </c>
      <c r="K164" s="10">
        <v>64.999999999999943</v>
      </c>
      <c r="L164" s="10">
        <v>120.13097038968151</v>
      </c>
      <c r="M164" s="10">
        <v>127.00107961031914</v>
      </c>
      <c r="N164" s="10">
        <f>SUM(B164:M164)</f>
        <v>591.00000000000057</v>
      </c>
      <c r="P164" s="10">
        <f>'Budget 2025'!N166</f>
        <v>591</v>
      </c>
    </row>
    <row r="165" spans="1:16" x14ac:dyDescent="0.35">
      <c r="A165" s="5" t="s">
        <v>60</v>
      </c>
      <c r="B165" s="30">
        <v>6571.5022289184244</v>
      </c>
      <c r="C165" s="30">
        <v>6870.6132266666664</v>
      </c>
      <c r="D165" s="30">
        <v>6804.7599199859806</v>
      </c>
      <c r="E165" s="30">
        <v>6863.1036296272086</v>
      </c>
      <c r="F165" s="30">
        <v>6917.9128577218871</v>
      </c>
      <c r="G165" s="30">
        <v>6963.700297596668</v>
      </c>
      <c r="H165" s="8">
        <v>7170.0218250876351</v>
      </c>
      <c r="I165" s="8">
        <v>7094.2278391415975</v>
      </c>
      <c r="J165" s="8">
        <v>7079.393780736591</v>
      </c>
      <c r="K165" s="8">
        <v>7013.5739363162211</v>
      </c>
      <c r="L165" s="8">
        <v>7109.4116160258927</v>
      </c>
      <c r="M165" s="8">
        <v>7087.603386299239</v>
      </c>
      <c r="N165" s="14">
        <f>SUMPRODUCT(B165:M165,$B$163:$M$163)/SUM($B$163:$M$163)</f>
        <v>7034.3401541165331</v>
      </c>
      <c r="P165" s="8">
        <f>'Budget 2025'!N167</f>
        <v>6914.924833624611</v>
      </c>
    </row>
    <row r="166" spans="1:16" x14ac:dyDescent="0.35">
      <c r="A166" s="5" t="s">
        <v>22</v>
      </c>
      <c r="B166" s="31">
        <v>1.7712264150943398</v>
      </c>
      <c r="C166" s="31">
        <v>0.82</v>
      </c>
      <c r="D166" s="31">
        <v>1.1686534698197493</v>
      </c>
      <c r="E166" s="31">
        <v>1.2243569582860536</v>
      </c>
      <c r="F166" s="31">
        <v>1.1903144410219055</v>
      </c>
      <c r="G166" s="31">
        <v>1.2473920042048163</v>
      </c>
      <c r="H166" s="7">
        <v>1.2555952186996626</v>
      </c>
      <c r="I166" s="7">
        <v>1.29559521869966</v>
      </c>
      <c r="J166" s="7">
        <v>1.1555952186996601</v>
      </c>
      <c r="K166" s="7">
        <v>1.2555952186996624</v>
      </c>
      <c r="L166" s="7">
        <v>1.1825559521869899</v>
      </c>
      <c r="M166" s="7">
        <v>1.2555952186996622</v>
      </c>
      <c r="N166" s="15">
        <f t="shared" ref="N166:N169" si="68">SUMPRODUCT(B166:M166,$B$163:$M$163)/SUM($B$163:$M$163)</f>
        <v>1.2290265129152413</v>
      </c>
      <c r="P166" s="7">
        <f>'Budget 2025'!N168</f>
        <v>0.97967782668745695</v>
      </c>
    </row>
    <row r="167" spans="1:16" x14ac:dyDescent="0.35">
      <c r="A167" s="5" t="s">
        <v>23</v>
      </c>
      <c r="B167" s="31">
        <v>4.8215801886792455</v>
      </c>
      <c r="C167" s="31">
        <v>2.9799999999999995</v>
      </c>
      <c r="D167" s="31">
        <v>3.39306674152584</v>
      </c>
      <c r="E167" s="31">
        <v>3.00196482107097</v>
      </c>
      <c r="F167" s="31">
        <v>2.8749350865485632</v>
      </c>
      <c r="G167" s="31">
        <v>2.7396454176433203</v>
      </c>
      <c r="H167" s="7">
        <v>3.3954619429861794</v>
      </c>
      <c r="I167" s="7">
        <v>3.4667790238432903</v>
      </c>
      <c r="J167" s="7">
        <v>3.4561477884688827</v>
      </c>
      <c r="K167" s="7">
        <v>3.440129676965523</v>
      </c>
      <c r="L167" s="7">
        <v>3.4396252680477586</v>
      </c>
      <c r="M167" s="7">
        <v>3.3511302016856157</v>
      </c>
      <c r="N167" s="15">
        <f t="shared" si="68"/>
        <v>3.3228718845469634</v>
      </c>
      <c r="P167" s="7">
        <f>'Budget 2025'!N169</f>
        <v>3.7673803156838583</v>
      </c>
    </row>
    <row r="168" spans="1:16" x14ac:dyDescent="0.35">
      <c r="A168" s="5" t="s">
        <v>38</v>
      </c>
      <c r="B168" s="31">
        <v>5.7297523584905656</v>
      </c>
      <c r="C168" s="31">
        <v>6.2500000000000009</v>
      </c>
      <c r="D168" s="31">
        <v>6.5932641170299657</v>
      </c>
      <c r="E168" s="31">
        <v>5.0621123671972477</v>
      </c>
      <c r="F168" s="31">
        <v>5.5060401124331646</v>
      </c>
      <c r="G168" s="31">
        <v>5.0076136154129784</v>
      </c>
      <c r="H168" s="7">
        <v>5.0174225521153462</v>
      </c>
      <c r="I168" s="7">
        <v>4.9378123173685333</v>
      </c>
      <c r="J168" s="7">
        <v>4.933015907124477</v>
      </c>
      <c r="K168" s="7">
        <v>4.9388549803041526</v>
      </c>
      <c r="L168" s="7">
        <v>4.82753670201964</v>
      </c>
      <c r="M168" s="7">
        <v>4.9063440168631711</v>
      </c>
      <c r="N168" s="15">
        <f t="shared" si="68"/>
        <v>5.056657636866932</v>
      </c>
      <c r="P168" s="7">
        <f>'Budget 2025'!N170</f>
        <v>8.6903071606236697</v>
      </c>
    </row>
    <row r="169" spans="1:16" x14ac:dyDescent="0.35">
      <c r="A169" s="5" t="s">
        <v>25</v>
      </c>
      <c r="B169" s="31">
        <v>10.061898584905659</v>
      </c>
      <c r="C169" s="31">
        <v>11.07</v>
      </c>
      <c r="D169" s="31">
        <v>11.352853790688217</v>
      </c>
      <c r="E169" s="31">
        <v>10.890247646413854</v>
      </c>
      <c r="F169" s="31">
        <v>10.731007883001881</v>
      </c>
      <c r="G169" s="31">
        <v>10.359557291666667</v>
      </c>
      <c r="H169" s="7">
        <v>7.8878510166142295</v>
      </c>
      <c r="I169" s="7">
        <v>7.7789420014069943</v>
      </c>
      <c r="J169" s="7">
        <v>7.7967670862397647</v>
      </c>
      <c r="K169" s="7">
        <v>7.8223774867315399</v>
      </c>
      <c r="L169" s="7">
        <v>7.8338231625709911</v>
      </c>
      <c r="M169" s="7">
        <v>7.9708711339640343</v>
      </c>
      <c r="N169" s="15">
        <f t="shared" si="68"/>
        <v>8.6071378063790576</v>
      </c>
      <c r="P169" s="7">
        <f>'Budget 2025'!N171</f>
        <v>4.734175124469358</v>
      </c>
    </row>
    <row r="171" spans="1:16" x14ac:dyDescent="0.35">
      <c r="A171" s="6" t="s">
        <v>86</v>
      </c>
      <c r="B171" s="6" t="s">
        <v>1</v>
      </c>
      <c r="C171" s="6" t="s">
        <v>2</v>
      </c>
      <c r="D171" s="6" t="s">
        <v>3</v>
      </c>
      <c r="E171" s="6" t="s">
        <v>4</v>
      </c>
      <c r="F171" s="6" t="s">
        <v>5</v>
      </c>
      <c r="G171" s="6" t="s">
        <v>6</v>
      </c>
      <c r="H171" s="6" t="s">
        <v>7</v>
      </c>
      <c r="I171" s="6" t="s">
        <v>8</v>
      </c>
      <c r="J171" s="6" t="s">
        <v>9</v>
      </c>
      <c r="K171" s="6" t="s">
        <v>10</v>
      </c>
      <c r="L171" s="6" t="s">
        <v>11</v>
      </c>
      <c r="M171" s="6" t="s">
        <v>12</v>
      </c>
      <c r="N171" s="6" t="s">
        <v>13</v>
      </c>
      <c r="O171" s="4"/>
      <c r="P171" s="6" t="s">
        <v>84</v>
      </c>
    </row>
    <row r="172" spans="1:16" x14ac:dyDescent="0.35">
      <c r="A172" s="9" t="s">
        <v>14</v>
      </c>
      <c r="B172" s="10">
        <f>B173</f>
        <v>0</v>
      </c>
      <c r="C172" s="10">
        <f t="shared" ref="C172:M172" si="69">C173</f>
        <v>0</v>
      </c>
      <c r="D172" s="10">
        <f t="shared" si="69"/>
        <v>0</v>
      </c>
      <c r="E172" s="10">
        <f t="shared" si="69"/>
        <v>11.936999999999999</v>
      </c>
      <c r="F172" s="10">
        <f t="shared" si="69"/>
        <v>62.274999999999999</v>
      </c>
      <c r="G172" s="10">
        <f t="shared" si="69"/>
        <v>304.28899999999999</v>
      </c>
      <c r="H172" s="10">
        <f t="shared" si="69"/>
        <v>577</v>
      </c>
      <c r="I172" s="10">
        <f t="shared" si="69"/>
        <v>587</v>
      </c>
      <c r="J172" s="10">
        <f t="shared" si="69"/>
        <v>568</v>
      </c>
      <c r="K172" s="10">
        <f t="shared" si="69"/>
        <v>694</v>
      </c>
      <c r="L172" s="10">
        <f t="shared" si="69"/>
        <v>619</v>
      </c>
      <c r="M172" s="10">
        <f t="shared" si="69"/>
        <v>676.49900000000002</v>
      </c>
      <c r="N172" s="10">
        <f>SUM(B172:M172)</f>
        <v>4100</v>
      </c>
      <c r="O172" s="2"/>
      <c r="P172" s="10">
        <f>'Budget 2025'!N174</f>
        <v>5683.5</v>
      </c>
    </row>
    <row r="173" spans="1:16" x14ac:dyDescent="0.35">
      <c r="A173" s="5" t="s">
        <v>57</v>
      </c>
      <c r="B173" s="30">
        <v>0</v>
      </c>
      <c r="C173" s="30">
        <v>0</v>
      </c>
      <c r="D173" s="30">
        <v>0</v>
      </c>
      <c r="E173" s="30">
        <v>11.936999999999999</v>
      </c>
      <c r="F173" s="30">
        <v>62.274999999999999</v>
      </c>
      <c r="G173" s="30">
        <v>304.28899999999999</v>
      </c>
      <c r="H173" s="8">
        <v>577</v>
      </c>
      <c r="I173" s="8">
        <v>587</v>
      </c>
      <c r="J173" s="8">
        <v>568</v>
      </c>
      <c r="K173" s="8">
        <v>694</v>
      </c>
      <c r="L173" s="8">
        <v>619</v>
      </c>
      <c r="M173" s="8">
        <v>676.49900000000002</v>
      </c>
      <c r="N173" s="8">
        <f>SUM(B173:M173)</f>
        <v>4100</v>
      </c>
      <c r="P173" s="8">
        <f>'Budget 2025'!N175</f>
        <v>5683.5</v>
      </c>
    </row>
    <row r="174" spans="1:16" x14ac:dyDescent="0.35">
      <c r="A174" s="9" t="s">
        <v>17</v>
      </c>
      <c r="B174" s="10">
        <f t="shared" ref="B174:N174" si="70">SUM(B175:B175)</f>
        <v>0</v>
      </c>
      <c r="C174" s="10">
        <f t="shared" si="70"/>
        <v>0</v>
      </c>
      <c r="D174" s="10">
        <f t="shared" si="70"/>
        <v>0</v>
      </c>
      <c r="E174" s="10">
        <f t="shared" si="70"/>
        <v>0</v>
      </c>
      <c r="F174" s="10">
        <f t="shared" si="70"/>
        <v>0</v>
      </c>
      <c r="G174" s="10">
        <f t="shared" si="70"/>
        <v>0</v>
      </c>
      <c r="H174" s="10">
        <f t="shared" si="70"/>
        <v>0</v>
      </c>
      <c r="I174" s="10">
        <f t="shared" si="70"/>
        <v>0</v>
      </c>
      <c r="J174" s="10">
        <f t="shared" si="70"/>
        <v>50</v>
      </c>
      <c r="K174" s="10">
        <f t="shared" si="70"/>
        <v>50</v>
      </c>
      <c r="L174" s="10">
        <f t="shared" si="70"/>
        <v>50</v>
      </c>
      <c r="M174" s="10">
        <f t="shared" si="70"/>
        <v>50</v>
      </c>
      <c r="N174" s="10">
        <f t="shared" si="70"/>
        <v>200</v>
      </c>
      <c r="O174" s="2"/>
      <c r="P174" s="10">
        <f>'Budget 2025'!N176</f>
        <v>450</v>
      </c>
    </row>
    <row r="175" spans="1:16" x14ac:dyDescent="0.35">
      <c r="A175" s="5" t="s">
        <v>57</v>
      </c>
      <c r="B175" s="30">
        <v>0</v>
      </c>
      <c r="C175" s="30">
        <v>0</v>
      </c>
      <c r="D175" s="30">
        <v>0</v>
      </c>
      <c r="E175" s="30">
        <v>0</v>
      </c>
      <c r="F175" s="30">
        <v>0</v>
      </c>
      <c r="G175" s="30">
        <v>0</v>
      </c>
      <c r="H175" s="8">
        <v>0</v>
      </c>
      <c r="I175" s="8">
        <v>0</v>
      </c>
      <c r="J175" s="8">
        <v>50</v>
      </c>
      <c r="K175" s="8">
        <v>50</v>
      </c>
      <c r="L175" s="8">
        <v>50</v>
      </c>
      <c r="M175" s="8">
        <v>50</v>
      </c>
      <c r="N175" s="8">
        <f>SUM(B175:M175)</f>
        <v>200</v>
      </c>
      <c r="P175" s="8">
        <f>'Budget 2025'!N177</f>
        <v>450</v>
      </c>
    </row>
    <row r="176" spans="1:16" x14ac:dyDescent="0.35">
      <c r="A176" s="9" t="s">
        <v>43</v>
      </c>
      <c r="B176" s="11">
        <f>IFERROR(B172/B174,0)</f>
        <v>0</v>
      </c>
      <c r="C176" s="11">
        <f t="shared" ref="C176:M176" si="71">IFERROR(C172/C174,0)</f>
        <v>0</v>
      </c>
      <c r="D176" s="11">
        <f t="shared" si="71"/>
        <v>0</v>
      </c>
      <c r="E176" s="11">
        <f t="shared" si="71"/>
        <v>0</v>
      </c>
      <c r="F176" s="11">
        <f t="shared" si="71"/>
        <v>0</v>
      </c>
      <c r="G176" s="11">
        <f t="shared" si="71"/>
        <v>0</v>
      </c>
      <c r="H176" s="11">
        <f t="shared" si="71"/>
        <v>0</v>
      </c>
      <c r="I176" s="11">
        <f t="shared" si="71"/>
        <v>0</v>
      </c>
      <c r="J176" s="11">
        <f t="shared" si="71"/>
        <v>11.36</v>
      </c>
      <c r="K176" s="11">
        <f t="shared" si="71"/>
        <v>13.88</v>
      </c>
      <c r="L176" s="11">
        <f t="shared" si="71"/>
        <v>12.38</v>
      </c>
      <c r="M176" s="11">
        <f t="shared" si="71"/>
        <v>13.52998</v>
      </c>
      <c r="N176" s="11">
        <f>N172/N174</f>
        <v>20.5</v>
      </c>
      <c r="O176" s="2"/>
      <c r="P176" s="11">
        <f>'Budget 2025'!N178</f>
        <v>12.63</v>
      </c>
    </row>
    <row r="177" spans="1:16" x14ac:dyDescent="0.35">
      <c r="A177" s="9" t="s">
        <v>34</v>
      </c>
      <c r="B177" s="11">
        <f>IFERROR(B172/B178,0)</f>
        <v>0</v>
      </c>
      <c r="C177" s="11">
        <f t="shared" ref="C177:M177" si="72">IFERROR(C172/C178,0)</f>
        <v>0</v>
      </c>
      <c r="D177" s="11">
        <f t="shared" si="72"/>
        <v>0</v>
      </c>
      <c r="E177" s="11">
        <f t="shared" si="72"/>
        <v>0</v>
      </c>
      <c r="F177" s="11">
        <f t="shared" si="72"/>
        <v>0</v>
      </c>
      <c r="G177" s="11">
        <f t="shared" si="72"/>
        <v>0</v>
      </c>
      <c r="H177" s="11">
        <f t="shared" si="72"/>
        <v>0</v>
      </c>
      <c r="I177" s="11">
        <f t="shared" si="72"/>
        <v>0</v>
      </c>
      <c r="J177" s="11">
        <f t="shared" si="72"/>
        <v>0</v>
      </c>
      <c r="K177" s="11">
        <f t="shared" si="72"/>
        <v>19.828571428571429</v>
      </c>
      <c r="L177" s="11">
        <f t="shared" si="72"/>
        <v>13.755555555555556</v>
      </c>
      <c r="M177" s="11">
        <f t="shared" si="72"/>
        <v>9.6642714285714284</v>
      </c>
      <c r="N177" s="11">
        <f>N172/N178</f>
        <v>27.333333333333332</v>
      </c>
      <c r="O177" s="2"/>
      <c r="P177" s="11">
        <f>'Budget 2025'!N179</f>
        <v>18.945</v>
      </c>
    </row>
    <row r="178" spans="1:16" x14ac:dyDescent="0.35">
      <c r="A178" s="9" t="s">
        <v>47</v>
      </c>
      <c r="B178" s="10">
        <v>0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35</v>
      </c>
      <c r="L178" s="10">
        <v>45</v>
      </c>
      <c r="M178" s="10">
        <v>70</v>
      </c>
      <c r="N178" s="10">
        <f>SUM(B178:M178)</f>
        <v>150</v>
      </c>
      <c r="O178" s="2"/>
      <c r="P178" s="10">
        <f>'Budget 2025'!N180</f>
        <v>300</v>
      </c>
    </row>
    <row r="179" spans="1:16" x14ac:dyDescent="0.35">
      <c r="A179" s="5" t="s">
        <v>60</v>
      </c>
      <c r="B179" s="30"/>
      <c r="C179" s="30"/>
      <c r="D179" s="30"/>
      <c r="E179" s="30"/>
      <c r="F179" s="30"/>
      <c r="G179" s="30">
        <v>0</v>
      </c>
      <c r="H179" s="8">
        <v>0</v>
      </c>
      <c r="I179" s="8">
        <v>0</v>
      </c>
      <c r="J179" s="8">
        <v>0</v>
      </c>
      <c r="K179" s="8">
        <v>5722.7136157354953</v>
      </c>
      <c r="L179" s="8">
        <v>6001.7892541878628</v>
      </c>
      <c r="M179" s="8">
        <v>5641.6638106895061</v>
      </c>
      <c r="N179" s="14">
        <f>SUMPRODUCT(B179:M179,$B$178:$M$178)/SUM($B$178:$M$178)</f>
        <v>5768.6130649164106</v>
      </c>
      <c r="O179" s="12"/>
      <c r="P179" s="8">
        <f>'Budget 2025'!N181</f>
        <v>5016.4002721866818</v>
      </c>
    </row>
    <row r="180" spans="1:16" x14ac:dyDescent="0.35">
      <c r="A180" s="5" t="s">
        <v>22</v>
      </c>
      <c r="B180" s="31"/>
      <c r="C180" s="31"/>
      <c r="D180" s="31"/>
      <c r="E180" s="31"/>
      <c r="F180" s="31"/>
      <c r="G180" s="31">
        <v>0</v>
      </c>
      <c r="H180" s="7">
        <v>0</v>
      </c>
      <c r="I180" s="7">
        <v>0</v>
      </c>
      <c r="J180" s="7">
        <v>0</v>
      </c>
      <c r="K180" s="7">
        <v>1.3930754005701096</v>
      </c>
      <c r="L180" s="7">
        <v>1.2140471421963361</v>
      </c>
      <c r="M180" s="7">
        <v>1.0710319895159821</v>
      </c>
      <c r="N180" s="15">
        <f t="shared" ref="N180:N183" si="73">SUMPRODUCT(B180:M180,$B$178:$M$178)/SUM($B$178:$M$178)</f>
        <v>1.1890799978993847</v>
      </c>
      <c r="P180" s="7">
        <f>'Budget 2025'!N182</f>
        <v>0.85231442995617068</v>
      </c>
    </row>
    <row r="181" spans="1:16" x14ac:dyDescent="0.35">
      <c r="A181" s="5" t="s">
        <v>23</v>
      </c>
      <c r="B181" s="31"/>
      <c r="C181" s="31"/>
      <c r="D181" s="31"/>
      <c r="E181" s="31"/>
      <c r="F181" s="31"/>
      <c r="G181" s="31">
        <v>0</v>
      </c>
      <c r="H181" s="7">
        <v>0</v>
      </c>
      <c r="I181" s="7">
        <v>0</v>
      </c>
      <c r="J181" s="7">
        <v>0</v>
      </c>
      <c r="K181" s="7">
        <v>5.7000578653517406</v>
      </c>
      <c r="L181" s="7">
        <v>5.4742883680538794</v>
      </c>
      <c r="M181" s="7">
        <v>7.2123658154344472</v>
      </c>
      <c r="N181" s="15">
        <f t="shared" si="73"/>
        <v>6.3380707262009777</v>
      </c>
      <c r="P181" s="7">
        <f>'Budget 2025'!N183</f>
        <v>4.6059680600780979</v>
      </c>
    </row>
    <row r="182" spans="1:16" x14ac:dyDescent="0.35">
      <c r="A182" s="5" t="s">
        <v>38</v>
      </c>
      <c r="B182" s="31"/>
      <c r="C182" s="31"/>
      <c r="D182" s="31"/>
      <c r="E182" s="31"/>
      <c r="F182" s="31"/>
      <c r="G182" s="31">
        <v>0</v>
      </c>
      <c r="H182" s="7">
        <v>0</v>
      </c>
      <c r="I182" s="7">
        <v>0</v>
      </c>
      <c r="J182" s="7">
        <v>0</v>
      </c>
      <c r="K182" s="7">
        <v>13.923366135568223</v>
      </c>
      <c r="L182" s="7">
        <v>11.903036394338658</v>
      </c>
      <c r="M182" s="7">
        <v>11.73644901634553</v>
      </c>
      <c r="N182" s="15">
        <f t="shared" si="73"/>
        <v>12.29670589089543</v>
      </c>
      <c r="P182" s="7">
        <f>'Budget 2025'!N184</f>
        <v>5.8143085963157821</v>
      </c>
    </row>
    <row r="183" spans="1:16" x14ac:dyDescent="0.35">
      <c r="A183" s="5" t="s">
        <v>25</v>
      </c>
      <c r="B183" s="31"/>
      <c r="C183" s="31"/>
      <c r="D183" s="31"/>
      <c r="E183" s="31"/>
      <c r="F183" s="31"/>
      <c r="G183" s="31">
        <v>0</v>
      </c>
      <c r="H183" s="7">
        <v>0</v>
      </c>
      <c r="I183" s="7">
        <v>0</v>
      </c>
      <c r="J183" s="7">
        <v>0</v>
      </c>
      <c r="K183" s="7">
        <v>18.500274117840537</v>
      </c>
      <c r="L183" s="7">
        <v>16.522596540952378</v>
      </c>
      <c r="M183" s="7">
        <v>16.82591044540866</v>
      </c>
      <c r="N183" s="15">
        <f t="shared" si="73"/>
        <v>17.125601130972544</v>
      </c>
      <c r="P183" s="7">
        <f>'Budget 2025'!N185</f>
        <v>11.20202059508415</v>
      </c>
    </row>
    <row r="185" spans="1:16" hidden="1" x14ac:dyDescent="0.35">
      <c r="B185" s="4" t="s">
        <v>93</v>
      </c>
      <c r="C185" s="4" t="s">
        <v>93</v>
      </c>
      <c r="D185" s="4" t="s">
        <v>93</v>
      </c>
      <c r="E185" s="4" t="s">
        <v>94</v>
      </c>
      <c r="F185" s="4" t="s">
        <v>94</v>
      </c>
      <c r="G185" s="4" t="s">
        <v>94</v>
      </c>
      <c r="H185" s="4" t="s">
        <v>95</v>
      </c>
      <c r="I185" s="4" t="s">
        <v>95</v>
      </c>
      <c r="J185" s="4" t="s">
        <v>95</v>
      </c>
      <c r="K185" s="4" t="s">
        <v>96</v>
      </c>
      <c r="L185" s="4" t="s">
        <v>96</v>
      </c>
      <c r="M185" s="4" t="s">
        <v>96</v>
      </c>
    </row>
    <row r="186" spans="1:16" x14ac:dyDescent="0.35">
      <c r="B186" s="12">
        <f>SUM(B5,B56,B100,B125,B140,B156,B172)</f>
        <v>19436.475260400006</v>
      </c>
      <c r="C186" s="12">
        <f t="shared" ref="C186:G186" si="74">SUM(C5,C56,C100,C125,C140,C156,C172)</f>
        <v>18617.844185050002</v>
      </c>
      <c r="D186" s="12">
        <f t="shared" si="74"/>
        <v>19037.135975500001</v>
      </c>
      <c r="E186" s="12">
        <f t="shared" si="74"/>
        <v>17181.930158700001</v>
      </c>
      <c r="F186" s="12">
        <f t="shared" si="74"/>
        <v>19667.965836790259</v>
      </c>
      <c r="G186" s="12">
        <f t="shared" si="74"/>
        <v>16956.965015699996</v>
      </c>
      <c r="H186" s="12">
        <f>SUM(B186:G186)</f>
        <v>110898.31643214026</v>
      </c>
    </row>
    <row r="187" spans="1:16" x14ac:dyDescent="0.35">
      <c r="B187" s="12">
        <f>SUM(B8,B60,B104,B127,B142,B158,B174)</f>
        <v>1716.8205753886718</v>
      </c>
      <c r="C187" s="12">
        <f t="shared" ref="C187:G187" si="75">SUM(C8,C60,C104,C127,C142,C158,C174)</f>
        <v>1744.6741239675005</v>
      </c>
      <c r="D187" s="12">
        <f t="shared" si="75"/>
        <v>1870.2618653</v>
      </c>
      <c r="E187" s="12">
        <f t="shared" si="75"/>
        <v>1597.0963012916397</v>
      </c>
      <c r="F187" s="12">
        <f t="shared" si="75"/>
        <v>1962.7995887614725</v>
      </c>
      <c r="G187" s="12">
        <f t="shared" si="75"/>
        <v>1526.0737916078147</v>
      </c>
      <c r="H187" s="12">
        <f t="shared" ref="H187:H188" si="76">SUM(B187:G187)</f>
        <v>10417.726246317099</v>
      </c>
    </row>
    <row r="188" spans="1:16" x14ac:dyDescent="0.35">
      <c r="B188" s="12">
        <f>SUM(B13,B66,B110,B132,B148,B164,B178)</f>
        <v>1874.0927219999996</v>
      </c>
      <c r="C188" s="12">
        <f t="shared" ref="C188:G188" si="77">SUM(C13,C66,C110,C132,C148,C164,C178)</f>
        <v>1671.6950649999999</v>
      </c>
      <c r="D188" s="12">
        <f t="shared" si="77"/>
        <v>1694.5428550000001</v>
      </c>
      <c r="E188" s="12">
        <f t="shared" si="77"/>
        <v>1592.1208775212144</v>
      </c>
      <c r="F188" s="12">
        <f t="shared" si="77"/>
        <v>1853.6419649787854</v>
      </c>
      <c r="G188" s="12">
        <f t="shared" si="77"/>
        <v>1689.9574700000001</v>
      </c>
      <c r="H188" s="12">
        <f t="shared" si="76"/>
        <v>10376.050954499999</v>
      </c>
    </row>
  </sheetData>
  <pageMargins left="0.7" right="0.7" top="0.75" bottom="0.75" header="0.3" footer="0.3"/>
  <pageSetup paperSize="9" orientation="portrait" r:id="rId1"/>
  <ignoredErrors>
    <ignoredError sqref="N12 N17 N73 P129 N157:N158 N142 N104 N120 N114 N174" formula="1"/>
    <ignoredError sqref="M60 B66:M66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9F8D-A84E-4ED5-8222-38FE1030235D}">
  <sheetPr>
    <tabColor theme="4"/>
  </sheetPr>
  <dimension ref="A1:K183"/>
  <sheetViews>
    <sheetView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3" sqref="C13"/>
    </sheetView>
  </sheetViews>
  <sheetFormatPr defaultColWidth="8.90625" defaultRowHeight="14.5" x14ac:dyDescent="0.35"/>
  <cols>
    <col min="1" max="1" width="27.453125" style="1" customWidth="1"/>
    <col min="2" max="5" width="11.81640625" style="1" bestFit="1" customWidth="1"/>
    <col min="6" max="6" width="13.36328125" style="1" customWidth="1"/>
    <col min="7" max="7" width="1.6328125" style="1" customWidth="1"/>
    <col min="8" max="8" width="13.6328125" style="1" customWidth="1"/>
    <col min="9" max="9" width="0" style="1" hidden="1" customWidth="1"/>
    <col min="10" max="16384" width="8.90625" style="1"/>
  </cols>
  <sheetData>
    <row r="1" spans="1:11" x14ac:dyDescent="0.35">
      <c r="A1" s="3" t="s">
        <v>91</v>
      </c>
      <c r="B1" s="12"/>
      <c r="C1" s="12"/>
      <c r="D1" s="12"/>
      <c r="E1" s="12"/>
    </row>
    <row r="2" spans="1:11" x14ac:dyDescent="0.35">
      <c r="B2" s="13"/>
      <c r="C2" s="13"/>
      <c r="D2" s="13"/>
      <c r="E2" s="13"/>
    </row>
    <row r="3" spans="1:11" ht="15.65" customHeight="1" x14ac:dyDescent="0.35">
      <c r="B3" s="4" t="s">
        <v>88</v>
      </c>
      <c r="C3" s="4" t="s">
        <v>62</v>
      </c>
      <c r="D3" s="4" t="s">
        <v>62</v>
      </c>
      <c r="E3" s="4" t="s">
        <v>62</v>
      </c>
      <c r="F3" s="4" t="s">
        <v>62</v>
      </c>
      <c r="G3" s="4"/>
      <c r="H3" s="4"/>
    </row>
    <row r="4" spans="1:11" x14ac:dyDescent="0.35">
      <c r="A4" s="6" t="s">
        <v>0</v>
      </c>
      <c r="B4" s="6" t="s">
        <v>93</v>
      </c>
      <c r="C4" s="6" t="s">
        <v>94</v>
      </c>
      <c r="D4" s="6" t="s">
        <v>95</v>
      </c>
      <c r="E4" s="6" t="s">
        <v>96</v>
      </c>
      <c r="F4" s="6" t="s">
        <v>13</v>
      </c>
      <c r="G4" s="4"/>
      <c r="H4" s="6" t="s">
        <v>84</v>
      </c>
    </row>
    <row r="5" spans="1:11" s="2" customFormat="1" x14ac:dyDescent="0.35">
      <c r="A5" s="9" t="s">
        <v>14</v>
      </c>
      <c r="B5" s="10">
        <f t="shared" ref="B5:E5" si="0">SUM(B6:B7)</f>
        <v>20851.675137800001</v>
      </c>
      <c r="C5" s="10">
        <f t="shared" si="0"/>
        <v>21842.762453999996</v>
      </c>
      <c r="D5" s="10">
        <f t="shared" si="0"/>
        <v>26705.985236038512</v>
      </c>
      <c r="E5" s="10">
        <f t="shared" si="0"/>
        <v>25795.453296</v>
      </c>
      <c r="F5" s="10">
        <f>SUM(B5:E5)</f>
        <v>95195.876123838505</v>
      </c>
      <c r="H5" s="10">
        <f>'Budget 2025'!N5</f>
        <v>94714.47819029224</v>
      </c>
      <c r="I5" s="27">
        <f>F5/H5</f>
        <v>1.0050826224537612</v>
      </c>
      <c r="K5" s="32"/>
    </row>
    <row r="6" spans="1:11" x14ac:dyDescent="0.35">
      <c r="A6" s="5" t="s">
        <v>15</v>
      </c>
      <c r="B6" s="30">
        <f>SUMIFS('Outlook 6+6'!$B6:$M6,'Outlook 6+6'!$B$185:$M$185,'Outlook Quarterly 6+6'!B$4)</f>
        <v>7367.5048347000011</v>
      </c>
      <c r="C6" s="8">
        <f>SUMIFS('Outlook 6+6'!$B6:$M6,'Outlook 6+6'!$B$185:$M$185,'Outlook Quarterly 6+6'!C$4)</f>
        <v>6917.8175509999983</v>
      </c>
      <c r="D6" s="8">
        <f>SUMIFS('Outlook 6+6'!$B6:$M6,'Outlook 6+6'!$B$185:$M$185,'Outlook Quarterly 6+6'!D$4)</f>
        <v>7875.9923087263396</v>
      </c>
      <c r="E6" s="8">
        <f>SUMIFS('Outlook 6+6'!$B6:$M6,'Outlook 6+6'!$B$185:$M$185,'Outlook Quarterly 6+6'!E$4)</f>
        <v>8043.8423999999995</v>
      </c>
      <c r="F6" s="8">
        <f>SUM(B6:E6)</f>
        <v>30205.157094426337</v>
      </c>
      <c r="H6" s="8">
        <f>'Budget 2025'!N6</f>
        <v>33532.659005910617</v>
      </c>
      <c r="K6" s="32"/>
    </row>
    <row r="7" spans="1:11" x14ac:dyDescent="0.35">
      <c r="A7" s="5" t="s">
        <v>16</v>
      </c>
      <c r="B7" s="30">
        <f>SUMIFS('Outlook 6+6'!$B7:$M7,'Outlook 6+6'!$B$185:$M$185,'Outlook Quarterly 6+6'!B$4)</f>
        <v>13484.1703031</v>
      </c>
      <c r="C7" s="8">
        <f>SUMIFS('Outlook 6+6'!$B7:$M7,'Outlook 6+6'!$B$185:$M$185,'Outlook Quarterly 6+6'!C$4)</f>
        <v>14924.944903</v>
      </c>
      <c r="D7" s="8">
        <f>SUMIFS('Outlook 6+6'!$B7:$M7,'Outlook 6+6'!$B$185:$M$185,'Outlook Quarterly 6+6'!D$4)</f>
        <v>18829.992927312174</v>
      </c>
      <c r="E7" s="8">
        <f>SUMIFS('Outlook 6+6'!$B7:$M7,'Outlook 6+6'!$B$185:$M$185,'Outlook Quarterly 6+6'!E$4)</f>
        <v>17751.610895999998</v>
      </c>
      <c r="F7" s="8">
        <f>SUM(B7:E7)</f>
        <v>64990.719029412168</v>
      </c>
      <c r="H7" s="8">
        <f>'Budget 2025'!N7</f>
        <v>61181.819184381624</v>
      </c>
      <c r="K7" s="32"/>
    </row>
    <row r="8" spans="1:11" s="2" customFormat="1" x14ac:dyDescent="0.35">
      <c r="A8" s="9" t="s">
        <v>17</v>
      </c>
      <c r="B8" s="10">
        <f>SUM(B9:B11)</f>
        <v>1579.7397969999997</v>
      </c>
      <c r="C8" s="10">
        <f t="shared" ref="C8:F8" si="1">SUM(C9:C11)</f>
        <v>1666.2283294066133</v>
      </c>
      <c r="D8" s="10">
        <f t="shared" si="1"/>
        <v>1945.3145357589992</v>
      </c>
      <c r="E8" s="10">
        <f t="shared" si="1"/>
        <v>1881.2173378498849</v>
      </c>
      <c r="F8" s="10">
        <f t="shared" si="1"/>
        <v>7072.5000000154978</v>
      </c>
      <c r="H8" s="10">
        <f>'Budget 2025'!N8</f>
        <v>6950.0000001494245</v>
      </c>
      <c r="I8" s="27">
        <f>F8/H8</f>
        <v>1.0176258992609266</v>
      </c>
      <c r="K8" s="32"/>
    </row>
    <row r="9" spans="1:11" x14ac:dyDescent="0.35">
      <c r="A9" s="5" t="s">
        <v>15</v>
      </c>
      <c r="B9" s="30">
        <f>SUMIFS('Outlook 6+6'!$B9:$M9,'Outlook 6+6'!$B$185:$M$185,'Outlook Quarterly 6+6'!B$4)</f>
        <v>492.13511538767386</v>
      </c>
      <c r="C9" s="8">
        <f>SUMIFS('Outlook 6+6'!$B9:$M9,'Outlook 6+6'!$B$185:$M$185,'Outlook Quarterly 6+6'!C$4)</f>
        <v>376.05009811413333</v>
      </c>
      <c r="D9" s="8">
        <f>SUMIFS('Outlook 6+6'!$B9:$M9,'Outlook 6+6'!$B$185:$M$185,'Outlook Quarterly 6+6'!D$4)</f>
        <v>375.13016948134498</v>
      </c>
      <c r="E9" s="8">
        <f>SUMIFS('Outlook 6+6'!$B9:$M9,'Outlook 6+6'!$B$185:$M$185,'Outlook Quarterly 6+6'!E$4)</f>
        <v>385.00000000827748</v>
      </c>
      <c r="F9" s="8">
        <f>SUM(B9:E9)</f>
        <v>1628.3153829914297</v>
      </c>
      <c r="H9" s="8">
        <f>'Budget 2025'!N9</f>
        <v>1862.5000000400435</v>
      </c>
      <c r="K9" s="32"/>
    </row>
    <row r="10" spans="1:11" x14ac:dyDescent="0.35">
      <c r="A10" s="5" t="s">
        <v>16</v>
      </c>
      <c r="B10" s="30">
        <f>SUMIFS('Outlook 6+6'!$B10:$M10,'Outlook 6+6'!$B$185:$M$185,'Outlook Quarterly 6+6'!B$4)</f>
        <v>1087.604681612326</v>
      </c>
      <c r="C10" s="8">
        <f>SUMIFS('Outlook 6+6'!$B10:$M10,'Outlook 6+6'!$B$185:$M$185,'Outlook Quarterly 6+6'!C$4)</f>
        <v>1290.1782312924799</v>
      </c>
      <c r="D10" s="8">
        <f>SUMIFS('Outlook 6+6'!$B10:$M10,'Outlook 6+6'!$B$185:$M$185,'Outlook Quarterly 6+6'!D$4)</f>
        <v>1570.1843662776541</v>
      </c>
      <c r="E10" s="8">
        <f>SUMIFS('Outlook 6+6'!$B10:$M10,'Outlook 6+6'!$B$185:$M$185,'Outlook Quarterly 6+6'!E$4)</f>
        <v>1496.2173378416073</v>
      </c>
      <c r="F10" s="8">
        <f>SUM(B10:E10)</f>
        <v>5444.1846170240678</v>
      </c>
      <c r="H10" s="8">
        <f>'Budget 2025'!N10</f>
        <v>5087.5000001093813</v>
      </c>
      <c r="K10" s="32"/>
    </row>
    <row r="11" spans="1:11" x14ac:dyDescent="0.35">
      <c r="A11" s="5" t="s">
        <v>70</v>
      </c>
      <c r="B11" s="30">
        <f>SUMIFS('Outlook 6+6'!$B11:$M11,'Outlook 6+6'!$B$185:$M$185,'Outlook Quarterly 6+6'!B$4)</f>
        <v>0</v>
      </c>
      <c r="C11" s="8">
        <f>SUMIFS('Outlook 6+6'!$B11:$M11,'Outlook 6+6'!$B$185:$M$185,'Outlook Quarterly 6+6'!C$4)</f>
        <v>0</v>
      </c>
      <c r="D11" s="8">
        <f>SUMIFS('Outlook 6+6'!$B11:$M11,'Outlook 6+6'!$B$185:$M$185,'Outlook Quarterly 6+6'!D$4)</f>
        <v>0</v>
      </c>
      <c r="E11" s="8">
        <f>SUMIFS('Outlook 6+6'!$B11:$M11,'Outlook 6+6'!$B$185:$M$185,'Outlook Quarterly 6+6'!E$4)</f>
        <v>0</v>
      </c>
      <c r="F11" s="8">
        <f>SUM(B11:E11)</f>
        <v>0</v>
      </c>
      <c r="H11" s="8">
        <f>'Budget 2025'!N11</f>
        <v>0</v>
      </c>
      <c r="K11" s="32"/>
    </row>
    <row r="12" spans="1:11" s="2" customFormat="1" x14ac:dyDescent="0.35">
      <c r="A12" s="9" t="s">
        <v>18</v>
      </c>
      <c r="B12" s="11">
        <f t="shared" ref="B12:F12" si="2">B5/B8</f>
        <v>13.199436500490975</v>
      </c>
      <c r="C12" s="11">
        <f t="shared" si="2"/>
        <v>13.10910519795253</v>
      </c>
      <c r="D12" s="11">
        <f t="shared" si="2"/>
        <v>13.728363586004201</v>
      </c>
      <c r="E12" s="11">
        <f t="shared" si="2"/>
        <v>13.712106930442502</v>
      </c>
      <c r="F12" s="11">
        <f t="shared" si="2"/>
        <v>13.460003693691043</v>
      </c>
      <c r="H12" s="11">
        <f>'Budget 2025'!N12</f>
        <v>13.627982473130343</v>
      </c>
      <c r="K12" s="32"/>
    </row>
    <row r="13" spans="1:11" s="2" customFormat="1" x14ac:dyDescent="0.35">
      <c r="A13" s="9" t="s">
        <v>19</v>
      </c>
      <c r="B13" s="10">
        <f>SUM(B14:B16)</f>
        <v>1698.6086059999998</v>
      </c>
      <c r="C13" s="10">
        <f t="shared" ref="C13:E13" si="3">SUM(C14:C16)</f>
        <v>1656.0149834999997</v>
      </c>
      <c r="D13" s="10">
        <f t="shared" si="3"/>
        <v>1962.7499999999998</v>
      </c>
      <c r="E13" s="10">
        <f t="shared" si="3"/>
        <v>1817.6264104999996</v>
      </c>
      <c r="F13" s="10">
        <f>SUM(B13:E13)</f>
        <v>7134.9999999999982</v>
      </c>
      <c r="H13" s="10">
        <f>'Budget 2025'!N13</f>
        <v>7100.0000001494254</v>
      </c>
      <c r="K13" s="32"/>
    </row>
    <row r="14" spans="1:11" x14ac:dyDescent="0.35">
      <c r="A14" s="5" t="s">
        <v>15</v>
      </c>
      <c r="B14" s="30">
        <f>SUMIFS('Outlook 6+6'!$B14:$M14,'Outlook 6+6'!$B$185:$M$185,'Outlook Quarterly 6+6'!B$4)</f>
        <v>568.07789038767385</v>
      </c>
      <c r="C14" s="8">
        <f>SUMIFS('Outlook 6+6'!$B14:$M14,'Outlook 6+6'!$B$185:$M$185,'Outlook Quarterly 6+6'!C$4)</f>
        <v>360.70166721413329</v>
      </c>
      <c r="D14" s="8">
        <f>SUMIFS('Outlook 6+6'!$B14:$M14,'Outlook 6+6'!$B$185:$M$185,'Outlook Quarterly 6+6'!D$4)</f>
        <v>465.00000000558998</v>
      </c>
      <c r="E14" s="8">
        <f>SUMIFS('Outlook 6+6'!$B14:$M14,'Outlook 6+6'!$B$185:$M$185,'Outlook Quarterly 6+6'!E$4)</f>
        <v>336.22044239260254</v>
      </c>
      <c r="F14" s="8">
        <f>SUM(B14:E14)</f>
        <v>1729.9999999999998</v>
      </c>
      <c r="H14" s="8">
        <f>'Budget 2025'!N14</f>
        <v>1862.5000000400439</v>
      </c>
      <c r="K14" s="32"/>
    </row>
    <row r="15" spans="1:11" x14ac:dyDescent="0.35">
      <c r="A15" s="5" t="s">
        <v>16</v>
      </c>
      <c r="B15" s="30">
        <f>SUMIFS('Outlook 6+6'!$B15:$M15,'Outlook 6+6'!$B$185:$M$185,'Outlook Quarterly 6+6'!B$4)</f>
        <v>1130.530715612326</v>
      </c>
      <c r="C15" s="8">
        <f>SUMIFS('Outlook 6+6'!$B15:$M15,'Outlook 6+6'!$B$185:$M$185,'Outlook Quarterly 6+6'!C$4)</f>
        <v>1295.1119472924802</v>
      </c>
      <c r="D15" s="8">
        <f>SUMIFS('Outlook 6+6'!$B15:$M15,'Outlook 6+6'!$B$185:$M$185,'Outlook Quarterly 6+6'!D$4)</f>
        <v>1484.9999999944098</v>
      </c>
      <c r="E15" s="8">
        <f>SUMIFS('Outlook 6+6'!$B15:$M15,'Outlook 6+6'!$B$185:$M$185,'Outlook Quarterly 6+6'!E$4)</f>
        <v>1443.155968107397</v>
      </c>
      <c r="F15" s="8">
        <f t="shared" ref="F15:F16" si="4">SUM(B15:E15)</f>
        <v>5353.7986310066135</v>
      </c>
      <c r="H15" s="8">
        <f>'Budget 2025'!N15</f>
        <v>5110.0000001093813</v>
      </c>
      <c r="K15" s="32"/>
    </row>
    <row r="16" spans="1:11" x14ac:dyDescent="0.35">
      <c r="A16" s="5" t="s">
        <v>68</v>
      </c>
      <c r="B16" s="30">
        <f>SUMIFS('Outlook 6+6'!$B16:$M16,'Outlook 6+6'!$B$185:$M$185,'Outlook Quarterly 6+6'!B$4)</f>
        <v>0</v>
      </c>
      <c r="C16" s="8">
        <f>SUMIFS('Outlook 6+6'!$B16:$M16,'Outlook 6+6'!$B$185:$M$185,'Outlook Quarterly 6+6'!C$4)</f>
        <v>0.20136899338635333</v>
      </c>
      <c r="D16" s="8">
        <f>SUMIFS('Outlook 6+6'!$B16:$M16,'Outlook 6+6'!$B$185:$M$185,'Outlook Quarterly 6+6'!D$4)</f>
        <v>12.75</v>
      </c>
      <c r="E16" s="8">
        <f>SUMIFS('Outlook 6+6'!$B16:$M16,'Outlook 6+6'!$B$185:$M$185,'Outlook Quarterly 6+6'!E$4)</f>
        <v>38.25</v>
      </c>
      <c r="F16" s="8">
        <f t="shared" si="4"/>
        <v>51.201368993386353</v>
      </c>
      <c r="H16" s="14">
        <f>'Budget 2025'!N48</f>
        <v>127.5</v>
      </c>
      <c r="K16" s="32"/>
    </row>
    <row r="17" spans="1:11" s="2" customFormat="1" x14ac:dyDescent="0.35">
      <c r="A17" s="9" t="s">
        <v>20</v>
      </c>
      <c r="B17" s="11">
        <f>B5/B13</f>
        <v>12.27573854515135</v>
      </c>
      <c r="C17" s="11">
        <f t="shared" ref="C17:F17" si="5">C5/C13</f>
        <v>13.189954602847347</v>
      </c>
      <c r="D17" s="11">
        <f t="shared" si="5"/>
        <v>13.60641204230723</v>
      </c>
      <c r="E17" s="11">
        <f t="shared" si="5"/>
        <v>14.191834552461245</v>
      </c>
      <c r="F17" s="11">
        <f t="shared" si="5"/>
        <v>13.342098966200215</v>
      </c>
      <c r="H17" s="11">
        <f>'Budget 2025'!N17</f>
        <v>13.340067350464633</v>
      </c>
      <c r="K17" s="32"/>
    </row>
    <row r="18" spans="1:11" s="2" customFormat="1" x14ac:dyDescent="0.35">
      <c r="A18" s="9" t="s">
        <v>21</v>
      </c>
      <c r="B18" s="10">
        <f>SUMIFS('Outlook 6+6'!$B18:$M18,'Outlook 6+6'!$B$185:$M$185,'Outlook Quarterly 6+6'!B$4)</f>
        <v>398.64282296729493</v>
      </c>
      <c r="C18" s="10">
        <f>SUMIFS('Outlook 6+6'!$B18:$M18,'Outlook 6+6'!$B$185:$M$185,'Outlook Quarterly 6+6'!C$4)</f>
        <v>239.97429678282535</v>
      </c>
      <c r="D18" s="10">
        <f>SUMIFS('Outlook 6+6'!$B18:$M18,'Outlook 6+6'!$B$185:$M$185,'Outlook Quarterly 6+6'!D$4)</f>
        <v>252.87024368288363</v>
      </c>
      <c r="E18" s="10">
        <f>SUMIFS('Outlook 6+6'!$B18:$M18,'Outlook 6+6'!$B$185:$M$185,'Outlook Quarterly 6+6'!E$4)</f>
        <v>173.238697390662</v>
      </c>
      <c r="F18" s="10">
        <f>SUM(B18:E18)</f>
        <v>1064.7260608236659</v>
      </c>
      <c r="H18" s="10">
        <f>'Budget 2025'!N18</f>
        <v>1228.8031519784099</v>
      </c>
      <c r="K18" s="32"/>
    </row>
    <row r="19" spans="1:11" x14ac:dyDescent="0.35">
      <c r="A19" s="5" t="s">
        <v>60</v>
      </c>
      <c r="B19" s="30">
        <f>SUMPRODUCT('Outlook 6+6'!$B19:$D19,'Outlook 6+6'!$B$18:$D$18)/SUM('Outlook 6+6'!$B$18:$D$18)</f>
        <v>6165.9257086878761</v>
      </c>
      <c r="C19" s="8">
        <f>SUMPRODUCT('Outlook 6+6'!$E19:$G19,'Outlook 6+6'!$E$18:$G$18)/SUM('Outlook 6+6'!$E$18:$G$18)</f>
        <v>6125.2907160857021</v>
      </c>
      <c r="D19" s="8">
        <f>SUMPRODUCT('Outlook 6+6'!$H19:$J19,'Outlook 6+6'!$H$18:$J$18)/SUM('Outlook 6+6'!$H$18:$J$18)</f>
        <v>6098.4068894098418</v>
      </c>
      <c r="E19" s="8">
        <f>SUMPRODUCT('Outlook 6+6'!$K19:$M19,'Outlook 6+6'!$K$18:$M$18)/SUM('Outlook 6+6'!$K$18:$M$18)</f>
        <v>6247.2227066272353</v>
      </c>
      <c r="F19" s="14">
        <f>SUMPRODUCT(B19:E19,$B$18:$E$18)/SUM($B$18:$E$18)</f>
        <v>6153.9591864973172</v>
      </c>
      <c r="H19" s="8">
        <f>'Budget 2025'!N19</f>
        <v>6169.7769053579887</v>
      </c>
      <c r="K19" s="32"/>
    </row>
    <row r="20" spans="1:11" x14ac:dyDescent="0.35">
      <c r="A20" s="5" t="s">
        <v>22</v>
      </c>
      <c r="B20" s="31">
        <f>SUMPRODUCT('Outlook 6+6'!$B20:$D20,'Outlook 6+6'!$B$18:$D$18)/SUM('Outlook 6+6'!$B$18:$D$18)</f>
        <v>0.63594838314043822</v>
      </c>
      <c r="C20" s="7">
        <f>SUMPRODUCT('Outlook 6+6'!$E20:$G20,'Outlook 6+6'!$E$18:$G$18)/SUM('Outlook 6+6'!$E$18:$G$18)</f>
        <v>0.70273825753653607</v>
      </c>
      <c r="D20" s="7">
        <f>SUMPRODUCT('Outlook 6+6'!$H20:$J20,'Outlook 6+6'!$H$18:$J$18)/SUM('Outlook 6+6'!$H$18:$J$18)</f>
        <v>0.93499887233162848</v>
      </c>
      <c r="E20" s="7">
        <f>SUMPRODUCT('Outlook 6+6'!$K20:$M20,'Outlook 6+6'!$K$18:$M$18)/SUM('Outlook 6+6'!$K$18:$M$18)</f>
        <v>0.85810606693931768</v>
      </c>
      <c r="F20" s="15">
        <f>SUMPRODUCT(B20:E20,$B$18:$E$18)/SUM($B$18:$E$18)</f>
        <v>0.7581724328379269</v>
      </c>
      <c r="H20" s="7">
        <f>'Budget 2025'!N20</f>
        <v>0.81080180973763216</v>
      </c>
      <c r="K20" s="32"/>
    </row>
    <row r="21" spans="1:11" x14ac:dyDescent="0.35">
      <c r="A21" s="5" t="s">
        <v>23</v>
      </c>
      <c r="B21" s="31">
        <f>SUMPRODUCT('Outlook 6+6'!$B21:$D21,'Outlook 6+6'!$B$18:$D$18)/SUM('Outlook 6+6'!$B$18:$D$18)</f>
        <v>8.4258284465607183</v>
      </c>
      <c r="C21" s="7">
        <f>SUMPRODUCT('Outlook 6+6'!$E21:$G21,'Outlook 6+6'!$E$18:$G$18)/SUM('Outlook 6+6'!$E$18:$G$18)</f>
        <v>8.0792852511272493</v>
      </c>
      <c r="D21" s="7">
        <f>SUMPRODUCT('Outlook 6+6'!$H21:$J21,'Outlook 6+6'!$H$18:$J$18)/SUM('Outlook 6+6'!$H$18:$J$18)</f>
        <v>8.9672132139656782</v>
      </c>
      <c r="E21" s="7">
        <f>SUMPRODUCT('Outlook 6+6'!$K21:$M21,'Outlook 6+6'!$K$18:$M$18)/SUM('Outlook 6+6'!$K$18:$M$18)</f>
        <v>8.6997645231500353</v>
      </c>
      <c r="F21" s="15">
        <f>SUMPRODUCT(B21:E21,$B$18:$E$18)/SUM($B$18:$E$18)</f>
        <v>8.5208716423938622</v>
      </c>
      <c r="H21" s="7">
        <f>'Budget 2025'!N21</f>
        <v>8.3745644868486551</v>
      </c>
      <c r="K21" s="32"/>
    </row>
    <row r="22" spans="1:11" x14ac:dyDescent="0.35">
      <c r="A22" s="5" t="s">
        <v>24</v>
      </c>
      <c r="B22" s="31">
        <f>SUMPRODUCT('Outlook 6+6'!$B22:$D22,'Outlook 6+6'!$B$18:$D$18)/SUM('Outlook 6+6'!$B$18:$D$18)</f>
        <v>8.9485956835534957</v>
      </c>
      <c r="C22" s="7">
        <f>SUMPRODUCT('Outlook 6+6'!$E22:$G22,'Outlook 6+6'!$E$18:$G$18)/SUM('Outlook 6+6'!$E$18:$G$18)</f>
        <v>9.2901325763746065</v>
      </c>
      <c r="D22" s="7">
        <f>SUMPRODUCT('Outlook 6+6'!$H22:$J22,'Outlook 6+6'!$H$18:$J$18)/SUM('Outlook 6+6'!$H$18:$J$18)</f>
        <v>8.1417201595775115</v>
      </c>
      <c r="E22" s="7">
        <f>SUMPRODUCT('Outlook 6+6'!$K22:$M22,'Outlook 6+6'!$K$18:$M$18)/SUM('Outlook 6+6'!$K$18:$M$18)</f>
        <v>7.2312887755795812</v>
      </c>
      <c r="F22" s="15">
        <f>SUMPRODUCT(B22:E22,$B$18:$E$18)/SUM($B$18:$E$18)</f>
        <v>8.5545236664543491</v>
      </c>
      <c r="H22" s="7">
        <f>'Budget 2025'!N22</f>
        <v>8.0403443049370615</v>
      </c>
      <c r="K22" s="32"/>
    </row>
    <row r="23" spans="1:11" x14ac:dyDescent="0.35">
      <c r="A23" s="5" t="s">
        <v>25</v>
      </c>
      <c r="B23" s="31">
        <f>SUMPRODUCT('Outlook 6+6'!$B23:$D23,'Outlook 6+6'!$B$18:$D$18)/SUM('Outlook 6+6'!$B$18:$D$18)</f>
        <v>11.704988829718115</v>
      </c>
      <c r="C23" s="7">
        <f>SUMPRODUCT('Outlook 6+6'!$E23:$G23,'Outlook 6+6'!$E$18:$G$18)/SUM('Outlook 6+6'!$E$18:$G$18)</f>
        <v>12.490927425387589</v>
      </c>
      <c r="D23" s="7">
        <f>SUMPRODUCT('Outlook 6+6'!$H23:$J23,'Outlook 6+6'!$H$18:$J$18)/SUM('Outlook 6+6'!$H$18:$J$18)</f>
        <v>13.019212025850095</v>
      </c>
      <c r="E23" s="7">
        <f>SUMPRODUCT('Outlook 6+6'!$K23:$M23,'Outlook 6+6'!$K$18:$M$18)/SUM('Outlook 6+6'!$K$18:$M$18)</f>
        <v>12.256651094420159</v>
      </c>
      <c r="F23" s="15">
        <f>SUMPRODUCT(B23:E23,$B$18:$E$18)/SUM($B$18:$E$18)</f>
        <v>12.284013121966112</v>
      </c>
      <c r="H23" s="7">
        <f>'Budget 2025'!N23</f>
        <v>13.065706623777643</v>
      </c>
      <c r="K23" s="32"/>
    </row>
    <row r="24" spans="1:11" s="2" customFormat="1" x14ac:dyDescent="0.35">
      <c r="A24" s="9" t="s">
        <v>26</v>
      </c>
      <c r="B24" s="10">
        <f>SUMIFS('Outlook 6+6'!$B24:$M24,'Outlook 6+6'!$B$185:$M$185,'Outlook Quarterly 6+6'!B$4)</f>
        <v>169.43506742037897</v>
      </c>
      <c r="C24" s="10">
        <f>SUMIFS('Outlook 6+6'!$B24:$M24,'Outlook 6+6'!$B$185:$M$185,'Outlook Quarterly 6+6'!C$4)</f>
        <v>120.72737043130797</v>
      </c>
      <c r="D24" s="10">
        <f>SUMIFS('Outlook 6+6'!$B24:$M24,'Outlook 6+6'!$B$185:$M$185,'Outlook Quarterly 6+6'!D$4)</f>
        <v>212.12975632270636</v>
      </c>
      <c r="E24" s="10">
        <f>SUMIFS('Outlook 6+6'!$B24:$M24,'Outlook 6+6'!$B$185:$M$185,'Outlook Quarterly 6+6'!E$4)</f>
        <v>162.98174500194057</v>
      </c>
      <c r="F24" s="10">
        <f>SUM(B24:E24)</f>
        <v>665.2739391763339</v>
      </c>
      <c r="H24" s="10">
        <f>'Budget 2025'!N24</f>
        <v>633.69684806163377</v>
      </c>
      <c r="K24" s="32"/>
    </row>
    <row r="25" spans="1:11" x14ac:dyDescent="0.35">
      <c r="A25" s="5" t="s">
        <v>60</v>
      </c>
      <c r="B25" s="30">
        <f>SUMPRODUCT('Outlook 6+6'!$B25:$D25,'Outlook 6+6'!$B$24:$D$24)/SUM('Outlook 6+6'!$B$24:$D$24)</f>
        <v>5965.8963934410449</v>
      </c>
      <c r="C25" s="8">
        <f>SUMPRODUCT('Outlook 6+6'!$E25:$G25,'Outlook 6+6'!$E$24:$G$24)/SUM('Outlook 6+6'!$E$24:$G$24)</f>
        <v>6003.1615305036084</v>
      </c>
      <c r="D25" s="8">
        <f>SUMPRODUCT('Outlook 6+6'!$H25:$J25,'Outlook 6+6'!$H$24:$J$24)/SUM('Outlook 6+6'!$H$24:$J$24)</f>
        <v>5960.1453521864969</v>
      </c>
      <c r="E25" s="8">
        <f>SUMPRODUCT('Outlook 6+6'!$K25:$M25,'Outlook 6+6'!$K$24:$M$24)/SUM('Outlook 6+6'!$K$24:$M$24)</f>
        <v>5831.4598448977986</v>
      </c>
      <c r="F25" s="14">
        <f>SUMPRODUCT(B25:E25,$B$24:$E$24)/SUM($B$24:$E$24)</f>
        <v>5937.8902637100537</v>
      </c>
      <c r="H25" s="8">
        <f>'Budget 2025'!N25</f>
        <v>5965.7827396699631</v>
      </c>
      <c r="K25" s="32"/>
    </row>
    <row r="26" spans="1:11" x14ac:dyDescent="0.35">
      <c r="A26" s="5" t="s">
        <v>22</v>
      </c>
      <c r="B26" s="31">
        <f>SUMPRODUCT('Outlook 6+6'!$B26:$D26,'Outlook 6+6'!$B$24:$D$24)/SUM('Outlook 6+6'!$B$24:$D$24)</f>
        <v>2.1512944350251231</v>
      </c>
      <c r="C26" s="7">
        <f>SUMPRODUCT('Outlook 6+6'!$E26:$G26,'Outlook 6+6'!$E$24:$G$24)/SUM('Outlook 6+6'!$E$24:$G$24)</f>
        <v>2.1950047030915121</v>
      </c>
      <c r="D26" s="7">
        <f>SUMPRODUCT('Outlook 6+6'!$H26:$J26,'Outlook 6+6'!$H$24:$J$24)/SUM('Outlook 6+6'!$H$24:$J$24)</f>
        <v>2.6492409893578941</v>
      </c>
      <c r="E26" s="7">
        <f>SUMPRODUCT('Outlook 6+6'!$K26:$M26,'Outlook 6+6'!$K$24:$M$24)/SUM('Outlook 6+6'!$K$24:$M$24)</f>
        <v>2.7046074835180098</v>
      </c>
      <c r="F26" s="15">
        <f>SUMPRODUCT(B26:E26,$B$24:$E$24)/SUM($B$24:$E$24)</f>
        <v>2.4535552351122583</v>
      </c>
      <c r="H26" s="7">
        <f>'Budget 2025'!N26</f>
        <v>2.5790489447985023</v>
      </c>
      <c r="K26" s="32"/>
    </row>
    <row r="27" spans="1:11" x14ac:dyDescent="0.35">
      <c r="A27" s="5" t="s">
        <v>23</v>
      </c>
      <c r="B27" s="31">
        <f>SUMPRODUCT('Outlook 6+6'!$B27:$D27,'Outlook 6+6'!$B$24:$D$24)/SUM('Outlook 6+6'!$B$24:$D$24)</f>
        <v>11.823331516107293</v>
      </c>
      <c r="C27" s="7">
        <f>SUMPRODUCT('Outlook 6+6'!$E27:$G27,'Outlook 6+6'!$E$24:$G$24)/SUM('Outlook 6+6'!$E$24:$G$24)</f>
        <v>11.747990739339832</v>
      </c>
      <c r="D27" s="7">
        <f>SUMPRODUCT('Outlook 6+6'!$H27:$J27,'Outlook 6+6'!$H$24:$J$24)/SUM('Outlook 6+6'!$H$24:$J$24)</f>
        <v>12.892680038392648</v>
      </c>
      <c r="E27" s="7">
        <f>SUMPRODUCT('Outlook 6+6'!$K27:$M27,'Outlook 6+6'!$K$24:$M$24)/SUM('Outlook 6+6'!$K$24:$M$24)</f>
        <v>15.997435015924475</v>
      </c>
      <c r="F27" s="15">
        <f>SUMPRODUCT(B27:E27,$B$24:$E$24)/SUM($B$24:$E$24)</f>
        <v>13.173222992273971</v>
      </c>
      <c r="H27" s="7">
        <f>'Budget 2025'!N27</f>
        <v>13.960595439757462</v>
      </c>
      <c r="K27" s="32"/>
    </row>
    <row r="28" spans="1:11" x14ac:dyDescent="0.35">
      <c r="A28" s="5" t="s">
        <v>24</v>
      </c>
      <c r="B28" s="31">
        <f>SUMPRODUCT('Outlook 6+6'!$B28:$D28,'Outlook 6+6'!$B$24:$D$24)/SUM('Outlook 6+6'!$B$24:$D$24)</f>
        <v>7.4970729359287187</v>
      </c>
      <c r="C28" s="7">
        <f>SUMPRODUCT('Outlook 6+6'!$E28:$G28,'Outlook 6+6'!$E$24:$G$24)/SUM('Outlook 6+6'!$E$24:$G$24)</f>
        <v>7.1696844714818582</v>
      </c>
      <c r="D28" s="7">
        <f>SUMPRODUCT('Outlook 6+6'!$H28:$J28,'Outlook 6+6'!$H$24:$J$24)/SUM('Outlook 6+6'!$H$24:$J$24)</f>
        <v>7.4230886673626459</v>
      </c>
      <c r="E28" s="7">
        <f>SUMPRODUCT('Outlook 6+6'!$K28:$M28,'Outlook 6+6'!$K$24:$M$24)/SUM('Outlook 6+6'!$K$24:$M$24)</f>
        <v>7.1945509714284945</v>
      </c>
      <c r="F28" s="15">
        <f>SUMPRODUCT(B28:E28,$B$24:$E$24)/SUM($B$24:$E$24)</f>
        <v>7.3399578517426161</v>
      </c>
      <c r="H28" s="7">
        <f>'Budget 2025'!N28</f>
        <v>6.7439986369460003</v>
      </c>
      <c r="K28" s="32"/>
    </row>
    <row r="29" spans="1:11" x14ac:dyDescent="0.35">
      <c r="A29" s="5" t="s">
        <v>25</v>
      </c>
      <c r="B29" s="31">
        <f>SUMPRODUCT('Outlook 6+6'!$B29:$D29,'Outlook 6+6'!$B$24:$D$24)/SUM('Outlook 6+6'!$B$24:$D$24)</f>
        <v>11.361644829819818</v>
      </c>
      <c r="C29" s="7">
        <f>SUMPRODUCT('Outlook 6+6'!$E29:$G29,'Outlook 6+6'!$E$24:$G$24)/SUM('Outlook 6+6'!$E$24:$G$24)</f>
        <v>11.096743320764263</v>
      </c>
      <c r="D29" s="7">
        <f>SUMPRODUCT('Outlook 6+6'!$H29:$J29,'Outlook 6+6'!$H$24:$J$24)/SUM('Outlook 6+6'!$H$24:$J$24)</f>
        <v>12.380262634416884</v>
      </c>
      <c r="E29" s="7">
        <f>SUMPRODUCT('Outlook 6+6'!$K29:$M29,'Outlook 6+6'!$K$24:$M$24)/SUM('Outlook 6+6'!$K$24:$M$24)</f>
        <v>12.219913290269073</v>
      </c>
      <c r="F29" s="15">
        <f>SUMPRODUCT(B29:E29,$B$24:$E$24)/SUM($B$24:$E$24)</f>
        <v>11.848632755168055</v>
      </c>
      <c r="H29" s="7">
        <f>'Budget 2025'!N29</f>
        <v>11.769360955786579</v>
      </c>
      <c r="K29" s="32"/>
    </row>
    <row r="30" spans="1:11" s="2" customFormat="1" x14ac:dyDescent="0.35">
      <c r="A30" s="9" t="s">
        <v>27</v>
      </c>
      <c r="B30" s="10">
        <f>SUMIFS('Outlook 6+6'!$B30:$M30,'Outlook 6+6'!$B$185:$M$185,'Outlook Quarterly 6+6'!B$4)</f>
        <v>17.998534950640156</v>
      </c>
      <c r="C30" s="10">
        <f>SUMIFS('Outlook 6+6'!$B30:$M30,'Outlook 6+6'!$B$185:$M$185,'Outlook Quarterly 6+6'!C$4)</f>
        <v>22.6152240891359</v>
      </c>
      <c r="D30" s="10">
        <f>SUMIFS('Outlook 6+6'!$B30:$M30,'Outlook 6+6'!$B$185:$M$185,'Outlook Quarterly 6+6'!D$4)</f>
        <v>0</v>
      </c>
      <c r="E30" s="10">
        <f>SUMIFS('Outlook 6+6'!$B30:$M30,'Outlook 6+6'!$B$185:$M$185,'Outlook Quarterly 6+6'!E$4)</f>
        <v>0</v>
      </c>
      <c r="F30" s="10">
        <f>SUM(B30:E30)</f>
        <v>40.613759039776056</v>
      </c>
      <c r="H30" s="10">
        <f>'Budget 2025'!N30</f>
        <v>13.639935932123354</v>
      </c>
      <c r="K30" s="32"/>
    </row>
    <row r="31" spans="1:11" x14ac:dyDescent="0.35">
      <c r="A31" s="5" t="s">
        <v>60</v>
      </c>
      <c r="B31" s="30">
        <f>SUMPRODUCT('Outlook 6+6'!$B31:$D31,'Outlook 6+6'!$B$30:$D$30)/SUM('Outlook 6+6'!$B$30:$D$30)</f>
        <v>5860.2841598568384</v>
      </c>
      <c r="C31" s="8">
        <f>SUMPRODUCT('Outlook 6+6'!$E31:$G31,'Outlook 6+6'!$E$30:$G$30)/SUM('Outlook 6+6'!$E$30:$G$30)</f>
        <v>5977.0924505891917</v>
      </c>
      <c r="D31" s="7">
        <f>IFERROR(SUMPRODUCT('Outlook 6+6'!$H31:$J31,'Outlook 6+6'!$H$30:$J$30)/SUM('Outlook 6+6'!$H$30:$J$30),0)</f>
        <v>0</v>
      </c>
      <c r="E31" s="8">
        <f>IFERROR(SUMPRODUCT('Outlook 6+6'!$K31:$M31,'Outlook 6+6'!$K$30:$M$30)/SUM('Outlook 6+6'!$K$30:$M$30),0)</f>
        <v>0</v>
      </c>
      <c r="F31" s="14">
        <f>SUMPRODUCT(B31:E31,$B$30:$E$30)/SUM($B$30:$E$30)</f>
        <v>5925.3272815189812</v>
      </c>
      <c r="H31" s="8">
        <f>'Budget 2025'!N31</f>
        <v>5822.4314107916898</v>
      </c>
      <c r="K31" s="32"/>
    </row>
    <row r="32" spans="1:11" x14ac:dyDescent="0.35">
      <c r="A32" s="5" t="s">
        <v>22</v>
      </c>
      <c r="B32" s="31">
        <f>SUMPRODUCT('Outlook 6+6'!$B32:$D32,'Outlook 6+6'!$B$30:$D$30)/SUM('Outlook 6+6'!$B$30:$D$30)</f>
        <v>0.92078055205593867</v>
      </c>
      <c r="C32" s="7">
        <f>SUMPRODUCT('Outlook 6+6'!$E32:$G32,'Outlook 6+6'!$E$30:$G$30)/SUM('Outlook 6+6'!$E$30:$G$30)</f>
        <v>0.91930839455401347</v>
      </c>
      <c r="D32" s="7">
        <f>IFERROR(SUMPRODUCT('Outlook 6+6'!$H32:$J32,'Outlook 6+6'!$H$30:$J$30)/SUM('Outlook 6+6'!$H$30:$J$30),0)</f>
        <v>0</v>
      </c>
      <c r="E32" s="7">
        <f>IFERROR(SUMPRODUCT('Outlook 6+6'!$K32:$M32,'Outlook 6+6'!$K$30:$M$30)/SUM('Outlook 6+6'!$K$30:$M$30),0)</f>
        <v>0</v>
      </c>
      <c r="F32" s="15">
        <f>SUMPRODUCT(B32:E32,$B$30:$E$30)/SUM($B$30:$E$30)</f>
        <v>0.91996080100142696</v>
      </c>
      <c r="H32" s="7">
        <f>'Budget 2025'!N32</f>
        <v>0.90072278104426418</v>
      </c>
      <c r="K32" s="32"/>
    </row>
    <row r="33" spans="1:11" x14ac:dyDescent="0.35">
      <c r="A33" s="5" t="s">
        <v>23</v>
      </c>
      <c r="B33" s="31">
        <f>SUMPRODUCT('Outlook 6+6'!$B33:$D33,'Outlook 6+6'!$B$30:$D$30)/SUM('Outlook 6+6'!$B$30:$D$30)</f>
        <v>7.1845522059903786</v>
      </c>
      <c r="C33" s="7">
        <f>SUMPRODUCT('Outlook 6+6'!$E33:$G33,'Outlook 6+6'!$E$30:$G$30)/SUM('Outlook 6+6'!$E$30:$G$30)</f>
        <v>5.8754678467890757</v>
      </c>
      <c r="D33" s="7">
        <f>IFERROR(SUMPRODUCT('Outlook 6+6'!$H33:$J33,'Outlook 6+6'!$H$30:$J$30)/SUM('Outlook 6+6'!$H$30:$J$30),0)</f>
        <v>0</v>
      </c>
      <c r="E33" s="7">
        <f>IFERROR(SUMPRODUCT('Outlook 6+6'!$K33:$M33,'Outlook 6+6'!$K$30:$M$30)/SUM('Outlook 6+6'!$K$30:$M$30),0)</f>
        <v>0</v>
      </c>
      <c r="F33" s="15">
        <f>SUMPRODUCT(B33:E33,$B$30:$E$30)/SUM($B$30:$E$30)</f>
        <v>6.4556062321413261</v>
      </c>
      <c r="H33" s="7">
        <f>'Budget 2025'!N33</f>
        <v>8.5977728246687075</v>
      </c>
      <c r="K33" s="32"/>
    </row>
    <row r="34" spans="1:11" x14ac:dyDescent="0.35">
      <c r="A34" s="5" t="s">
        <v>24</v>
      </c>
      <c r="B34" s="31">
        <f>SUMPRODUCT('Outlook 6+6'!$B34:$D34,'Outlook 6+6'!$B$30:$D$30)/SUM('Outlook 6+6'!$B$30:$D$30)</f>
        <v>11.016359658939894</v>
      </c>
      <c r="C34" s="7">
        <f>SUMPRODUCT('Outlook 6+6'!$E34:$G34,'Outlook 6+6'!$E$30:$G$30)/SUM('Outlook 6+6'!$E$30:$G$30)</f>
        <v>11.460732922252493</v>
      </c>
      <c r="D34" s="7">
        <f>IFERROR(SUMPRODUCT('Outlook 6+6'!$H34:$J34,'Outlook 6+6'!$H$30:$J$30)/SUM('Outlook 6+6'!$H$30:$J$30),0)</f>
        <v>0</v>
      </c>
      <c r="E34" s="7">
        <f>IFERROR(SUMPRODUCT('Outlook 6+6'!$K34:$M34,'Outlook 6+6'!$K$30:$M$30)/SUM('Outlook 6+6'!$K$30:$M$30),0)</f>
        <v>0</v>
      </c>
      <c r="F34" s="15">
        <f>SUMPRODUCT(B34:E34,$B$30:$E$30)/SUM($B$30:$E$30)</f>
        <v>11.26380291872761</v>
      </c>
      <c r="H34" s="7">
        <f>'Budget 2025'!N34</f>
        <v>11.354385937535314</v>
      </c>
      <c r="K34" s="32"/>
    </row>
    <row r="35" spans="1:11" x14ac:dyDescent="0.35">
      <c r="A35" s="5" t="s">
        <v>25</v>
      </c>
      <c r="B35" s="31">
        <f>SUMPRODUCT('Outlook 6+6'!$B35:$D35,'Outlook 6+6'!$B$30:$D$30)/SUM('Outlook 6+6'!$B$30:$D$30)</f>
        <v>14.501868846947692</v>
      </c>
      <c r="C35" s="7">
        <f>SUMPRODUCT('Outlook 6+6'!$E35:$G35,'Outlook 6+6'!$E$30:$G$30)/SUM('Outlook 6+6'!$E$30:$G$30)</f>
        <v>14.551760267668602</v>
      </c>
      <c r="D35" s="7">
        <f>IFERROR(SUMPRODUCT('Outlook 6+6'!$H35:$J35,'Outlook 6+6'!$H$30:$J$30)/SUM('Outlook 6+6'!$H$30:$J$30),0)</f>
        <v>0</v>
      </c>
      <c r="E35" s="7">
        <f>IFERROR(SUMPRODUCT('Outlook 6+6'!$K35:$M35,'Outlook 6+6'!$K$30:$M$30)/SUM('Outlook 6+6'!$K$30:$M$30),0)</f>
        <v>0</v>
      </c>
      <c r="F35" s="15">
        <f>SUMPRODUCT(B35:E35,$B$30:$E$30)/SUM($B$30:$E$30)</f>
        <v>14.529650211844835</v>
      </c>
      <c r="H35" s="7">
        <f>'Budget 2025'!N35</f>
        <v>16.354385937535316</v>
      </c>
      <c r="K35" s="32"/>
    </row>
    <row r="36" spans="1:11" s="2" customFormat="1" x14ac:dyDescent="0.35">
      <c r="A36" s="9" t="s">
        <v>28</v>
      </c>
      <c r="B36" s="10">
        <f>SUMIFS('Outlook 6+6'!$B36:$M36,'Outlook 6+6'!$B$185:$M$185,'Outlook Quarterly 6+6'!B$4)</f>
        <v>48.098998542541892</v>
      </c>
      <c r="C36" s="10">
        <f>SUMIFS('Outlook 6+6'!$B36:$M36,'Outlook 6+6'!$B$185:$M$185,'Outlook Quarterly 6+6'!C$4)</f>
        <v>98.069733204971257</v>
      </c>
      <c r="D36" s="10">
        <f>SUMIFS('Outlook 6+6'!$B36:$M36,'Outlook 6+6'!$B$185:$M$185,'Outlook Quarterly 6+6'!D$4)</f>
        <v>145.6194487526673</v>
      </c>
      <c r="E36" s="10">
        <f>SUMIFS('Outlook 6+6'!$B36:$M36,'Outlook 6+6'!$B$185:$M$185,'Outlook Quarterly 6+6'!E$4)</f>
        <v>221.98897161002375</v>
      </c>
      <c r="F36" s="10">
        <f>SUM(B36:E36)</f>
        <v>513.77715211020427</v>
      </c>
      <c r="H36" s="10">
        <f>'Budget 2025'!N36</f>
        <v>422.7154641342064</v>
      </c>
      <c r="K36" s="32"/>
    </row>
    <row r="37" spans="1:11" x14ac:dyDescent="0.35">
      <c r="A37" s="5" t="s">
        <v>60</v>
      </c>
      <c r="B37" s="30">
        <f>SUMPRODUCT('Outlook 6+6'!$B37:$D37,'Outlook 6+6'!$B$36:$D$36)/SUM('Outlook 6+6'!$B$36:$D$36)</f>
        <v>5977.8247179013133</v>
      </c>
      <c r="C37" s="8">
        <f>SUMPRODUCT('Outlook 6+6'!$E37:$G37,'Outlook 6+6'!$E$36:$G$36)/SUM('Outlook 6+6'!$E$36:$G$36)</f>
        <v>6012.8658690736247</v>
      </c>
      <c r="D37" s="8">
        <f>IFERROR(SUMPRODUCT('Outlook 6+6'!$H37:$J37,'Outlook 6+6'!$H$36:$J$36)/SUM('Outlook 6+6'!$H$36:$J$36),0)</f>
        <v>5992.9870099756563</v>
      </c>
      <c r="E37" s="8">
        <f>IFERROR(SUMPRODUCT('Outlook 6+6'!$K37:$M37,'Outlook 6+6'!$K$36:$M$36)/SUM('Outlook 6+6'!$K$36:$M$36),0)</f>
        <v>6020.7454211829254</v>
      </c>
      <c r="F37" s="14">
        <f>SUMPRODUCT(B37:E37,$B$36:$E$36)/SUM($B$36:$E$36)</f>
        <v>6007.3556608019535</v>
      </c>
      <c r="H37" s="8">
        <f>'Budget 2025'!N37</f>
        <v>6013.6725198079248</v>
      </c>
      <c r="K37" s="32"/>
    </row>
    <row r="38" spans="1:11" x14ac:dyDescent="0.35">
      <c r="A38" s="5" t="s">
        <v>22</v>
      </c>
      <c r="B38" s="31">
        <f>SUMPRODUCT('Outlook 6+6'!$B38:$D38,'Outlook 6+6'!$B$36:$D$36)/SUM('Outlook 6+6'!$B$36:$D$36)</f>
        <v>1.4343487336501703</v>
      </c>
      <c r="C38" s="7">
        <f>SUMPRODUCT('Outlook 6+6'!$E38:$G38,'Outlook 6+6'!$E$36:$G$36)/SUM('Outlook 6+6'!$E$36:$G$36)</f>
        <v>1.4615114364278512</v>
      </c>
      <c r="D38" s="7">
        <f>IFERROR(SUMPRODUCT('Outlook 6+6'!$H38:$J38,'Outlook 6+6'!$H$36:$J$36)/SUM('Outlook 6+6'!$H$36:$J$36),0)</f>
        <v>1.589873781574211</v>
      </c>
      <c r="E38" s="7">
        <f>IFERROR(SUMPRODUCT('Outlook 6+6'!$K38:$M38,'Outlook 6+6'!$K$36:$M$36)/SUM('Outlook 6+6'!$K$36:$M$36),0)</f>
        <v>1.579608724294927</v>
      </c>
      <c r="F38" s="15">
        <f>SUMPRODUCT(B38:E38,$B$36:$E$36)/SUM($B$36:$E$36)</f>
        <v>1.5463767334617098</v>
      </c>
      <c r="H38" s="7">
        <f>'Budget 2025'!N38</f>
        <v>1.5594733437535224</v>
      </c>
      <c r="K38" s="32"/>
    </row>
    <row r="39" spans="1:11" x14ac:dyDescent="0.35">
      <c r="A39" s="5" t="s">
        <v>23</v>
      </c>
      <c r="B39" s="31">
        <f>SUMPRODUCT('Outlook 6+6'!$B39:$D39,'Outlook 6+6'!$B$36:$D$36)/SUM('Outlook 6+6'!$B$36:$D$36)</f>
        <v>6.0426735184306386</v>
      </c>
      <c r="C39" s="7">
        <f>SUMPRODUCT('Outlook 6+6'!$E39:$G39,'Outlook 6+6'!$E$36:$G$36)/SUM('Outlook 6+6'!$E$36:$G$36)</f>
        <v>5.6967650573380899</v>
      </c>
      <c r="D39" s="7">
        <f>IFERROR(SUMPRODUCT('Outlook 6+6'!$H39:$J39,'Outlook 6+6'!$H$36:$J$36)/SUM('Outlook 6+6'!$H$36:$J$36),0)</f>
        <v>5.8593879451189741</v>
      </c>
      <c r="E39" s="7">
        <f>IFERROR(SUMPRODUCT('Outlook 6+6'!$K39:$M39,'Outlook 6+6'!$K$36:$M$36)/SUM('Outlook 6+6'!$K$36:$M$36),0)</f>
        <v>5.3443269854196753</v>
      </c>
      <c r="F39" s="15">
        <f>SUMPRODUCT(B39:E39,$B$36:$E$36)/SUM($B$36:$E$36)</f>
        <v>5.6229617378512531</v>
      </c>
      <c r="H39" s="7">
        <f>'Budget 2025'!N39</f>
        <v>5.3287414331663765</v>
      </c>
      <c r="K39" s="32"/>
    </row>
    <row r="40" spans="1:11" x14ac:dyDescent="0.35">
      <c r="A40" s="5" t="s">
        <v>24</v>
      </c>
      <c r="B40" s="31">
        <f>SUMPRODUCT('Outlook 6+6'!$B40:$D40,'Outlook 6+6'!$B$36:$D$36)/SUM('Outlook 6+6'!$B$36:$D$36)</f>
        <v>11.610246830825604</v>
      </c>
      <c r="C40" s="7">
        <f>SUMPRODUCT('Outlook 6+6'!$E40:$G40,'Outlook 6+6'!$E$36:$G$36)/SUM('Outlook 6+6'!$E$36:$G$36)</f>
        <v>11.878149391341147</v>
      </c>
      <c r="D40" s="7">
        <f>IFERROR(SUMPRODUCT('Outlook 6+6'!$H40:$J40,'Outlook 6+6'!$H$36:$J$36)/SUM('Outlook 6+6'!$H$36:$J$36),0)</f>
        <v>10.442203515222777</v>
      </c>
      <c r="E40" s="7">
        <f>IFERROR(SUMPRODUCT('Outlook 6+6'!$K40:$M40,'Outlook 6+6'!$K$36:$M$36)/SUM('Outlook 6+6'!$K$36:$M$36),0)</f>
        <v>10.11035299078581</v>
      </c>
      <c r="F40" s="15">
        <f>SUMPRODUCT(B40:E40,$B$36:$E$36)/SUM($B$36:$E$36)</f>
        <v>10.682263598758855</v>
      </c>
      <c r="H40" s="7">
        <f>'Budget 2025'!N40</f>
        <v>10.279206642306004</v>
      </c>
      <c r="K40" s="32"/>
    </row>
    <row r="41" spans="1:11" x14ac:dyDescent="0.35">
      <c r="A41" s="5" t="s">
        <v>25</v>
      </c>
      <c r="B41" s="31">
        <f>SUMPRODUCT('Outlook 6+6'!$B41:$D41,'Outlook 6+6'!$B$36:$D$36)/SUM('Outlook 6+6'!$B$36:$D$36)</f>
        <v>14.141402138177799</v>
      </c>
      <c r="C41" s="7">
        <f>SUMPRODUCT('Outlook 6+6'!$E41:$G41,'Outlook 6+6'!$E$36:$G$36)/SUM('Outlook 6+6'!$E$36:$G$36)</f>
        <v>14.076955890059601</v>
      </c>
      <c r="D41" s="7">
        <f>IFERROR(SUMPRODUCT('Outlook 6+6'!$H41:$J41,'Outlook 6+6'!$H$36:$J$36)/SUM('Outlook 6+6'!$H$36:$J$36),0)</f>
        <v>15.440891391980751</v>
      </c>
      <c r="E41" s="7">
        <f>IFERROR(SUMPRODUCT('Outlook 6+6'!$K41:$M41,'Outlook 6+6'!$K$36:$M$36)/SUM('Outlook 6+6'!$K$36:$M$36),0)</f>
        <v>15.11035299078581</v>
      </c>
      <c r="F41" s="15">
        <f>SUMPRODUCT(B41:E41,$B$36:$E$36)/SUM($B$36:$E$36)</f>
        <v>14.916070852261686</v>
      </c>
      <c r="H41" s="7">
        <f>'Budget 2025'!N41</f>
        <v>15.279206642306002</v>
      </c>
      <c r="K41" s="32"/>
    </row>
    <row r="42" spans="1:11" s="2" customFormat="1" x14ac:dyDescent="0.35">
      <c r="A42" s="9" t="s">
        <v>29</v>
      </c>
      <c r="B42" s="10">
        <f>SUMIFS('Outlook 6+6'!$B42:$M42,'Outlook 6+6'!$B$185:$M$185,'Outlook Quarterly 6+6'!B$4)</f>
        <v>1064.4331821191445</v>
      </c>
      <c r="C42" s="10">
        <f>SUMIFS('Outlook 6+6'!$B42:$M42,'Outlook 6+6'!$B$185:$M$185,'Outlook Quarterly 6+6'!C$4)</f>
        <v>1174.4269899983731</v>
      </c>
      <c r="D42" s="10">
        <f>SUMIFS('Outlook 6+6'!$B42:$M42,'Outlook 6+6'!$B$185:$M$185,'Outlook Quarterly 6+6'!D$4)</f>
        <v>1339.3805512417428</v>
      </c>
      <c r="E42" s="10">
        <f>SUMIFS('Outlook 6+6'!$B42:$M42,'Outlook 6+6'!$B$185:$M$185,'Outlook Quarterly 6+6'!E$4)</f>
        <v>1221.1669964973732</v>
      </c>
      <c r="F42" s="10">
        <f>SUM(B42:E42)</f>
        <v>4799.4077198566338</v>
      </c>
      <c r="H42" s="10">
        <f>'Budget 2025'!N42</f>
        <v>4673.6446000430515</v>
      </c>
      <c r="K42" s="32"/>
    </row>
    <row r="43" spans="1:11" x14ac:dyDescent="0.35">
      <c r="A43" s="5" t="s">
        <v>60</v>
      </c>
      <c r="B43" s="30">
        <f>SUMPRODUCT('Outlook 6+6'!$B43:$D43,'Outlook 6+6'!$B$42:$D$42)/SUM('Outlook 6+6'!$B$42:$D$42)</f>
        <v>5997.3733373177638</v>
      </c>
      <c r="C43" s="8">
        <f>SUMPRODUCT('Outlook 6+6'!$E43:$G43,'Outlook 6+6'!$E$42:$G$42)/SUM('Outlook 6+6'!$E$42:$G$42)</f>
        <v>6013.7770324722142</v>
      </c>
      <c r="D43" s="8">
        <f>IFERROR(SUMPRODUCT('Outlook 6+6'!$H43:$J43,'Outlook 6+6'!$H$42:$J$42)/SUM('Outlook 6+6'!$H$42:$J$42),0)</f>
        <v>5886.1434190117925</v>
      </c>
      <c r="E43" s="8">
        <f>IFERROR(SUMPRODUCT('Outlook 6+6'!$K43:$M43,'Outlook 6+6'!$K$42:$M$42)/SUM('Outlook 6+6'!$K$42:$M$42),0)</f>
        <v>5914.7447438733216</v>
      </c>
      <c r="F43" s="14">
        <f>SUMPRODUCT(B43:E43,$B$42:$E$42)/SUM($B$42:$E$42)</f>
        <v>5949.3220835563152</v>
      </c>
      <c r="H43" s="8">
        <f>'Budget 2025'!N43</f>
        <v>5914.4155370661638</v>
      </c>
      <c r="K43" s="32"/>
    </row>
    <row r="44" spans="1:11" x14ac:dyDescent="0.35">
      <c r="A44" s="5" t="s">
        <v>22</v>
      </c>
      <c r="B44" s="31">
        <f>SUMPRODUCT('Outlook 6+6'!$B44:$D44,'Outlook 6+6'!$B$42:$D$42)/SUM('Outlook 6+6'!$B$42:$D$42)</f>
        <v>2.2888209271392426</v>
      </c>
      <c r="C44" s="7">
        <f>SUMPRODUCT('Outlook 6+6'!$E44:$G44,'Outlook 6+6'!$E$42:$G$42)/SUM('Outlook 6+6'!$E$42:$G$42)</f>
        <v>2.3173227536015708</v>
      </c>
      <c r="D44" s="7">
        <f>IFERROR(SUMPRODUCT('Outlook 6+6'!$H44:$J44,'Outlook 6+6'!$H$42:$J$42)/SUM('Outlook 6+6'!$H$42:$J$42),0)</f>
        <v>2.4775209381636749</v>
      </c>
      <c r="E44" s="7">
        <f>IFERROR(SUMPRODUCT('Outlook 6+6'!$K44:$M44,'Outlook 6+6'!$K$42:$M$42)/SUM('Outlook 6+6'!$K$42:$M$42),0)</f>
        <v>2.4212232310771187</v>
      </c>
      <c r="F44" s="15">
        <f>SUMPRODUCT(B44:E44,$B$42:$E$42)/SUM($B$42:$E$42)</f>
        <v>2.3821448931408979</v>
      </c>
      <c r="H44" s="7">
        <f>'Budget 2025'!N44</f>
        <v>2.4107218075517403</v>
      </c>
      <c r="K44" s="32"/>
    </row>
    <row r="45" spans="1:11" x14ac:dyDescent="0.35">
      <c r="A45" s="5" t="s">
        <v>23</v>
      </c>
      <c r="B45" s="31">
        <f>SUMPRODUCT('Outlook 6+6'!$B45:$D45,'Outlook 6+6'!$B$42:$D$42)/SUM('Outlook 6+6'!$B$42:$D$42)</f>
        <v>6.0177550518077725</v>
      </c>
      <c r="C45" s="7">
        <f>SUMPRODUCT('Outlook 6+6'!$E45:$G45,'Outlook 6+6'!$E$42:$G$42)/SUM('Outlook 6+6'!$E$42:$G$42)</f>
        <v>5.8290498153660728</v>
      </c>
      <c r="D45" s="7">
        <f>IFERROR(SUMPRODUCT('Outlook 6+6'!$H45:$J45,'Outlook 6+6'!$H$42:$J$42)/SUM('Outlook 6+6'!$H$42:$J$42),0)</f>
        <v>6.1082971384081644</v>
      </c>
      <c r="E45" s="7">
        <f>IFERROR(SUMPRODUCT('Outlook 6+6'!$K45:$M45,'Outlook 6+6'!$K$42:$M$42)/SUM('Outlook 6+6'!$K$42:$M$42),0)</f>
        <v>5.7369813674455523</v>
      </c>
      <c r="F45" s="15">
        <f>SUMPRODUCT(B45:E45,$B$42:$E$42)/SUM($B$42:$E$42)</f>
        <v>5.9254057879675468</v>
      </c>
      <c r="H45" s="7">
        <f>'Budget 2025'!N45</f>
        <v>5.7199741396739743</v>
      </c>
      <c r="K45" s="32"/>
    </row>
    <row r="46" spans="1:11" x14ac:dyDescent="0.35">
      <c r="A46" s="5" t="s">
        <v>24</v>
      </c>
      <c r="B46" s="31">
        <f>SUMPRODUCT('Outlook 6+6'!$B46:$D46,'Outlook 6+6'!$B$42:$D$42)/SUM('Outlook 6+6'!$B$42:$D$42)</f>
        <v>11.358444781076861</v>
      </c>
      <c r="C46" s="7">
        <f>SUMPRODUCT('Outlook 6+6'!$E46:$G46,'Outlook 6+6'!$E$42:$G$42)/SUM('Outlook 6+6'!$E$42:$G$42)</f>
        <v>11.418859213660193</v>
      </c>
      <c r="D46" s="7">
        <f>IFERROR(SUMPRODUCT('Outlook 6+6'!$H46:$J46,'Outlook 6+6'!$H$42:$J$42)/SUM('Outlook 6+6'!$H$42:$J$42),0)</f>
        <v>10.578601244201961</v>
      </c>
      <c r="E46" s="7">
        <f>IFERROR(SUMPRODUCT('Outlook 6+6'!$K46:$M46,'Outlook 6+6'!$K$42:$M$42)/SUM('Outlook 6+6'!$K$42:$M$42),0)</f>
        <v>10.514807133772219</v>
      </c>
      <c r="F46" s="15">
        <f>SUMPRODUCT(B46:E46,$B$42:$E$42)/SUM($B$42:$E$42)</f>
        <v>10.940939643996844</v>
      </c>
      <c r="H46" s="7">
        <f>'Budget 2025'!N46</f>
        <v>10.558154609501265</v>
      </c>
      <c r="K46" s="32"/>
    </row>
    <row r="47" spans="1:11" x14ac:dyDescent="0.35">
      <c r="A47" s="5" t="s">
        <v>25</v>
      </c>
      <c r="B47" s="31">
        <f>SUMPRODUCT('Outlook 6+6'!$B47:$D47,'Outlook 6+6'!$B$42:$D$42)/SUM('Outlook 6+6'!$B$42:$D$42)</f>
        <v>13.608931024340414</v>
      </c>
      <c r="C47" s="7">
        <f>SUMPRODUCT('Outlook 6+6'!$E47:$G47,'Outlook 6+6'!$E$42:$G$42)/SUM('Outlook 6+6'!$E$42:$G$42)</f>
        <v>13.650346828837662</v>
      </c>
      <c r="D47" s="7">
        <f>IFERROR(SUMPRODUCT('Outlook 6+6'!$H47:$J47,'Outlook 6+6'!$H$42:$J$42)/SUM('Outlook 6+6'!$H$42:$J$42),0)</f>
        <v>15.536211513597097</v>
      </c>
      <c r="E47" s="7">
        <f>IFERROR(SUMPRODUCT('Outlook 6+6'!$K47:$M47,'Outlook 6+6'!$K$42:$M$42)/SUM('Outlook 6+6'!$K$42:$M$42),0)</f>
        <v>15.514807133772221</v>
      </c>
      <c r="F47" s="15">
        <f>SUMPRODUCT(B47:E47,$B$42:$E$42)/SUM($B$42:$E$42)</f>
        <v>14.641849070967874</v>
      </c>
      <c r="H47" s="7">
        <f>'Budget 2025'!N47</f>
        <v>15.558154609501264</v>
      </c>
      <c r="K47" s="32"/>
    </row>
    <row r="48" spans="1:11" s="2" customFormat="1" x14ac:dyDescent="0.35">
      <c r="A48" s="9" t="s">
        <v>68</v>
      </c>
      <c r="B48" s="10">
        <f>SUMIFS('Outlook 6+6'!$B48:$M48,'Outlook 6+6'!$B$185:$M$185,'Outlook Quarterly 6+6'!B$4)</f>
        <v>0</v>
      </c>
      <c r="C48" s="10">
        <f>SUMIFS('Outlook 6+6'!$B48:$M48,'Outlook 6+6'!$B$185:$M$185,'Outlook Quarterly 6+6'!C$4)</f>
        <v>0.20136899338635333</v>
      </c>
      <c r="D48" s="10">
        <f>SUMIFS('Outlook 6+6'!$B48:$M48,'Outlook 6+6'!$B$185:$M$185,'Outlook Quarterly 6+6'!D$4)</f>
        <v>12.75</v>
      </c>
      <c r="E48" s="10">
        <f>SUMIFS('Outlook 6+6'!$B48:$M48,'Outlook 6+6'!$B$185:$M$185,'Outlook Quarterly 6+6'!E$4)</f>
        <v>38.25</v>
      </c>
      <c r="F48" s="10">
        <f>SUM(B48:E48)</f>
        <v>51.201368993386353</v>
      </c>
      <c r="H48" s="10">
        <f>'Budget 2025'!N48</f>
        <v>127.5</v>
      </c>
      <c r="K48" s="32"/>
    </row>
    <row r="49" spans="1:11" x14ac:dyDescent="0.35">
      <c r="A49" s="5" t="s">
        <v>60</v>
      </c>
      <c r="B49" s="30">
        <f>IFERROR(SUMPRODUCT('Outlook 6+6'!$B49:$D49,'Outlook 6+6'!$B$48:$D$48)/SUM('Outlook 6+6'!$B$48:$D$48),0)</f>
        <v>0</v>
      </c>
      <c r="C49" s="8">
        <f>IFERROR(SUMPRODUCT('Outlook 6+6'!$E49:$G49,'Outlook 6+6'!$E$48:$G$48)/SUM('Outlook 6+6'!$E$48:$G$48),0)</f>
        <v>3980.6220858160891</v>
      </c>
      <c r="D49" s="8">
        <f>IFERROR(SUMPRODUCT('Outlook 6+6'!$H49:$J49,'Outlook 6+6'!$H$48:$J$48)/SUM('Outlook 6+6'!$H$48:$J$48),0)</f>
        <v>3146.0674157303374</v>
      </c>
      <c r="E49" s="8">
        <f>IFERROR(SUMPRODUCT('Outlook 6+6'!$K49:$M49,'Outlook 6+6'!$K$48:$M$48)/SUM('Outlook 6+6'!$K$48:$M$48),0)</f>
        <v>3146.0674157303374</v>
      </c>
      <c r="F49" s="14">
        <f>SUMPRODUCT(B49:E49,$B$48:$E$48)/SUM($B$48:$E$48)</f>
        <v>3149.3496215999257</v>
      </c>
      <c r="H49" s="8">
        <f>'Budget 2025'!N49</f>
        <v>3146.0674157303379</v>
      </c>
      <c r="K49" s="32"/>
    </row>
    <row r="50" spans="1:11" x14ac:dyDescent="0.35">
      <c r="A50" s="5" t="s">
        <v>22</v>
      </c>
      <c r="B50" s="31">
        <f>IFERROR(SUMPRODUCT('Outlook 6+6'!$B50:$D50,'Outlook 6+6'!$B$48:$D$48)/SUM('Outlook 6+6'!$B$48:$D$48),0)</f>
        <v>0</v>
      </c>
      <c r="C50" s="7">
        <f>IFERROR(SUMPRODUCT('Outlook 6+6'!$E50:$G50,'Outlook 6+6'!$E$48:$G$48)/SUM('Outlook 6+6'!$E$48:$G$48),0)</f>
        <v>0.96179424228367094</v>
      </c>
      <c r="D50" s="7">
        <f>IFERROR(SUMPRODUCT('Outlook 6+6'!$H50:$J50,'Outlook 6+6'!$H$48:$J$48)/SUM('Outlook 6+6'!$H$48:$J$48),0)</f>
        <v>2</v>
      </c>
      <c r="E50" s="7">
        <f>IFERROR(SUMPRODUCT('Outlook 6+6'!$K50:$M50,'Outlook 6+6'!$K$48:$M$48)/SUM('Outlook 6+6'!$K$48:$M$48),0)</f>
        <v>2</v>
      </c>
      <c r="F50" s="15">
        <f>SUMPRODUCT(B50:E50,$B$48:$E$48)/SUM($B$48:$E$48)</f>
        <v>1.9959168582311491</v>
      </c>
      <c r="H50" s="7">
        <f>'Budget 2025'!N50</f>
        <v>2</v>
      </c>
      <c r="K50" s="32"/>
    </row>
    <row r="51" spans="1:11" x14ac:dyDescent="0.35">
      <c r="A51" s="5" t="s">
        <v>23</v>
      </c>
      <c r="B51" s="31">
        <f>IFERROR(SUMPRODUCT('Outlook 6+6'!$B51:$D51,'Outlook 6+6'!$B$48:$D$48)/SUM('Outlook 6+6'!$B$48:$D$48),0)</f>
        <v>0</v>
      </c>
      <c r="C51" s="7">
        <f>IFERROR(SUMPRODUCT('Outlook 6+6'!$E51:$G51,'Outlook 6+6'!$E$48:$G$48)/SUM('Outlook 6+6'!$E$48:$G$48),0)</f>
        <v>24.244316001855541</v>
      </c>
      <c r="D51" s="7">
        <f>IFERROR(SUMPRODUCT('Outlook 6+6'!$H51:$J51,'Outlook 6+6'!$H$48:$J$48)/SUM('Outlook 6+6'!$H$48:$J$48),0)</f>
        <v>40</v>
      </c>
      <c r="E51" s="7">
        <f>IFERROR(SUMPRODUCT('Outlook 6+6'!$K51:$M51,'Outlook 6+6'!$K$48:$M$48)/SUM('Outlook 6+6'!$K$48:$M$48),0)</f>
        <v>40</v>
      </c>
      <c r="F51" s="15">
        <f>SUMPRODUCT(B51:E51,$B$48:$E$48)/SUM($B$48:$E$48)</f>
        <v>39.938034738344015</v>
      </c>
      <c r="H51" s="7">
        <f>'Budget 2025'!N51</f>
        <v>40</v>
      </c>
      <c r="K51" s="32"/>
    </row>
    <row r="52" spans="1:11" x14ac:dyDescent="0.35">
      <c r="A52" s="5" t="s">
        <v>24</v>
      </c>
      <c r="B52" s="31">
        <f>IFERROR(SUMPRODUCT('Outlook 6+6'!$B52:$D52,'Outlook 6+6'!$B$48:$D$48)/SUM('Outlook 6+6'!$B$48:$D$48),0)</f>
        <v>0</v>
      </c>
      <c r="C52" s="7">
        <f>IFERROR(SUMPRODUCT('Outlook 6+6'!$E52:$G52,'Outlook 6+6'!$E$48:$G$48)/SUM('Outlook 6+6'!$E$48:$G$48),0)</f>
        <v>12.01792724827118</v>
      </c>
      <c r="D52" s="7">
        <f>IFERROR(SUMPRODUCT('Outlook 6+6'!$H52:$J52,'Outlook 6+6'!$H$48:$J$48)/SUM('Outlook 6+6'!$H$48:$J$48),0)</f>
        <v>11</v>
      </c>
      <c r="E52" s="7">
        <f>IFERROR(SUMPRODUCT('Outlook 6+6'!$K52:$M52,'Outlook 6+6'!$K$48:$M$48)/SUM('Outlook 6+6'!$K$48:$M$48),0)</f>
        <v>11</v>
      </c>
      <c r="F52" s="15">
        <f>SUMPRODUCT(B52:E52,$B$48:$E$48)/SUM($B$48:$E$48)</f>
        <v>11.004003388763909</v>
      </c>
      <c r="H52" s="7">
        <f>'Budget 2025'!N52</f>
        <v>11</v>
      </c>
      <c r="K52" s="32"/>
    </row>
    <row r="53" spans="1:11" x14ac:dyDescent="0.35">
      <c r="A53" s="5" t="s">
        <v>25</v>
      </c>
      <c r="B53" s="31">
        <f>IFERROR(SUMPRODUCT('Outlook 6+6'!$B53:$D53,'Outlook 6+6'!$B$48:$D$48)/SUM('Outlook 6+6'!$B$48:$D$48),0)</f>
        <v>0</v>
      </c>
      <c r="C53" s="7">
        <f>IFERROR(SUMPRODUCT('Outlook 6+6'!$E53:$G53,'Outlook 6+6'!$E$48:$G$48)/SUM('Outlook 6+6'!$E$48:$G$48),0)</f>
        <v>22.780642268089249</v>
      </c>
      <c r="D53" s="7">
        <f>IFERROR(SUMPRODUCT('Outlook 6+6'!$H53:$J53,'Outlook 6+6'!$H$48:$J$48)/SUM('Outlook 6+6'!$H$48:$J$48),0)</f>
        <v>20</v>
      </c>
      <c r="E53" s="7">
        <f>IFERROR(SUMPRODUCT('Outlook 6+6'!$K53:$M53,'Outlook 6+6'!$K$48:$M$48)/SUM('Outlook 6+6'!$K$48:$M$48),0)</f>
        <v>20</v>
      </c>
      <c r="F53" s="15">
        <f>SUMPRODUCT(B53:E53,$B$48:$E$48)/SUM($B$48:$E$48)</f>
        <v>20.010935940688718</v>
      </c>
      <c r="H53" s="7">
        <f>'Budget 2025'!N53</f>
        <v>20</v>
      </c>
      <c r="K53" s="32"/>
    </row>
    <row r="54" spans="1:11" x14ac:dyDescent="0.35">
      <c r="K54" s="32"/>
    </row>
    <row r="55" spans="1:11" x14ac:dyDescent="0.35">
      <c r="A55" s="6" t="s">
        <v>31</v>
      </c>
      <c r="B55" s="6" t="s">
        <v>93</v>
      </c>
      <c r="C55" s="6" t="s">
        <v>94</v>
      </c>
      <c r="D55" s="6" t="s">
        <v>95</v>
      </c>
      <c r="E55" s="6" t="s">
        <v>96</v>
      </c>
      <c r="F55" s="6" t="s">
        <v>13</v>
      </c>
      <c r="G55" s="4"/>
      <c r="H55" s="6" t="s">
        <v>84</v>
      </c>
      <c r="K55" s="32"/>
    </row>
    <row r="56" spans="1:11" s="2" customFormat="1" x14ac:dyDescent="0.35">
      <c r="A56" s="9" t="s">
        <v>14</v>
      </c>
      <c r="B56" s="10">
        <f t="shared" ref="B56:F56" si="6">SUM(B57:B59)</f>
        <v>10676.4767469</v>
      </c>
      <c r="C56" s="10">
        <f t="shared" si="6"/>
        <v>9453.8362353902521</v>
      </c>
      <c r="D56" s="10">
        <f t="shared" si="6"/>
        <v>14434</v>
      </c>
      <c r="E56" s="10">
        <f t="shared" si="6"/>
        <v>12335.687017709744</v>
      </c>
      <c r="F56" s="10">
        <f t="shared" si="6"/>
        <v>46900</v>
      </c>
      <c r="H56" s="10">
        <f>'Budget 2025'!N56</f>
        <v>51650</v>
      </c>
      <c r="I56" s="27">
        <f>F56/H56</f>
        <v>0.90803484995159733</v>
      </c>
      <c r="K56" s="32"/>
    </row>
    <row r="57" spans="1:11" x14ac:dyDescent="0.35">
      <c r="A57" s="5" t="s">
        <v>57</v>
      </c>
      <c r="B57" s="30">
        <f>SUMIFS('Outlook 6+6'!$B57:$M57,'Outlook 6+6'!$B$185:$M$185,'Outlook Quarterly 6+6'!B$4)</f>
        <v>3675.6012271999998</v>
      </c>
      <c r="C57" s="8">
        <f>SUMIFS('Outlook 6+6'!$B57:$M57,'Outlook 6+6'!$B$185:$M$185,'Outlook Quarterly 6+6'!C$4)</f>
        <v>4319.4362636000005</v>
      </c>
      <c r="D57" s="8">
        <f>SUMIFS('Outlook 6+6'!$B57:$M57,'Outlook 6+6'!$B$185:$M$185,'Outlook Quarterly 6+6'!D$4)</f>
        <v>8059</v>
      </c>
      <c r="E57" s="8">
        <f>SUMIFS('Outlook 6+6'!$B57:$M57,'Outlook 6+6'!$B$185:$M$185,'Outlook Quarterly 6+6'!E$4)</f>
        <v>7042</v>
      </c>
      <c r="F57" s="8">
        <f t="shared" ref="F57:F64" si="7">SUM(B57:E57)</f>
        <v>23096.037490800001</v>
      </c>
      <c r="H57" s="8">
        <f>'Budget 2025'!N57</f>
        <v>24400</v>
      </c>
      <c r="K57" s="32"/>
    </row>
    <row r="58" spans="1:11" x14ac:dyDescent="0.35">
      <c r="A58" s="5" t="s">
        <v>56</v>
      </c>
      <c r="B58" s="30">
        <f>SUMIFS('Outlook 6+6'!$B58:$M58,'Outlook 6+6'!$B$185:$M$185,'Outlook Quarterly 6+6'!B$4)</f>
        <v>2955.7184296</v>
      </c>
      <c r="C58" s="8">
        <f>SUMIFS('Outlook 6+6'!$B58:$M58,'Outlook 6+6'!$B$185:$M$185,'Outlook Quarterly 6+6'!C$4)</f>
        <v>2315.248206190251</v>
      </c>
      <c r="D58" s="8">
        <f>SUMIFS('Outlook 6+6'!$B58:$M58,'Outlook 6+6'!$B$185:$M$185,'Outlook Quarterly 6+6'!D$4)</f>
        <v>3000</v>
      </c>
      <c r="E58" s="8">
        <f>SUMIFS('Outlook 6+6'!$B58:$M58,'Outlook 6+6'!$B$185:$M$185,'Outlook Quarterly 6+6'!E$4)</f>
        <v>2692.0732642097501</v>
      </c>
      <c r="F58" s="8">
        <f t="shared" si="7"/>
        <v>10963.039900000002</v>
      </c>
      <c r="H58" s="8">
        <f>'Budget 2025'!N58</f>
        <v>11000</v>
      </c>
      <c r="K58" s="32"/>
    </row>
    <row r="59" spans="1:11" x14ac:dyDescent="0.35">
      <c r="A59" s="5" t="s">
        <v>55</v>
      </c>
      <c r="B59" s="30">
        <f>SUMIFS('Outlook 6+6'!$B59:$M59,'Outlook 6+6'!$B$185:$M$185,'Outlook Quarterly 6+6'!B$4)</f>
        <v>4045.1570901</v>
      </c>
      <c r="C59" s="8">
        <f>SUMIFS('Outlook 6+6'!$B59:$M59,'Outlook 6+6'!$B$185:$M$185,'Outlook Quarterly 6+6'!C$4)</f>
        <v>2819.1517655999996</v>
      </c>
      <c r="D59" s="8">
        <f>SUMIFS('Outlook 6+6'!$B59:$M59,'Outlook 6+6'!$B$185:$M$185,'Outlook Quarterly 6+6'!D$4)</f>
        <v>3375</v>
      </c>
      <c r="E59" s="8">
        <f>SUMIFS('Outlook 6+6'!$B59:$M59,'Outlook 6+6'!$B$185:$M$185,'Outlook Quarterly 6+6'!E$4)</f>
        <v>2601.6137534999943</v>
      </c>
      <c r="F59" s="8">
        <f t="shared" si="7"/>
        <v>12840.922609199994</v>
      </c>
      <c r="H59" s="8">
        <f>'Budget 2025'!N59</f>
        <v>16250</v>
      </c>
      <c r="K59" s="32"/>
    </row>
    <row r="60" spans="1:11" s="2" customFormat="1" x14ac:dyDescent="0.35">
      <c r="A60" s="9" t="s">
        <v>17</v>
      </c>
      <c r="B60" s="10">
        <f>SUM(B61:B64)</f>
        <v>646.72683065617298</v>
      </c>
      <c r="C60" s="10">
        <f t="shared" ref="C60:E60" si="8">SUM(C61:C64)</f>
        <v>696.81009062122257</v>
      </c>
      <c r="D60" s="10">
        <f t="shared" si="8"/>
        <v>1030</v>
      </c>
      <c r="E60" s="10">
        <f t="shared" si="8"/>
        <v>1091.4630787226042</v>
      </c>
      <c r="F60" s="10">
        <f t="shared" si="7"/>
        <v>3465</v>
      </c>
      <c r="H60" s="10">
        <f>'Budget 2025'!N60</f>
        <v>3300.3869731644691</v>
      </c>
      <c r="I60" s="27">
        <f>F60/H60</f>
        <v>1.0498768866117834</v>
      </c>
      <c r="K60" s="32"/>
    </row>
    <row r="61" spans="1:11" x14ac:dyDescent="0.35">
      <c r="A61" s="5" t="s">
        <v>57</v>
      </c>
      <c r="B61" s="30">
        <f>SUMIFS('Outlook 6+6'!$B61:$M61,'Outlook 6+6'!$B$185:$M$185,'Outlook Quarterly 6+6'!B$4)</f>
        <v>410.77472</v>
      </c>
      <c r="C61" s="8">
        <f>SUMIFS('Outlook 6+6'!$B61:$M61,'Outlook 6+6'!$B$185:$M$185,'Outlook Quarterly 6+6'!C$4)</f>
        <v>427.61950000000013</v>
      </c>
      <c r="D61" s="8">
        <f>SUMIFS('Outlook 6+6'!$B61:$M61,'Outlook 6+6'!$B$185:$M$185,'Outlook Quarterly 6+6'!D$4)</f>
        <v>540</v>
      </c>
      <c r="E61" s="8">
        <f>SUMIFS('Outlook 6+6'!$B61:$M61,'Outlook 6+6'!$B$185:$M$185,'Outlook Quarterly 6+6'!E$4)</f>
        <v>560</v>
      </c>
      <c r="F61" s="8">
        <f t="shared" si="7"/>
        <v>1938.3942200000001</v>
      </c>
      <c r="H61" s="8">
        <f>'Budget 2025'!N61</f>
        <v>2130</v>
      </c>
      <c r="K61" s="32"/>
    </row>
    <row r="62" spans="1:11" x14ac:dyDescent="0.35">
      <c r="A62" s="5" t="s">
        <v>56</v>
      </c>
      <c r="B62" s="30">
        <f>SUMIFS('Outlook 6+6'!$B62:$M62,'Outlook 6+6'!$B$185:$M$185,'Outlook Quarterly 6+6'!B$4)</f>
        <v>108.21404000000001</v>
      </c>
      <c r="C62" s="8">
        <f>SUMIFS('Outlook 6+6'!$B62:$M62,'Outlook 6+6'!$B$185:$M$185,'Outlook Quarterly 6+6'!C$4)</f>
        <v>106.07220000000001</v>
      </c>
      <c r="D62" s="8">
        <f>SUMIFS('Outlook 6+6'!$B62:$M62,'Outlook 6+6'!$B$185:$M$185,'Outlook Quarterly 6+6'!D$4)</f>
        <v>170</v>
      </c>
      <c r="E62" s="8">
        <f>SUMIFS('Outlook 6+6'!$B62:$M62,'Outlook 6+6'!$B$185:$M$185,'Outlook Quarterly 6+6'!E$4)</f>
        <v>156</v>
      </c>
      <c r="F62" s="8">
        <f t="shared" si="7"/>
        <v>540.28624000000002</v>
      </c>
      <c r="H62" s="8">
        <f>'Budget 2025'!N62</f>
        <v>550</v>
      </c>
      <c r="K62" s="32"/>
    </row>
    <row r="63" spans="1:11" x14ac:dyDescent="0.35">
      <c r="A63" s="5" t="s">
        <v>55</v>
      </c>
      <c r="B63" s="30">
        <f>SUMIFS('Outlook 6+6'!$B63:$M63,'Outlook 6+6'!$B$185:$M$185,'Outlook Quarterly 6+6'!B$4)</f>
        <v>123.38981065617305</v>
      </c>
      <c r="C63" s="8">
        <f>SUMIFS('Outlook 6+6'!$B63:$M63,'Outlook 6+6'!$B$185:$M$185,'Outlook Quarterly 6+6'!C$4)</f>
        <v>155.97419062122248</v>
      </c>
      <c r="D63" s="8">
        <f>SUMIFS('Outlook 6+6'!$B63:$M63,'Outlook 6+6'!$B$185:$M$185,'Outlook Quarterly 6+6'!D$4)</f>
        <v>320</v>
      </c>
      <c r="E63" s="8">
        <f>SUMIFS('Outlook 6+6'!$B63:$M63,'Outlook 6+6'!$B$185:$M$185,'Outlook Quarterly 6+6'!E$4)</f>
        <v>375.46307872260422</v>
      </c>
      <c r="F63" s="8">
        <f t="shared" si="7"/>
        <v>974.8270799999998</v>
      </c>
      <c r="H63" s="8">
        <f>'Budget 2025'!N63</f>
        <v>620.38697316446883</v>
      </c>
      <c r="K63" s="32"/>
    </row>
    <row r="64" spans="1:11" x14ac:dyDescent="0.35">
      <c r="A64" s="5" t="s">
        <v>45</v>
      </c>
      <c r="B64" s="30">
        <f>SUMIFS('Outlook 6+6'!$B64:$M64,'Outlook 6+6'!$B$185:$M$185,'Outlook Quarterly 6+6'!B$4)</f>
        <v>4.3482599999999989</v>
      </c>
      <c r="C64" s="8">
        <f>SUMIFS('Outlook 6+6'!$B64:$M64,'Outlook 6+6'!$B$185:$M$185,'Outlook Quarterly 6+6'!C$4)</f>
        <v>7.1442000000000005</v>
      </c>
      <c r="D64" s="8">
        <f>SUMIFS('Outlook 6+6'!$B64:$M64,'Outlook 6+6'!$B$185:$M$185,'Outlook Quarterly 6+6'!D$4)</f>
        <v>0</v>
      </c>
      <c r="E64" s="8">
        <f>SUMIFS('Outlook 6+6'!$B64:$M64,'Outlook 6+6'!$B$185:$M$185,'Outlook Quarterly 6+6'!E$4)</f>
        <v>0</v>
      </c>
      <c r="F64" s="8">
        <f t="shared" si="7"/>
        <v>11.492459999999999</v>
      </c>
      <c r="H64" s="8"/>
      <c r="K64" s="32"/>
    </row>
    <row r="65" spans="1:11" s="2" customFormat="1" x14ac:dyDescent="0.35">
      <c r="A65" s="9" t="s">
        <v>32</v>
      </c>
      <c r="B65" s="11">
        <f>B56/B60</f>
        <v>16.508479686960847</v>
      </c>
      <c r="C65" s="11">
        <f t="shared" ref="C65:F65" si="9">C56/C60</f>
        <v>13.567306734840672</v>
      </c>
      <c r="D65" s="11">
        <f t="shared" si="9"/>
        <v>14.013592233009708</v>
      </c>
      <c r="E65" s="11">
        <f t="shared" si="9"/>
        <v>11.301973706840215</v>
      </c>
      <c r="F65" s="11">
        <f t="shared" si="9"/>
        <v>13.535353535353535</v>
      </c>
      <c r="H65" s="11">
        <f>'Budget 2025'!N64</f>
        <v>15.649679998123696</v>
      </c>
      <c r="K65" s="32"/>
    </row>
    <row r="66" spans="1:11" s="2" customFormat="1" x14ac:dyDescent="0.35">
      <c r="A66" s="9" t="s">
        <v>33</v>
      </c>
      <c r="B66" s="10">
        <f t="shared" ref="B66:F66" si="10">SUM(B67:B68)</f>
        <v>737.91459000000009</v>
      </c>
      <c r="C66" s="10">
        <f t="shared" si="10"/>
        <v>724.16101000000003</v>
      </c>
      <c r="D66" s="10">
        <f t="shared" si="10"/>
        <v>865</v>
      </c>
      <c r="E66" s="10">
        <f t="shared" si="10"/>
        <v>1073</v>
      </c>
      <c r="F66" s="10">
        <f t="shared" si="10"/>
        <v>3400.0756000000001</v>
      </c>
      <c r="H66" s="10">
        <f>'Budget 2025'!N65</f>
        <v>3230</v>
      </c>
      <c r="K66" s="32"/>
    </row>
    <row r="67" spans="1:11" x14ac:dyDescent="0.35">
      <c r="A67" s="5" t="s">
        <v>35</v>
      </c>
      <c r="B67" s="30">
        <f>SUMIFS('Outlook 6+6'!$B67:$M67,'Outlook 6+6'!$B$185:$M$185,'Outlook Quarterly 6+6'!B$4)</f>
        <v>437.92770000000007</v>
      </c>
      <c r="C67" s="8">
        <f>SUMIFS('Outlook 6+6'!$B67:$M67,'Outlook 6+6'!$B$185:$M$185,'Outlook Quarterly 6+6'!C$4)</f>
        <v>387.12239000000005</v>
      </c>
      <c r="D67" s="8">
        <f>SUMIFS('Outlook 6+6'!$B67:$M67,'Outlook 6+6'!$B$185:$M$185,'Outlook Quarterly 6+6'!D$4)</f>
        <v>420</v>
      </c>
      <c r="E67" s="8">
        <f>SUMIFS('Outlook 6+6'!$B67:$M67,'Outlook 6+6'!$B$185:$M$185,'Outlook Quarterly 6+6'!E$4)</f>
        <v>625</v>
      </c>
      <c r="F67" s="8">
        <f t="shared" ref="F67:F72" si="11">SUM(B67:E67)</f>
        <v>1870.0500900000002</v>
      </c>
      <c r="H67" s="8">
        <f>'Budget 2025'!N66</f>
        <v>1630</v>
      </c>
      <c r="K67" s="32"/>
    </row>
    <row r="68" spans="1:11" x14ac:dyDescent="0.35">
      <c r="A68" s="5" t="s">
        <v>39</v>
      </c>
      <c r="B68" s="30">
        <f>SUMIFS('Outlook 6+6'!$B68:$M68,'Outlook 6+6'!$B$185:$M$185,'Outlook Quarterly 6+6'!B$4)</f>
        <v>299.98689000000002</v>
      </c>
      <c r="C68" s="8">
        <f>SUMIFS('Outlook 6+6'!$B68:$M68,'Outlook 6+6'!$B$185:$M$185,'Outlook Quarterly 6+6'!C$4)</f>
        <v>337.03861999999998</v>
      </c>
      <c r="D68" s="8">
        <f>SUMIFS('Outlook 6+6'!$B68:$M68,'Outlook 6+6'!$B$185:$M$185,'Outlook Quarterly 6+6'!D$4)</f>
        <v>445</v>
      </c>
      <c r="E68" s="8">
        <f>SUMIFS('Outlook 6+6'!$B68:$M68,'Outlook 6+6'!$B$185:$M$185,'Outlook Quarterly 6+6'!E$4)</f>
        <v>448</v>
      </c>
      <c r="F68" s="8">
        <f t="shared" si="11"/>
        <v>1530.0255099999999</v>
      </c>
      <c r="H68" s="8">
        <f>'Budget 2025'!N67</f>
        <v>1480</v>
      </c>
      <c r="K68" s="32"/>
    </row>
    <row r="69" spans="1:11" x14ac:dyDescent="0.35">
      <c r="A69" s="5" t="s">
        <v>41</v>
      </c>
      <c r="B69" s="30">
        <f>SUMIFS('Outlook 6+6'!$B69:$M69,'Outlook 6+6'!$B$185:$M$185,'Outlook Quarterly 6+6'!B$4)</f>
        <v>0</v>
      </c>
      <c r="C69" s="8">
        <f>SUMIFS('Outlook 6+6'!$B69:$M69,'Outlook 6+6'!$B$185:$M$185,'Outlook Quarterly 6+6'!C$4)</f>
        <v>0</v>
      </c>
      <c r="D69" s="8">
        <f>SUMIFS('Outlook 6+6'!$B69:$M69,'Outlook 6+6'!$B$185:$M$185,'Outlook Quarterly 6+6'!D$4)</f>
        <v>0</v>
      </c>
      <c r="E69" s="8">
        <f>SUMIFS('Outlook 6+6'!$B69:$M69,'Outlook 6+6'!$B$185:$M$185,'Outlook Quarterly 6+6'!E$4)</f>
        <v>0</v>
      </c>
      <c r="F69" s="8">
        <f t="shared" si="11"/>
        <v>0</v>
      </c>
      <c r="H69" s="8">
        <f>'Budget 2025'!N68</f>
        <v>120</v>
      </c>
      <c r="K69" s="32"/>
    </row>
    <row r="70" spans="1:11" hidden="1" x14ac:dyDescent="0.35">
      <c r="A70" s="9" t="s">
        <v>58</v>
      </c>
      <c r="B70" s="10">
        <f>B71+B72</f>
        <v>57.125659999999996</v>
      </c>
      <c r="C70" s="10">
        <f t="shared" ref="C70:E70" si="12">C71+C72</f>
        <v>53.497250000000001</v>
      </c>
      <c r="D70" s="10">
        <f t="shared" si="12"/>
        <v>58.810299999999984</v>
      </c>
      <c r="E70" s="10">
        <f t="shared" si="12"/>
        <v>75.263139999999993</v>
      </c>
      <c r="F70" s="10">
        <f t="shared" si="11"/>
        <v>244.69634999999997</v>
      </c>
      <c r="G70" s="2"/>
      <c r="H70" s="10">
        <f>'Budget 2025'!N69</f>
        <v>1676.5</v>
      </c>
      <c r="K70" s="32"/>
    </row>
    <row r="71" spans="1:11" hidden="1" x14ac:dyDescent="0.35">
      <c r="A71" s="5" t="s">
        <v>53</v>
      </c>
      <c r="B71" s="30">
        <f>B86</f>
        <v>7.10975</v>
      </c>
      <c r="C71" s="8">
        <f t="shared" ref="C71:E71" si="13">C86</f>
        <v>40.527500000000003</v>
      </c>
      <c r="D71" s="8">
        <f t="shared" si="13"/>
        <v>51.952449999999985</v>
      </c>
      <c r="E71" s="8">
        <f t="shared" si="13"/>
        <v>50.126389999999994</v>
      </c>
      <c r="F71" s="8">
        <f t="shared" si="11"/>
        <v>149.71608999999998</v>
      </c>
      <c r="H71" s="8">
        <f>'Budget 2025'!N70</f>
        <v>671.5</v>
      </c>
      <c r="K71" s="32"/>
    </row>
    <row r="72" spans="1:11" hidden="1" x14ac:dyDescent="0.35">
      <c r="A72" s="5" t="s">
        <v>54</v>
      </c>
      <c r="B72" s="30">
        <f>B92</f>
        <v>50.015909999999998</v>
      </c>
      <c r="C72" s="8">
        <f t="shared" ref="C72:E72" si="14">C92</f>
        <v>12.969749999999998</v>
      </c>
      <c r="D72" s="8">
        <f t="shared" si="14"/>
        <v>6.85785</v>
      </c>
      <c r="E72" s="8">
        <f t="shared" si="14"/>
        <v>25.136750000000003</v>
      </c>
      <c r="F72" s="8">
        <f t="shared" si="11"/>
        <v>94.980260000000001</v>
      </c>
      <c r="H72" s="8">
        <f>'Budget 2025'!N71</f>
        <v>1005</v>
      </c>
      <c r="K72" s="32"/>
    </row>
    <row r="73" spans="1:11" s="2" customFormat="1" x14ac:dyDescent="0.35">
      <c r="A73" s="9" t="s">
        <v>34</v>
      </c>
      <c r="B73" s="11">
        <f t="shared" ref="B73:F73" si="15">B56/B66</f>
        <v>14.468445117611781</v>
      </c>
      <c r="C73" s="11">
        <f t="shared" si="15"/>
        <v>13.054881586886667</v>
      </c>
      <c r="D73" s="11">
        <f t="shared" si="15"/>
        <v>16.68670520231214</v>
      </c>
      <c r="E73" s="11">
        <f t="shared" si="15"/>
        <v>11.496446428434059</v>
      </c>
      <c r="F73" s="11">
        <f t="shared" si="15"/>
        <v>13.793810937615621</v>
      </c>
      <c r="H73" s="11">
        <f>'Budget 2025'!N72</f>
        <v>15.990712074303406</v>
      </c>
      <c r="K73" s="32"/>
    </row>
    <row r="74" spans="1:11" s="2" customFormat="1" x14ac:dyDescent="0.35">
      <c r="A74" s="9" t="s">
        <v>35</v>
      </c>
      <c r="B74" s="10">
        <f>SUMIFS('Outlook 6+6'!$B74:$M74,'Outlook 6+6'!$B$185:$M$185,'Outlook Quarterly 6+6'!B$4)</f>
        <v>437.92770000000007</v>
      </c>
      <c r="C74" s="10">
        <f>SUMIFS('Outlook 6+6'!$B74:$M74,'Outlook 6+6'!$B$185:$M$185,'Outlook Quarterly 6+6'!C$4)</f>
        <v>387.12239000000005</v>
      </c>
      <c r="D74" s="10">
        <f>SUMIFS('Outlook 6+6'!$B74:$M74,'Outlook 6+6'!$B$185:$M$185,'Outlook Quarterly 6+6'!D$4)</f>
        <v>420</v>
      </c>
      <c r="E74" s="10">
        <f>SUMIFS('Outlook 6+6'!$B74:$M74,'Outlook 6+6'!$B$185:$M$185,'Outlook Quarterly 6+6'!E$4)</f>
        <v>625</v>
      </c>
      <c r="F74" s="10">
        <f>SUM(B74:E74)</f>
        <v>1870.0500900000002</v>
      </c>
      <c r="H74" s="10">
        <f>'Budget 2025'!N73</f>
        <v>1630</v>
      </c>
      <c r="K74" s="32"/>
    </row>
    <row r="75" spans="1:11" x14ac:dyDescent="0.35">
      <c r="A75" s="5" t="s">
        <v>60</v>
      </c>
      <c r="B75" s="30">
        <f>IFERROR(SUMPRODUCT('Outlook 6+6'!$B75:$D75,'Outlook 6+6'!$B$74:$D$74)/SUM('Outlook 6+6'!$B$74:$D$74),0)</f>
        <v>6639.7411697859916</v>
      </c>
      <c r="C75" s="8">
        <f>IFERROR(SUMPRODUCT('Outlook 6+6'!$E75:$G75,'Outlook 6+6'!$E$74:$G$74)/SUM('Outlook 6+6'!$E$74:$G$74),0)</f>
        <v>6691.4647887061528</v>
      </c>
      <c r="D75" s="8">
        <f>IFERROR(SUMPRODUCT('Outlook 6+6'!$H75:$J75,'Outlook 6+6'!$H$74:$J$74)/SUM('Outlook 6+6'!$H$74:$J$74),0)</f>
        <v>6648.2918225606336</v>
      </c>
      <c r="E75" s="8">
        <f>IFERROR(SUMPRODUCT('Outlook 6+6'!$K75:$M75,'Outlook 6+6'!$K$74:$M$74)/SUM('Outlook 6+6'!$K$74:$M$74),0)</f>
        <v>6541.3342109790292</v>
      </c>
      <c r="F75" s="8">
        <f>SUMPRODUCT(B75:E75,$B$74:$E$74)/SUM($B$74:$E$74)</f>
        <v>6619.4798386506418</v>
      </c>
      <c r="H75" s="8">
        <f>'Budget 2025'!N74</f>
        <v>6355.6512817964895</v>
      </c>
      <c r="K75" s="32"/>
    </row>
    <row r="76" spans="1:11" x14ac:dyDescent="0.35">
      <c r="A76" s="5" t="s">
        <v>36</v>
      </c>
      <c r="B76" s="31">
        <f>IFERROR(SUMPRODUCT('Outlook 6+6'!$B76:$D76,'Outlook 6+6'!$B$74:$D$74)/SUM('Outlook 6+6'!$B$74:$D$74),0)</f>
        <v>0.67682137021868549</v>
      </c>
      <c r="C76" s="7">
        <f>IFERROR(SUMPRODUCT('Outlook 6+6'!$E76:$G76,'Outlook 6+6'!$E$74:$G$74)/SUM('Outlook 6+6'!$E$74:$G$74),0)</f>
        <v>0.6730929387089144</v>
      </c>
      <c r="D76" s="7">
        <f>IFERROR(SUMPRODUCT('Outlook 6+6'!$H76:$J76,'Outlook 6+6'!$H$74:$J$74)/SUM('Outlook 6+6'!$H$74:$J$74),0)</f>
        <v>0.7393306286129504</v>
      </c>
      <c r="E76" s="7">
        <f>IFERROR(SUMPRODUCT('Outlook 6+6'!$K76:$M76,'Outlook 6+6'!$K$74:$M$74)/SUM('Outlook 6+6'!$K$74:$M$74),0)</f>
        <v>0.72930840155320109</v>
      </c>
      <c r="F76" s="7">
        <f>SUMPRODUCT(B76:E76,$B$74:$E$74)/SUM($B$74:$E$74)</f>
        <v>0.70763066463317337</v>
      </c>
      <c r="H76" s="7">
        <f>'Budget 2025'!N75</f>
        <v>0.60341465782487103</v>
      </c>
      <c r="K76" s="32"/>
    </row>
    <row r="77" spans="1:11" x14ac:dyDescent="0.35">
      <c r="A77" s="5" t="s">
        <v>37</v>
      </c>
      <c r="B77" s="31">
        <f>IFERROR(SUMPRODUCT('Outlook 6+6'!$B77:$D77,'Outlook 6+6'!$B$74:$D$74)/SUM('Outlook 6+6'!$B$74:$D$74),0)</f>
        <v>4.0949828079637687</v>
      </c>
      <c r="C77" s="7">
        <f>IFERROR(SUMPRODUCT('Outlook 6+6'!$E77:$G77,'Outlook 6+6'!$E$74:$G$74)/SUM('Outlook 6+6'!$E$74:$G$74),0)</f>
        <v>4.0745413581736161</v>
      </c>
      <c r="D77" s="7">
        <f>IFERROR(SUMPRODUCT('Outlook 6+6'!$H77:$J77,'Outlook 6+6'!$H$74:$J$74)/SUM('Outlook 6+6'!$H$74:$J$74),0)</f>
        <v>4.6958232986738375</v>
      </c>
      <c r="E77" s="7">
        <f>IFERROR(SUMPRODUCT('Outlook 6+6'!$K77:$M77,'Outlook 6+6'!$K$74:$M$74)/SUM('Outlook 6+6'!$K$74:$M$74),0)</f>
        <v>4.8910603473660581</v>
      </c>
      <c r="F77" s="7">
        <f>SUMPRODUCT(B77:E77,$B$74:$E$74)/SUM($B$74:$E$74)</f>
        <v>4.4917572736824019</v>
      </c>
      <c r="H77" s="7">
        <f>'Budget 2025'!N76</f>
        <v>4.8411373574408625</v>
      </c>
      <c r="K77" s="32"/>
    </row>
    <row r="78" spans="1:11" x14ac:dyDescent="0.35">
      <c r="A78" s="5" t="s">
        <v>38</v>
      </c>
      <c r="B78" s="31">
        <f>IFERROR(SUMPRODUCT('Outlook 6+6'!$B78:$D78,'Outlook 6+6'!$B$74:$D$74)/SUM('Outlook 6+6'!$B$74:$D$74),0)</f>
        <v>7.0529431382537915</v>
      </c>
      <c r="C78" s="7">
        <f>IFERROR(SUMPRODUCT('Outlook 6+6'!$E78:$G78,'Outlook 6+6'!$E$74:$G$74)/SUM('Outlook 6+6'!$E$74:$G$74),0)</f>
        <v>6.8604811988530336</v>
      </c>
      <c r="D78" s="7">
        <f>IFERROR(SUMPRODUCT('Outlook 6+6'!$H78:$J78,'Outlook 6+6'!$H$74:$J$74)/SUM('Outlook 6+6'!$H$74:$J$74),0)</f>
        <v>7.0505998715208404</v>
      </c>
      <c r="E78" s="7">
        <f>IFERROR(SUMPRODUCT('Outlook 6+6'!$K78:$M78,'Outlook 6+6'!$K$74:$M$74)/SUM('Outlook 6+6'!$K$74:$M$74),0)</f>
        <v>7.1454038745240771</v>
      </c>
      <c r="F78" s="7">
        <f>SUMPRODUCT(B78:E78,$B$74:$E$74)/SUM($B$74:$E$74)</f>
        <v>7.0434767940534782</v>
      </c>
      <c r="H78" s="7">
        <f>'Budget 2025'!N77</f>
        <v>7.386331839135952</v>
      </c>
      <c r="K78" s="32"/>
    </row>
    <row r="79" spans="1:11" x14ac:dyDescent="0.35">
      <c r="A79" s="5" t="s">
        <v>25</v>
      </c>
      <c r="B79" s="31">
        <f>IFERROR(SUMPRODUCT('Outlook 6+6'!$B79:$D79,'Outlook 6+6'!$B$74:$D$74)/SUM('Outlook 6+6'!$B$74:$D$74),0)</f>
        <v>11.873359016835929</v>
      </c>
      <c r="C79" s="7">
        <f>IFERROR(SUMPRODUCT('Outlook 6+6'!$E79:$G79,'Outlook 6+6'!$E$74:$G$74)/SUM('Outlook 6+6'!$E$74:$G$74),0)</f>
        <v>11.135209171616914</v>
      </c>
      <c r="D79" s="7">
        <f>IFERROR(SUMPRODUCT('Outlook 6+6'!$H79:$J79,'Outlook 6+6'!$H$74:$J$74)/SUM('Outlook 6+6'!$H$74:$J$74),0)</f>
        <v>10.143792341569023</v>
      </c>
      <c r="E79" s="7">
        <f>IFERROR(SUMPRODUCT('Outlook 6+6'!$K79:$M79,'Outlook 6+6'!$K$74:$M$74)/SUM('Outlook 6+6'!$K$74:$M$74),0)</f>
        <v>11.458691431199227</v>
      </c>
      <c r="F79" s="7">
        <f>SUMPRODUCT(B79:E79,$B$74:$E$74)/SUM($B$74:$E$74)</f>
        <v>11.193516490856128</v>
      </c>
      <c r="H79" s="7">
        <f>'Budget 2025'!N78</f>
        <v>13.846499085482177</v>
      </c>
      <c r="K79" s="32"/>
    </row>
    <row r="80" spans="1:11" s="2" customFormat="1" x14ac:dyDescent="0.35">
      <c r="A80" s="9" t="s">
        <v>39</v>
      </c>
      <c r="B80" s="10">
        <f>SUMIFS('Outlook 6+6'!$B80:$M80,'Outlook 6+6'!$B$185:$M$185,'Outlook Quarterly 6+6'!B$4)</f>
        <v>299.98689000000002</v>
      </c>
      <c r="C80" s="10">
        <f>SUMIFS('Outlook 6+6'!$B80:$M80,'Outlook 6+6'!$B$185:$M$185,'Outlook Quarterly 6+6'!C$4)</f>
        <v>337.03861999999998</v>
      </c>
      <c r="D80" s="10">
        <f>SUMIFS('Outlook 6+6'!$B80:$M80,'Outlook 6+6'!$B$185:$M$185,'Outlook Quarterly 6+6'!D$4)</f>
        <v>445</v>
      </c>
      <c r="E80" s="10">
        <f>SUMIFS('Outlook 6+6'!$B80:$M80,'Outlook 6+6'!$B$185:$M$185,'Outlook Quarterly 6+6'!E$4)</f>
        <v>448</v>
      </c>
      <c r="F80" s="10">
        <f>SUM(B80:E80)</f>
        <v>1530.0255099999999</v>
      </c>
      <c r="H80" s="10">
        <f>'Budget 2025'!N79</f>
        <v>1480</v>
      </c>
      <c r="K80" s="32"/>
    </row>
    <row r="81" spans="1:11" x14ac:dyDescent="0.35">
      <c r="A81" s="5" t="s">
        <v>60</v>
      </c>
      <c r="B81" s="30">
        <f>IFERROR(SUMPRODUCT('Outlook 6+6'!$B81:$D81,'Outlook 6+6'!$B$80:$D$80)/SUM('Outlook 6+6'!$B$80:$D$80),0)</f>
        <v>6546.3914328104374</v>
      </c>
      <c r="C81" s="8">
        <f>IFERROR(SUMPRODUCT('Outlook 6+6'!$E81:$G81,'Outlook 6+6'!$E$80:$G$80)/SUM('Outlook 6+6'!$E$80:$G$80),0)</f>
        <v>6545.0646728102001</v>
      </c>
      <c r="D81" s="8">
        <f>IFERROR(SUMPRODUCT('Outlook 6+6'!$H81:$J81,'Outlook 6+6'!$H$80:$J$80)/SUM('Outlook 6+6'!$H$80:$J$80),0)</f>
        <v>6453.3842015709915</v>
      </c>
      <c r="E81" s="8">
        <f>IFERROR(SUMPRODUCT('Outlook 6+6'!$K81:$M81,'Outlook 6+6'!$K$80:$M$80)/SUM('Outlook 6+6'!$K$80:$M$80),0)</f>
        <v>6390.4884151286997</v>
      </c>
      <c r="F81" s="8">
        <f>SUMPRODUCT(B81:E81,$B$80:$E$80)/SUM($B$80:$E$80)</f>
        <v>6473.3992255219973</v>
      </c>
      <c r="H81" s="8">
        <f>'Budget 2025'!N80</f>
        <v>6482.8119871932486</v>
      </c>
      <c r="K81" s="32"/>
    </row>
    <row r="82" spans="1:11" x14ac:dyDescent="0.35">
      <c r="A82" s="5" t="s">
        <v>40</v>
      </c>
      <c r="B82" s="31">
        <f>IFERROR(SUMPRODUCT('Outlook 6+6'!$B82:$D82,'Outlook 6+6'!$B$80:$D$80)/SUM('Outlook 6+6'!$B$80:$D$80),0)</f>
        <v>1.5724619949702787</v>
      </c>
      <c r="C82" s="7">
        <f>IFERROR(SUMPRODUCT('Outlook 6+6'!$E82:$G82,'Outlook 6+6'!$E$80:$G$80)/SUM('Outlook 6+6'!$E$80:$G$80),0)</f>
        <v>1.6168297377653669</v>
      </c>
      <c r="D82" s="7">
        <f>IFERROR(SUMPRODUCT('Outlook 6+6'!$H82:$J82,'Outlook 6+6'!$H$80:$J$80)/SUM('Outlook 6+6'!$H$80:$J$80),0)</f>
        <v>1.7960784223901571</v>
      </c>
      <c r="E82" s="7">
        <f>IFERROR(SUMPRODUCT('Outlook 6+6'!$K82:$M82,'Outlook 6+6'!$K$80:$M$80)/SUM('Outlook 6+6'!$K$80:$M$80),0)</f>
        <v>1.7583796473740509</v>
      </c>
      <c r="F82" s="7">
        <f>SUMPRODUCT(B82:E82,$B$80:$E$80)/SUM($B$80:$E$80)</f>
        <v>1.701710860424102</v>
      </c>
      <c r="H82" s="7">
        <f>'Budget 2025'!N81</f>
        <v>1.8762420726514626</v>
      </c>
      <c r="K82" s="32"/>
    </row>
    <row r="83" spans="1:11" x14ac:dyDescent="0.35">
      <c r="A83" s="5" t="s">
        <v>37</v>
      </c>
      <c r="B83" s="31">
        <f>IFERROR(SUMPRODUCT('Outlook 6+6'!$B83:$D83,'Outlook 6+6'!$B$80:$D$80)/SUM('Outlook 6+6'!$B$80:$D$80),0)</f>
        <v>4.259070795902308</v>
      </c>
      <c r="C83" s="7">
        <f>IFERROR(SUMPRODUCT('Outlook 6+6'!$E83:$G83,'Outlook 6+6'!$E$80:$G$80)/SUM('Outlook 6+6'!$E$80:$G$80),0)</f>
        <v>5.786979404158874</v>
      </c>
      <c r="D83" s="7">
        <f>IFERROR(SUMPRODUCT('Outlook 6+6'!$H83:$J83,'Outlook 6+6'!$H$80:$J$80)/SUM('Outlook 6+6'!$H$80:$J$80),0)</f>
        <v>6.3441722669385667</v>
      </c>
      <c r="E83" s="7">
        <f>IFERROR(SUMPRODUCT('Outlook 6+6'!$K83:$M83,'Outlook 6+6'!$K$80:$M$80)/SUM('Outlook 6+6'!$K$80:$M$80),0)</f>
        <v>5.8950056886683333</v>
      </c>
      <c r="F83" s="7">
        <f>SUMPRODUCT(B83:E83,$B$80:$E$80)/SUM($B$80:$E$80)</f>
        <v>5.6810949263256152</v>
      </c>
      <c r="H83" s="7">
        <f>'Budget 2025'!N82</f>
        <v>10.254553163544609</v>
      </c>
      <c r="K83" s="32"/>
    </row>
    <row r="84" spans="1:11" x14ac:dyDescent="0.35">
      <c r="A84" s="5" t="s">
        <v>38</v>
      </c>
      <c r="B84" s="31">
        <f>IFERROR(SUMPRODUCT('Outlook 6+6'!$B84:$D84,'Outlook 6+6'!$B$80:$D$80)/SUM('Outlook 6+6'!$B$80:$D$80),0)</f>
        <v>6.4202960004113985</v>
      </c>
      <c r="C84" s="7">
        <f>IFERROR(SUMPRODUCT('Outlook 6+6'!$E84:$G84,'Outlook 6+6'!$E$80:$G$80)/SUM('Outlook 6+6'!$E$80:$G$80),0)</f>
        <v>6.3243090256575076</v>
      </c>
      <c r="D84" s="7">
        <f>IFERROR(SUMPRODUCT('Outlook 6+6'!$H84:$J84,'Outlook 6+6'!$H$80:$J$80)/SUM('Outlook 6+6'!$H$80:$J$80),0)</f>
        <v>6.3246677871940822</v>
      </c>
      <c r="E84" s="7">
        <f>IFERROR(SUMPRODUCT('Outlook 6+6'!$K84:$M84,'Outlook 6+6'!$K$80:$M$80)/SUM('Outlook 6+6'!$K$80:$M$80),0)</f>
        <v>6.0358372301768224</v>
      </c>
      <c r="F84" s="7">
        <f>SUMPRODUCT(B84:E84,$B$80:$E$80)/SUM($B$80:$E$80)</f>
        <v>6.2587670586777264</v>
      </c>
      <c r="H84" s="7">
        <f>'Budget 2025'!N83</f>
        <v>6.6257918257808086</v>
      </c>
      <c r="K84" s="32"/>
    </row>
    <row r="85" spans="1:11" x14ac:dyDescent="0.35">
      <c r="A85" s="5" t="s">
        <v>25</v>
      </c>
      <c r="B85" s="31">
        <f>IFERROR(SUMPRODUCT('Outlook 6+6'!$B85:$D85,'Outlook 6+6'!$B$80:$D$80)/SUM('Outlook 6+6'!$B$80:$D$80),0)</f>
        <v>11.321403773263096</v>
      </c>
      <c r="C85" s="7">
        <f>IFERROR(SUMPRODUCT('Outlook 6+6'!$E85:$G85,'Outlook 6+6'!$E$80:$G$80)/SUM('Outlook 6+6'!$E$80:$G$80),0)</f>
        <v>10.928772631807254</v>
      </c>
      <c r="D85" s="7">
        <f>IFERROR(SUMPRODUCT('Outlook 6+6'!$H85:$J85,'Outlook 6+6'!$H$80:$J$80)/SUM('Outlook 6+6'!$H$80:$J$80),0)</f>
        <v>10.782099351373024</v>
      </c>
      <c r="E85" s="7">
        <f>IFERROR(SUMPRODUCT('Outlook 6+6'!$K85:$M85,'Outlook 6+6'!$K$80:$M$80)/SUM('Outlook 6+6'!$K$80:$M$80),0)</f>
        <v>11.37355462504506</v>
      </c>
      <c r="F85" s="7">
        <f>SUMPRODUCT(B85:E85,$B$80:$E$80)/SUM($B$80:$E$80)</f>
        <v>11.093329965377327</v>
      </c>
      <c r="H85" s="7">
        <f>'Budget 2025'!N84</f>
        <v>11.252249091491917</v>
      </c>
      <c r="K85" s="32"/>
    </row>
    <row r="86" spans="1:11" hidden="1" x14ac:dyDescent="0.35">
      <c r="A86" s="9" t="s">
        <v>53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f>SUM(B86:E86)</f>
        <v>149.71608999999998</v>
      </c>
      <c r="G86" s="2"/>
      <c r="H86" s="10">
        <f>'Budget 2025'!N91</f>
        <v>671.5</v>
      </c>
      <c r="K86" s="32"/>
    </row>
    <row r="87" spans="1:11" hidden="1" x14ac:dyDescent="0.35">
      <c r="A87" s="5" t="s">
        <v>60</v>
      </c>
      <c r="B87" s="8">
        <v>6322</v>
      </c>
      <c r="C87" s="8">
        <v>6322</v>
      </c>
      <c r="D87" s="8">
        <v>6322</v>
      </c>
      <c r="E87" s="8">
        <v>6322</v>
      </c>
      <c r="F87" s="14">
        <f>SUMPRODUCT(B87:E87,$B$86:$E$86)/SUM($B$86:$E$86)</f>
        <v>6322</v>
      </c>
      <c r="H87" s="8">
        <f>'Budget 2025'!N92</f>
        <v>6322</v>
      </c>
      <c r="K87" s="32"/>
    </row>
    <row r="88" spans="1:11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15">
        <f>SUMPRODUCT(B88:E88,$B$86:$E$86)/SUM($B$86:$E$86)</f>
        <v>0.6</v>
      </c>
      <c r="H88" s="7">
        <f>'Budget 2025'!N93</f>
        <v>0.6</v>
      </c>
      <c r="K88" s="32"/>
    </row>
    <row r="89" spans="1:11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15">
        <f>SUMPRODUCT(B89:E89,$B$86:$E$86)/SUM($B$86:$E$86)</f>
        <v>7.0000000000000009</v>
      </c>
      <c r="H89" s="7">
        <f>'Budget 2025'!N94</f>
        <v>7</v>
      </c>
      <c r="K89" s="32"/>
    </row>
    <row r="90" spans="1:11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15">
        <f>SUMPRODUCT(B90:E90,$B$86:$E$86)/SUM($B$86:$E$86)</f>
        <v>12</v>
      </c>
      <c r="H90" s="7">
        <f>'Budget 2025'!N95</f>
        <v>12</v>
      </c>
      <c r="K90" s="32"/>
    </row>
    <row r="91" spans="1:11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15">
        <f>SUMPRODUCT(B91:E91,$B$86:$E$86)/SUM($B$86:$E$86)</f>
        <v>14.000000000000002</v>
      </c>
      <c r="H91" s="7">
        <f>'Budget 2025'!N96</f>
        <v>14</v>
      </c>
      <c r="K91" s="32"/>
    </row>
    <row r="92" spans="1:11" hidden="1" x14ac:dyDescent="0.35">
      <c r="A92" s="9" t="s">
        <v>54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f>SUM(B92:E92)</f>
        <v>94.980260000000001</v>
      </c>
      <c r="G92" s="2"/>
      <c r="H92" s="10">
        <f>'Budget 2025'!N97</f>
        <v>1005</v>
      </c>
      <c r="K92" s="32"/>
    </row>
    <row r="93" spans="1:11" hidden="1" x14ac:dyDescent="0.35">
      <c r="A93" s="5" t="s">
        <v>60</v>
      </c>
      <c r="B93" s="8">
        <v>5400</v>
      </c>
      <c r="C93" s="8">
        <v>5400</v>
      </c>
      <c r="D93" s="8">
        <v>5400</v>
      </c>
      <c r="E93" s="8">
        <v>5400</v>
      </c>
      <c r="F93" s="14">
        <f>SUMPRODUCT(B93:E93,$B$93:$E$93)/SUM($B$93:$E$93)</f>
        <v>5400</v>
      </c>
      <c r="H93" s="8">
        <f>'Budget 2025'!N98</f>
        <v>5400</v>
      </c>
      <c r="K93" s="32"/>
    </row>
    <row r="94" spans="1:11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15">
        <f>SUMPRODUCT(B94:E94,$B$93:$E$93)/SUM($B$93:$E$93)</f>
        <v>1</v>
      </c>
      <c r="H94" s="7">
        <f>'Budget 2025'!N99</f>
        <v>1</v>
      </c>
      <c r="K94" s="32"/>
    </row>
    <row r="95" spans="1:11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15">
        <f>SUMPRODUCT(B95:E95,$B$93:$E$93)/SUM($B$93:$E$93)</f>
        <v>6</v>
      </c>
      <c r="H95" s="7">
        <f>'Budget 2025'!N100</f>
        <v>6</v>
      </c>
      <c r="K95" s="32"/>
    </row>
    <row r="96" spans="1:11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15">
        <f>SUMPRODUCT(B96:E96,$B$93:$E$93)/SUM($B$93:$E$93)</f>
        <v>15</v>
      </c>
      <c r="H96" s="7">
        <f>'Budget 2025'!N101</f>
        <v>15</v>
      </c>
      <c r="K96" s="32"/>
    </row>
    <row r="97" spans="1:11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15">
        <f>SUMPRODUCT(B97:E97,$B$93:$E$93)/SUM($B$93:$E$93)</f>
        <v>24</v>
      </c>
      <c r="H97" s="7">
        <f>'Budget 2025'!N102</f>
        <v>24</v>
      </c>
      <c r="K97" s="32"/>
    </row>
    <row r="98" spans="1:11" x14ac:dyDescent="0.35">
      <c r="K98" s="32"/>
    </row>
    <row r="99" spans="1:11" x14ac:dyDescent="0.35">
      <c r="A99" s="6" t="s">
        <v>48</v>
      </c>
      <c r="B99" s="6" t="s">
        <v>93</v>
      </c>
      <c r="C99" s="6" t="s">
        <v>94</v>
      </c>
      <c r="D99" s="6" t="s">
        <v>95</v>
      </c>
      <c r="E99" s="6" t="s">
        <v>96</v>
      </c>
      <c r="F99" s="6" t="s">
        <v>13</v>
      </c>
      <c r="G99" s="4"/>
      <c r="H99" s="6" t="s">
        <v>84</v>
      </c>
      <c r="K99" s="32"/>
    </row>
    <row r="100" spans="1:11" s="2" customFormat="1" x14ac:dyDescent="0.35">
      <c r="A100" s="9" t="s">
        <v>14</v>
      </c>
      <c r="B100" s="10">
        <f>SUM(B101:B103)</f>
        <v>21749.252778350001</v>
      </c>
      <c r="C100" s="10">
        <f t="shared" ref="C100:F100" si="16">SUM(C101:C103)</f>
        <v>17796.231100999998</v>
      </c>
      <c r="D100" s="10">
        <f t="shared" si="16"/>
        <v>21424</v>
      </c>
      <c r="E100" s="10">
        <f t="shared" si="16"/>
        <v>25558.516012650001</v>
      </c>
      <c r="F100" s="10">
        <f t="shared" si="16"/>
        <v>86527.999891999993</v>
      </c>
      <c r="H100" s="10">
        <f>'Budget 2025'!N105</f>
        <v>90950</v>
      </c>
      <c r="I100" s="27">
        <f>F100/H100</f>
        <v>0.95137987786695977</v>
      </c>
      <c r="K100" s="32"/>
    </row>
    <row r="101" spans="1:11" x14ac:dyDescent="0.35">
      <c r="A101" s="5" t="s">
        <v>30</v>
      </c>
      <c r="B101" s="30">
        <f>SUMIFS('Outlook 6+6'!$B101:$M101,'Outlook 6+6'!$B$185:$M$185,'Outlook Quarterly 6+6'!B$4)</f>
        <v>4618.2175850000003</v>
      </c>
      <c r="C101" s="8">
        <f>SUMIFS('Outlook 6+6'!$B101:$M101,'Outlook 6+6'!$B$185:$M$185,'Outlook Quarterly 6+6'!C$4)</f>
        <v>3934.956741</v>
      </c>
      <c r="D101" s="8">
        <f>SUMIFS('Outlook 6+6'!$B101:$M101,'Outlook 6+6'!$B$185:$M$185,'Outlook Quarterly 6+6'!D$4)</f>
        <v>4855</v>
      </c>
      <c r="E101" s="8">
        <f>SUMIFS('Outlook 6+6'!$B101:$M101,'Outlook 6+6'!$B$185:$M$185,'Outlook Quarterly 6+6'!E$4)</f>
        <v>6422.8254239999997</v>
      </c>
      <c r="F101" s="8">
        <f>SUM(B101:E101)</f>
        <v>19830.999749999999</v>
      </c>
      <c r="H101" s="8">
        <f>'Budget 2025'!N106</f>
        <v>24000</v>
      </c>
      <c r="K101" s="32"/>
    </row>
    <row r="102" spans="1:11" x14ac:dyDescent="0.35">
      <c r="A102" s="5" t="s">
        <v>57</v>
      </c>
      <c r="B102" s="30">
        <f>SUMIFS('Outlook 6+6'!$B102:$M102,'Outlook 6+6'!$B$185:$M$185,'Outlook Quarterly 6+6'!B$4)</f>
        <v>11147.49826335</v>
      </c>
      <c r="C102" s="8">
        <f>SUMIFS('Outlook 6+6'!$B102:$M102,'Outlook 6+6'!$B$185:$M$185,'Outlook Quarterly 6+6'!C$4)</f>
        <v>10260.795657999999</v>
      </c>
      <c r="D102" s="8">
        <f>SUMIFS('Outlook 6+6'!$B102:$M102,'Outlook 6+6'!$B$185:$M$185,'Outlook Quarterly 6+6'!D$4)</f>
        <v>13334</v>
      </c>
      <c r="E102" s="8">
        <f>SUMIFS('Outlook 6+6'!$B102:$M102,'Outlook 6+6'!$B$185:$M$185,'Outlook Quarterly 6+6'!E$4)</f>
        <v>15862.705930650001</v>
      </c>
      <c r="F102" s="8">
        <f>SUM(B102:E102)</f>
        <v>50604.999852000001</v>
      </c>
      <c r="H102" s="8">
        <f>'Budget 2025'!N107</f>
        <v>52450</v>
      </c>
      <c r="K102" s="32"/>
    </row>
    <row r="103" spans="1:11" x14ac:dyDescent="0.35">
      <c r="A103" s="5" t="s">
        <v>45</v>
      </c>
      <c r="B103" s="30">
        <f>SUMIFS('Outlook 6+6'!$B103:$M103,'Outlook 6+6'!$B$185:$M$185,'Outlook Quarterly 6+6'!B$4)</f>
        <v>5983.5369300000002</v>
      </c>
      <c r="C103" s="8">
        <f>SUMIFS('Outlook 6+6'!$B103:$M103,'Outlook 6+6'!$B$185:$M$185,'Outlook Quarterly 6+6'!C$4)</f>
        <v>3600.4787020000003</v>
      </c>
      <c r="D103" s="8">
        <f>SUMIFS('Outlook 6+6'!$B103:$M103,'Outlook 6+6'!$B$185:$M$185,'Outlook Quarterly 6+6'!D$4)</f>
        <v>3235</v>
      </c>
      <c r="E103" s="8">
        <f>SUMIFS('Outlook 6+6'!$B103:$M103,'Outlook 6+6'!$B$185:$M$185,'Outlook Quarterly 6+6'!E$4)</f>
        <v>3272.9846580000012</v>
      </c>
      <c r="F103" s="8">
        <f>SUM(B103:E103)</f>
        <v>16092.000290000002</v>
      </c>
      <c r="H103" s="8">
        <f>'Budget 2025'!N108</f>
        <v>14500</v>
      </c>
      <c r="K103" s="32"/>
    </row>
    <row r="104" spans="1:11" s="2" customFormat="1" x14ac:dyDescent="0.35">
      <c r="A104" s="9" t="s">
        <v>17</v>
      </c>
      <c r="B104" s="10">
        <f t="shared" ref="B104:F104" si="17">SUM(B105:B107)</f>
        <v>2384.6631639999996</v>
      </c>
      <c r="C104" s="10">
        <f t="shared" si="17"/>
        <v>2002.772246</v>
      </c>
      <c r="D104" s="10">
        <f t="shared" si="17"/>
        <v>1852</v>
      </c>
      <c r="E104" s="10">
        <f t="shared" si="17"/>
        <v>1855.56459</v>
      </c>
      <c r="F104" s="10">
        <f t="shared" si="17"/>
        <v>8095</v>
      </c>
      <c r="H104" s="10">
        <f>'Budget 2025'!N109</f>
        <v>8000</v>
      </c>
      <c r="I104" s="27">
        <f>F104/H104</f>
        <v>1.0118750000000001</v>
      </c>
      <c r="K104" s="32"/>
    </row>
    <row r="105" spans="1:11" x14ac:dyDescent="0.35">
      <c r="A105" s="5" t="s">
        <v>30</v>
      </c>
      <c r="B105" s="30">
        <f>SUMIFS('Outlook 6+6'!$B105:$M105,'Outlook 6+6'!$B$185:$M$185,'Outlook Quarterly 6+6'!B$4)</f>
        <v>652.31441400000006</v>
      </c>
      <c r="C105" s="8">
        <f>SUMIFS('Outlook 6+6'!$B105:$M105,'Outlook 6+6'!$B$185:$M$185,'Outlook Quarterly 6+6'!C$4)</f>
        <v>624.78682000000003</v>
      </c>
      <c r="D105" s="8">
        <f>SUMIFS('Outlook 6+6'!$B105:$M105,'Outlook 6+6'!$B$185:$M$185,'Outlook Quarterly 6+6'!D$4)</f>
        <v>484</v>
      </c>
      <c r="E105" s="8">
        <f>SUMIFS('Outlook 6+6'!$B105:$M105,'Outlook 6+6'!$B$185:$M$185,'Outlook Quarterly 6+6'!E$4)</f>
        <v>488.89876599999991</v>
      </c>
      <c r="F105" s="8">
        <f>SUM(B105:E105)</f>
        <v>2250</v>
      </c>
      <c r="H105" s="8">
        <f>'Budget 2025'!N110</f>
        <v>2399.9999999999995</v>
      </c>
      <c r="K105" s="32"/>
    </row>
    <row r="106" spans="1:11" x14ac:dyDescent="0.35">
      <c r="A106" s="5" t="s">
        <v>57</v>
      </c>
      <c r="B106" s="30">
        <f>SUMIFS('Outlook 6+6'!$B106:$M106,'Outlook 6+6'!$B$185:$M$185,'Outlook Quarterly 6+6'!B$4)</f>
        <v>1195.5137219999997</v>
      </c>
      <c r="C106" s="8">
        <f>SUMIFS('Outlook 6+6'!$B106:$M106,'Outlook 6+6'!$B$185:$M$185,'Outlook Quarterly 6+6'!C$4)</f>
        <v>733.21384599999999</v>
      </c>
      <c r="D106" s="8">
        <f>SUMIFS('Outlook 6+6'!$B106:$M106,'Outlook 6+6'!$B$185:$M$185,'Outlook Quarterly 6+6'!D$4)</f>
        <v>1143</v>
      </c>
      <c r="E106" s="8">
        <f>SUMIFS('Outlook 6+6'!$B106:$M106,'Outlook 6+6'!$B$185:$M$185,'Outlook Quarterly 6+6'!E$4)</f>
        <v>1278.272432</v>
      </c>
      <c r="F106" s="8">
        <f>SUM(B106:E106)</f>
        <v>4350</v>
      </c>
      <c r="H106" s="8">
        <f>'Budget 2025'!N111</f>
        <v>4400</v>
      </c>
      <c r="K106" s="32"/>
    </row>
    <row r="107" spans="1:11" x14ac:dyDescent="0.35">
      <c r="A107" s="5" t="s">
        <v>45</v>
      </c>
      <c r="B107" s="30">
        <f>SUMIFS('Outlook 6+6'!$B107:$M107,'Outlook 6+6'!$B$185:$M$185,'Outlook Quarterly 6+6'!B$4)</f>
        <v>536.83502799999997</v>
      </c>
      <c r="C107" s="8">
        <f>SUMIFS('Outlook 6+6'!$B107:$M107,'Outlook 6+6'!$B$185:$M$185,'Outlook Quarterly 6+6'!C$4)</f>
        <v>644.77158000000009</v>
      </c>
      <c r="D107" s="8">
        <f>SUMIFS('Outlook 6+6'!$B107:$M107,'Outlook 6+6'!$B$185:$M$185,'Outlook Quarterly 6+6'!D$4)</f>
        <v>225</v>
      </c>
      <c r="E107" s="8">
        <f>SUMIFS('Outlook 6+6'!$B107:$M107,'Outlook 6+6'!$B$185:$M$185,'Outlook Quarterly 6+6'!E$4)</f>
        <v>88.393391999999949</v>
      </c>
      <c r="F107" s="8">
        <f>SUM(B107:E107)</f>
        <v>1495</v>
      </c>
      <c r="H107" s="8">
        <f>'Budget 2025'!N112</f>
        <v>1200</v>
      </c>
      <c r="K107" s="32"/>
    </row>
    <row r="108" spans="1:11" s="2" customFormat="1" x14ac:dyDescent="0.35">
      <c r="A108" s="9" t="s">
        <v>43</v>
      </c>
      <c r="B108" s="11">
        <f t="shared" ref="B108:F108" si="18">IFERROR(B100/B104,0)</f>
        <v>9.1204716484436812</v>
      </c>
      <c r="C108" s="11">
        <f t="shared" si="18"/>
        <v>8.8857987404924312</v>
      </c>
      <c r="D108" s="11">
        <f t="shared" si="18"/>
        <v>11.568034557235421</v>
      </c>
      <c r="E108" s="11">
        <f t="shared" si="18"/>
        <v>13.773983482110964</v>
      </c>
      <c r="F108" s="11">
        <f t="shared" si="18"/>
        <v>10.689067312168005</v>
      </c>
      <c r="H108" s="11">
        <f>'Budget 2025'!N113</f>
        <v>11.36875</v>
      </c>
      <c r="K108" s="32"/>
    </row>
    <row r="109" spans="1:11" s="2" customFormat="1" x14ac:dyDescent="0.35">
      <c r="A109" s="9" t="s">
        <v>34</v>
      </c>
      <c r="B109" s="11">
        <f t="shared" ref="B109:F109" si="19">IFERROR(B100/B110,0)</f>
        <v>10.151995378760295</v>
      </c>
      <c r="C109" s="11">
        <f t="shared" si="19"/>
        <v>8.5244738393613257</v>
      </c>
      <c r="D109" s="11">
        <f t="shared" si="19"/>
        <v>11.630836047774158</v>
      </c>
      <c r="E109" s="11">
        <f t="shared" si="19"/>
        <v>12.843640930673297</v>
      </c>
      <c r="F109" s="11">
        <f t="shared" si="19"/>
        <v>10.732820626643511</v>
      </c>
      <c r="H109" s="11">
        <f>'Budget 2025'!N114</f>
        <v>11.228395061728396</v>
      </c>
      <c r="K109" s="32"/>
    </row>
    <row r="110" spans="1:11" s="2" customFormat="1" x14ac:dyDescent="0.35">
      <c r="A110" s="9" t="s">
        <v>49</v>
      </c>
      <c r="B110" s="10">
        <f>B111+B117</f>
        <v>2142.3623600000001</v>
      </c>
      <c r="C110" s="10">
        <f t="shared" ref="C110:F110" si="20">C111+C117</f>
        <v>2087.66329</v>
      </c>
      <c r="D110" s="10">
        <f t="shared" si="20"/>
        <v>1842</v>
      </c>
      <c r="E110" s="10">
        <f t="shared" si="20"/>
        <v>1989.9743500000009</v>
      </c>
      <c r="F110" s="10">
        <f t="shared" si="20"/>
        <v>8062.0000000000009</v>
      </c>
      <c r="H110" s="10">
        <f>'Budget 2025'!N115</f>
        <v>8100</v>
      </c>
      <c r="K110" s="32"/>
    </row>
    <row r="111" spans="1:11" s="2" customFormat="1" x14ac:dyDescent="0.35">
      <c r="A111" s="9" t="s">
        <v>89</v>
      </c>
      <c r="B111" s="10">
        <f>SUMIFS('Outlook 6+6'!$B111:$M111,'Outlook 6+6'!$B$185:$M$185,'Outlook Quarterly 6+6'!B$4)</f>
        <v>1740.8721599999999</v>
      </c>
      <c r="C111" s="10">
        <f>SUMIFS('Outlook 6+6'!$B111:$M111,'Outlook 6+6'!$B$185:$M$185,'Outlook Quarterly 6+6'!C$4)</f>
        <v>1455.15021</v>
      </c>
      <c r="D111" s="10">
        <f>SUMIFS('Outlook 6+6'!$B111:$M111,'Outlook 6+6'!$B$185:$M$185,'Outlook Quarterly 6+6'!D$4)</f>
        <v>1322</v>
      </c>
      <c r="E111" s="10">
        <f>SUMIFS('Outlook 6+6'!$B111:$M111,'Outlook 6+6'!$B$185:$M$185,'Outlook Quarterly 6+6'!E$4)</f>
        <v>1353.977630000001</v>
      </c>
      <c r="F111" s="10">
        <f>SUM(B111:E111)</f>
        <v>5872.0000000000009</v>
      </c>
      <c r="H111" s="10">
        <f>'Budget 2025'!N116</f>
        <v>5560</v>
      </c>
      <c r="K111" s="32"/>
    </row>
    <row r="112" spans="1:11" x14ac:dyDescent="0.35">
      <c r="A112" s="5" t="s">
        <v>60</v>
      </c>
      <c r="B112" s="30">
        <f>IFERROR(SUMPRODUCT('Outlook 6+6'!$B112:$D112,'Outlook 6+6'!$B$111:$D$111)/SUM('Outlook 6+6'!$B$111:$D$111),0)</f>
        <v>6143.3409514719779</v>
      </c>
      <c r="C112" s="8">
        <f>IFERROR(SUMPRODUCT('Outlook 6+6'!$E112:$G112,'Outlook 6+6'!$E$111:$G$111)/SUM('Outlook 6+6'!$E$111:$G$111),0)</f>
        <v>6129.7036272251307</v>
      </c>
      <c r="D112" s="8">
        <f>IFERROR(SUMPRODUCT('Outlook 6+6'!$H112:$J112,'Outlook 6+6'!$H$111:$J$111)/SUM('Outlook 6+6'!$H$111:$J$111),0)</f>
        <v>6245.8900808066837</v>
      </c>
      <c r="E112" s="8">
        <f>IFERROR(SUMPRODUCT('Outlook 6+6'!$K112:$M112,'Outlook 6+6'!$K$111:$M$111)/SUM('Outlook 6+6'!$K$111:$M$111),0)</f>
        <v>6145.7233856616685</v>
      </c>
      <c r="F112" s="8">
        <f>SUMPRODUCT(B112:E112,$B$111:$E$111)/SUM($B$111:$E$111)</f>
        <v>6163.598335044293</v>
      </c>
      <c r="H112" s="8">
        <f>'Budget 2025'!N117</f>
        <v>5915.2264206877153</v>
      </c>
      <c r="K112" s="32"/>
    </row>
    <row r="113" spans="1:11" x14ac:dyDescent="0.35">
      <c r="A113" s="5" t="s">
        <v>22</v>
      </c>
      <c r="B113" s="31">
        <f>IFERROR(SUMPRODUCT('Outlook 6+6'!$B113:$D113,'Outlook 6+6'!$B$111:$D$111)/SUM('Outlook 6+6'!$B$111:$D$111),0)</f>
        <v>0.53124865401678967</v>
      </c>
      <c r="C113" s="7">
        <f>IFERROR(SUMPRODUCT('Outlook 6+6'!$E113:$G113,'Outlook 6+6'!$E$111:$G$111)/SUM('Outlook 6+6'!$E$111:$G$111),0)</f>
        <v>0.59532761848360072</v>
      </c>
      <c r="D113" s="7">
        <f>IFERROR(SUMPRODUCT('Outlook 6+6'!$H113:$J113,'Outlook 6+6'!$H$111:$J$111)/SUM('Outlook 6+6'!$H$111:$J$111),0)</f>
        <v>0.52541726836904123</v>
      </c>
      <c r="E113" s="7">
        <f>IFERROR(SUMPRODUCT('Outlook 6+6'!$K113:$M113,'Outlook 6+6'!$K$111:$M$111)/SUM('Outlook 6+6'!$K$111:$M$111),0)</f>
        <v>0.54441613924287391</v>
      </c>
      <c r="F113" s="7">
        <f>SUMPRODUCT(B113:E113,$B$111:$E$111)/SUM($B$111:$E$111)</f>
        <v>0.54885149925071552</v>
      </c>
      <c r="H113" s="7">
        <f>'Budget 2025'!N118</f>
        <v>0.57720242104926189</v>
      </c>
      <c r="K113" s="32"/>
    </row>
    <row r="114" spans="1:11" x14ac:dyDescent="0.35">
      <c r="A114" s="5" t="s">
        <v>23</v>
      </c>
      <c r="B114" s="31">
        <f>IFERROR(SUMPRODUCT('Outlook 6+6'!$B114:$D114,'Outlook 6+6'!$B$111:$D$111)/SUM('Outlook 6+6'!$B$111:$D$111),0)</f>
        <v>4.4044611646016154</v>
      </c>
      <c r="C114" s="7">
        <f>IFERROR(SUMPRODUCT('Outlook 6+6'!$E114:$G114,'Outlook 6+6'!$E$111:$G$111)/SUM('Outlook 6+6'!$E$111:$G$111),0)</f>
        <v>4.0635675025649842</v>
      </c>
      <c r="D114" s="7">
        <f>IFERROR(SUMPRODUCT('Outlook 6+6'!$H114:$J114,'Outlook 6+6'!$H$111:$J$111)/SUM('Outlook 6+6'!$H$111:$J$111),0)</f>
        <v>3.5876341290834857</v>
      </c>
      <c r="E114" s="7">
        <f>IFERROR(SUMPRODUCT('Outlook 6+6'!$K114:$M114,'Outlook 6+6'!$K$111:$M$111)/SUM('Outlook 6+6'!$K$111:$M$111),0)</f>
        <v>3.8733403501868939</v>
      </c>
      <c r="F114" s="7">
        <f>(SUMPRODUCT(B114:E114,$B$111:$E$111)/SUM($B$111:$E$111))</f>
        <v>4.0136194537024066</v>
      </c>
      <c r="H114" s="7">
        <f>'Budget 2025'!N119</f>
        <v>4.8848465793008069</v>
      </c>
      <c r="K114" s="32"/>
    </row>
    <row r="115" spans="1:11" x14ac:dyDescent="0.35">
      <c r="A115" s="5" t="s">
        <v>38</v>
      </c>
      <c r="B115" s="31">
        <f>IFERROR(SUMPRODUCT('Outlook 6+6'!$B115:$D115,'Outlook 6+6'!$B$111:$D$111)/SUM('Outlook 6+6'!$B$111:$D$111),0)</f>
        <v>10.533314207067347</v>
      </c>
      <c r="C115" s="7">
        <f>IFERROR(SUMPRODUCT('Outlook 6+6'!$E115:$G115,'Outlook 6+6'!$E$111:$G$111)/SUM('Outlook 6+6'!$E$111:$G$111),0)</f>
        <v>11.058113718127212</v>
      </c>
      <c r="D115" s="7">
        <f>IFERROR(SUMPRODUCT('Outlook 6+6'!$H115:$J115,'Outlook 6+6'!$H$111:$J$111)/SUM('Outlook 6+6'!$H$111:$J$111),0)</f>
        <v>10.897649489337844</v>
      </c>
      <c r="E115" s="7">
        <f>IFERROR(SUMPRODUCT('Outlook 6+6'!$K115:$M115,'Outlook 6+6'!$K$111:$M$111)/SUM('Outlook 6+6'!$K$111:$M$111),0)</f>
        <v>11.02129920373201</v>
      </c>
      <c r="F115" s="7">
        <f>SUMPRODUCT(B115:E115,$B$111:$E$111)/SUM($B$111:$E$111)</f>
        <v>10.857911300246474</v>
      </c>
      <c r="H115" s="7">
        <f>'Budget 2025'!N120</f>
        <v>11.469446555956317</v>
      </c>
      <c r="K115" s="32"/>
    </row>
    <row r="116" spans="1:11" x14ac:dyDescent="0.35">
      <c r="A116" s="5" t="s">
        <v>25</v>
      </c>
      <c r="B116" s="31">
        <f>IFERROR(SUMPRODUCT('Outlook 6+6'!$B116:$D116,'Outlook 6+6'!$B$111:$D$111)/SUM('Outlook 6+6'!$B$111:$D$111),0)</f>
        <v>15.906094086775063</v>
      </c>
      <c r="C116" s="7">
        <f>IFERROR(SUMPRODUCT('Outlook 6+6'!$E116:$G116,'Outlook 6+6'!$E$111:$G$111)/SUM('Outlook 6+6'!$E$111:$G$111),0)</f>
        <v>16.112874141028289</v>
      </c>
      <c r="D116" s="7">
        <f>IFERROR(SUMPRODUCT('Outlook 6+6'!$H116:$J116,'Outlook 6+6'!$H$111:$J$111)/SUM('Outlook 6+6'!$H$111:$J$111),0)</f>
        <v>14.883984430144242</v>
      </c>
      <c r="E116" s="7">
        <f>IFERROR(SUMPRODUCT('Outlook 6+6'!$K116:$M116,'Outlook 6+6'!$K$111:$M$111)/SUM('Outlook 6+6'!$K$111:$M$111),0)</f>
        <v>15.665087771826412</v>
      </c>
      <c r="F116" s="7">
        <f>SUMPRODUCT(B116:E116,$B$111:$E$111)/SUM($B$111:$E$111)</f>
        <v>15.671650952268124</v>
      </c>
      <c r="H116" s="7">
        <f>'Budget 2025'!N121</f>
        <v>15.241913451679135</v>
      </c>
      <c r="K116" s="32"/>
    </row>
    <row r="117" spans="1:11" s="2" customFormat="1" x14ac:dyDescent="0.35">
      <c r="A117" s="9" t="s">
        <v>90</v>
      </c>
      <c r="B117" s="10">
        <f>SUMIFS('Outlook 6+6'!$B117:$M117,'Outlook 6+6'!$B$185:$M$185,'Outlook Quarterly 6+6'!B$4)</f>
        <v>401.49020000000007</v>
      </c>
      <c r="C117" s="10">
        <f>SUMIFS('Outlook 6+6'!$B117:$M117,'Outlook 6+6'!$B$185:$M$185,'Outlook Quarterly 6+6'!C$4)</f>
        <v>632.51307999999995</v>
      </c>
      <c r="D117" s="10">
        <f>SUMIFS('Outlook 6+6'!$B117:$M117,'Outlook 6+6'!$B$185:$M$185,'Outlook Quarterly 6+6'!D$4)</f>
        <v>520</v>
      </c>
      <c r="E117" s="10">
        <f>SUMIFS('Outlook 6+6'!$B117:$M117,'Outlook 6+6'!$B$185:$M$185,'Outlook Quarterly 6+6'!E$4)</f>
        <v>635.99671999999998</v>
      </c>
      <c r="F117" s="10">
        <f>SUM(B117:E117)</f>
        <v>2190</v>
      </c>
      <c r="H117" s="10">
        <f>'Budget 2025'!N122</f>
        <v>2540</v>
      </c>
      <c r="K117" s="32"/>
    </row>
    <row r="118" spans="1:11" x14ac:dyDescent="0.35">
      <c r="A118" s="5" t="s">
        <v>60</v>
      </c>
      <c r="B118" s="30">
        <f>IFERROR(SUMPRODUCT('Outlook 6+6'!$B118:$D118,'Outlook 6+6'!$B$117:$D$117)/SUM('Outlook 6+6'!$B$117:$D$117),0)</f>
        <v>6068.5303983263693</v>
      </c>
      <c r="C118" s="8">
        <f>IFERROR(SUMPRODUCT('Outlook 6+6'!$E118:$G118,'Outlook 6+6'!$E$117:$G$117)/SUM('Outlook 6+6'!$E$117:$G$117),0)</f>
        <v>6081.8005108422985</v>
      </c>
      <c r="D118" s="8">
        <f>IFERROR(SUMPRODUCT('Outlook 6+6'!$H118:$J118,'Outlook 6+6'!$H$117:$J$117)/SUM('Outlook 6+6'!$H$117:$J$117),0)</f>
        <v>6150.2198024459985</v>
      </c>
      <c r="E118" s="8">
        <f>IFERROR(SUMPRODUCT('Outlook 6+6'!$K118:$M118,'Outlook 6+6'!$K$117:$M$117)/SUM('Outlook 6+6'!$K$117:$M$117),0)</f>
        <v>6085.3922972203281</v>
      </c>
      <c r="F118" s="8">
        <f>SUMPRODUCT(B118:E118,$B$117:$E$117)/SUM($B$117:$E$117)</f>
        <v>6096.6564815551974</v>
      </c>
      <c r="H118" s="8">
        <f>'Budget 2025'!N123</f>
        <v>5792.8232136227871</v>
      </c>
      <c r="K118" s="32"/>
    </row>
    <row r="119" spans="1:11" x14ac:dyDescent="0.35">
      <c r="A119" s="5" t="s">
        <v>22</v>
      </c>
      <c r="B119" s="31">
        <f>IFERROR(SUMPRODUCT('Outlook 6+6'!$B119:$D119,'Outlook 6+6'!$B$117:$D$117)/SUM('Outlook 6+6'!$B$117:$D$117),0)</f>
        <v>1.9720963431228522</v>
      </c>
      <c r="C119" s="7">
        <f>IFERROR(SUMPRODUCT('Outlook 6+6'!$E119:$G119,'Outlook 6+6'!$E$117:$G$117)/SUM('Outlook 6+6'!$E$117:$G$117),0)</f>
        <v>1.8941037036281501</v>
      </c>
      <c r="D119" s="7">
        <f>IFERROR(SUMPRODUCT('Outlook 6+6'!$H119:$J119,'Outlook 6+6'!$H$117:$J$117)/SUM('Outlook 6+6'!$H$117:$J$117),0)</f>
        <v>1.8970225516409884</v>
      </c>
      <c r="E119" s="7">
        <f>IFERROR(SUMPRODUCT('Outlook 6+6'!$K119:$M119,'Outlook 6+6'!$K$117:$M$117)/SUM('Outlook 6+6'!$K$117:$M$117),0)</f>
        <v>1.9221772103442305</v>
      </c>
      <c r="F119" s="7">
        <f>SUMPRODUCT(B119:E119,$B$117:$E$117)/SUM($B$117:$E$117)</f>
        <v>1.9172478769552079</v>
      </c>
      <c r="H119" s="7">
        <f>'Budget 2025'!N124</f>
        <v>1.7606128453673298</v>
      </c>
      <c r="K119" s="32"/>
    </row>
    <row r="120" spans="1:11" x14ac:dyDescent="0.35">
      <c r="A120" s="5" t="s">
        <v>23</v>
      </c>
      <c r="B120" s="31">
        <f>IFERROR(SUMPRODUCT('Outlook 6+6'!$B120:$D120,'Outlook 6+6'!$B$117:$D$117)/SUM('Outlook 6+6'!$B$117:$D$117),0)</f>
        <v>5.4115621339721738</v>
      </c>
      <c r="C120" s="7">
        <f>IFERROR(SUMPRODUCT('Outlook 6+6'!$E120:$G120,'Outlook 6+6'!$E$117:$G$117)/SUM('Outlook 6+6'!$E$117:$G$117),0)</f>
        <v>6.0268562659856251</v>
      </c>
      <c r="D120" s="7">
        <f>IFERROR(SUMPRODUCT('Outlook 6+6'!$H120:$J120,'Outlook 6+6'!$H$117:$J$117)/SUM('Outlook 6+6'!$H$117:$J$117),0)</f>
        <v>5.409229146262696</v>
      </c>
      <c r="E120" s="7">
        <f>IFERROR(SUMPRODUCT('Outlook 6+6'!$K120:$M120,'Outlook 6+6'!$K$117:$M$117)/SUM('Outlook 6+6'!$K$117:$M$117),0)</f>
        <v>5.549695026276571</v>
      </c>
      <c r="F120" s="7">
        <f>(SUMPRODUCT(B120:E120,$B$117:$E$117)/SUM($B$117:$E$117))</f>
        <v>5.6288317683861182</v>
      </c>
      <c r="H120" s="7">
        <f>'Budget 2025'!N125</f>
        <v>5.7572096518405811</v>
      </c>
      <c r="K120" s="32"/>
    </row>
    <row r="121" spans="1:11" x14ac:dyDescent="0.35">
      <c r="A121" s="5" t="s">
        <v>38</v>
      </c>
      <c r="B121" s="31">
        <f>IFERROR(SUMPRODUCT('Outlook 6+6'!$B121:$D121,'Outlook 6+6'!$B$117:$D$117)/SUM('Outlook 6+6'!$B$117:$D$117),0)</f>
        <v>10.496518355904954</v>
      </c>
      <c r="C121" s="7">
        <f>IFERROR(SUMPRODUCT('Outlook 6+6'!$E121:$G121,'Outlook 6+6'!$E$117:$G$117)/SUM('Outlook 6+6'!$E$117:$G$117),0)</f>
        <v>10.175945361467791</v>
      </c>
      <c r="D121" s="7">
        <f>IFERROR(SUMPRODUCT('Outlook 6+6'!$H121:$J121,'Outlook 6+6'!$H$117:$J$117)/SUM('Outlook 6+6'!$H$117:$J$117),0)</f>
        <v>10.166000926817555</v>
      </c>
      <c r="E121" s="7">
        <f>IFERROR(SUMPRODUCT('Outlook 6+6'!$K121:$M121,'Outlook 6+6'!$K$117:$M$117)/SUM('Outlook 6+6'!$K$117:$M$117),0)</f>
        <v>10.276219400107671</v>
      </c>
      <c r="F121" s="7">
        <f>SUMPRODUCT(B121:E121,$B$117:$E$117)/SUM($B$117:$E$117)</f>
        <v>10.261474936494809</v>
      </c>
      <c r="H121" s="7">
        <f>'Budget 2025'!N126</f>
        <v>10.736864071482877</v>
      </c>
      <c r="K121" s="32"/>
    </row>
    <row r="122" spans="1:11" x14ac:dyDescent="0.35">
      <c r="A122" s="5" t="s">
        <v>25</v>
      </c>
      <c r="B122" s="31">
        <f>IFERROR(SUMPRODUCT('Outlook 6+6'!$B122:$D122,'Outlook 6+6'!$B$117:$D$117)/SUM('Outlook 6+6'!$B$117:$D$117),0)</f>
        <v>15.613557844756619</v>
      </c>
      <c r="C122" s="7">
        <f>IFERROR(SUMPRODUCT('Outlook 6+6'!$E122:$G122,'Outlook 6+6'!$E$117:$G$117)/SUM('Outlook 6+6'!$E$117:$G$117),0)</f>
        <v>15.123363611534403</v>
      </c>
      <c r="D122" s="7">
        <f>IFERROR(SUMPRODUCT('Outlook 6+6'!$H122:$J122,'Outlook 6+6'!$H$117:$J$117)/SUM('Outlook 6+6'!$H$117:$J$117),0)</f>
        <v>14.105391200739705</v>
      </c>
      <c r="E122" s="7">
        <f>IFERROR(SUMPRODUCT('Outlook 6+6'!$K122:$M122,'Outlook 6+6'!$K$117:$M$117)/SUM('Outlook 6+6'!$K$117:$M$117),0)</f>
        <v>14.946071235038932</v>
      </c>
      <c r="F122" s="7">
        <f>SUMPRODUCT(B122:E122,$B$117:$E$117)/SUM($B$117:$E$117)</f>
        <v>14.920032633082286</v>
      </c>
      <c r="H122" s="7">
        <f>'Budget 2025'!N127</f>
        <v>14.551758700752847</v>
      </c>
      <c r="K122" s="32"/>
    </row>
    <row r="123" spans="1:11" x14ac:dyDescent="0.35">
      <c r="K123" s="32"/>
    </row>
    <row r="124" spans="1:11" x14ac:dyDescent="0.35">
      <c r="A124" s="6" t="s">
        <v>44</v>
      </c>
      <c r="B124" s="6" t="s">
        <v>93</v>
      </c>
      <c r="C124" s="6" t="s">
        <v>94</v>
      </c>
      <c r="D124" s="6" t="s">
        <v>95</v>
      </c>
      <c r="E124" s="6" t="s">
        <v>96</v>
      </c>
      <c r="F124" s="6" t="s">
        <v>13</v>
      </c>
      <c r="G124" s="4"/>
      <c r="H124" s="6" t="s">
        <v>84</v>
      </c>
      <c r="K124" s="32"/>
    </row>
    <row r="125" spans="1:11" s="2" customFormat="1" x14ac:dyDescent="0.35">
      <c r="A125" s="9" t="s">
        <v>14</v>
      </c>
      <c r="B125" s="10">
        <f t="shared" ref="B125:F125" si="21">SUM(B126:B126)</f>
        <v>0</v>
      </c>
      <c r="C125" s="10">
        <f t="shared" si="21"/>
        <v>47.864999999999981</v>
      </c>
      <c r="D125" s="10">
        <f t="shared" si="21"/>
        <v>841.38400000000001</v>
      </c>
      <c r="E125" s="10">
        <f t="shared" si="21"/>
        <v>1229.751</v>
      </c>
      <c r="F125" s="10">
        <f t="shared" si="21"/>
        <v>2119</v>
      </c>
      <c r="H125" s="10">
        <f>'Budget 2025'!N130</f>
        <v>5038.6080002984163</v>
      </c>
      <c r="I125" s="27">
        <f>F125/H125</f>
        <v>0.42055266055118801</v>
      </c>
      <c r="K125" s="32"/>
    </row>
    <row r="126" spans="1:11" x14ac:dyDescent="0.35">
      <c r="A126" s="5" t="s">
        <v>69</v>
      </c>
      <c r="B126" s="30">
        <f>SUMIFS('Outlook 6+6'!$B126:$M126,'Outlook 6+6'!$B$185:$M$185,'Outlook Quarterly 6+6'!B$4)</f>
        <v>0</v>
      </c>
      <c r="C126" s="8">
        <f>SUMIFS('Outlook 6+6'!$B126:$M126,'Outlook 6+6'!$B$185:$M$185,'Outlook Quarterly 6+6'!C$4)</f>
        <v>47.864999999999981</v>
      </c>
      <c r="D126" s="8">
        <f>SUMIFS('Outlook 6+6'!$B126:$M126,'Outlook 6+6'!$B$185:$M$185,'Outlook Quarterly 6+6'!D$4)</f>
        <v>841.38400000000001</v>
      </c>
      <c r="E126" s="8">
        <f>SUMIFS('Outlook 6+6'!$B126:$M126,'Outlook 6+6'!$B$185:$M$185,'Outlook Quarterly 6+6'!E$4)</f>
        <v>1229.751</v>
      </c>
      <c r="F126" s="8">
        <f>SUM(B126:E126)</f>
        <v>2119</v>
      </c>
      <c r="H126" s="8">
        <f>'Budget 2025'!N131</f>
        <v>5038.6080002984163</v>
      </c>
      <c r="K126" s="32"/>
    </row>
    <row r="127" spans="1:11" s="2" customFormat="1" x14ac:dyDescent="0.35">
      <c r="A127" s="9" t="s">
        <v>17</v>
      </c>
      <c r="B127" s="10">
        <f t="shared" ref="B127:E127" si="22">SUM(B128:B128)</f>
        <v>0</v>
      </c>
      <c r="C127" s="10">
        <f t="shared" si="22"/>
        <v>0</v>
      </c>
      <c r="D127" s="10">
        <f t="shared" si="22"/>
        <v>26</v>
      </c>
      <c r="E127" s="10">
        <f t="shared" si="22"/>
        <v>174</v>
      </c>
      <c r="F127" s="10">
        <f>SUM(B127:E127)</f>
        <v>200</v>
      </c>
      <c r="H127" s="10">
        <f>'Budget 2025'!N132</f>
        <v>448</v>
      </c>
      <c r="I127" s="27">
        <f>F127/H127</f>
        <v>0.44642857142857145</v>
      </c>
      <c r="K127" s="32"/>
    </row>
    <row r="128" spans="1:11" x14ac:dyDescent="0.35">
      <c r="A128" s="5" t="s">
        <v>69</v>
      </c>
      <c r="B128" s="30">
        <f>SUMIFS('Outlook 6+6'!$B128:$M128,'Outlook 6+6'!$B$185:$M$185,'Outlook Quarterly 6+6'!B$4)</f>
        <v>0</v>
      </c>
      <c r="C128" s="8">
        <f>SUMIFS('Outlook 6+6'!$B128:$M128,'Outlook 6+6'!$B$185:$M$185,'Outlook Quarterly 6+6'!C$4)</f>
        <v>0</v>
      </c>
      <c r="D128" s="8">
        <f>SUMIFS('Outlook 6+6'!$B128:$M128,'Outlook 6+6'!$B$185:$M$185,'Outlook Quarterly 6+6'!D$4)</f>
        <v>26</v>
      </c>
      <c r="E128" s="8">
        <f>SUMIFS('Outlook 6+6'!$B128:$M128,'Outlook 6+6'!$B$185:$M$185,'Outlook Quarterly 6+6'!E$4)</f>
        <v>174</v>
      </c>
      <c r="F128" s="8">
        <f>SUM(B128:E128)</f>
        <v>200</v>
      </c>
      <c r="H128" s="8">
        <f>'Budget 2025'!N133</f>
        <v>448</v>
      </c>
      <c r="K128" s="32"/>
    </row>
    <row r="129" spans="1:11" s="2" customFormat="1" x14ac:dyDescent="0.35">
      <c r="A129" s="9" t="s">
        <v>43</v>
      </c>
      <c r="B129" s="11">
        <f t="shared" ref="B129:E129" si="23">IFERROR(B125/B127,0)</f>
        <v>0</v>
      </c>
      <c r="C129" s="11">
        <f t="shared" si="23"/>
        <v>0</v>
      </c>
      <c r="D129" s="11">
        <f t="shared" si="23"/>
        <v>32.360923076923079</v>
      </c>
      <c r="E129" s="11">
        <f t="shared" si="23"/>
        <v>7.0675344827586208</v>
      </c>
      <c r="F129" s="11">
        <f>F125/F127</f>
        <v>10.595000000000001</v>
      </c>
      <c r="H129" s="11">
        <f>'Budget 2025'!N134</f>
        <v>11.246892857808964</v>
      </c>
      <c r="K129" s="32"/>
    </row>
    <row r="130" spans="1:11" s="2" customFormat="1" x14ac:dyDescent="0.35">
      <c r="A130" s="9" t="s">
        <v>34</v>
      </c>
      <c r="B130" s="11">
        <f t="shared" ref="B130:E130" si="24">IFERROR(B125/B132,0)</f>
        <v>0</v>
      </c>
      <c r="C130" s="11">
        <f t="shared" si="24"/>
        <v>0</v>
      </c>
      <c r="D130" s="11">
        <f t="shared" si="24"/>
        <v>38.244727272727275</v>
      </c>
      <c r="E130" s="11">
        <f t="shared" si="24"/>
        <v>7.1915263157894733</v>
      </c>
      <c r="F130" s="11">
        <f>F125/F132</f>
        <v>10.979274611398964</v>
      </c>
      <c r="H130" s="11">
        <f>'Budget 2025'!N135</f>
        <v>11.63650808383006</v>
      </c>
      <c r="K130" s="32"/>
    </row>
    <row r="131" spans="1:11" s="2" customFormat="1" x14ac:dyDescent="0.35">
      <c r="A131" s="9" t="s">
        <v>46</v>
      </c>
      <c r="B131" s="10">
        <f>SUMIFS('Outlook 6+6'!$B131:$M131,'Outlook 6+6'!$B$185:$M$185,'Outlook Quarterly 6+6'!B$4)</f>
        <v>0</v>
      </c>
      <c r="C131" s="10">
        <f>SUMIFS('Outlook 6+6'!$B131:$M131,'Outlook 6+6'!$B$185:$M$185,'Outlook Quarterly 6+6'!C$4)</f>
        <v>0</v>
      </c>
      <c r="D131" s="10">
        <f>SUMIFS('Outlook 6+6'!$B131:$M131,'Outlook 6+6'!$B$185:$M$185,'Outlook Quarterly 6+6'!D$4)</f>
        <v>44.2</v>
      </c>
      <c r="E131" s="10">
        <f>SUMIFS('Outlook 6+6'!$B131:$M131,'Outlook 6+6'!$B$185:$M$185,'Outlook Quarterly 6+6'!E$4)</f>
        <v>178.3</v>
      </c>
      <c r="F131" s="10">
        <f>SUM(B131:E131)</f>
        <v>222.5</v>
      </c>
      <c r="H131" s="10">
        <f>'Budget 2025'!N136</f>
        <v>430.7</v>
      </c>
      <c r="K131" s="32"/>
    </row>
    <row r="132" spans="1:11" s="2" customFormat="1" x14ac:dyDescent="0.35">
      <c r="A132" s="9" t="s">
        <v>50</v>
      </c>
      <c r="B132" s="10">
        <f>SUMIFS('Outlook 6+6'!$B132:$M132,'Outlook 6+6'!$B$185:$M$185,'Outlook Quarterly 6+6'!B$4)</f>
        <v>0</v>
      </c>
      <c r="C132" s="10">
        <f>SUMIFS('Outlook 6+6'!$B132:$M132,'Outlook 6+6'!$B$185:$M$185,'Outlook Quarterly 6+6'!C$4)</f>
        <v>0</v>
      </c>
      <c r="D132" s="10">
        <f>SUMIFS('Outlook 6+6'!$B132:$M132,'Outlook 6+6'!$B$185:$M$185,'Outlook Quarterly 6+6'!D$4)</f>
        <v>22</v>
      </c>
      <c r="E132" s="10">
        <f>SUMIFS('Outlook 6+6'!$B132:$M132,'Outlook 6+6'!$B$185:$M$185,'Outlook Quarterly 6+6'!E$4)</f>
        <v>171</v>
      </c>
      <c r="F132" s="10">
        <f>SUM(B132:E132)</f>
        <v>193</v>
      </c>
      <c r="H132" s="10">
        <f>'Budget 2025'!N137</f>
        <v>433</v>
      </c>
      <c r="K132" s="32"/>
    </row>
    <row r="133" spans="1:11" x14ac:dyDescent="0.35">
      <c r="A133" s="5" t="s">
        <v>60</v>
      </c>
      <c r="B133" s="30">
        <f>IFERROR(SUMPRODUCT('Outlook 6+6'!$B133:$D133,'Outlook 6+6'!$B$132:$D$132)/SUM('Outlook 6+6'!$B$132:$D$132),0)</f>
        <v>0</v>
      </c>
      <c r="C133" s="8">
        <f>IFERROR(SUMPRODUCT('Outlook 6+6'!$E133:$G133,'Outlook 6+6'!$E$132:$G$132)/SUM('Outlook 6+6'!$E$132:$G$132),0)</f>
        <v>0</v>
      </c>
      <c r="D133" s="8">
        <f>IFERROR(SUMPRODUCT('Outlook 6+6'!$H133:$J133,'Outlook 6+6'!$H$132:$J$132)/SUM('Outlook 6+6'!$H$132:$J$132),0)</f>
        <v>4432.8755135949605</v>
      </c>
      <c r="E133" s="8">
        <f>IFERROR(SUMPRODUCT('Outlook 6+6'!$K133:$M133,'Outlook 6+6'!$K$132:$M$132)/SUM('Outlook 6+6'!$K$132:$M$132),0)</f>
        <v>4340.4136148515763</v>
      </c>
      <c r="F133" s="8">
        <f>SUMPRODUCT(B133:E133,$B$132:$E$132)/SUM($B$132:$E$132)</f>
        <v>4350.953313153931</v>
      </c>
      <c r="H133" s="8">
        <f>'Budget 2025'!N138</f>
        <v>4423.7945910311291</v>
      </c>
      <c r="K133" s="32"/>
    </row>
    <row r="134" spans="1:11" x14ac:dyDescent="0.35">
      <c r="A134" s="5" t="s">
        <v>22</v>
      </c>
      <c r="B134" s="30">
        <f>IFERROR(SUMPRODUCT('Outlook 6+6'!$B134:$D134,'Outlook 6+6'!$B$132:$D$132)/SUM('Outlook 6+6'!$B$132:$D$132),0)</f>
        <v>0</v>
      </c>
      <c r="C134" s="7">
        <f>IFERROR(SUMPRODUCT('Outlook 6+6'!$E134:$G134,'Outlook 6+6'!$E$132:$G$132)/SUM('Outlook 6+6'!$E$132:$G$132),0)</f>
        <v>0</v>
      </c>
      <c r="D134" s="7">
        <f>IFERROR(SUMPRODUCT('Outlook 6+6'!$H134:$J134,'Outlook 6+6'!$H$132:$J$132)/SUM('Outlook 6+6'!$H$132:$J$132),0)</f>
        <v>0.42589620091698116</v>
      </c>
      <c r="E134" s="7">
        <f>IFERROR(SUMPRODUCT('Outlook 6+6'!$K134:$M134,'Outlook 6+6'!$K$132:$M$132)/SUM('Outlook 6+6'!$K$132:$M$132),0)</f>
        <v>0.36636194442281056</v>
      </c>
      <c r="F134" s="15">
        <f>SUMPRODUCT(B134:E134,$B$132:$E$132)/SUM($B$132:$E$132)</f>
        <v>0.37314823272784553</v>
      </c>
      <c r="H134" s="7">
        <f>'Budget 2025'!N139</f>
        <v>0.36898824350858472</v>
      </c>
      <c r="K134" s="32"/>
    </row>
    <row r="135" spans="1:11" x14ac:dyDescent="0.35">
      <c r="A135" s="5" t="s">
        <v>23</v>
      </c>
      <c r="B135" s="30">
        <f>IFERROR(SUMPRODUCT('Outlook 6+6'!$B135:$D135,'Outlook 6+6'!$B$132:$D$132)/SUM('Outlook 6+6'!$B$132:$D$132),0)</f>
        <v>0</v>
      </c>
      <c r="C135" s="7">
        <f>IFERROR(SUMPRODUCT('Outlook 6+6'!$E135:$G135,'Outlook 6+6'!$E$132:$G$132)/SUM('Outlook 6+6'!$E$132:$G$132),0)</f>
        <v>0</v>
      </c>
      <c r="D135" s="7">
        <f>IFERROR(SUMPRODUCT('Outlook 6+6'!$H135:$J135,'Outlook 6+6'!$H$132:$J$132)/SUM('Outlook 6+6'!$H$132:$J$132),0)</f>
        <v>4.8164646593450531</v>
      </c>
      <c r="E135" s="7">
        <f>IFERROR(SUMPRODUCT('Outlook 6+6'!$K135:$M135,'Outlook 6+6'!$K$132:$M$132)/SUM('Outlook 6+6'!$K$132:$M$132),0)</f>
        <v>5.3241808665370867</v>
      </c>
      <c r="F135" s="15">
        <f>SUMPRODUCT(B135:E135,$B$132:$E$132)/SUM($B$132:$E$132)</f>
        <v>5.2663064802250412</v>
      </c>
      <c r="H135" s="7">
        <f>'Budget 2025'!N140</f>
        <v>4.4323109091173567</v>
      </c>
      <c r="K135" s="32"/>
    </row>
    <row r="136" spans="1:11" x14ac:dyDescent="0.35">
      <c r="A136" s="5" t="s">
        <v>38</v>
      </c>
      <c r="B136" s="30">
        <f>IFERROR(SUMPRODUCT('Outlook 6+6'!$B136:$D136,'Outlook 6+6'!$B$132:$D$132)/SUM('Outlook 6+6'!$B$132:$D$132),0)</f>
        <v>0</v>
      </c>
      <c r="C136" s="7">
        <f>IFERROR(SUMPRODUCT('Outlook 6+6'!$E136:$G136,'Outlook 6+6'!$E$132:$G$132)/SUM('Outlook 6+6'!$E$132:$G$132),0)</f>
        <v>0</v>
      </c>
      <c r="D136" s="7">
        <f>IFERROR(SUMPRODUCT('Outlook 6+6'!$H136:$J136,'Outlook 6+6'!$H$132:$J$132)/SUM('Outlook 6+6'!$H$132:$J$132),0)</f>
        <v>16.917822881871093</v>
      </c>
      <c r="E136" s="7">
        <f>IFERROR(SUMPRODUCT('Outlook 6+6'!$K136:$M136,'Outlook 6+6'!$K$132:$M$132)/SUM('Outlook 6+6'!$K$132:$M$132),0)</f>
        <v>16.178573771755616</v>
      </c>
      <c r="F136" s="15">
        <f>SUMPRODUCT(B136:E136,$B$132:$E$132)/SUM($B$132:$E$132)</f>
        <v>16.26284050969624</v>
      </c>
      <c r="H136" s="7">
        <f>'Budget 2025'!N141</f>
        <v>16.92589236972162</v>
      </c>
      <c r="K136" s="32"/>
    </row>
    <row r="137" spans="1:11" x14ac:dyDescent="0.35">
      <c r="A137" s="5" t="s">
        <v>25</v>
      </c>
      <c r="B137" s="30">
        <f>IFERROR(SUMPRODUCT('Outlook 6+6'!$B137:$D137,'Outlook 6+6'!$B$132:$D$132)/SUM('Outlook 6+6'!$B$132:$D$132),0)</f>
        <v>0</v>
      </c>
      <c r="C137" s="7">
        <f>IFERROR(SUMPRODUCT('Outlook 6+6'!$E137:$G137,'Outlook 6+6'!$E$132:$G$132)/SUM('Outlook 6+6'!$E$132:$G$132),0)</f>
        <v>0</v>
      </c>
      <c r="D137" s="7">
        <f>IFERROR(SUMPRODUCT('Outlook 6+6'!$H137:$J137,'Outlook 6+6'!$H$132:$J$132)/SUM('Outlook 6+6'!$H$132:$J$132),0)</f>
        <v>29.712125382556522</v>
      </c>
      <c r="E137" s="7">
        <f>IFERROR(SUMPRODUCT('Outlook 6+6'!$K137:$M137,'Outlook 6+6'!$K$132:$M$132)/SUM('Outlook 6+6'!$K$132:$M$132),0)</f>
        <v>30.015493858484369</v>
      </c>
      <c r="F137" s="15">
        <f>SUMPRODUCT(B137:E137,$B$132:$E$132)/SUM($B$132:$E$132)</f>
        <v>29.98091299594337</v>
      </c>
      <c r="H137" s="7">
        <f>'Budget 2025'!N142</f>
        <v>30.236602375317773</v>
      </c>
      <c r="K137" s="32"/>
    </row>
    <row r="138" spans="1:11" x14ac:dyDescent="0.35">
      <c r="K138" s="32"/>
    </row>
    <row r="139" spans="1:11" x14ac:dyDescent="0.35">
      <c r="A139" s="6" t="s">
        <v>52</v>
      </c>
      <c r="B139" s="6" t="s">
        <v>93</v>
      </c>
      <c r="C139" s="6" t="s">
        <v>94</v>
      </c>
      <c r="D139" s="6" t="s">
        <v>95</v>
      </c>
      <c r="E139" s="6" t="s">
        <v>96</v>
      </c>
      <c r="F139" s="6" t="s">
        <v>13</v>
      </c>
      <c r="G139" s="4"/>
      <c r="H139" s="6" t="s">
        <v>84</v>
      </c>
      <c r="K139" s="32"/>
    </row>
    <row r="140" spans="1:11" x14ac:dyDescent="0.35">
      <c r="A140" s="9" t="s">
        <v>14</v>
      </c>
      <c r="B140" s="10">
        <f>B141</f>
        <v>1701.9404576999996</v>
      </c>
      <c r="C140" s="10">
        <f t="shared" ref="C140:E140" si="25">C141</f>
        <v>1914.9783519999989</v>
      </c>
      <c r="D140" s="10">
        <f t="shared" si="25"/>
        <v>2745</v>
      </c>
      <c r="E140" s="10">
        <f t="shared" si="25"/>
        <v>2388.0811903000013</v>
      </c>
      <c r="F140" s="10">
        <f>SUM(B140:E140)</f>
        <v>8750</v>
      </c>
      <c r="G140" s="2"/>
      <c r="H140" s="10">
        <f>'Budget 2025'!N145</f>
        <v>8500</v>
      </c>
      <c r="I140" s="27">
        <f>F140/H140</f>
        <v>1.0294117647058822</v>
      </c>
      <c r="K140" s="32"/>
    </row>
    <row r="141" spans="1:11" x14ac:dyDescent="0.35">
      <c r="A141" s="5" t="s">
        <v>71</v>
      </c>
      <c r="B141" s="30">
        <f>SUMIFS('Outlook 6+6'!$B141:$M141,'Outlook 6+6'!$B$185:$M$185,'Outlook Quarterly 6+6'!B$4)</f>
        <v>1701.9404576999996</v>
      </c>
      <c r="C141" s="8">
        <f>SUMIFS('Outlook 6+6'!$B141:$M141,'Outlook 6+6'!$B$185:$M$185,'Outlook Quarterly 6+6'!C$4)</f>
        <v>1914.9783519999989</v>
      </c>
      <c r="D141" s="8">
        <f>SUMIFS('Outlook 6+6'!$B141:$M141,'Outlook 6+6'!$B$185:$M$185,'Outlook Quarterly 6+6'!D$4)</f>
        <v>2745</v>
      </c>
      <c r="E141" s="8">
        <f>SUMIFS('Outlook 6+6'!$B141:$M141,'Outlook 6+6'!$B$185:$M$185,'Outlook Quarterly 6+6'!E$4)</f>
        <v>2388.0811903000013</v>
      </c>
      <c r="F141" s="8">
        <f>SUM(B141:E141)</f>
        <v>8750</v>
      </c>
      <c r="H141" s="8">
        <f>'Budget 2025'!N146</f>
        <v>8500</v>
      </c>
      <c r="K141" s="32"/>
    </row>
    <row r="142" spans="1:11" x14ac:dyDescent="0.35">
      <c r="A142" s="9" t="s">
        <v>17</v>
      </c>
      <c r="B142" s="10">
        <f t="shared" ref="B142:F142" si="26">SUM(B143:B145)</f>
        <v>508.79879200000005</v>
      </c>
      <c r="C142" s="10">
        <f t="shared" si="26"/>
        <v>463.18926399999998</v>
      </c>
      <c r="D142" s="10">
        <f t="shared" si="26"/>
        <v>358.18286468856149</v>
      </c>
      <c r="E142" s="10">
        <f t="shared" si="26"/>
        <v>414.6302270526316</v>
      </c>
      <c r="F142" s="10">
        <f t="shared" si="26"/>
        <v>1744.8011477411933</v>
      </c>
      <c r="G142" s="2"/>
      <c r="H142" s="10">
        <f>'Budget 2025'!N147</f>
        <v>2100</v>
      </c>
      <c r="I142" s="27">
        <f>F142/H142</f>
        <v>0.83085768940056826</v>
      </c>
      <c r="K142" s="32"/>
    </row>
    <row r="143" spans="1:11" x14ac:dyDescent="0.35">
      <c r="A143" s="5" t="s">
        <v>71</v>
      </c>
      <c r="B143" s="30">
        <f>SUMIFS('Outlook 6+6'!$B143:$M143,'Outlook 6+6'!$B$185:$M$185,'Outlook Quarterly 6+6'!B$4)</f>
        <v>374.11472500000002</v>
      </c>
      <c r="C143" s="8">
        <f>SUMIFS('Outlook 6+6'!$B143:$M143,'Outlook 6+6'!$B$185:$M$185,'Outlook Quarterly 6+6'!C$4)</f>
        <v>384.76450399999999</v>
      </c>
      <c r="D143" s="8">
        <f>SUMIFS('Outlook 6+6'!$B143:$M143,'Outlook 6+6'!$B$185:$M$185,'Outlook Quarterly 6+6'!D$4)</f>
        <v>358.18286468856149</v>
      </c>
      <c r="E143" s="8">
        <f>SUMIFS('Outlook 6+6'!$B143:$M143,'Outlook 6+6'!$B$185:$M$185,'Outlook Quarterly 6+6'!E$4)</f>
        <v>414.6302270526316</v>
      </c>
      <c r="F143" s="8">
        <f>SUM(B143:E143)</f>
        <v>1531.6923207411933</v>
      </c>
      <c r="H143" s="8">
        <f>'Budget 2025'!N148</f>
        <v>1467</v>
      </c>
      <c r="K143" s="32"/>
    </row>
    <row r="144" spans="1:11" x14ac:dyDescent="0.35">
      <c r="A144" s="5" t="s">
        <v>72</v>
      </c>
      <c r="B144" s="30">
        <f>SUMIFS('Outlook 6+6'!$B144:$M144,'Outlook 6+6'!$B$185:$M$185,'Outlook Quarterly 6+6'!B$4)</f>
        <v>134.684067</v>
      </c>
      <c r="C144" s="8">
        <f>SUMIFS('Outlook 6+6'!$B144:$M144,'Outlook 6+6'!$B$185:$M$185,'Outlook Quarterly 6+6'!C$4)</f>
        <v>78.424759999999992</v>
      </c>
      <c r="D144" s="8">
        <f>SUMIFS('Outlook 6+6'!$B144:$M144,'Outlook 6+6'!$B$185:$M$185,'Outlook Quarterly 6+6'!D$4)</f>
        <v>0</v>
      </c>
      <c r="E144" s="8">
        <f>SUMIFS('Outlook 6+6'!$B144:$M144,'Outlook 6+6'!$B$185:$M$185,'Outlook Quarterly 6+6'!E$4)</f>
        <v>0</v>
      </c>
      <c r="F144" s="8">
        <f>SUM(B144:E144)</f>
        <v>213.10882699999999</v>
      </c>
      <c r="H144" s="8">
        <f>'Budget 2025'!N149</f>
        <v>633</v>
      </c>
      <c r="K144" s="32"/>
    </row>
    <row r="145" spans="1:11" hidden="1" x14ac:dyDescent="0.35">
      <c r="A145" s="5" t="s">
        <v>74</v>
      </c>
      <c r="B145" s="8"/>
      <c r="C145" s="8"/>
      <c r="D145" s="8"/>
      <c r="E145" s="8"/>
      <c r="F145" s="8">
        <f>SUM(B145:E145)</f>
        <v>0</v>
      </c>
      <c r="H145" s="8"/>
      <c r="K145" s="32"/>
    </row>
    <row r="146" spans="1:11" x14ac:dyDescent="0.35">
      <c r="A146" s="9" t="s">
        <v>43</v>
      </c>
      <c r="B146" s="11">
        <f>IFERROR(B140/B142,0)</f>
        <v>3.3450167029877687</v>
      </c>
      <c r="C146" s="11">
        <f t="shared" ref="C146:F146" si="27">C140/C142</f>
        <v>4.1343323363384323</v>
      </c>
      <c r="D146" s="11">
        <f t="shared" si="27"/>
        <v>7.6636831926249904</v>
      </c>
      <c r="E146" s="11">
        <f t="shared" si="27"/>
        <v>5.7595443710785403</v>
      </c>
      <c r="F146" s="11">
        <f t="shared" si="27"/>
        <v>5.0148981225325793</v>
      </c>
      <c r="G146" s="2"/>
      <c r="H146" s="11">
        <f>'Budget 2025'!N150</f>
        <v>4.0476190476190474</v>
      </c>
      <c r="K146" s="32"/>
    </row>
    <row r="147" spans="1:11" x14ac:dyDescent="0.35">
      <c r="A147" s="9" t="s">
        <v>34</v>
      </c>
      <c r="B147" s="11">
        <f>IFERROR(B140/B148,0)</f>
        <v>2.7345724967969907</v>
      </c>
      <c r="C147" s="11">
        <f t="shared" ref="C147:F147" si="28">C140/C148</f>
        <v>3.4623945805777643</v>
      </c>
      <c r="D147" s="11">
        <f t="shared" si="28"/>
        <v>7.625</v>
      </c>
      <c r="E147" s="11">
        <f t="shared" si="28"/>
        <v>3.3399736927272743</v>
      </c>
      <c r="F147" s="11">
        <f t="shared" si="28"/>
        <v>3.888097159984309</v>
      </c>
      <c r="G147" s="2"/>
      <c r="H147" s="11">
        <f>'Budget 2025'!N151</f>
        <v>4.1463414634146343</v>
      </c>
      <c r="K147" s="32"/>
    </row>
    <row r="148" spans="1:11" x14ac:dyDescent="0.35">
      <c r="A148" s="9" t="s">
        <v>47</v>
      </c>
      <c r="B148" s="10">
        <f>SUMIFS('Outlook 6+6'!$B148:$M148,'Outlook 6+6'!$B$185:$M$185,'Outlook Quarterly 6+6'!B$4)</f>
        <v>622.37898600000005</v>
      </c>
      <c r="C148" s="10">
        <f>SUMIFS('Outlook 6+6'!$B148:$M148,'Outlook 6+6'!$B$185:$M$185,'Outlook Quarterly 6+6'!C$4)</f>
        <v>553.07917899999995</v>
      </c>
      <c r="D148" s="10">
        <f>SUMIFS('Outlook 6+6'!$B148:$M148,'Outlook 6+6'!$B$185:$M$185,'Outlook Quarterly 6+6'!D$4)</f>
        <v>360</v>
      </c>
      <c r="E148" s="10">
        <f>SUMIFS('Outlook 6+6'!$B148:$M148,'Outlook 6+6'!$B$185:$M$185,'Outlook Quarterly 6+6'!E$4)</f>
        <v>715</v>
      </c>
      <c r="F148" s="10">
        <f>SUM(B148:E148)</f>
        <v>2250.458165</v>
      </c>
      <c r="G148" s="2"/>
      <c r="H148" s="10">
        <f>'Budget 2025'!N152</f>
        <v>2050</v>
      </c>
      <c r="K148" s="32"/>
    </row>
    <row r="149" spans="1:11" x14ac:dyDescent="0.35">
      <c r="A149" s="5" t="s">
        <v>60</v>
      </c>
      <c r="B149" s="30">
        <f>IFERROR(SUMPRODUCT('Outlook 6+6'!$B149:$D149,'Outlook 6+6'!$B$148:$D$148)/SUM('Outlook 6+6'!$B$148:$D$148),0)</f>
        <v>3743.3844737159634</v>
      </c>
      <c r="C149" s="8">
        <f>IFERROR(SUMPRODUCT('Outlook 6+6'!$E149:$G149,'Outlook 6+6'!$E$148:$G$148)/SUM('Outlook 6+6'!$E$148:$G$148),0)</f>
        <v>3739.1623081307393</v>
      </c>
      <c r="D149" s="8">
        <f>IFERROR(SUMPRODUCT('Outlook 6+6'!$H149:$J149,'Outlook 6+6'!$H$148:$J$148)/SUM('Outlook 6+6'!$H$148:$J$148),0)</f>
        <v>3677.5943588225682</v>
      </c>
      <c r="E149" s="8">
        <f>IFERROR(SUMPRODUCT('Outlook 6+6'!$K149:$M149,'Outlook 6+6'!$K$148:$M$148)/SUM('Outlook 6+6'!$K$148:$M$148),0)</f>
        <v>3701.97100837062</v>
      </c>
      <c r="F149" s="14">
        <f>SUMPRODUCT(B149:E149,$B$148:$E$148)/SUM($B$148:$E$148)</f>
        <v>3718.6649468995115</v>
      </c>
      <c r="G149" s="12"/>
      <c r="H149" s="8">
        <f>'Budget 2025'!N153</f>
        <v>3727.5040431597959</v>
      </c>
      <c r="K149" s="32"/>
    </row>
    <row r="150" spans="1:11" x14ac:dyDescent="0.35">
      <c r="A150" s="5" t="s">
        <v>22</v>
      </c>
      <c r="B150" s="31">
        <f>IFERROR(SUMPRODUCT('Outlook 6+6'!$B150:$D150,'Outlook 6+6'!$B$148:$D$148)/SUM('Outlook 6+6'!$B$148:$D$148),0)</f>
        <v>0.1678125873690437</v>
      </c>
      <c r="C150" s="7">
        <f>IFERROR(SUMPRODUCT('Outlook 6+6'!$E150:$G150,'Outlook 6+6'!$E$148:$G$148)/SUM('Outlook 6+6'!$E$148:$G$148),0)</f>
        <v>0.19203189718134309</v>
      </c>
      <c r="D150" s="7">
        <f>IFERROR(SUMPRODUCT('Outlook 6+6'!$H150:$J150,'Outlook 6+6'!$H$148:$J$148)/SUM('Outlook 6+6'!$H$148:$J$148),0)</f>
        <v>0.16218968129486341</v>
      </c>
      <c r="E150" s="7">
        <f>IFERROR(SUMPRODUCT('Outlook 6+6'!$K150:$M150,'Outlook 6+6'!$K$148:$M$148)/SUM('Outlook 6+6'!$K$148:$M$148),0)</f>
        <v>0.15722747949828153</v>
      </c>
      <c r="F150" s="15">
        <f>SUMPRODUCT(B150:E150,$B$148:$E$148)/SUM($B$148:$E$148)</f>
        <v>0.16950228670750411</v>
      </c>
      <c r="H150" s="7">
        <f>'Budget 2025'!N154</f>
        <v>0.15227341108882345</v>
      </c>
      <c r="K150" s="32"/>
    </row>
    <row r="151" spans="1:11" x14ac:dyDescent="0.35">
      <c r="A151" s="5" t="s">
        <v>23</v>
      </c>
      <c r="B151" s="31">
        <f>IFERROR(SUMPRODUCT('Outlook 6+6'!$B151:$D151,'Outlook 6+6'!$B$148:$D$148)/SUM('Outlook 6+6'!$B$148:$D$148),0)</f>
        <v>8.6931371766564531</v>
      </c>
      <c r="C151" s="7">
        <f>IFERROR(SUMPRODUCT('Outlook 6+6'!$E151:$G151,'Outlook 6+6'!$E$148:$G$148)/SUM('Outlook 6+6'!$E$148:$G$148),0)</f>
        <v>7.1163708507680452</v>
      </c>
      <c r="D151" s="7">
        <f>IFERROR(SUMPRODUCT('Outlook 6+6'!$H151:$J151,'Outlook 6+6'!$H$148:$J$148)/SUM('Outlook 6+6'!$H$148:$J$148),0)</f>
        <v>8.6517045625271614</v>
      </c>
      <c r="E151" s="7">
        <f>IFERROR(SUMPRODUCT('Outlook 6+6'!$K151:$M151,'Outlook 6+6'!$K$148:$M$148)/SUM('Outlook 6+6'!$K$148:$M$148),0)</f>
        <v>7.936254937833354</v>
      </c>
      <c r="F151" s="15">
        <f>SUMPRODUCT(B151:E151,$B$148:$E$148)/SUM($B$148:$E$148)</f>
        <v>8.0585272163143244</v>
      </c>
      <c r="H151" s="7">
        <f>'Budget 2025'!N155</f>
        <v>7.9761081652071226</v>
      </c>
      <c r="K151" s="32"/>
    </row>
    <row r="152" spans="1:11" x14ac:dyDescent="0.35">
      <c r="A152" s="5" t="s">
        <v>38</v>
      </c>
      <c r="B152" s="31">
        <f>IFERROR(SUMPRODUCT('Outlook 6+6'!$B152:$D152,'Outlook 6+6'!$B$148:$D$148)/SUM('Outlook 6+6'!$B$148:$D$148),0)</f>
        <v>19.858821393427043</v>
      </c>
      <c r="C152" s="7">
        <f>IFERROR(SUMPRODUCT('Outlook 6+6'!$E152:$G152,'Outlook 6+6'!$E$148:$G$148)/SUM('Outlook 6+6'!$E$148:$G$148),0)</f>
        <v>22.723958824653884</v>
      </c>
      <c r="D152" s="7">
        <f>IFERROR(SUMPRODUCT('Outlook 6+6'!$H152:$J152,'Outlook 6+6'!$H$148:$J$148)/SUM('Outlook 6+6'!$H$148:$J$148),0)</f>
        <v>22.057368107825809</v>
      </c>
      <c r="E152" s="7">
        <f>IFERROR(SUMPRODUCT('Outlook 6+6'!$K152:$M152,'Outlook 6+6'!$K$148:$M$148)/SUM('Outlook 6+6'!$K$148:$M$148),0)</f>
        <v>22.805849493235883</v>
      </c>
      <c r="F152" s="15">
        <f>SUMPRODUCT(B152:E152,$B$148:$E$148)/SUM($B$148:$E$148)</f>
        <v>21.850971186059148</v>
      </c>
      <c r="H152" s="7">
        <f>'Budget 2025'!N156</f>
        <v>27.254555501550691</v>
      </c>
      <c r="K152" s="32"/>
    </row>
    <row r="153" spans="1:11" x14ac:dyDescent="0.35">
      <c r="A153" s="5" t="s">
        <v>25</v>
      </c>
      <c r="B153" s="31">
        <f>IFERROR(SUMPRODUCT('Outlook 6+6'!$B153:$D153,'Outlook 6+6'!$B$148:$D$148)/SUM('Outlook 6+6'!$B$148:$D$148),0)</f>
        <v>38.530811096233663</v>
      </c>
      <c r="C153" s="7">
        <f>IFERROR(SUMPRODUCT('Outlook 6+6'!$E153:$G153,'Outlook 6+6'!$E$148:$G$148)/SUM('Outlook 6+6'!$E$148:$G$148),0)</f>
        <v>39.148257885671299</v>
      </c>
      <c r="D153" s="7">
        <f>IFERROR(SUMPRODUCT('Outlook 6+6'!$H153:$J153,'Outlook 6+6'!$H$148:$J$148)/SUM('Outlook 6+6'!$H$148:$J$148),0)</f>
        <v>38.21504787295671</v>
      </c>
      <c r="E153" s="7">
        <f>IFERROR(SUMPRODUCT('Outlook 6+6'!$K153:$M153,'Outlook 6+6'!$K$148:$M$148)/SUM('Outlook 6+6'!$K$148:$M$148),0)</f>
        <v>37.74430672387286</v>
      </c>
      <c r="F153" s="15">
        <f>SUMPRODUCT(B153:E153,$B$148:$E$148)/SUM($B$148:$E$148)</f>
        <v>38.382162066252995</v>
      </c>
      <c r="H153" s="7">
        <f>'Budget 2025'!N157</f>
        <v>38.285233081479049</v>
      </c>
      <c r="K153" s="32"/>
    </row>
    <row r="154" spans="1:11" x14ac:dyDescent="0.35">
      <c r="K154" s="32"/>
    </row>
    <row r="155" spans="1:11" x14ac:dyDescent="0.35">
      <c r="A155" s="6" t="s">
        <v>51</v>
      </c>
      <c r="B155" s="6" t="s">
        <v>93</v>
      </c>
      <c r="C155" s="6" t="s">
        <v>94</v>
      </c>
      <c r="D155" s="6" t="s">
        <v>95</v>
      </c>
      <c r="E155" s="6" t="s">
        <v>96</v>
      </c>
      <c r="F155" s="6" t="s">
        <v>13</v>
      </c>
      <c r="H155" s="6" t="s">
        <v>84</v>
      </c>
      <c r="K155" s="32"/>
    </row>
    <row r="156" spans="1:11" x14ac:dyDescent="0.35">
      <c r="A156" s="9" t="s">
        <v>14</v>
      </c>
      <c r="B156" s="10">
        <f t="shared" ref="B156:F156" si="29">SUM(B157:B157)</f>
        <v>2112.1103002</v>
      </c>
      <c r="C156" s="10">
        <f t="shared" si="29"/>
        <v>2372.6868688000004</v>
      </c>
      <c r="D156" s="10">
        <f t="shared" si="29"/>
        <v>3296.9923943806334</v>
      </c>
      <c r="E156" s="10">
        <f t="shared" si="29"/>
        <v>2926.3971351493678</v>
      </c>
      <c r="F156" s="10">
        <f t="shared" si="29"/>
        <v>10708.186698530002</v>
      </c>
      <c r="H156" s="10">
        <f>'Budget 2025'!N160</f>
        <v>10708.18669853</v>
      </c>
      <c r="I156" s="27">
        <f>F156/H156</f>
        <v>1.0000000000000002</v>
      </c>
      <c r="K156" s="32"/>
    </row>
    <row r="157" spans="1:11" x14ac:dyDescent="0.35">
      <c r="A157" s="5" t="s">
        <v>55</v>
      </c>
      <c r="B157" s="30">
        <f>SUMIFS('Outlook 6+6'!$B157:$M157,'Outlook 6+6'!$B$185:$M$185,'Outlook Quarterly 6+6'!B$4)</f>
        <v>2112.1103002</v>
      </c>
      <c r="C157" s="8">
        <f>SUMIFS('Outlook 6+6'!$B157:$M157,'Outlook 6+6'!$B$185:$M$185,'Outlook Quarterly 6+6'!C$4)</f>
        <v>2372.6868688000004</v>
      </c>
      <c r="D157" s="8">
        <f>SUMIFS('Outlook 6+6'!$B157:$M157,'Outlook 6+6'!$B$185:$M$185,'Outlook Quarterly 6+6'!D$4)</f>
        <v>3296.9923943806334</v>
      </c>
      <c r="E157" s="8">
        <f>SUMIFS('Outlook 6+6'!$B157:$M157,'Outlook 6+6'!$B$185:$M$185,'Outlook Quarterly 6+6'!E$4)</f>
        <v>2926.3971351493678</v>
      </c>
      <c r="F157" s="8">
        <f>SUM(B157:E157)</f>
        <v>10708.186698530002</v>
      </c>
      <c r="H157" s="8">
        <f>'Budget 2025'!N161</f>
        <v>10708.18669853</v>
      </c>
      <c r="K157" s="32"/>
    </row>
    <row r="158" spans="1:11" x14ac:dyDescent="0.35">
      <c r="A158" s="9" t="s">
        <v>17</v>
      </c>
      <c r="B158" s="10">
        <f>SUM(B159:B160)</f>
        <v>118.320311</v>
      </c>
      <c r="C158" s="10">
        <f t="shared" ref="C158:F158" si="30">SUM(C159:C160)</f>
        <v>145.56542163309092</v>
      </c>
      <c r="D158" s="10">
        <f t="shared" si="30"/>
        <v>180</v>
      </c>
      <c r="E158" s="10">
        <f t="shared" si="30"/>
        <v>162.11426736690908</v>
      </c>
      <c r="F158" s="10">
        <f t="shared" si="30"/>
        <v>606</v>
      </c>
      <c r="H158" s="10">
        <f>'Budget 2025'!N162</f>
        <v>605.9998925264573</v>
      </c>
      <c r="I158" s="27">
        <f>F158/H158</f>
        <v>1.0000001773491118</v>
      </c>
      <c r="K158" s="32"/>
    </row>
    <row r="159" spans="1:11" x14ac:dyDescent="0.35">
      <c r="A159" s="5" t="s">
        <v>55</v>
      </c>
      <c r="B159" s="30">
        <f>SUMIFS('Outlook 6+6'!$B159:$M159,'Outlook 6+6'!$B$185:$M$185,'Outlook Quarterly 6+6'!B$4)</f>
        <v>94.517719999999997</v>
      </c>
      <c r="C159" s="8">
        <f>SUMIFS('Outlook 6+6'!$B159:$M159,'Outlook 6+6'!$B$185:$M$185,'Outlook Quarterly 6+6'!C$4)</f>
        <v>46.941159999999996</v>
      </c>
      <c r="D159" s="8">
        <f>SUMIFS('Outlook 6+6'!$B159:$M159,'Outlook 6+6'!$B$185:$M$185,'Outlook Quarterly 6+6'!D$4)</f>
        <v>152</v>
      </c>
      <c r="E159" s="8">
        <f>SUMIFS('Outlook 6+6'!$B159:$M159,'Outlook 6+6'!$B$185:$M$185,'Outlook Quarterly 6+6'!E$4)</f>
        <v>141.82393775299138</v>
      </c>
      <c r="F159" s="8">
        <f>SUM(B159:E159)</f>
        <v>435.28281775299138</v>
      </c>
      <c r="H159" s="8">
        <f>'Budget 2025'!N163</f>
        <v>605.9998925264573</v>
      </c>
      <c r="K159" s="32"/>
    </row>
    <row r="160" spans="1:11" x14ac:dyDescent="0.35">
      <c r="A160" s="5" t="s">
        <v>92</v>
      </c>
      <c r="B160" s="30">
        <f>SUMIFS('Outlook 6+6'!$B160:$M160,'Outlook 6+6'!$B$185:$M$185,'Outlook Quarterly 6+6'!B$4)</f>
        <v>23.802591</v>
      </c>
      <c r="C160" s="8">
        <f>SUMIFS('Outlook 6+6'!$B160:$M160,'Outlook 6+6'!$B$185:$M$185,'Outlook Quarterly 6+6'!C$4)</f>
        <v>98.62426163309091</v>
      </c>
      <c r="D160" s="8">
        <f>SUMIFS('Outlook 6+6'!$B160:$M160,'Outlook 6+6'!$B$185:$M$185,'Outlook Quarterly 6+6'!D$4)</f>
        <v>28</v>
      </c>
      <c r="E160" s="8">
        <f>SUMIFS('Outlook 6+6'!$B160:$M160,'Outlook 6+6'!$B$185:$M$185,'Outlook Quarterly 6+6'!E$4)</f>
        <v>20.290329613917699</v>
      </c>
      <c r="F160" s="8">
        <f>SUM(B160:E160)</f>
        <v>170.71718224700859</v>
      </c>
      <c r="H160" s="8"/>
      <c r="K160" s="32"/>
    </row>
    <row r="161" spans="1:11" x14ac:dyDescent="0.35">
      <c r="A161" s="9" t="s">
        <v>43</v>
      </c>
      <c r="B161" s="11">
        <f>IFERROR(B156/B158,0)</f>
        <v>17.850783879362858</v>
      </c>
      <c r="C161" s="11">
        <f t="shared" ref="C161:E161" si="31">IFERROR(C156/C158,0)</f>
        <v>16.299797315742637</v>
      </c>
      <c r="D161" s="11">
        <f t="shared" si="31"/>
        <v>18.316624413225743</v>
      </c>
      <c r="E161" s="11">
        <f t="shared" si="31"/>
        <v>18.051447184016986</v>
      </c>
      <c r="F161" s="11">
        <f t="shared" ref="F161" si="32">F156/F158</f>
        <v>17.670275080082511</v>
      </c>
      <c r="H161" s="11">
        <f>'Budget 2025'!N164</f>
        <v>17.6702782138901</v>
      </c>
      <c r="K161" s="32"/>
    </row>
    <row r="162" spans="1:11" x14ac:dyDescent="0.35">
      <c r="A162" s="9" t="s">
        <v>34</v>
      </c>
      <c r="B162" s="11">
        <f>IFERROR(B156/B163,0)</f>
        <v>54.065041050936735</v>
      </c>
      <c r="C162" s="11">
        <f t="shared" ref="C162:E162" si="33">IFERROR(C156/C163,0)</f>
        <v>20.6676710244652</v>
      </c>
      <c r="D162" s="11">
        <f t="shared" si="33"/>
        <v>26.375939155045067</v>
      </c>
      <c r="E162" s="11">
        <f t="shared" si="33"/>
        <v>9.375509932893344</v>
      </c>
      <c r="F162" s="11">
        <f t="shared" ref="F162" si="34">F156/F163</f>
        <v>18.11875921917088</v>
      </c>
      <c r="H162" s="11">
        <f>'Budget 2025'!N165</f>
        <v>18.118759219170897</v>
      </c>
      <c r="K162" s="32"/>
    </row>
    <row r="163" spans="1:11" x14ac:dyDescent="0.35">
      <c r="A163" s="9" t="s">
        <v>47</v>
      </c>
      <c r="B163" s="10">
        <f>SUMIFS('Outlook 6+6'!$B163:$M163,'Outlook 6+6'!$B$185:$M$185,'Outlook Quarterly 6+6'!B$4)</f>
        <v>39.066100000000006</v>
      </c>
      <c r="C163" s="10">
        <f>SUMIFS('Outlook 6+6'!$B163:$M163,'Outlook 6+6'!$B$185:$M$185,'Outlook Quarterly 6+6'!C$4)</f>
        <v>114.80185</v>
      </c>
      <c r="D163" s="10">
        <f>SUMIFS('Outlook 6+6'!$B163:$M163,'Outlook 6+6'!$B$185:$M$185,'Outlook Quarterly 6+6'!D$4)</f>
        <v>125</v>
      </c>
      <c r="E163" s="10">
        <f>SUMIFS('Outlook 6+6'!$B163:$M163,'Outlook 6+6'!$B$185:$M$185,'Outlook Quarterly 6+6'!E$4)</f>
        <v>312.13205000000062</v>
      </c>
      <c r="F163" s="10">
        <f>SUM(B163:E163)</f>
        <v>591.00000000000068</v>
      </c>
      <c r="H163" s="10">
        <f>'Budget 2025'!N166</f>
        <v>591</v>
      </c>
      <c r="K163" s="32"/>
    </row>
    <row r="164" spans="1:11" x14ac:dyDescent="0.35">
      <c r="A164" s="9" t="s">
        <v>73</v>
      </c>
      <c r="B164" s="10">
        <f>SUMIFS('Outlook 6+6'!$B164:$M164,'Outlook 6+6'!$B$185:$M$185,'Outlook Quarterly 6+6'!B$4)</f>
        <v>39.066100000000006</v>
      </c>
      <c r="C164" s="10">
        <f>SUMIFS('Outlook 6+6'!$B164:$M164,'Outlook 6+6'!$B$185:$M$185,'Outlook Quarterly 6+6'!C$4)</f>
        <v>114.80185</v>
      </c>
      <c r="D164" s="10">
        <f>SUMIFS('Outlook 6+6'!$B164:$M164,'Outlook 6+6'!$B$185:$M$185,'Outlook Quarterly 6+6'!D$4)</f>
        <v>125</v>
      </c>
      <c r="E164" s="10">
        <f>SUMIFS('Outlook 6+6'!$B164:$M164,'Outlook 6+6'!$B$185:$M$185,'Outlook Quarterly 6+6'!E$4)</f>
        <v>312.13205000000062</v>
      </c>
      <c r="F164" s="10">
        <f>SUM(B164:E164)</f>
        <v>591.00000000000068</v>
      </c>
      <c r="H164" s="10">
        <f>'Budget 2025'!N166</f>
        <v>591</v>
      </c>
      <c r="K164" s="32"/>
    </row>
    <row r="165" spans="1:11" x14ac:dyDescent="0.35">
      <c r="A165" s="5" t="s">
        <v>60</v>
      </c>
      <c r="B165" s="30">
        <f>IFERROR(SUMPRODUCT('Outlook 6+6'!$B165:$D165,'Outlook 6+6'!$B$164:$D$164)/SUM('Outlook 6+6'!$B$164:$D$164),0)</f>
        <v>6758.0515620341466</v>
      </c>
      <c r="C165" s="8">
        <f>IFERROR(SUMPRODUCT('Outlook 6+6'!$E165:$G165,'Outlook 6+6'!$E$164:$G$164)/SUM('Outlook 6+6'!$E$164:$G$164),0)</f>
        <v>6924.0836476179329</v>
      </c>
      <c r="D165" s="8">
        <f>IFERROR(SUMPRODUCT('Outlook 6+6'!$H165:$J165,'Outlook 6+6'!$H$164:$J$164)/SUM('Outlook 6+6'!$H$164:$J$164),0)</f>
        <v>7106.4847724066449</v>
      </c>
      <c r="E165" s="8">
        <f>IFERROR(SUMPRODUCT('Outlook 6+6'!$K165:$M165,'Outlook 6+6'!$K$164:$M$164)/SUM('Outlook 6+6'!$K$164:$M$164),0)</f>
        <v>7080.5804918244412</v>
      </c>
      <c r="F165" s="14">
        <f>SUMPRODUCT(B165:E165,$B$163:$E$163)/SUM($B$163:$E$163)</f>
        <v>7034.3401541165322</v>
      </c>
      <c r="H165" s="8">
        <f>'Budget 2025'!N167</f>
        <v>6914.924833624611</v>
      </c>
      <c r="K165" s="32"/>
    </row>
    <row r="166" spans="1:11" x14ac:dyDescent="0.35">
      <c r="A166" s="5" t="s">
        <v>22</v>
      </c>
      <c r="B166" s="31">
        <f>IFERROR(SUMPRODUCT('Outlook 6+6'!$B166:$D166,'Outlook 6+6'!$B$164:$D$164)/SUM('Outlook 6+6'!$B$164:$D$164),0)</f>
        <v>1.2621939470157846</v>
      </c>
      <c r="C166" s="7">
        <f>IFERROR(SUMPRODUCT('Outlook 6+6'!$E166:$G166,'Outlook 6+6'!$E$164:$G$164)/SUM('Outlook 6+6'!$E$164:$G$164),0)</f>
        <v>1.2208778884811589</v>
      </c>
      <c r="D166" s="7">
        <f>IFERROR(SUMPRODUCT('Outlook 6+6'!$H166:$J166,'Outlook 6+6'!$H$164:$J$164)/SUM('Outlook 6+6'!$H$164:$J$164),0)</f>
        <v>1.2299952186996606</v>
      </c>
      <c r="E166" s="7">
        <f>IFERROR(SUMPRODUCT('Outlook 6+6'!$K166:$M166,'Outlook 6+6'!$K$164:$M$164)/SUM('Outlook 6+6'!$K$164:$M$164),0)</f>
        <v>1.227484430452451</v>
      </c>
      <c r="F166" s="15">
        <f>SUMPRODUCT(B166:E166,$B$163:$E$163)/SUM($B$163:$E$163)</f>
        <v>1.2290265129152411</v>
      </c>
      <c r="H166" s="7">
        <f>'Budget 2025'!N168</f>
        <v>0.97967782668745695</v>
      </c>
      <c r="K166" s="32"/>
    </row>
    <row r="167" spans="1:11" x14ac:dyDescent="0.35">
      <c r="A167" s="5" t="s">
        <v>23</v>
      </c>
      <c r="B167" s="31">
        <f>IFERROR(SUMPRODUCT('Outlook 6+6'!$B167:$D167,'Outlook 6+6'!$B$164:$D$164)/SUM('Outlook 6+6'!$B$164:$D$164),0)</f>
        <v>3.6776334393490697</v>
      </c>
      <c r="C167" s="7">
        <f>IFERROR(SUMPRODUCT('Outlook 6+6'!$E167:$G167,'Outlook 6+6'!$E$164:$G$164)/SUM('Outlook 6+6'!$E$164:$G$164),0)</f>
        <v>2.8489007844150671</v>
      </c>
      <c r="D167" s="7">
        <f>IFERROR(SUMPRODUCT('Outlook 6+6'!$H167:$J167,'Outlook 6+6'!$H$164:$J$164)/SUM('Outlook 6+6'!$H$164:$J$164),0)</f>
        <v>3.4454104302878208</v>
      </c>
      <c r="E167" s="7">
        <f>IFERROR(SUMPRODUCT('Outlook 6+6'!$K167:$M167,'Outlook 6+6'!$K$164:$M$164)/SUM('Outlook 6+6'!$K$164:$M$164),0)</f>
        <v>3.4037232118874754</v>
      </c>
      <c r="F167" s="15">
        <f>SUMPRODUCT(B167:E167,$B$163:$E$163)/SUM($B$163:$E$163)</f>
        <v>3.3228718845469629</v>
      </c>
      <c r="H167" s="7">
        <f>'Budget 2025'!N169</f>
        <v>3.7673803156838583</v>
      </c>
      <c r="K167" s="32"/>
    </row>
    <row r="168" spans="1:11" x14ac:dyDescent="0.35">
      <c r="A168" s="5" t="s">
        <v>38</v>
      </c>
      <c r="B168" s="31">
        <f>IFERROR(SUMPRODUCT('Outlook 6+6'!$B168:$D168,'Outlook 6+6'!$B$164:$D$164)/SUM('Outlook 6+6'!$B$164:$D$164),0)</f>
        <v>6.3311737637907246</v>
      </c>
      <c r="C168" s="7">
        <f>IFERROR(SUMPRODUCT('Outlook 6+6'!$E168:$G168,'Outlook 6+6'!$E$164:$G$164)/SUM('Outlook 6+6'!$E$164:$G$164),0)</f>
        <v>5.2063807369569597</v>
      </c>
      <c r="D168" s="7">
        <f>IFERROR(SUMPRODUCT('Outlook 6+6'!$H168:$J168,'Outlook 6+6'!$H$164:$J$164)/SUM('Outlook 6+6'!$H$164:$J$164),0)</f>
        <v>4.9550002096101462</v>
      </c>
      <c r="E168" s="7">
        <f>IFERROR(SUMPRODUCT('Outlook 6+6'!$K168:$M168,'Outlook 6+6'!$K$164:$M$164)/SUM('Outlook 6+6'!$K$164:$M$164),0)</f>
        <v>4.8827835187269013</v>
      </c>
      <c r="F168" s="15">
        <f>SUMPRODUCT(B168:E168,$B$163:$E$163)/SUM($B$163:$E$163)</f>
        <v>5.0566576368669311</v>
      </c>
      <c r="H168" s="7">
        <f>'Budget 2025'!N170</f>
        <v>8.6903071606236697</v>
      </c>
      <c r="K168" s="32"/>
    </row>
    <row r="169" spans="1:11" x14ac:dyDescent="0.35">
      <c r="A169" s="5" t="s">
        <v>25</v>
      </c>
      <c r="B169" s="31">
        <f>IFERROR(SUMPRODUCT('Outlook 6+6'!$B169:$D169,'Outlook 6+6'!$B$164:$D$164)/SUM('Outlook 6+6'!$B$164:$D$164),0)</f>
        <v>10.996015819507235</v>
      </c>
      <c r="C169" s="7">
        <f>IFERROR(SUMPRODUCT('Outlook 6+6'!$E169:$G169,'Outlook 6+6'!$E$164:$G$164)/SUM('Outlook 6+6'!$E$164:$G$164),0)</f>
        <v>10.617182219827635</v>
      </c>
      <c r="D169" s="7">
        <f>IFERROR(SUMPRODUCT('Outlook 6+6'!$H169:$J169,'Outlook 6+6'!$H$164:$J$164)/SUM('Outlook 6+6'!$H$164:$J$164),0)</f>
        <v>7.8122101989898383</v>
      </c>
      <c r="E169" s="7">
        <f>IFERROR(SUMPRODUCT('Outlook 6+6'!$K169:$M169,'Outlook 6+6'!$K$164:$M$164)/SUM('Outlook 6+6'!$K$164:$M$164),0)</f>
        <v>7.8872020815117283</v>
      </c>
      <c r="F169" s="15">
        <f>SUMPRODUCT(B169:E169,$B$163:$E$163)/SUM($B$163:$E$163)</f>
        <v>8.6071378063790558</v>
      </c>
      <c r="H169" s="7">
        <f>'Budget 2025'!N171</f>
        <v>4.734175124469358</v>
      </c>
      <c r="K169" s="32"/>
    </row>
    <row r="170" spans="1:11" x14ac:dyDescent="0.35">
      <c r="K170" s="32"/>
    </row>
    <row r="171" spans="1:11" x14ac:dyDescent="0.35">
      <c r="A171" s="6" t="s">
        <v>86</v>
      </c>
      <c r="B171" s="6" t="s">
        <v>93</v>
      </c>
      <c r="C171" s="6" t="s">
        <v>94</v>
      </c>
      <c r="D171" s="6" t="s">
        <v>95</v>
      </c>
      <c r="E171" s="6" t="s">
        <v>96</v>
      </c>
      <c r="F171" s="6" t="s">
        <v>13</v>
      </c>
      <c r="G171" s="4"/>
      <c r="H171" s="6" t="s">
        <v>84</v>
      </c>
      <c r="K171" s="32"/>
    </row>
    <row r="172" spans="1:11" x14ac:dyDescent="0.35">
      <c r="A172" s="9" t="s">
        <v>14</v>
      </c>
      <c r="B172" s="10">
        <f>B173</f>
        <v>0</v>
      </c>
      <c r="C172" s="10">
        <f t="shared" ref="C172:E172" si="35">C173</f>
        <v>378.50099999999998</v>
      </c>
      <c r="D172" s="10">
        <f t="shared" si="35"/>
        <v>1732</v>
      </c>
      <c r="E172" s="10">
        <f t="shared" si="35"/>
        <v>1989.499</v>
      </c>
      <c r="F172" s="10">
        <f>SUM(B172:E172)</f>
        <v>4100</v>
      </c>
      <c r="G172" s="2"/>
      <c r="H172" s="10">
        <f>'Budget 2025'!N174</f>
        <v>5683.5</v>
      </c>
      <c r="K172" s="32"/>
    </row>
    <row r="173" spans="1:11" x14ac:dyDescent="0.35">
      <c r="A173" s="5" t="s">
        <v>57</v>
      </c>
      <c r="B173" s="30">
        <f>SUMIFS('Outlook 6+6'!$B173:$M173,'Outlook 6+6'!$B$185:$M$185,'Outlook Quarterly 6+6'!B$4)</f>
        <v>0</v>
      </c>
      <c r="C173" s="8">
        <f>SUMIFS('Outlook 6+6'!$B173:$M173,'Outlook 6+6'!$B$185:$M$185,'Outlook Quarterly 6+6'!C$4)</f>
        <v>378.50099999999998</v>
      </c>
      <c r="D173" s="8">
        <f>SUMIFS('Outlook 6+6'!$B173:$M173,'Outlook 6+6'!$B$185:$M$185,'Outlook Quarterly 6+6'!D$4)</f>
        <v>1732</v>
      </c>
      <c r="E173" s="8">
        <f>SUMIFS('Outlook 6+6'!$B173:$M173,'Outlook 6+6'!$B$185:$M$185,'Outlook Quarterly 6+6'!E$4)</f>
        <v>1989.499</v>
      </c>
      <c r="F173" s="8">
        <f>SUM(B173:E173)</f>
        <v>4100</v>
      </c>
      <c r="H173" s="8">
        <f>'Budget 2025'!N175</f>
        <v>5683.5</v>
      </c>
      <c r="K173" s="32"/>
    </row>
    <row r="174" spans="1:11" x14ac:dyDescent="0.35">
      <c r="A174" s="9" t="s">
        <v>17</v>
      </c>
      <c r="B174" s="10">
        <f t="shared" ref="B174:F174" si="36">SUM(B175:B175)</f>
        <v>0</v>
      </c>
      <c r="C174" s="10">
        <f t="shared" si="36"/>
        <v>0</v>
      </c>
      <c r="D174" s="10">
        <f t="shared" si="36"/>
        <v>50</v>
      </c>
      <c r="E174" s="10">
        <f t="shared" si="36"/>
        <v>150</v>
      </c>
      <c r="F174" s="10">
        <f t="shared" si="36"/>
        <v>200</v>
      </c>
      <c r="G174" s="2"/>
      <c r="H174" s="10">
        <f>'Budget 2025'!N176</f>
        <v>450</v>
      </c>
      <c r="K174" s="32"/>
    </row>
    <row r="175" spans="1:11" x14ac:dyDescent="0.35">
      <c r="A175" s="5" t="s">
        <v>57</v>
      </c>
      <c r="B175" s="30">
        <f>SUMIFS('Outlook 6+6'!$B175:$M175,'Outlook 6+6'!$B$185:$M$185,'Outlook Quarterly 6+6'!B$4)</f>
        <v>0</v>
      </c>
      <c r="C175" s="8">
        <f>SUMIFS('Outlook 6+6'!$B175:$M175,'Outlook 6+6'!$B$185:$M$185,'Outlook Quarterly 6+6'!C$4)</f>
        <v>0</v>
      </c>
      <c r="D175" s="8">
        <f>SUMIFS('Outlook 6+6'!$B175:$M175,'Outlook 6+6'!$B$185:$M$185,'Outlook Quarterly 6+6'!D$4)</f>
        <v>50</v>
      </c>
      <c r="E175" s="8">
        <f>SUMIFS('Outlook 6+6'!$B175:$M175,'Outlook 6+6'!$B$185:$M$185,'Outlook Quarterly 6+6'!E$4)</f>
        <v>150</v>
      </c>
      <c r="F175" s="8">
        <f>SUM(B175:E175)</f>
        <v>200</v>
      </c>
      <c r="H175" s="8">
        <f>'Budget 2025'!N177</f>
        <v>450</v>
      </c>
      <c r="K175" s="32"/>
    </row>
    <row r="176" spans="1:11" x14ac:dyDescent="0.35">
      <c r="A176" s="9" t="s">
        <v>43</v>
      </c>
      <c r="B176" s="11">
        <f>IFERROR(B172/B174,0)</f>
        <v>0</v>
      </c>
      <c r="C176" s="11">
        <f t="shared" ref="C176:E176" si="37">IFERROR(C172/C174,0)</f>
        <v>0</v>
      </c>
      <c r="D176" s="11">
        <f t="shared" si="37"/>
        <v>34.64</v>
      </c>
      <c r="E176" s="11">
        <f t="shared" si="37"/>
        <v>13.263326666666666</v>
      </c>
      <c r="F176" s="11">
        <f>F172/F174</f>
        <v>20.5</v>
      </c>
      <c r="G176" s="2"/>
      <c r="H176" s="11">
        <f>'Budget 2025'!N178</f>
        <v>12.63</v>
      </c>
      <c r="K176" s="32"/>
    </row>
    <row r="177" spans="1:11" x14ac:dyDescent="0.35">
      <c r="A177" s="9" t="s">
        <v>34</v>
      </c>
      <c r="B177" s="11">
        <f>IFERROR(B172/B178,0)</f>
        <v>0</v>
      </c>
      <c r="C177" s="11">
        <f t="shared" ref="C177:E177" si="38">IFERROR(C172/C178,0)</f>
        <v>0</v>
      </c>
      <c r="D177" s="11">
        <f t="shared" si="38"/>
        <v>0</v>
      </c>
      <c r="E177" s="11">
        <f t="shared" si="38"/>
        <v>13.263326666666666</v>
      </c>
      <c r="F177" s="11">
        <f>F172/F178</f>
        <v>27.333333333333332</v>
      </c>
      <c r="G177" s="2"/>
      <c r="H177" s="11">
        <f>'Budget 2025'!N179</f>
        <v>18.945</v>
      </c>
      <c r="K177" s="32"/>
    </row>
    <row r="178" spans="1:11" x14ac:dyDescent="0.35">
      <c r="A178" s="9" t="s">
        <v>47</v>
      </c>
      <c r="B178" s="10">
        <f>SUMIFS('Outlook 6+6'!$B178:$M178,'Outlook 6+6'!$B$185:$M$185,'Outlook Quarterly 6+6'!B$4)</f>
        <v>0</v>
      </c>
      <c r="C178" s="10">
        <f>SUMIFS('Outlook 6+6'!$B178:$M178,'Outlook 6+6'!$B$185:$M$185,'Outlook Quarterly 6+6'!C$4)</f>
        <v>0</v>
      </c>
      <c r="D178" s="10">
        <f>SUMIFS('Outlook 6+6'!$B178:$M178,'Outlook 6+6'!$B$185:$M$185,'Outlook Quarterly 6+6'!D$4)</f>
        <v>0</v>
      </c>
      <c r="E178" s="10">
        <f>SUMIFS('Outlook 6+6'!$B178:$M178,'Outlook 6+6'!$B$185:$M$185,'Outlook Quarterly 6+6'!E$4)</f>
        <v>150</v>
      </c>
      <c r="F178" s="10">
        <f>SUM(B178:E178)</f>
        <v>150</v>
      </c>
      <c r="G178" s="2"/>
      <c r="H178" s="10">
        <f>'Budget 2025'!N180</f>
        <v>300</v>
      </c>
      <c r="K178" s="32"/>
    </row>
    <row r="179" spans="1:11" x14ac:dyDescent="0.35">
      <c r="A179" s="5" t="s">
        <v>60</v>
      </c>
      <c r="B179" s="30">
        <f>IFERROR(SUMPRODUCT('Outlook 6+6'!$B179:$D179,'Outlook 6+6'!$B$178:$D$178)/SUM('Outlook 6+6'!$B$178:$D$178),0)</f>
        <v>0</v>
      </c>
      <c r="C179" s="8">
        <f>IFERROR(SUMPRODUCT('Outlook 6+6'!$E179:$G179,'Outlook 6+6'!$E$178:$G$178)/SUM('Outlook 6+6'!$E$178:$G$178),0)</f>
        <v>0</v>
      </c>
      <c r="D179" s="8">
        <f>IFERROR(SUMPRODUCT('Outlook 6+6'!$H179:$J179,'Outlook 6+6'!$H$178:$J$178)/SUM('Outlook 6+6'!$H$178:$J$178),0)</f>
        <v>0</v>
      </c>
      <c r="E179" s="8">
        <f>IFERROR(SUMPRODUCT('Outlook 6+6'!$K179:$M179,'Outlook 6+6'!$K$178:$M$178)/SUM('Outlook 6+6'!$K$178:$M$178),0)</f>
        <v>5768.6130649164106</v>
      </c>
      <c r="F179" s="14">
        <f>SUMPRODUCT(B179:E179,$B$178:$E$178)/SUM($B$178:$E$178)</f>
        <v>5768.6130649164106</v>
      </c>
      <c r="G179" s="12"/>
      <c r="H179" s="8">
        <f>'Budget 2025'!N181</f>
        <v>5016.4002721866818</v>
      </c>
      <c r="K179" s="32"/>
    </row>
    <row r="180" spans="1:11" x14ac:dyDescent="0.35">
      <c r="A180" s="5" t="s">
        <v>22</v>
      </c>
      <c r="B180" s="31">
        <f>IFERROR(SUMPRODUCT('Outlook 6+6'!$B180:$D180,'Outlook 6+6'!$B$178:$D$178)/SUM('Outlook 6+6'!$B$178:$D$178),0)</f>
        <v>0</v>
      </c>
      <c r="C180" s="7">
        <f>IFERROR(SUMPRODUCT('Outlook 6+6'!$E180:$G180,'Outlook 6+6'!$E$178:$G$178)/SUM('Outlook 6+6'!$E$178:$G$178),0)</f>
        <v>0</v>
      </c>
      <c r="D180" s="7">
        <f>IFERROR(SUMPRODUCT('Outlook 6+6'!$H180:$J180,'Outlook 6+6'!$H$178:$J$178)/SUM('Outlook 6+6'!$H$178:$J$178),0)</f>
        <v>0</v>
      </c>
      <c r="E180" s="7">
        <f>IFERROR(SUMPRODUCT('Outlook 6+6'!$K180:$M180,'Outlook 6+6'!$K$178:$M$178)/SUM('Outlook 6+6'!$K$178:$M$178),0)</f>
        <v>1.1890799978993847</v>
      </c>
      <c r="F180" s="15">
        <f>SUMPRODUCT(B180:E180,$B$178:$E$178)/SUM($B$178:$E$178)</f>
        <v>1.1890799978993847</v>
      </c>
      <c r="H180" s="7">
        <f>'Budget 2025'!N182</f>
        <v>0.85231442995617068</v>
      </c>
      <c r="K180" s="32"/>
    </row>
    <row r="181" spans="1:11" x14ac:dyDescent="0.35">
      <c r="A181" s="5" t="s">
        <v>23</v>
      </c>
      <c r="B181" s="31">
        <f>IFERROR(SUMPRODUCT('Outlook 6+6'!$B181:$D181,'Outlook 6+6'!$B$178:$D$178)/SUM('Outlook 6+6'!$B$178:$D$178),0)</f>
        <v>0</v>
      </c>
      <c r="C181" s="7">
        <f>IFERROR(SUMPRODUCT('Outlook 6+6'!$E181:$G181,'Outlook 6+6'!$E$178:$G$178)/SUM('Outlook 6+6'!$E$178:$G$178),0)</f>
        <v>0</v>
      </c>
      <c r="D181" s="7">
        <f>IFERROR(SUMPRODUCT('Outlook 6+6'!$H181:$J181,'Outlook 6+6'!$H$178:$J$178)/SUM('Outlook 6+6'!$H$178:$J$178),0)</f>
        <v>0</v>
      </c>
      <c r="E181" s="7">
        <f>IFERROR(SUMPRODUCT('Outlook 6+6'!$K181:$M181,'Outlook 6+6'!$K$178:$M$178)/SUM('Outlook 6+6'!$K$178:$M$178),0)</f>
        <v>6.3380707262009777</v>
      </c>
      <c r="F181" s="15">
        <f>SUMPRODUCT(B181:E181,$B$178:$E$178)/SUM($B$178:$E$178)</f>
        <v>6.3380707262009777</v>
      </c>
      <c r="H181" s="7">
        <f>'Budget 2025'!N183</f>
        <v>4.6059680600780979</v>
      </c>
      <c r="K181" s="32"/>
    </row>
    <row r="182" spans="1:11" x14ac:dyDescent="0.35">
      <c r="A182" s="5" t="s">
        <v>38</v>
      </c>
      <c r="B182" s="31">
        <f>IFERROR(SUMPRODUCT('Outlook 6+6'!$B182:$D182,'Outlook 6+6'!$B$178:$D$178)/SUM('Outlook 6+6'!$B$178:$D$178),0)</f>
        <v>0</v>
      </c>
      <c r="C182" s="7">
        <f>IFERROR(SUMPRODUCT('Outlook 6+6'!$E182:$G182,'Outlook 6+6'!$E$178:$G$178)/SUM('Outlook 6+6'!$E$178:$G$178),0)</f>
        <v>0</v>
      </c>
      <c r="D182" s="7">
        <f>IFERROR(SUMPRODUCT('Outlook 6+6'!$H182:$J182,'Outlook 6+6'!$H$178:$J$178)/SUM('Outlook 6+6'!$H$178:$J$178),0)</f>
        <v>0</v>
      </c>
      <c r="E182" s="7">
        <f>IFERROR(SUMPRODUCT('Outlook 6+6'!$K182:$M182,'Outlook 6+6'!$K$178:$M$178)/SUM('Outlook 6+6'!$K$178:$M$178),0)</f>
        <v>12.29670589089543</v>
      </c>
      <c r="F182" s="15">
        <f>SUMPRODUCT(B182:E182,$B$178:$E$178)/SUM($B$178:$E$178)</f>
        <v>12.29670589089543</v>
      </c>
      <c r="H182" s="7">
        <f>'Budget 2025'!N184</f>
        <v>5.8143085963157821</v>
      </c>
      <c r="K182" s="32"/>
    </row>
    <row r="183" spans="1:11" x14ac:dyDescent="0.35">
      <c r="A183" s="5" t="s">
        <v>25</v>
      </c>
      <c r="B183" s="31">
        <f>IFERROR(SUMPRODUCT('Outlook 6+6'!$B183:$D183,'Outlook 6+6'!$B$178:$D$178)/SUM('Outlook 6+6'!$B$178:$D$178),0)</f>
        <v>0</v>
      </c>
      <c r="C183" s="7">
        <f>IFERROR(SUMPRODUCT('Outlook 6+6'!$E183:$G183,'Outlook 6+6'!$E$178:$G$178)/SUM('Outlook 6+6'!$E$178:$G$178),0)</f>
        <v>0</v>
      </c>
      <c r="D183" s="7">
        <f>IFERROR(SUMPRODUCT('Outlook 6+6'!$H183:$J183,'Outlook 6+6'!$H$178:$J$178)/SUM('Outlook 6+6'!$H$178:$J$178),0)</f>
        <v>0</v>
      </c>
      <c r="E183" s="7">
        <f>IFERROR(SUMPRODUCT('Outlook 6+6'!$K183:$M183,'Outlook 6+6'!$K$178:$M$178)/SUM('Outlook 6+6'!$K$178:$M$178),0)</f>
        <v>17.125601130972544</v>
      </c>
      <c r="F183" s="15">
        <f>SUMPRODUCT(B183:E183,$B$178:$E$178)/SUM($B$178:$E$178)</f>
        <v>17.125601130972544</v>
      </c>
      <c r="H183" s="7">
        <f>'Budget 2025'!N185</f>
        <v>11.20202059508415</v>
      </c>
      <c r="K183" s="32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3F89-1306-4854-B1CA-7CA656BB35AE}">
  <dimension ref="B2:L11"/>
  <sheetViews>
    <sheetView workbookViewId="0">
      <selection activeCell="F11" sqref="F11"/>
    </sheetView>
  </sheetViews>
  <sheetFormatPr defaultRowHeight="14.5" x14ac:dyDescent="0.35"/>
  <cols>
    <col min="2" max="2" width="12.90625" customWidth="1"/>
    <col min="3" max="3" width="11.453125" bestFit="1" customWidth="1"/>
    <col min="4" max="4" width="10.08984375" bestFit="1" customWidth="1"/>
    <col min="5" max="5" width="9.1796875" bestFit="1" customWidth="1"/>
    <col min="6" max="6" width="9.08984375" bestFit="1" customWidth="1"/>
    <col min="7" max="7" width="9.1796875" bestFit="1" customWidth="1"/>
    <col min="8" max="8" width="9.08984375" bestFit="1" customWidth="1"/>
  </cols>
  <sheetData>
    <row r="2" spans="2:12" x14ac:dyDescent="0.35">
      <c r="B2" s="33" t="s">
        <v>75</v>
      </c>
      <c r="C2" s="33" t="s">
        <v>76</v>
      </c>
      <c r="D2" s="33"/>
      <c r="E2" s="33" t="s">
        <v>79</v>
      </c>
      <c r="F2" s="33"/>
      <c r="G2" s="33" t="s">
        <v>82</v>
      </c>
      <c r="H2" s="33"/>
      <c r="I2" s="33" t="s">
        <v>83</v>
      </c>
      <c r="J2" s="33"/>
      <c r="K2" s="34" t="s">
        <v>80</v>
      </c>
      <c r="L2" s="34"/>
    </row>
    <row r="3" spans="2:12" x14ac:dyDescent="0.35">
      <c r="B3" s="33"/>
      <c r="C3" s="22" t="s">
        <v>77</v>
      </c>
      <c r="D3" s="22" t="s">
        <v>78</v>
      </c>
      <c r="E3" s="22" t="s">
        <v>77</v>
      </c>
      <c r="F3" s="22" t="s">
        <v>78</v>
      </c>
      <c r="G3" s="22" t="s">
        <v>77</v>
      </c>
      <c r="H3" s="22" t="s">
        <v>78</v>
      </c>
      <c r="I3" s="22" t="s">
        <v>77</v>
      </c>
      <c r="J3" s="22" t="s">
        <v>78</v>
      </c>
      <c r="K3" s="22" t="s">
        <v>76</v>
      </c>
      <c r="L3" s="22" t="s">
        <v>79</v>
      </c>
    </row>
    <row r="4" spans="2:12" ht="21.5" customHeight="1" x14ac:dyDescent="0.35">
      <c r="B4" s="16" t="s">
        <v>0</v>
      </c>
      <c r="C4" s="18">
        <f>SUM('Budget 2025'!B5:G5)</f>
        <v>45360.043140994094</v>
      </c>
      <c r="D4" s="19">
        <f>SUM('Outlook 6+6'!B5:G5)</f>
        <v>42694.437591800001</v>
      </c>
      <c r="E4" s="19">
        <f>SUM('Budget 2025'!B8:G8)</f>
        <v>3220.0000000692289</v>
      </c>
      <c r="F4" s="19">
        <f>SUM('Outlook 6+6'!B8:G8)</f>
        <v>3245.968126406613</v>
      </c>
      <c r="G4" s="19">
        <f>SUM('Budget 2025'!B13:G13)</f>
        <v>3275.5000000692298</v>
      </c>
      <c r="H4" s="19">
        <f>SUM('Outlook 6+6'!B13:G13)</f>
        <v>3354.6235894999995</v>
      </c>
      <c r="I4" s="20">
        <f>C4/E4</f>
        <v>14.086969919260518</v>
      </c>
      <c r="J4" s="20">
        <f>D4/F4</f>
        <v>13.153067414455503</v>
      </c>
      <c r="K4" s="21">
        <f>D4/C4</f>
        <v>0.94123450145520138</v>
      </c>
      <c r="L4" s="21">
        <f>F4/E4</f>
        <v>1.0080646355083309</v>
      </c>
    </row>
    <row r="5" spans="2:12" ht="21.5" customHeight="1" x14ac:dyDescent="0.35">
      <c r="B5" s="16" t="s">
        <v>31</v>
      </c>
      <c r="C5" s="18">
        <f>SUM('Budget 2025'!B56:G56)</f>
        <v>25550</v>
      </c>
      <c r="D5" s="19">
        <f>SUM('Outlook 6+6'!B56:G56)</f>
        <v>20130.312982290248</v>
      </c>
      <c r="E5" s="19">
        <f>SUM('Budget 2025'!B60:G60)</f>
        <v>1487</v>
      </c>
      <c r="F5" s="19">
        <f>SUM('Outlook 6+6'!B60:G60)</f>
        <v>1343.5369212773955</v>
      </c>
      <c r="G5" s="19">
        <f>SUM('Budget 2025'!B65:G65)</f>
        <v>1562</v>
      </c>
      <c r="H5" s="19">
        <f>SUM('Outlook 6+6'!B66:G66)</f>
        <v>1462.0756000000001</v>
      </c>
      <c r="I5" s="20">
        <f t="shared" ref="I5:J9" si="0">C5/E5</f>
        <v>17.182246133154003</v>
      </c>
      <c r="J5" s="20">
        <f t="shared" si="0"/>
        <v>14.983073902539974</v>
      </c>
      <c r="K5" s="21">
        <f t="shared" ref="K5:K9" si="1">D5/C5</f>
        <v>0.78787917738905078</v>
      </c>
      <c r="L5" s="21">
        <f t="shared" ref="L5:L9" si="2">F5/E5</f>
        <v>0.90352180314552488</v>
      </c>
    </row>
    <row r="6" spans="2:12" ht="21.5" customHeight="1" x14ac:dyDescent="0.35">
      <c r="B6" s="16" t="s">
        <v>48</v>
      </c>
      <c r="C6" s="18">
        <f>SUM('Budget 2025'!B105:G105)</f>
        <v>45094</v>
      </c>
      <c r="D6" s="19">
        <f>SUM('Outlook 6+6'!B100:G100)</f>
        <v>39545.483879350002</v>
      </c>
      <c r="E6" s="19">
        <f>SUM('Budget 2025'!B109:G109)</f>
        <v>3966.5</v>
      </c>
      <c r="F6" s="19">
        <f>SUM('Outlook 6+6'!B104:G104)</f>
        <v>4387.43541</v>
      </c>
      <c r="G6" s="19">
        <f>SUM('Budget 2025'!B115:G115)</f>
        <v>4050</v>
      </c>
      <c r="H6" s="19">
        <f>SUM('Outlook 6+6'!B110:G110)</f>
        <v>4230.0256499999996</v>
      </c>
      <c r="I6" s="20">
        <f t="shared" si="0"/>
        <v>11.368712971133242</v>
      </c>
      <c r="J6" s="20">
        <f t="shared" si="0"/>
        <v>9.0133483878113658</v>
      </c>
      <c r="K6" s="21">
        <f t="shared" si="1"/>
        <v>0.87695666561737706</v>
      </c>
      <c r="L6" s="21">
        <f t="shared" si="2"/>
        <v>1.1061226295222488</v>
      </c>
    </row>
    <row r="7" spans="2:12" ht="21.5" customHeight="1" x14ac:dyDescent="0.35">
      <c r="B7" s="16" t="s">
        <v>44</v>
      </c>
      <c r="C7" s="18">
        <f>SUM('Budget 2025'!B130:G130)</f>
        <v>1603.028000262656</v>
      </c>
      <c r="D7" s="19">
        <f>SUM('Outlook 6+6'!B125:G125)</f>
        <v>47.864999999999981</v>
      </c>
      <c r="E7" s="19">
        <f>SUM('Budget 2025'!B132:G132)</f>
        <v>57</v>
      </c>
      <c r="F7" s="19">
        <f>SUM('Outlook 6+6'!B127:G127)</f>
        <v>0</v>
      </c>
      <c r="G7" s="19">
        <f>SUM('Budget 2025'!B137:G137)</f>
        <v>53</v>
      </c>
      <c r="H7" s="19">
        <f>SUM('Outlook 6+6'!B132:G132)</f>
        <v>0</v>
      </c>
      <c r="I7" s="20">
        <f t="shared" si="0"/>
        <v>28.123298250222035</v>
      </c>
      <c r="J7" s="20" t="e">
        <f t="shared" si="0"/>
        <v>#DIV/0!</v>
      </c>
      <c r="K7" s="21">
        <f t="shared" si="1"/>
        <v>2.9859116616900831E-2</v>
      </c>
      <c r="L7" s="21">
        <f t="shared" si="2"/>
        <v>0</v>
      </c>
    </row>
    <row r="8" spans="2:12" ht="21.5" customHeight="1" x14ac:dyDescent="0.35">
      <c r="B8" s="16" t="s">
        <v>52</v>
      </c>
      <c r="C8" s="18">
        <f>SUM('Budget 2025'!B145:G145)</f>
        <v>3825</v>
      </c>
      <c r="D8" s="19">
        <f>SUM('Outlook 6+6'!B140:G140)</f>
        <v>3616.9188096999987</v>
      </c>
      <c r="E8" s="19">
        <f>SUM('Budget 2025'!B147:G147)</f>
        <v>1062</v>
      </c>
      <c r="F8" s="19">
        <f>SUM('Outlook 6+6'!B142:G142)</f>
        <v>1176.9000559999999</v>
      </c>
      <c r="G8" s="19">
        <f>SUM('Budget 2025'!B152:G152)</f>
        <v>1100</v>
      </c>
      <c r="H8" s="19">
        <f>SUM('Outlook 6+6'!B148:G148)</f>
        <v>1175.458165</v>
      </c>
      <c r="I8" s="20">
        <f t="shared" si="0"/>
        <v>3.6016949152542375</v>
      </c>
      <c r="J8" s="20">
        <f t="shared" si="0"/>
        <v>3.0732591023854949</v>
      </c>
      <c r="K8" s="21">
        <f t="shared" si="1"/>
        <v>0.9455996888104572</v>
      </c>
      <c r="L8" s="21">
        <f t="shared" si="2"/>
        <v>1.108192143126177</v>
      </c>
    </row>
    <row r="9" spans="2:12" ht="21.5" customHeight="1" x14ac:dyDescent="0.35">
      <c r="B9" s="16" t="s">
        <v>51</v>
      </c>
      <c r="C9" s="18">
        <f>SUM('Budget 2025'!B160:G160)</f>
        <v>4924.4290320110003</v>
      </c>
      <c r="D9" s="19">
        <f>SUM('Outlook 6+6'!B156:G156)</f>
        <v>4484.7971690000004</v>
      </c>
      <c r="E9" s="19">
        <f>SUM('Budget 2025'!B162:G162)</f>
        <v>270.88602230931434</v>
      </c>
      <c r="F9" s="19">
        <f>SUM('Outlook 6+6'!B158:G158)</f>
        <v>263.88573263309087</v>
      </c>
      <c r="G9" s="19">
        <f>SUM('Budget 2025'!B166:G166)</f>
        <v>245</v>
      </c>
      <c r="H9" s="19">
        <f>SUM('Outlook 6+6'!B163:G163)</f>
        <v>153.86795000000001</v>
      </c>
      <c r="I9" s="20">
        <f t="shared" si="0"/>
        <v>18.17897058707586</v>
      </c>
      <c r="J9" s="20">
        <f t="shared" si="0"/>
        <v>16.995224123146148</v>
      </c>
      <c r="K9" s="21">
        <f t="shared" si="1"/>
        <v>0.91072429714121261</v>
      </c>
      <c r="L9" s="21">
        <f t="shared" si="2"/>
        <v>0.97415780402198049</v>
      </c>
    </row>
    <row r="10" spans="2:12" ht="21.5" customHeight="1" x14ac:dyDescent="0.35">
      <c r="B10" s="23" t="s">
        <v>81</v>
      </c>
      <c r="C10" s="24">
        <f>SUM(C4:C9)</f>
        <v>126356.50017326775</v>
      </c>
      <c r="D10" s="24">
        <f t="shared" ref="D10:F10" si="3">SUM(D4:D9)</f>
        <v>110519.81543214025</v>
      </c>
      <c r="E10" s="24">
        <f t="shared" si="3"/>
        <v>10063.386022378543</v>
      </c>
      <c r="F10" s="24">
        <f t="shared" si="3"/>
        <v>10417.726246317101</v>
      </c>
      <c r="G10" s="24">
        <f t="shared" ref="G10" si="4">SUM(G4:G9)</f>
        <v>10285.500000069231</v>
      </c>
      <c r="H10" s="24">
        <f t="shared" ref="H10" si="5">SUM(H4:H9)</f>
        <v>10376.050954499999</v>
      </c>
      <c r="I10" s="25">
        <f t="shared" ref="I10" si="6">C10/E10</f>
        <v>12.556062133786915</v>
      </c>
      <c r="J10" s="25">
        <f t="shared" ref="J10" si="7">D10/F10</f>
        <v>10.608823155744899</v>
      </c>
      <c r="K10" s="26">
        <f t="shared" ref="K10" si="8">D10/C10</f>
        <v>0.87466663986885307</v>
      </c>
      <c r="L10" s="26">
        <f t="shared" ref="L10" si="9">F10/E10</f>
        <v>1.0352108349168552</v>
      </c>
    </row>
    <row r="11" spans="2:12" x14ac:dyDescent="0.35">
      <c r="F11" s="17">
        <f>F10/E10</f>
        <v>1.0352108349168552</v>
      </c>
      <c r="H11" s="17">
        <f>H10/G10</f>
        <v>1.0088037484254686</v>
      </c>
    </row>
  </sheetData>
  <mergeCells count="6">
    <mergeCell ref="B2:B3"/>
    <mergeCell ref="C2:D2"/>
    <mergeCell ref="E2:F2"/>
    <mergeCell ref="I2:J2"/>
    <mergeCell ref="K2:L2"/>
    <mergeCell ref="G2:H2"/>
  </mergeCells>
  <pageMargins left="0.7" right="0.7" top="0.75" bottom="0.75" header="0.3" footer="0.3"/>
  <ignoredErrors>
    <ignoredError sqref="G7:H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2025</vt:lpstr>
      <vt:lpstr>Outlook 6+6</vt:lpstr>
      <vt:lpstr>Outlook Quarterly 6+6</vt:lpstr>
      <vt:lpstr>BudgVSact.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Warodom Likitanupak</dc:creator>
  <cp:lastModifiedBy>Yasmine Safitri</cp:lastModifiedBy>
  <cp:lastPrinted>2024-08-09T09:31:08Z</cp:lastPrinted>
  <dcterms:created xsi:type="dcterms:W3CDTF">2022-01-11T13:46:11Z</dcterms:created>
  <dcterms:modified xsi:type="dcterms:W3CDTF">2025-07-09T09:11:42Z</dcterms:modified>
</cp:coreProperties>
</file>