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Yasmine\Outlook\2025\01. Januari\"/>
    </mc:Choice>
  </mc:AlternateContent>
  <xr:revisionPtr revIDLastSave="0" documentId="13_ncr:1_{802BA106-D23F-446F-AFED-4CF11999CD6C}" xr6:coauthVersionLast="47" xr6:coauthVersionMax="47" xr10:uidLastSave="{00000000-0000-0000-0000-000000000000}"/>
  <bookViews>
    <workbookView xWindow="9600" yWindow="0" windowWidth="9600" windowHeight="11400" tabRatio="370" firstSheet="1" activeTab="1" xr2:uid="{00000000-000D-0000-FFFF-FFFF00000000}"/>
  </bookViews>
  <sheets>
    <sheet name="Budget 2025" sheetId="3" r:id="rId1"/>
    <sheet name="Outlook 0+12" sheetId="2" r:id="rId2"/>
    <sheet name="BudgVSact. June" sheetId="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1A1_Z1...A10_Z10" localSheetId="0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2">[1]Validation!$A$6</definedName>
    <definedName name="_Chubu3">[1]Validation!$A$7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0">#REF!</definedName>
    <definedName name="_DATE">#REF!</definedName>
    <definedName name="_Dec">[1]Validation!$A$41</definedName>
    <definedName name="_ENEL1">[1]Validation!$A$11</definedName>
    <definedName name="_ENELP1">'[1]Enel '!$V$264</definedName>
    <definedName name="_ENELP2">'[1]Enel '!$V$265</definedName>
    <definedName name="_EPDC">[1]Validation!$A$8</definedName>
    <definedName name="_EPDCP1">[1]EPDC!$V$203</definedName>
    <definedName name="_EPDCP2">[1]EPDC!$V$204</definedName>
    <definedName name="_Feb">[1]Validation!$A$31</definedName>
    <definedName name="_ffggggg" localSheetId="0">#REF!</definedName>
    <definedName name="_ffggggg">#REF!</definedName>
    <definedName name="_Formosa1">[1]Validation!$A$15</definedName>
    <definedName name="_Formosa2">[1]Validation!$A$16</definedName>
    <definedName name="_FORMOSAP1">[1]Formosa!$V$264</definedName>
    <definedName name="_FORMOSAP2">[1]Formosa!$V$265</definedName>
    <definedName name="_fs1" localSheetId="0">#REF!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0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0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>'[2]MTD OB Forecasting'!#REF!</definedName>
    <definedName name="A01.PA_Plan">[3]Data!$B$73:$AH$82</definedName>
    <definedName name="A02.PA_Actual">[3]Data!$B$86:$AH$95</definedName>
    <definedName name="A03.UA_Actual">[3]Data!$B$112:$AH$121</definedName>
    <definedName name="A04.Prodty_Plan">[3]Data!$B$3:$AH$16</definedName>
    <definedName name="A05.Prodty_Actual">[3]Data!$B$20:$AH$33</definedName>
    <definedName name="A06.Prod_Actual">[3]Data!$B$150:$AH$153</definedName>
    <definedName name="A07.Dist_Plan">[3]Data!$B$37:$AG$46</definedName>
    <definedName name="A08.Dist_Actual">[3]Data!$B$157:$AH$161</definedName>
    <definedName name="A09.Fuel">[3]Data!$B$166:$AH$173</definedName>
    <definedName name="A1_Z1...A10_Z10" localSheetId="0">#REF!</definedName>
    <definedName name="A1_Z1...A10_Z10">#REF!</definedName>
    <definedName name="A10.Fuel_EGI">[3]Data!$B$177:$AH$208</definedName>
    <definedName name="A11.HM">[3]Data!$B$212:$AH$243</definedName>
    <definedName name="A12.Idle">[3]Data!$B$139:$AG$144</definedName>
    <definedName name="aa" localSheetId="0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0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0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0" hidden="1">{#N/A,#N/A,FALSE,"M06";#N/A,#N/A,FALSE,"M07"}</definedName>
    <definedName name="aaaaa" hidden="1">{#N/A,#N/A,FALSE,"M06";#N/A,#N/A,FALSE,"M07"}</definedName>
    <definedName name="ab">'[2]MTD OB Forecasting'!#REF!</definedName>
    <definedName name="Act_Cost">[3]Data!$B$316:$AH$324</definedName>
    <definedName name="ACTHAUL">'[4]HAUL C1,C2,C3'!$B$9:$BJ$41</definedName>
    <definedName name="ACTHAUL2">'[4]HAUL C1,C2,C3'!$B$45:$BK$82</definedName>
    <definedName name="ACTHAUL3">'[4]HAUL C1,C2,C3'!$B$85:$BK$122</definedName>
    <definedName name="actual" localSheetId="0">#REF!</definedName>
    <definedName name="actual">#REF!</definedName>
    <definedName name="ADFFF" localSheetId="0">#REF!</definedName>
    <definedName name="ADFFF">#REF!</definedName>
    <definedName name="afafa" localSheetId="0">#REF!</definedName>
    <definedName name="afafa">#REF!</definedName>
    <definedName name="Anas_f">'[5]MTD OB Forecasting'!#REF!</definedName>
    <definedName name="ance">'[5]MTD OB Forecasting'!#REF!</definedName>
    <definedName name="anscount" hidden="1">6</definedName>
    <definedName name="anto">'[5]MTD OB Forecasting'!#REF!</definedName>
    <definedName name="anto1">'[5]MTD OB Forecasting'!#REF!</definedName>
    <definedName name="AS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[3]Data!$B$51:$AG$69</definedName>
    <definedName name="b" localSheetId="0">#REF!</definedName>
    <definedName name="b">#REF!</definedName>
    <definedName name="bb" localSheetId="0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d" localSheetId="0">#REF!</definedName>
    <definedName name="bd">#REF!</definedName>
    <definedName name="BEK">[6]BEK!$A$1:$T$56</definedName>
    <definedName name="Bharinto" localSheetId="0">Business_Unit</definedName>
    <definedName name="Bharinto">Business_Unit</definedName>
    <definedName name="BKKKLK" localSheetId="0">#REF!</definedName>
    <definedName name="BKKKLK">#REF!</definedName>
    <definedName name="BONUS" localSheetId="0">#REF!</definedName>
    <definedName name="BONUS">#REF!</definedName>
    <definedName name="BTS1BW" localSheetId="0">#REF!</definedName>
    <definedName name="BTS1BW">#REF!</definedName>
    <definedName name="BTS1FW" localSheetId="0">#REF!</definedName>
    <definedName name="BTS1FW">#REF!</definedName>
    <definedName name="BTS1HW" localSheetId="0">#REF!</definedName>
    <definedName name="BTS1HW">#REF!</definedName>
    <definedName name="BTS2BW" localSheetId="0">#REF!</definedName>
    <definedName name="BTS2BW">#REF!</definedName>
    <definedName name="BTS2FW" localSheetId="0">#REF!</definedName>
    <definedName name="BTS2FW">#REF!</definedName>
    <definedName name="BTS2HW" localSheetId="0">#REF!</definedName>
    <definedName name="BTS2HW">#REF!</definedName>
    <definedName name="Budget">'[6]Budget &amp; Outlook'!$E$5:$R$42</definedName>
    <definedName name="bulanan">[7]Database!$AN$1:$BY$473</definedName>
    <definedName name="BusinessUnit">[8]!Business_Unit</definedName>
    <definedName name="cc" localSheetId="0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0">#REF!</definedName>
    <definedName name="CCR">#REF!</definedName>
    <definedName name="CD" localSheetId="0">#REF!</definedName>
    <definedName name="CD">#REF!</definedName>
    <definedName name="Company">[8]!Company</definedName>
    <definedName name="COS" localSheetId="0">#REF!</definedName>
    <definedName name="COS">#REF!</definedName>
    <definedName name="CostCenter">[8]!Cost_Center</definedName>
    <definedName name="COSUBCO1" localSheetId="0">#REF!</definedName>
    <definedName name="COSUBCO1">#REF!</definedName>
    <definedName name="COSUBCO2" localSheetId="0">#REF!</definedName>
    <definedName name="COSUBCO2">#REF!</definedName>
    <definedName name="COSUBCO3" localSheetId="0">#REF!</definedName>
    <definedName name="COSUBCO3">#REF!</definedName>
    <definedName name="COSUBCO4" localSheetId="0">#REF!</definedName>
    <definedName name="COSUBCO4">#REF!</definedName>
    <definedName name="COSUBCO5" localSheetId="0">#REF!</definedName>
    <definedName name="COSUBCO5">#REF!</definedName>
    <definedName name="COSUBCO6" localSheetId="0">#REF!</definedName>
    <definedName name="COSUBCO6">#REF!</definedName>
    <definedName name="COSUBOB1" localSheetId="0">#REF!</definedName>
    <definedName name="COSUBOB1">#REF!</definedName>
    <definedName name="COSUBOB10" localSheetId="0">#REF!</definedName>
    <definedName name="COSUBOB10">#REF!</definedName>
    <definedName name="COSUBOB11" localSheetId="0">#REF!</definedName>
    <definedName name="COSUBOB11">#REF!</definedName>
    <definedName name="COSUBOB12" localSheetId="0">#REF!</definedName>
    <definedName name="COSUBOB12">#REF!</definedName>
    <definedName name="COSUBOB2" localSheetId="0">#REF!</definedName>
    <definedName name="COSUBOB2">#REF!</definedName>
    <definedName name="COSUBOB3" localSheetId="0">#REF!</definedName>
    <definedName name="COSUBOB3">#REF!</definedName>
    <definedName name="COSUBOB4" localSheetId="0">#REF!</definedName>
    <definedName name="COSUBOB4">#REF!</definedName>
    <definedName name="COSUBOB5" localSheetId="0">#REF!</definedName>
    <definedName name="COSUBOB5">#REF!</definedName>
    <definedName name="COSUBOB6" localSheetId="0">#REF!</definedName>
    <definedName name="COSUBOB6">#REF!</definedName>
    <definedName name="COSUBOB7" localSheetId="0">#REF!</definedName>
    <definedName name="COSUBOB7">#REF!</definedName>
    <definedName name="COSUBOB8" localSheetId="0">#REF!</definedName>
    <definedName name="COSUBOB8">#REF!</definedName>
    <definedName name="COSUBOB9" localSheetId="0">#REF!</definedName>
    <definedName name="COSUBOB9">#REF!</definedName>
    <definedName name="CUSTOMER">[9]dBase!$C$2:$C$4381</definedName>
    <definedName name="d" localSheetId="0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>#REF!</definedName>
    <definedName name="DAFDAF" localSheetId="0">#REF!</definedName>
    <definedName name="DAFDAF">#REF!</definedName>
    <definedName name="DATA_ASAL" localSheetId="0">#REF!</definedName>
    <definedName name="DATA_ASAL">#REF!</definedName>
    <definedName name="DATA_ASAL_10">[10]HOURLY!$B$1:$AA$833</definedName>
    <definedName name="DATA_ASAL_17">[10]HOURLY!$B$1:$AA$833</definedName>
    <definedName name="DATA_ASAL_19">[10]HOURLY!$B$1:$AA$833</definedName>
    <definedName name="DATA_ASAL_20">[10]HOURLY!$B$1:$AA$833</definedName>
    <definedName name="DATA_ASAL_3">[10]HOURLY!$B$1:$AA$833</definedName>
    <definedName name="DATA_ASAL_3_1">[10]HOURLY!$B$1:$AA$833</definedName>
    <definedName name="DATA_ASAL_4">[10]HOURLY!$B$1:$AA$833</definedName>
    <definedName name="DATA_ASAL_6">[10]HOURLY!$B$1:$AA$833</definedName>
    <definedName name="DATA_ASAL_6_1">[10]HOURLY!$B$1:$AA$833</definedName>
    <definedName name="DATA_ASAL_7">[10]HOURLY!$B$1:$AA$833</definedName>
    <definedName name="DATA_ASAL_7_1">[10]HOURLY!$B$1:$AA$833</definedName>
    <definedName name="DATA_ASAL_8">[10]HOURLY!$B$1:$AA$833</definedName>
    <definedName name="DATA_ASAL_9">[10]HOURLY!$B$1:$AA$833</definedName>
    <definedName name="Data_Plan">[11]summary!$B$12:$AN$42</definedName>
    <definedName name="Data_Plan_1">[11]summary!$B$12:$AN$42</definedName>
    <definedName name="Data_Plan_1_1">[11]summary!$B$12:$AN$42</definedName>
    <definedName name="Data_Plan_10">[12]summary!$B$12:$AN$42</definedName>
    <definedName name="Data_Plan_11">[11]summary!$B$12:$AN$42</definedName>
    <definedName name="Data_Plan_13">[11]summary!$B$12:$AN$42</definedName>
    <definedName name="Data_Plan_16">[11]summary!$B$12:$AN$42</definedName>
    <definedName name="Data_Plan_17">[13]summary!$B$12:$AN$42</definedName>
    <definedName name="Data_Plan_19">[14]summary!$B$12:$AN$42</definedName>
    <definedName name="Data_Plan_2">[11]summary!$B$12:$AN$42</definedName>
    <definedName name="Data_Plan_2_1">[11]summary!$B$12:$AN$42</definedName>
    <definedName name="Data_Plan_20">[15]summary!$B$12:$AN$42</definedName>
    <definedName name="Data_Plan_3">[16]summary!$B$12:$AN$42</definedName>
    <definedName name="Data_Plan_3_1">[16]summary!$B$12:$AN$42</definedName>
    <definedName name="Data_Plan_4">[16]summary!$B$12:$AN$42</definedName>
    <definedName name="Data_Plan_6">[16]summary!$B$12:$AN$42</definedName>
    <definedName name="Data_Plan_6_1">[13]summary!$B$12:$AN$42</definedName>
    <definedName name="Data_Plan_7">[16]summary!$B$12:$AN$42</definedName>
    <definedName name="Data_Plan_7_1">[12]summary!$B$12:$AN$42</definedName>
    <definedName name="Data_Plan_8">[13]summary!$B$12:$AN$42</definedName>
    <definedName name="Data_Plan_9">[13]summary!$B$12:$AN$42</definedName>
    <definedName name="Dataprm">'[17]Summ PRM'!$C$6:$BM$108</definedName>
    <definedName name="dd" localSheetId="0" hidden="1">{#N/A,#N/A,FALSE,"M06";#N/A,#N/A,FALSE,"M07"}</definedName>
    <definedName name="dd" hidden="1">{#N/A,#N/A,FALSE,"M06";#N/A,#N/A,FALSE,"M07"}</definedName>
    <definedName name="ddd" localSheetId="0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>#REF!</definedName>
    <definedName name="DF" localSheetId="0">#REF!</definedName>
    <definedName name="DF">#REF!</definedName>
    <definedName name="dfm">'[2]MTD OB Forecasting'!#REF!</definedName>
    <definedName name="DIST">[18]Run!$E$5:$I$30</definedName>
    <definedName name="DIST_1">[18]Run!$E$5:$I$30</definedName>
    <definedName name="DIST_1_1">[18]Run!$E$5:$I$30</definedName>
    <definedName name="DIST_10">[19]Run!$E$5:$I$30</definedName>
    <definedName name="DIST_11">[18]Run!$E$5:$I$30</definedName>
    <definedName name="DIST_13">[18]Run!$E$5:$I$30</definedName>
    <definedName name="DIST_16">[18]Run!$E$5:$I$30</definedName>
    <definedName name="DIST_17">[20]Run!$E$5:$I$30</definedName>
    <definedName name="DIST_19">[21]Run!$E$5:$I$30</definedName>
    <definedName name="DIST_2">[18]Run!$E$5:$I$30</definedName>
    <definedName name="DIST_2_1">[18]Run!$E$5:$I$30</definedName>
    <definedName name="DIST_20">[22]Run!$E$5:$I$30</definedName>
    <definedName name="DIST_3">[23]Run!$E$5:$I$30</definedName>
    <definedName name="DIST_3_1">[23]Run!$E$5:$I$30</definedName>
    <definedName name="DIST_4">[23]Run!$E$5:$I$30</definedName>
    <definedName name="DIST_6">[23]Run!$E$5:$I$30</definedName>
    <definedName name="DIST_6_1">[20]Run!$E$5:$I$30</definedName>
    <definedName name="DIST_7">[23]Run!$E$5:$I$30</definedName>
    <definedName name="DIST_7_1">[19]Run!$E$5:$I$30</definedName>
    <definedName name="DIST_8">[20]Run!$E$5:$I$30</definedName>
    <definedName name="DIST_9">[20]Run!$E$5:$I$30</definedName>
    <definedName name="DISTANCE">[24]Run!$E$5:$I$31</definedName>
    <definedName name="Distance_10">[3]Data!$B$157:$AG$161</definedName>
    <definedName name="Distance_11">[3]Data!$B$157:$AG$161</definedName>
    <definedName name="Distance_11_1">[3]Data!$B$157:$AG$161</definedName>
    <definedName name="Distance_12">[3]Data!$B$157:$AG$161</definedName>
    <definedName name="Distance_12_1">[3]Data!$B$157:$AG$161</definedName>
    <definedName name="Distance_13">[3]Data!$B$157:$AG$161</definedName>
    <definedName name="Distance_13_1">[3]Data!$B$157:$AG$161</definedName>
    <definedName name="Distance_14">[3]Data!$B$157:$AG$161</definedName>
    <definedName name="Distance_15">[3]Data!$B$157:$AG$161</definedName>
    <definedName name="Distance_16">[3]Data!$B$157:$AG$161</definedName>
    <definedName name="Distance_8">[3]Data!$B$157:$AG$161</definedName>
    <definedName name="Distance_9">[3]Data!$B$157:$AG$161</definedName>
    <definedName name="DOWN">[25]ACUM!$ED$34:$FJ$57</definedName>
    <definedName name="DS" localSheetId="0">#REF!</definedName>
    <definedName name="DS">#REF!</definedName>
    <definedName name="DUMPBIN">'[4]HAUL C1,C2,C3'!$BL$7:$BM$41</definedName>
    <definedName name="DUMPBIN1">'[4]HAUL C1,C2,C3'!$V$48:$W$82</definedName>
    <definedName name="e" localSheetId="0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0" hidden="1">{#N/A,#N/A,FALSE,"M06";#N/A,#N/A,FALSE,"M07"}</definedName>
    <definedName name="ebe" hidden="1">{#N/A,#N/A,FALSE,"M06";#N/A,#N/A,FALSE,"M07"}</definedName>
    <definedName name="ee" localSheetId="0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>#REF!</definedName>
    <definedName name="eqe" localSheetId="0">#REF!</definedName>
    <definedName name="eqe">#REF!</definedName>
    <definedName name="esa">[26]Project!$A$3:$A$1003</definedName>
    <definedName name="EXCA_COAL" localSheetId="0">#REF!</definedName>
    <definedName name="EXCA_COAL">#REF!</definedName>
    <definedName name="EXCA_OB" localSheetId="0">#REF!</definedName>
    <definedName name="EXCA_OB">#REF!</definedName>
    <definedName name="excel">'[5]MTD OB Forecasting'!#REF!</definedName>
    <definedName name="Excel_01">'[2]MTD OB Forecasting'!#REF!</definedName>
    <definedName name="excel_02">'[2]MTD OB Forecasting'!#REF!</definedName>
    <definedName name="Excel_BuiltIn__FilterDatabase_1" localSheetId="0">#REF!</definedName>
    <definedName name="Excel_BuiltIn__FilterDatabase_1">#REF!</definedName>
    <definedName name="Excel_BuiltIn__FilterDatabase_1_1">[27]Project!$Q$7:$Q$10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>'[5]MTD OB Forecasting'!#REF!</definedName>
    <definedName name="Excel_BuiltIn_Print_Area_10_1">'[5]MTD OB Forecasting'!#REF!</definedName>
    <definedName name="Excel_BuiltIn_Print_Area_10_20">'[2]MTD OB Forecasting'!#REF!</definedName>
    <definedName name="Excel_BuiltIn_Print_Area_13" localSheetId="0">#REF!</definedName>
    <definedName name="Excel_BuiltIn_Print_Area_13">#REF!</definedName>
    <definedName name="Excel_BuiltIn_Print_Titles" localSheetId="0">#REF!</definedName>
    <definedName name="Excel_BuiltIn_Print_Titles">#REF!</definedName>
    <definedName name="Excel_BuiltIn_Print_Titles_1" localSheetId="0">#REF!</definedName>
    <definedName name="Excel_BuiltIn_Print_Titles_1">#REF!</definedName>
    <definedName name="ExchageCode">[8]!Exchange_Code</definedName>
    <definedName name="ExchangeRate">'[28]Detail Exp.'!$Z$3</definedName>
    <definedName name="f" localSheetId="0" hidden="1">{#N/A,#N/A,FALSE,"M06";#N/A,#N/A,FALSE,"M07"}</definedName>
    <definedName name="f" hidden="1">{#N/A,#N/A,FALSE,"M06";#N/A,#N/A,FALSE,"M07"}</definedName>
    <definedName name="FD" localSheetId="0">#REF!</definedName>
    <definedName name="FD">#REF!</definedName>
    <definedName name="FF" localSheetId="0">#REF!</definedName>
    <definedName name="FF">#REF!</definedName>
    <definedName name="ffff" localSheetId="0">#REF!</definedName>
    <definedName name="ffff">#REF!</definedName>
    <definedName name="fs" localSheetId="0">#REF!</definedName>
    <definedName name="fs">#REF!</definedName>
    <definedName name="Fuel">[3]Data!$B$177:$AG$208</definedName>
    <definedName name="Fuel_MTD">[3]Data!$B$247:$AG$277</definedName>
    <definedName name="Fuel_STO">[3]Data!$B$166:$AG$173</definedName>
    <definedName name="g" localSheetId="0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gg" localSheetId="0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NRL_OB" localSheetId="0">#REF!</definedName>
    <definedName name="GNRL_OB">#REF!</definedName>
    <definedName name="GT" localSheetId="0">#REF!</definedName>
    <definedName name="GT">#REF!</definedName>
    <definedName name="h" localSheetId="0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arian" localSheetId="0">#REF!</definedName>
    <definedName name="harian">#REF!</definedName>
    <definedName name="HAUL_COAL" localSheetId="0">#REF!</definedName>
    <definedName name="HAUL_COAL">#REF!</definedName>
    <definedName name="HAUL_OB" localSheetId="0">#REF!</definedName>
    <definedName name="HAUL_OB">#REF!</definedName>
    <definedName name="HAULPLAN">'[4]OB PLAN'!$B$46:$Q$79</definedName>
    <definedName name="HC" localSheetId="0">#REF!</definedName>
    <definedName name="HC">#REF!</definedName>
    <definedName name="he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>#REF!</definedName>
    <definedName name="hhka334" localSheetId="0">#REF!</definedName>
    <definedName name="hhka334">#REF!</definedName>
    <definedName name="HJKKKLLL" localSheetId="0">#REF!</definedName>
    <definedName name="HJKKKLLL">#REF!</definedName>
    <definedName name="HL2brm" localSheetId="0">#REF!</definedName>
    <definedName name="HL2brm">#REF!</definedName>
    <definedName name="HL3brm" localSheetId="0">#REF!</definedName>
    <definedName name="HL3brm">#REF!</definedName>
    <definedName name="HLS2BW" localSheetId="0">#REF!</definedName>
    <definedName name="HLS2BW">#REF!</definedName>
    <definedName name="HLS2FW" localSheetId="0">#REF!</definedName>
    <definedName name="HLS2FW">#REF!</definedName>
    <definedName name="HLS2HW" localSheetId="0">#REF!</definedName>
    <definedName name="HLS2HW">#REF!</definedName>
    <definedName name="HLS3BW" localSheetId="0">#REF!</definedName>
    <definedName name="HLS3BW">#REF!</definedName>
    <definedName name="HLS3FW" localSheetId="0">#REF!</definedName>
    <definedName name="HLS3FW">#REF!</definedName>
    <definedName name="HLS3HW" localSheetId="0">#REF!</definedName>
    <definedName name="HLS3HW">#REF!</definedName>
    <definedName name="HM">[3]Data!$B$212:$AG$243</definedName>
    <definedName name="HO" localSheetId="0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[3]Data!$B$139:$AG$144</definedName>
    <definedName name="IMM">[6]IMM!$A$2:$Y$60</definedName>
    <definedName name="IMM.LCV.BCT" localSheetId="0">#REF!</definedName>
    <definedName name="IMM.LCV.BCT">#REF!</definedName>
    <definedName name="IMM.LCV.BoCT" localSheetId="0">#REF!</definedName>
    <definedName name="IMM.LCV.BoCT">#REF!</definedName>
    <definedName name="IMM.LCV.Samarinda" localSheetId="0">#REF!</definedName>
    <definedName name="IMM.LCV.Samarinda">#REF!</definedName>
    <definedName name="IMM.West.BCT" localSheetId="0">#REF!</definedName>
    <definedName name="IMM.West.BCT">#REF!</definedName>
    <definedName name="IMM.West.BoCT" localSheetId="0">#REF!</definedName>
    <definedName name="IMM.West.BoCT">#REF!</definedName>
    <definedName name="IMM.West.Samarinda" localSheetId="0">#REF!</definedName>
    <definedName name="IMM.West.Samarinda">#REF!</definedName>
    <definedName name="I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[9]dBase!$BA$2:$BA$4381</definedName>
    <definedName name="ITMBONUS1">[9]dBase!$AZ$2:$AZ$4381</definedName>
    <definedName name="itoy" localSheetId="0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>'[5]MTD OB Forecasting'!#REF!</definedName>
    <definedName name="JBG">[6]JBG!$B$3:$AK$87</definedName>
    <definedName name="jigsaw" localSheetId="0">#REF!</definedName>
    <definedName name="jigsaw">#REF!</definedName>
    <definedName name="jk">'[5]MTD OB Forecasting'!#REF!</definedName>
    <definedName name="Jum_Unit">[3]Data!$B$125:$AG$135</definedName>
    <definedName name="K" localSheetId="0">#REF!</definedName>
    <definedName name="K">#REF!</definedName>
    <definedName name="kj">'[5]MTD OB Forecasting'!#REF!</definedName>
    <definedName name="kl">'[2]MTD OB Forecasting'!#REF!</definedName>
    <definedName name="klj">'[5]MTD OB Forecasting'!#REF!</definedName>
    <definedName name="Konversi">'[3]Konversi Jarak'!$A$4:$B$34</definedName>
    <definedName name="KR1BW" localSheetId="0">#REF!</definedName>
    <definedName name="KR1BW">#REF!</definedName>
    <definedName name="KR1FW" localSheetId="0">#REF!</definedName>
    <definedName name="KR1FW">#REF!</definedName>
    <definedName name="KR1HW" localSheetId="0">#REF!</definedName>
    <definedName name="KR1HW">#REF!</definedName>
    <definedName name="KR2BW" localSheetId="0">#REF!</definedName>
    <definedName name="KR2BW">#REF!</definedName>
    <definedName name="KR2FW" localSheetId="0">#REF!</definedName>
    <definedName name="KR2FW">#REF!</definedName>
    <definedName name="KR2HW" localSheetId="0">#REF!</definedName>
    <definedName name="KR2HW">#REF!</definedName>
    <definedName name="kris">'[5]MTD OB Forecasting'!#REF!</definedName>
    <definedName name="kristisnto">'[2]MTD OB Forecasting'!#REF!</definedName>
    <definedName name="KTD">[6]EMB!$A$4:$AX$55</definedName>
    <definedName name="L" localSheetId="0">#REF!</definedName>
    <definedName name="L">#REF!</definedName>
    <definedName name="limcount" hidden="1">2</definedName>
    <definedName name="LIST_11" localSheetId="0">#REF!</definedName>
    <definedName name="LIST_11">#REF!</definedName>
    <definedName name="LIST_12" localSheetId="0">#REF!</definedName>
    <definedName name="LIST_12">#REF!</definedName>
    <definedName name="LIST_19">[29]LIST!$C$3:$AC$438</definedName>
    <definedName name="LIST_20">[30]LIST!$C$3:$AC$438</definedName>
    <definedName name="LIST_8" localSheetId="0">#REF!</definedName>
    <definedName name="LIST_8">#REF!</definedName>
    <definedName name="LIST_9" localSheetId="0">#REF!</definedName>
    <definedName name="LIST_9">#REF!</definedName>
    <definedName name="LO" localSheetId="0">#REF!</definedName>
    <definedName name="LO">#REF!</definedName>
    <definedName name="LOAD_COAL" localSheetId="0">#REF!</definedName>
    <definedName name="LOAD_COAL">#REF!</definedName>
    <definedName name="LOAD_OB" localSheetId="0">#REF!</definedName>
    <definedName name="LOAD_OB">#REF!</definedName>
    <definedName name="lose" localSheetId="0">#REF!</definedName>
    <definedName name="lose">#REF!</definedName>
    <definedName name="MEASTHITS" localSheetId="0">#REF!</definedName>
    <definedName name="MEASTHITS">#REF!</definedName>
    <definedName name="MEASTMHITS" localSheetId="0">#REF!</definedName>
    <definedName name="MEASTMHITS">#REF!</definedName>
    <definedName name="minesche" localSheetId="0">#REF!</definedName>
    <definedName name="minesche">#REF!</definedName>
    <definedName name="MMHITS" localSheetId="0">#REF!</definedName>
    <definedName name="MMHITS">#REF!</definedName>
    <definedName name="MOHH">[25]ACUM!$ED$94:$FJ$117</definedName>
    <definedName name="MONTH">[9]dBase!$BE$2:$BE$4381</definedName>
    <definedName name="MSYINV" localSheetId="0">#REF!</definedName>
    <definedName name="MSYINV">#REF!</definedName>
    <definedName name="MTDMHCV" localSheetId="0">#REF!</definedName>
    <definedName name="MTDMHCV">#REF!</definedName>
    <definedName name="MTOTAL" localSheetId="0">#REF!</definedName>
    <definedName name="MTOTAL">#REF!</definedName>
    <definedName name="MWASH" localSheetId="0">#REF!</definedName>
    <definedName name="MWASH">#REF!</definedName>
    <definedName name="MWESTHITS" localSheetId="0">#REF!</definedName>
    <definedName name="MWESTHITS">#REF!</definedName>
    <definedName name="MWESTLOTS" localSheetId="0">#REF!</definedName>
    <definedName name="MWESTLOTS">#REF!</definedName>
    <definedName name="N" localSheetId="0">#REF!</definedName>
    <definedName name="N">#REF!</definedName>
    <definedName name="NAR">[31]sum_MSY!$DL$7:$DM$21</definedName>
    <definedName name="nav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>'[5]MTD OB Forecasting'!#REF!</definedName>
    <definedName name="nhg">'[2]MTD OB Forecasting'!#REF!</definedName>
    <definedName name="nn" localSheetId="0">#REF!</definedName>
    <definedName name="nn">#REF!</definedName>
    <definedName name="nnn" localSheetId="0">#REF!</definedName>
    <definedName name="nnn">#REF!</definedName>
    <definedName name="nnnnn">[32]!Exchange_Code</definedName>
    <definedName name="NOM_11" localSheetId="0">#REF!</definedName>
    <definedName name="NOM_11">#REF!</definedName>
    <definedName name="NOM_12" localSheetId="0">#REF!</definedName>
    <definedName name="NOM_12">#REF!</definedName>
    <definedName name="NOM_19">[29]LIST!$B$4:$AE$437</definedName>
    <definedName name="NOM_20">[30]LIST!$B$4:$AE$437</definedName>
    <definedName name="NOM_8" localSheetId="0">#REF!</definedName>
    <definedName name="NOM_8">#REF!</definedName>
    <definedName name="NOM_9" localSheetId="0">#REF!</definedName>
    <definedName name="NOM_9">#REF!</definedName>
    <definedName name="O" localSheetId="0">#REF!</definedName>
    <definedName name="O">#REF!</definedName>
    <definedName name="OB" localSheetId="0">#REF!</definedName>
    <definedName name="OB">#REF!</definedName>
    <definedName name="oi" localSheetId="0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[33]bantuan!$B$2:$C$30</definedName>
    <definedName name="OPT_GL">[34]OPT_GL!$B$4:$S$33</definedName>
    <definedName name="OPT_GL_1">[34]OPT_GL!$B$4:$S$33</definedName>
    <definedName name="OPT_GL_1_1">[34]OPT_GL!$B$4:$S$33</definedName>
    <definedName name="OPT_GL_11">[34]OPT_GL!$B$4:$S$33</definedName>
    <definedName name="OPT_GL_11_1">[34]OPT_GL!$B$4:$S$33</definedName>
    <definedName name="OPT_GL_12">[34]OPT_GL!$B$4:$S$33</definedName>
    <definedName name="OPT_GL_13">[34]OPT_GL!$B$4:$S$33</definedName>
    <definedName name="OPT_GL_16">[34]OPT_GL!$B$4:$S$33</definedName>
    <definedName name="OPT_GL_17">[34]OPT_GL!$B$4:$S$33</definedName>
    <definedName name="OPT_GL_19">[34]OPT_GL!$B$4:$S$33</definedName>
    <definedName name="OPT_GL_2">[34]OPT_GL!$B$4:$S$33</definedName>
    <definedName name="OPT_GL_2_1">[34]OPT_GL!$B$4:$S$33</definedName>
    <definedName name="OPT_GL_20">[34]OPT_GL!$B$4:$S$33</definedName>
    <definedName name="OPT_GL_6">[34]OPT_GL!$B$4:$S$33</definedName>
    <definedName name="OPT_GL_8">[34]OPT_GL!$B$4:$S$33</definedName>
    <definedName name="OPT_GL_8_1">[34]OPT_GL!$B$4:$S$33</definedName>
    <definedName name="OPT_GL_9">[34]OPT_GL!$B$4:$S$33</definedName>
    <definedName name="OPT_GL_9_1">[34]OPT_GL!$B$4:$S$33</definedName>
    <definedName name="ORE" localSheetId="0">#REF!</definedName>
    <definedName name="ORE">#REF!</definedName>
    <definedName name="Outlook">'[6]Budget &amp; Outlook'!$T$5:$AG$41</definedName>
    <definedName name="P" localSheetId="0">#REF!</definedName>
    <definedName name="P">#REF!</definedName>
    <definedName name="PA_Actual">[3]Data!$B$86:$AG$95</definedName>
    <definedName name="PA_Plan">[3]Data!$B$73:$AG$82</definedName>
    <definedName name="paijo">'[2]MTD OB Forecasting'!#REF!</definedName>
    <definedName name="PASS" localSheetId="0">#REF!</definedName>
    <definedName name="PASS">#REF!</definedName>
    <definedName name="PASS1" localSheetId="0">#REF!</definedName>
    <definedName name="PASS1">#REF!</definedName>
    <definedName name="PEASTHITS" localSheetId="0">#REF!</definedName>
    <definedName name="PEASTHITS">#REF!</definedName>
    <definedName name="PEMB" localSheetId="0">#REF!</definedName>
    <definedName name="PEMB">#REF!</definedName>
    <definedName name="PENALTY">[9]dBonus!$C$7:$J$73</definedName>
    <definedName name="pit_10">'[5]MTD OB Forecasting'!#REF!</definedName>
    <definedName name="PJBG" localSheetId="0">#REF!</definedName>
    <definedName name="PJBG">#REF!</definedName>
    <definedName name="Plan">[35]Plan!$A$3:$A$187</definedName>
    <definedName name="PLAN_1">[36]SUM!$B$34:$AB$58</definedName>
    <definedName name="PLAN_1_1">[36]SUM!$B$34:$AB$58</definedName>
    <definedName name="PLAN_11">[36]SUM!$B$34:$AB$58</definedName>
    <definedName name="PLAN_11_1">[36]SUM!$B$34:$AB$58</definedName>
    <definedName name="PLAN_12">[36]SUM!$B$34:$AB$58</definedName>
    <definedName name="PLAN_13">[36]SUM!$B$34:$AB$58</definedName>
    <definedName name="PLAN_16">[36]SUM!$B$34:$AB$58</definedName>
    <definedName name="PLAN_17">[36]SUM!$B$34:$AB$58</definedName>
    <definedName name="PLAN_19">[36]SUM!$B$34:$AB$58</definedName>
    <definedName name="PLAN_2">[36]SUM!$B$34:$AB$58</definedName>
    <definedName name="PLAN_2_1">[36]SUM!$B$34:$AB$58</definedName>
    <definedName name="PLAN_20">[36]SUM!$B$34:$AB$58</definedName>
    <definedName name="PLAN_6">[36]SUM!$B$34:$AB$58</definedName>
    <definedName name="PLAN_8">[36]SUM!$B$34:$AB$58</definedName>
    <definedName name="PLAN_8_1">[36]SUM!$B$34:$AB$58</definedName>
    <definedName name="PLAN_9">[36]SUM!$B$34:$AB$58</definedName>
    <definedName name="PLAN_9_1">[36]SUM!$B$34:$AB$58</definedName>
    <definedName name="PLAN_DAILY">'[37]Daily Plan'!$BH$8:$CA$33</definedName>
    <definedName name="PLAN_MONTHLY">[38]summary!$B$12:$AO$45</definedName>
    <definedName name="PLAN_MONTHLY_1">[38]summary!$B$12:$AO$45</definedName>
    <definedName name="PLAN_MONTHLY_1_1">[38]summary!$B$12:$AO$45</definedName>
    <definedName name="PLAN_MONTHLY_10">[39]summary!$B$12:$AO$45</definedName>
    <definedName name="PLAN_MONTHLY_11">[38]summary!$B$12:$AO$45</definedName>
    <definedName name="PLAN_MONTHLY_13">[38]summary!$B$12:$AO$45</definedName>
    <definedName name="PLAN_MONTHLY_16">[38]summary!$B$12:$AO$45</definedName>
    <definedName name="PLAN_MONTHLY_17">[40]summary!$B$12:$AO$45</definedName>
    <definedName name="PLAN_MONTHLY_19">[14]summary!$B$12:$AO$45</definedName>
    <definedName name="PLAN_MONTHLY_2">[38]summary!$B$12:$AO$45</definedName>
    <definedName name="PLAN_MONTHLY_2_1">[38]summary!$B$12:$AO$45</definedName>
    <definedName name="PLAN_MONTHLY_20">[41]summary!$B$12:$AO$45</definedName>
    <definedName name="PLAN_MONTHLY_3">[42]summary!$B$12:$AO$45</definedName>
    <definedName name="PLAN_MONTHLY_3_1">[42]summary!$B$12:$AO$45</definedName>
    <definedName name="PLAN_MONTHLY_4">[42]summary!$B$12:$AO$45</definedName>
    <definedName name="PLAN_MONTHLY_6">[42]summary!$B$12:$AO$45</definedName>
    <definedName name="PLAN_MONTHLY_6_1">[40]summary!$B$12:$AO$45</definedName>
    <definedName name="PLAN_MONTHLY_7">[42]summary!$B$12:$AO$45</definedName>
    <definedName name="PLAN_MONTHLY_7_1">[39]summary!$B$12:$AO$45</definedName>
    <definedName name="PLAN_MONTHLY_8">[40]summary!$B$12:$AO$45</definedName>
    <definedName name="PLAN_MONTHLY_9">[40]summary!$B$12:$AO$45</definedName>
    <definedName name="pm3brm" localSheetId="0">#REF!</definedName>
    <definedName name="pm3brm">#REF!</definedName>
    <definedName name="PMEASTHITS" localSheetId="0">#REF!</definedName>
    <definedName name="PMEASTHITS">#REF!</definedName>
    <definedName name="PMS3BW" localSheetId="0">#REF!</definedName>
    <definedName name="PMS3BW">#REF!</definedName>
    <definedName name="PMS3FW" localSheetId="0">#REF!</definedName>
    <definedName name="PMS3FW">#REF!</definedName>
    <definedName name="PMS3HW" localSheetId="0">#REF!</definedName>
    <definedName name="PMS3HW">#REF!</definedName>
    <definedName name="populasi" localSheetId="0">#REF!</definedName>
    <definedName name="populasi">#REF!</definedName>
    <definedName name="_xlnm.Print_Area" localSheetId="0">#REF!</definedName>
    <definedName name="_xlnm.Print_Area">#REF!</definedName>
    <definedName name="_xlnm.Print_Titles">#N/A</definedName>
    <definedName name="Print2" localSheetId="0">#REF!</definedName>
    <definedName name="Print2">#REF!</definedName>
    <definedName name="prod" localSheetId="0">#REF!</definedName>
    <definedName name="prod">#REF!</definedName>
    <definedName name="PROD_COAL">'[43]DP Report'!$F$42:$F$42</definedName>
    <definedName name="PROD_OB">'[43]DP Report'!$F$33:$F$33</definedName>
    <definedName name="ProdBdgt">'[44]Sum Prod &amp; Sales Bdgt'!$C$2:$T$21</definedName>
    <definedName name="Prodty_Actual">[3]Data!$B$20:$AG$33</definedName>
    <definedName name="Prodty_Plan">[3]Data!$B$3:$AG$16</definedName>
    <definedName name="Production">[3]Data!$B$149:$AG$153</definedName>
    <definedName name="produksi" localSheetId="0">#REF!</definedName>
    <definedName name="produksi">#REF!</definedName>
    <definedName name="Project">[35]Project!$A$3:$A$1003</definedName>
    <definedName name="Project1">[27]Project!$A$3:$A$1003</definedName>
    <definedName name="PSYINV2" localSheetId="0">#REF!</definedName>
    <definedName name="PSYINV2">#REF!</definedName>
    <definedName name="PT" localSheetId="0">#REF!</definedName>
    <definedName name="PT">#REF!</definedName>
    <definedName name="PTCMHCVHITS" localSheetId="0">#REF!</definedName>
    <definedName name="PTCMHCVHITS">#REF!</definedName>
    <definedName name="PTCMHCVLOTS" localSheetId="0">#REF!</definedName>
    <definedName name="PTCMHCVLOTS">#REF!</definedName>
    <definedName name="PTCMLCVLOTS" localSheetId="0">#REF!</definedName>
    <definedName name="PTCMLCVLOTS">#REF!</definedName>
    <definedName name="PTDMHCV" localSheetId="0">#REF!</definedName>
    <definedName name="PTDMHCV">#REF!</definedName>
    <definedName name="PTOTAL" localSheetId="0">#REF!</definedName>
    <definedName name="PTOTAL">#REF!</definedName>
    <definedName name="PWESTLOTS" localSheetId="0">#REF!</definedName>
    <definedName name="PWESTLOTS">#REF!</definedName>
    <definedName name="q" localSheetId="0">#REF!</definedName>
    <definedName name="q">#REF!</definedName>
    <definedName name="QWS" localSheetId="0">#REF!</definedName>
    <definedName name="QWS">#REF!</definedName>
    <definedName name="rcc" localSheetId="0">#REF!</definedName>
    <definedName name="rcc">#REF!</definedName>
    <definedName name="RD" localSheetId="0">#REF!</definedName>
    <definedName name="RD">#REF!</definedName>
    <definedName name="re" localSheetId="0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[25]TJ!$C$4:$Y$432</definedName>
    <definedName name="REN_LMA">[25]LM!$C$4:$Y$168</definedName>
    <definedName name="RENTAL">[25]ACUM!$B$4:$CT$27</definedName>
    <definedName name="rp">[45]OFFICE!$AW$6</definedName>
    <definedName name="SC" localSheetId="0">#REF!</definedName>
    <definedName name="SC">#REF!</definedName>
    <definedName name="sdhjfwsa\">'[2]MTD OB Forecasting'!#REF!</definedName>
    <definedName name="sencount" hidden="1">2</definedName>
    <definedName name="SFfuel">[46]Assumptions!$D$473</definedName>
    <definedName name="Shikoku">[1]Validation!$A$10</definedName>
    <definedName name="SlsBudget">'[44]Sum Prod &amp; Sales Bdgt'!$C$35:$P$49</definedName>
    <definedName name="SO" localSheetId="0">#REF!</definedName>
    <definedName name="SO">#REF!</definedName>
    <definedName name="SPRD_COAL" localSheetId="0">#REF!</definedName>
    <definedName name="SPRD_COAL">#REF!</definedName>
    <definedName name="SPRD_OB" localSheetId="0">#REF!</definedName>
    <definedName name="SPRD_OB">#REF!</definedName>
    <definedName name="ssss" localSheetId="0">#REF!</definedName>
    <definedName name="ssss">#REF!</definedName>
    <definedName name="STB">[25]ACUM!$ED$64:$FJ$87</definedName>
    <definedName name="SubAccount">[47]!Sub_Account</definedName>
    <definedName name="subhan">'[5]MTD OB Forecasting'!#REF!</definedName>
    <definedName name="SummPRM">'[48]Summ PRM'!$B$6:$BO$108</definedName>
    <definedName name="suryanto">'[2]MTD OB Forecasting'!#REF!</definedName>
    <definedName name="TCM">[6]TCM!$A$2:$KE$234</definedName>
    <definedName name="TDM">[6]TDM!$A$4:$EW$40</definedName>
    <definedName name="test" localSheetId="0">#REF!</definedName>
    <definedName name="test">#REF!</definedName>
    <definedName name="TONNAGE">[9]dBase!$R$2:$R$4381</definedName>
    <definedName name="TOP_COSTUM" localSheetId="0">#REF!</definedName>
    <definedName name="TOP_COSTUM">#REF!</definedName>
    <definedName name="total" localSheetId="0">#REF!</definedName>
    <definedName name="total">#REF!</definedName>
    <definedName name="TUNAS">[25]ACUM!$B$4:$CT$27</definedName>
    <definedName name="TYPE">[9]dBase!$BC$2:$BC$4381</definedName>
    <definedName name="UA_Actual">[3]Data!$B$112:$AG$121</definedName>
    <definedName name="UA_Plan">[3]Data!$B$99:$AG$108</definedName>
    <definedName name="uu" localSheetId="0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WASTE" localSheetId="0">#REF!</definedName>
    <definedName name="WASTE">#REF!</definedName>
    <definedName name="Wh" localSheetId="0">#REF!</definedName>
    <definedName name="Wh">#REF!</definedName>
    <definedName name="WORK">[25]ACUM!$ED$4:$FJ$27</definedName>
    <definedName name="Worksheet2016" localSheetId="0">#REF!</definedName>
    <definedName name="Worksheet2016">#REF!</definedName>
    <definedName name="wrn.M." localSheetId="0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0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Valuation._.LB." localSheetId="0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0" hidden="1">{#N/A,#N/A,FALSE,"M06";#N/A,#N/A,FALSE,"M07"}</definedName>
    <definedName name="wrn.Variance." hidden="1">{#N/A,#N/A,FALSE,"M06";#N/A,#N/A,FALSE,"M07"}</definedName>
    <definedName name="WS">'[6]WS-Daily'!$B$5:$GJ$1957</definedName>
    <definedName name="WSA" localSheetId="0">#REF!</definedName>
    <definedName name="WSA">#REF!</definedName>
    <definedName name="Y" localSheetId="0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>'[5]MTD OB Forecasting'!#REF!</definedName>
    <definedName name="yun">'[5]MTD OB Forecasting'!#REF!</definedName>
    <definedName name="yusuf">'[2]MTD OB Forecasting'!#REF!</definedName>
    <definedName name="z">'[5]MTD OB Forecasting'!#REF!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9" i="2" l="1"/>
  <c r="P69" i="2"/>
  <c r="M135" i="3" l="1"/>
  <c r="L135" i="3"/>
  <c r="K135" i="3"/>
  <c r="J135" i="3"/>
  <c r="I135" i="3"/>
  <c r="H135" i="3"/>
  <c r="G135" i="3"/>
  <c r="F135" i="3"/>
  <c r="E135" i="3"/>
  <c r="D135" i="3"/>
  <c r="C135" i="3"/>
  <c r="B135" i="3"/>
  <c r="N127" i="3"/>
  <c r="N126" i="3"/>
  <c r="N125" i="3"/>
  <c r="N124" i="3"/>
  <c r="N123" i="3"/>
  <c r="N41" i="3"/>
  <c r="N40" i="3"/>
  <c r="N39" i="3"/>
  <c r="N38" i="3"/>
  <c r="N37" i="3"/>
  <c r="N42" i="3" l="1"/>
  <c r="P42" i="2" s="1"/>
  <c r="P11" i="2" l="1"/>
  <c r="M8" i="2"/>
  <c r="L8" i="2"/>
  <c r="K8" i="2"/>
  <c r="J8" i="2"/>
  <c r="I8" i="2"/>
  <c r="H8" i="2"/>
  <c r="G8" i="2"/>
  <c r="F8" i="2"/>
  <c r="E8" i="2"/>
  <c r="D8" i="2"/>
  <c r="C8" i="2"/>
  <c r="B8" i="2"/>
  <c r="P144" i="2"/>
  <c r="P143" i="2"/>
  <c r="N185" i="3" l="1"/>
  <c r="N184" i="3"/>
  <c r="N183" i="3"/>
  <c r="N182" i="3"/>
  <c r="N181" i="3"/>
  <c r="N180" i="3"/>
  <c r="N177" i="3"/>
  <c r="N176" i="3" s="1"/>
  <c r="M176" i="3"/>
  <c r="L176" i="3"/>
  <c r="K176" i="3"/>
  <c r="J176" i="3"/>
  <c r="I176" i="3"/>
  <c r="H176" i="3"/>
  <c r="G176" i="3"/>
  <c r="F176" i="3"/>
  <c r="E176" i="3"/>
  <c r="D176" i="3"/>
  <c r="C176" i="3"/>
  <c r="B176" i="3"/>
  <c r="N175" i="3"/>
  <c r="N174" i="3" s="1"/>
  <c r="M174" i="3"/>
  <c r="L174" i="3"/>
  <c r="K174" i="3"/>
  <c r="J174" i="3"/>
  <c r="I174" i="3"/>
  <c r="H174" i="3"/>
  <c r="H179" i="3" s="1"/>
  <c r="G174" i="3"/>
  <c r="G179" i="3" s="1"/>
  <c r="F174" i="3"/>
  <c r="F179" i="3" s="1"/>
  <c r="E174" i="3"/>
  <c r="D174" i="3"/>
  <c r="D179" i="3" s="1"/>
  <c r="C174" i="3"/>
  <c r="C179" i="3" s="1"/>
  <c r="B174" i="3"/>
  <c r="B179" i="3" s="1"/>
  <c r="N168" i="3"/>
  <c r="N169" i="3"/>
  <c r="N170" i="3"/>
  <c r="N171" i="3"/>
  <c r="N167" i="3"/>
  <c r="N154" i="3"/>
  <c r="N155" i="3"/>
  <c r="N156" i="3"/>
  <c r="N157" i="3"/>
  <c r="N153" i="3"/>
  <c r="N139" i="3"/>
  <c r="N140" i="3"/>
  <c r="N141" i="3"/>
  <c r="N142" i="3"/>
  <c r="N138" i="3"/>
  <c r="N118" i="3"/>
  <c r="N119" i="3"/>
  <c r="N120" i="3"/>
  <c r="N121" i="3"/>
  <c r="N117" i="3"/>
  <c r="C147" i="3"/>
  <c r="D147" i="3"/>
  <c r="E147" i="3"/>
  <c r="F147" i="3"/>
  <c r="G147" i="3"/>
  <c r="H147" i="3"/>
  <c r="I147" i="3"/>
  <c r="J147" i="3"/>
  <c r="K147" i="3"/>
  <c r="L147" i="3"/>
  <c r="M147" i="3"/>
  <c r="B147" i="3"/>
  <c r="N147" i="3" s="1"/>
  <c r="N148" i="3"/>
  <c r="J178" i="3" l="1"/>
  <c r="L178" i="3"/>
  <c r="B178" i="3"/>
  <c r="C178" i="3"/>
  <c r="E178" i="3"/>
  <c r="I178" i="3"/>
  <c r="M178" i="3"/>
  <c r="K178" i="3"/>
  <c r="G178" i="3"/>
  <c r="H178" i="3"/>
  <c r="F178" i="3"/>
  <c r="N178" i="3"/>
  <c r="E179" i="3"/>
  <c r="D178" i="3"/>
  <c r="I179" i="3"/>
  <c r="J179" i="3"/>
  <c r="K179" i="3"/>
  <c r="L179" i="3"/>
  <c r="M179" i="3"/>
  <c r="N179" i="3"/>
  <c r="N87" i="3"/>
  <c r="N88" i="3"/>
  <c r="N89" i="3"/>
  <c r="N90" i="3"/>
  <c r="N86" i="3"/>
  <c r="N81" i="3"/>
  <c r="N82" i="3"/>
  <c r="N83" i="3"/>
  <c r="N84" i="3"/>
  <c r="N80" i="3"/>
  <c r="N75" i="3"/>
  <c r="N76" i="3"/>
  <c r="N77" i="3"/>
  <c r="N78" i="3"/>
  <c r="N74" i="3"/>
  <c r="N50" i="3"/>
  <c r="N51" i="3"/>
  <c r="N52" i="3"/>
  <c r="N53" i="3"/>
  <c r="N49" i="3"/>
  <c r="N44" i="3"/>
  <c r="N45" i="3"/>
  <c r="N46" i="3"/>
  <c r="N47" i="3"/>
  <c r="N43" i="3"/>
  <c r="N32" i="3"/>
  <c r="N33" i="3"/>
  <c r="N34" i="3"/>
  <c r="N35" i="3"/>
  <c r="N31" i="3"/>
  <c r="N26" i="3"/>
  <c r="N27" i="3"/>
  <c r="N28" i="3"/>
  <c r="N29" i="3"/>
  <c r="N25" i="3"/>
  <c r="N20" i="3"/>
  <c r="N21" i="3"/>
  <c r="N22" i="3"/>
  <c r="N23" i="3"/>
  <c r="N19" i="3"/>
  <c r="N11" i="3" l="1"/>
  <c r="C8" i="3"/>
  <c r="D8" i="3"/>
  <c r="E8" i="3"/>
  <c r="F8" i="3"/>
  <c r="G8" i="3"/>
  <c r="H8" i="3"/>
  <c r="I8" i="3"/>
  <c r="J8" i="3"/>
  <c r="K8" i="3"/>
  <c r="L8" i="3"/>
  <c r="M8" i="3"/>
  <c r="B8" i="3"/>
  <c r="B5" i="3"/>
  <c r="C5" i="3"/>
  <c r="D5" i="3"/>
  <c r="E5" i="3"/>
  <c r="F5" i="3"/>
  <c r="G5" i="3"/>
  <c r="H5" i="3"/>
  <c r="I5" i="3"/>
  <c r="J5" i="3"/>
  <c r="K5" i="3"/>
  <c r="L5" i="3"/>
  <c r="M5" i="3"/>
  <c r="B100" i="2" l="1"/>
  <c r="C100" i="2"/>
  <c r="D100" i="2"/>
  <c r="E100" i="2"/>
  <c r="F100" i="2"/>
  <c r="G100" i="2"/>
  <c r="H100" i="2"/>
  <c r="I100" i="2"/>
  <c r="J100" i="2"/>
  <c r="K100" i="2"/>
  <c r="L100" i="2"/>
  <c r="M100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M108" i="2" l="1"/>
  <c r="B108" i="2"/>
  <c r="E108" i="2"/>
  <c r="K108" i="2"/>
  <c r="J108" i="2"/>
  <c r="I108" i="2"/>
  <c r="H108" i="2"/>
  <c r="G108" i="2"/>
  <c r="F108" i="2"/>
  <c r="C108" i="2"/>
  <c r="L108" i="2"/>
  <c r="D108" i="2"/>
  <c r="N114" i="2"/>
  <c r="N120" i="2"/>
  <c r="N64" i="2" l="1"/>
  <c r="N165" i="2" l="1"/>
  <c r="N166" i="2"/>
  <c r="N167" i="2"/>
  <c r="N164" i="2"/>
  <c r="N168" i="2"/>
  <c r="M68" i="2"/>
  <c r="L68" i="2"/>
  <c r="K68" i="2"/>
  <c r="J68" i="2"/>
  <c r="I68" i="2"/>
  <c r="H68" i="2"/>
  <c r="G68" i="2"/>
  <c r="F68" i="2"/>
  <c r="E68" i="2"/>
  <c r="D68" i="2"/>
  <c r="C68" i="2"/>
  <c r="M67" i="2"/>
  <c r="L67" i="2"/>
  <c r="K67" i="2"/>
  <c r="J67" i="2"/>
  <c r="I67" i="2"/>
  <c r="H67" i="2"/>
  <c r="G67" i="2"/>
  <c r="F67" i="2"/>
  <c r="E67" i="2"/>
  <c r="D67" i="2"/>
  <c r="C67" i="2"/>
  <c r="B68" i="2"/>
  <c r="B67" i="2"/>
  <c r="N162" i="2" l="1"/>
  <c r="N163" i="2"/>
  <c r="H9" i="4" l="1"/>
  <c r="H8" i="4"/>
  <c r="H7" i="4"/>
  <c r="G7" i="4"/>
  <c r="G8" i="4"/>
  <c r="G9" i="4"/>
  <c r="F6" i="4"/>
  <c r="D6" i="4"/>
  <c r="N144" i="2"/>
  <c r="N145" i="2"/>
  <c r="C142" i="2"/>
  <c r="D142" i="2"/>
  <c r="E142" i="2"/>
  <c r="F142" i="2"/>
  <c r="G142" i="2"/>
  <c r="H142" i="2"/>
  <c r="I142" i="2"/>
  <c r="J142" i="2"/>
  <c r="K142" i="2"/>
  <c r="L142" i="2"/>
  <c r="M142" i="2"/>
  <c r="J6" i="4" l="1"/>
  <c r="B110" i="2" l="1"/>
  <c r="B109" i="2" s="1"/>
  <c r="N111" i="2" l="1"/>
  <c r="B127" i="2" l="1"/>
  <c r="C127" i="2"/>
  <c r="D127" i="2"/>
  <c r="E127" i="2"/>
  <c r="F127" i="2"/>
  <c r="G127" i="2"/>
  <c r="H127" i="2"/>
  <c r="I127" i="2"/>
  <c r="J127" i="2"/>
  <c r="K127" i="2"/>
  <c r="L127" i="2"/>
  <c r="M127" i="2"/>
  <c r="F7" i="4" l="1"/>
  <c r="H13" i="2"/>
  <c r="N119" i="2" l="1"/>
  <c r="N121" i="2"/>
  <c r="N122" i="2"/>
  <c r="N118" i="2"/>
  <c r="N113" i="2"/>
  <c r="N115" i="2"/>
  <c r="N116" i="2"/>
  <c r="N112" i="2"/>
  <c r="N82" i="2" l="1"/>
  <c r="N83" i="2"/>
  <c r="N84" i="2"/>
  <c r="N85" i="2"/>
  <c r="N81" i="2"/>
  <c r="N79" i="2"/>
  <c r="N78" i="2"/>
  <c r="N77" i="2"/>
  <c r="N76" i="2"/>
  <c r="N75" i="2"/>
  <c r="B142" i="2" l="1"/>
  <c r="F8" i="4" s="1"/>
  <c r="N143" i="2"/>
  <c r="C60" i="2" l="1"/>
  <c r="D60" i="2"/>
  <c r="E60" i="2"/>
  <c r="F60" i="2"/>
  <c r="G60" i="2"/>
  <c r="H60" i="2"/>
  <c r="I60" i="2"/>
  <c r="J60" i="2"/>
  <c r="K60" i="2"/>
  <c r="L60" i="2"/>
  <c r="M60" i="2"/>
  <c r="B60" i="2"/>
  <c r="F5" i="4" l="1"/>
  <c r="N68" i="2"/>
  <c r="N67" i="2"/>
  <c r="N60" i="2"/>
  <c r="N101" i="2"/>
  <c r="N150" i="2" l="1"/>
  <c r="N151" i="2"/>
  <c r="N153" i="2"/>
  <c r="N152" i="2"/>
  <c r="N149" i="2"/>
  <c r="N134" i="2" l="1"/>
  <c r="N135" i="2"/>
  <c r="N136" i="2"/>
  <c r="N137" i="2"/>
  <c r="N133" i="2"/>
  <c r="N50" i="2" l="1"/>
  <c r="N51" i="2"/>
  <c r="N52" i="2"/>
  <c r="N53" i="2"/>
  <c r="N49" i="2"/>
  <c r="N44" i="2"/>
  <c r="N45" i="2"/>
  <c r="N46" i="2"/>
  <c r="N47" i="2"/>
  <c r="N43" i="2"/>
  <c r="N38" i="2"/>
  <c r="N39" i="2"/>
  <c r="N40" i="2"/>
  <c r="N41" i="2"/>
  <c r="N37" i="2"/>
  <c r="N32" i="2"/>
  <c r="N33" i="2"/>
  <c r="N34" i="2"/>
  <c r="N35" i="2"/>
  <c r="N31" i="2"/>
  <c r="N29" i="2"/>
  <c r="N26" i="2"/>
  <c r="N27" i="2"/>
  <c r="N28" i="2"/>
  <c r="N25" i="2"/>
  <c r="N20" i="2"/>
  <c r="N21" i="2"/>
  <c r="N22" i="2"/>
  <c r="N23" i="2"/>
  <c r="N19" i="2"/>
  <c r="N94" i="2"/>
  <c r="N95" i="2"/>
  <c r="N96" i="2"/>
  <c r="N97" i="2"/>
  <c r="N93" i="2"/>
  <c r="N88" i="2"/>
  <c r="N89" i="2"/>
  <c r="N90" i="2"/>
  <c r="N91" i="2"/>
  <c r="N87" i="2"/>
  <c r="B125" i="2" l="1"/>
  <c r="C125" i="2"/>
  <c r="D125" i="2"/>
  <c r="E125" i="2"/>
  <c r="F125" i="2"/>
  <c r="G125" i="2"/>
  <c r="H125" i="2"/>
  <c r="I125" i="2"/>
  <c r="J125" i="2"/>
  <c r="K125" i="2"/>
  <c r="L125" i="2"/>
  <c r="M125" i="2"/>
  <c r="D7" i="4" l="1"/>
  <c r="J7" i="4" s="1"/>
  <c r="L130" i="2"/>
  <c r="L129" i="2"/>
  <c r="M129" i="2"/>
  <c r="M130" i="2"/>
  <c r="K130" i="2"/>
  <c r="K129" i="2"/>
  <c r="J130" i="2"/>
  <c r="J129" i="2"/>
  <c r="I130" i="2"/>
  <c r="I129" i="2"/>
  <c r="H130" i="2"/>
  <c r="H129" i="2"/>
  <c r="G130" i="2"/>
  <c r="G129" i="2"/>
  <c r="F130" i="2"/>
  <c r="F129" i="2"/>
  <c r="E129" i="2"/>
  <c r="E130" i="2"/>
  <c r="D129" i="2"/>
  <c r="D130" i="2"/>
  <c r="C129" i="2"/>
  <c r="C130" i="2"/>
  <c r="B129" i="2"/>
  <c r="B130" i="2"/>
  <c r="N132" i="2"/>
  <c r="N18" i="2" l="1"/>
  <c r="N11" i="2"/>
  <c r="F4" i="4" l="1"/>
  <c r="P151" i="2"/>
  <c r="P150" i="2"/>
  <c r="P149" i="2"/>
  <c r="P137" i="2"/>
  <c r="P136" i="2"/>
  <c r="P135" i="2"/>
  <c r="P134" i="2"/>
  <c r="P133" i="2"/>
  <c r="P122" i="2"/>
  <c r="P121" i="2"/>
  <c r="P120" i="2"/>
  <c r="P119" i="2"/>
  <c r="P118" i="2"/>
  <c r="P116" i="2"/>
  <c r="P115" i="2"/>
  <c r="P114" i="2"/>
  <c r="P113" i="2"/>
  <c r="P112" i="2"/>
  <c r="N36" i="2"/>
  <c r="N42" i="2"/>
  <c r="N48" i="2"/>
  <c r="N16" i="2" s="1"/>
  <c r="M13" i="3" l="1"/>
  <c r="L13" i="3"/>
  <c r="K13" i="3"/>
  <c r="J13" i="3"/>
  <c r="I13" i="3"/>
  <c r="H13" i="3"/>
  <c r="G13" i="3"/>
  <c r="F13" i="3"/>
  <c r="E13" i="3"/>
  <c r="D13" i="3"/>
  <c r="C13" i="3"/>
  <c r="B13" i="3"/>
  <c r="N16" i="3"/>
  <c r="G4" i="4" l="1"/>
  <c r="N9" i="2" l="1"/>
  <c r="N8" i="2" s="1"/>
  <c r="N10" i="2"/>
  <c r="N86" i="2"/>
  <c r="P53" i="2"/>
  <c r="P52" i="2"/>
  <c r="P51" i="2"/>
  <c r="P50" i="2"/>
  <c r="P49" i="2"/>
  <c r="N48" i="3" l="1"/>
  <c r="P97" i="2"/>
  <c r="P96" i="2"/>
  <c r="P95" i="2"/>
  <c r="P94" i="2"/>
  <c r="P93" i="2"/>
  <c r="P91" i="2"/>
  <c r="P90" i="2"/>
  <c r="P89" i="2"/>
  <c r="P88" i="2"/>
  <c r="P87" i="2"/>
  <c r="P85" i="2"/>
  <c r="P84" i="2"/>
  <c r="P83" i="2"/>
  <c r="P82" i="2"/>
  <c r="P81" i="2"/>
  <c r="P79" i="2"/>
  <c r="P78" i="2"/>
  <c r="P77" i="2"/>
  <c r="P76" i="2"/>
  <c r="P75" i="2"/>
  <c r="P19" i="2"/>
  <c r="P20" i="2"/>
  <c r="P21" i="2"/>
  <c r="P22" i="2"/>
  <c r="P23" i="2"/>
  <c r="P25" i="2"/>
  <c r="P26" i="2"/>
  <c r="P27" i="2"/>
  <c r="P28" i="2"/>
  <c r="P29" i="2"/>
  <c r="P31" i="2"/>
  <c r="P32" i="2"/>
  <c r="P33" i="2"/>
  <c r="P34" i="2"/>
  <c r="P35" i="2"/>
  <c r="P37" i="2"/>
  <c r="P38" i="2"/>
  <c r="P39" i="2"/>
  <c r="P40" i="2"/>
  <c r="P41" i="2"/>
  <c r="P43" i="2"/>
  <c r="P44" i="2"/>
  <c r="P45" i="2"/>
  <c r="P46" i="2"/>
  <c r="P47" i="2"/>
  <c r="N97" i="3"/>
  <c r="P92" i="2" s="1"/>
  <c r="N91" i="3"/>
  <c r="P86" i="2" s="1"/>
  <c r="P48" i="2" l="1"/>
  <c r="P16" i="2"/>
  <c r="N136" i="3"/>
  <c r="P131" i="2" s="1"/>
  <c r="N122" i="3" l="1"/>
  <c r="P117" i="2" s="1"/>
  <c r="C109" i="3"/>
  <c r="D109" i="3"/>
  <c r="E109" i="3"/>
  <c r="F109" i="3"/>
  <c r="G109" i="3"/>
  <c r="H109" i="3"/>
  <c r="I109" i="3"/>
  <c r="J109" i="3"/>
  <c r="K109" i="3"/>
  <c r="L109" i="3"/>
  <c r="M109" i="3"/>
  <c r="B109" i="3"/>
  <c r="E6" i="4" l="1"/>
  <c r="L6" i="4" s="1"/>
  <c r="N109" i="3"/>
  <c r="P104" i="2" s="1"/>
  <c r="N85" i="3"/>
  <c r="N79" i="3"/>
  <c r="P80" i="2" s="1"/>
  <c r="N73" i="3"/>
  <c r="P74" i="2" s="1"/>
  <c r="N36" i="3" l="1"/>
  <c r="P36" i="2" s="1"/>
  <c r="N30" i="3"/>
  <c r="P30" i="2" s="1"/>
  <c r="N24" i="3"/>
  <c r="P24" i="2" s="1"/>
  <c r="N18" i="3"/>
  <c r="P18" i="2" s="1"/>
  <c r="N148" i="2" l="1"/>
  <c r="C140" i="2"/>
  <c r="D140" i="2"/>
  <c r="E140" i="2"/>
  <c r="F140" i="2"/>
  <c r="G140" i="2"/>
  <c r="H140" i="2"/>
  <c r="I140" i="2"/>
  <c r="J140" i="2"/>
  <c r="K140" i="2"/>
  <c r="L140" i="2"/>
  <c r="M140" i="2"/>
  <c r="B140" i="2"/>
  <c r="D8" i="4" l="1"/>
  <c r="B147" i="2"/>
  <c r="J8" i="4" l="1"/>
  <c r="N24" i="2"/>
  <c r="N30" i="2"/>
  <c r="N92" i="2"/>
  <c r="N80" i="2"/>
  <c r="N74" i="2"/>
  <c r="N117" i="2"/>
  <c r="N140" i="2" l="1"/>
  <c r="J156" i="2" l="1"/>
  <c r="K156" i="2"/>
  <c r="L156" i="2"/>
  <c r="M156" i="2"/>
  <c r="J158" i="2"/>
  <c r="K158" i="2"/>
  <c r="L158" i="2"/>
  <c r="M158" i="2"/>
  <c r="M161" i="2" l="1"/>
  <c r="M160" i="2"/>
  <c r="L161" i="2"/>
  <c r="L160" i="2"/>
  <c r="K161" i="2"/>
  <c r="K160" i="2"/>
  <c r="J161" i="2"/>
  <c r="J160" i="2"/>
  <c r="B13" i="2" l="1"/>
  <c r="G13" i="2"/>
  <c r="F13" i="2"/>
  <c r="J13" i="2"/>
  <c r="I13" i="2"/>
  <c r="M13" i="2"/>
  <c r="E13" i="2"/>
  <c r="L13" i="2"/>
  <c r="D13" i="2"/>
  <c r="K13" i="2"/>
  <c r="C13" i="2"/>
  <c r="H4" i="4" l="1"/>
  <c r="N127" i="2"/>
  <c r="C110" i="2"/>
  <c r="C109" i="2" s="1"/>
  <c r="D110" i="2"/>
  <c r="D109" i="2" s="1"/>
  <c r="E110" i="2"/>
  <c r="E109" i="2" s="1"/>
  <c r="F110" i="2"/>
  <c r="F109" i="2" s="1"/>
  <c r="G110" i="2"/>
  <c r="G109" i="2" s="1"/>
  <c r="H110" i="2"/>
  <c r="H109" i="2" s="1"/>
  <c r="I110" i="2"/>
  <c r="I109" i="2" s="1"/>
  <c r="J110" i="2"/>
  <c r="J109" i="2" s="1"/>
  <c r="K110" i="2"/>
  <c r="K109" i="2" s="1"/>
  <c r="L110" i="2"/>
  <c r="L109" i="2" s="1"/>
  <c r="M110" i="2"/>
  <c r="M109" i="2" s="1"/>
  <c r="N110" i="2"/>
  <c r="H6" i="4" l="1"/>
  <c r="N166" i="3"/>
  <c r="P162" i="2" s="1"/>
  <c r="N163" i="3"/>
  <c r="P159" i="2" s="1"/>
  <c r="M162" i="3"/>
  <c r="L162" i="3"/>
  <c r="K162" i="3"/>
  <c r="J162" i="3"/>
  <c r="I162" i="3"/>
  <c r="H162" i="3"/>
  <c r="G162" i="3"/>
  <c r="F162" i="3"/>
  <c r="E162" i="3"/>
  <c r="D162" i="3"/>
  <c r="C162" i="3"/>
  <c r="B162" i="3"/>
  <c r="N161" i="3"/>
  <c r="M160" i="3"/>
  <c r="M165" i="3" s="1"/>
  <c r="L160" i="3"/>
  <c r="K160" i="3"/>
  <c r="K165" i="3" s="1"/>
  <c r="J160" i="3"/>
  <c r="I160" i="3"/>
  <c r="H160" i="3"/>
  <c r="G160" i="3"/>
  <c r="F160" i="3"/>
  <c r="F165" i="3" s="1"/>
  <c r="E160" i="3"/>
  <c r="D160" i="3"/>
  <c r="C160" i="3"/>
  <c r="B160" i="3"/>
  <c r="N152" i="3"/>
  <c r="P148" i="2" s="1"/>
  <c r="N149" i="3"/>
  <c r="E8" i="4"/>
  <c r="L8" i="4" s="1"/>
  <c r="N146" i="3"/>
  <c r="M145" i="3"/>
  <c r="M151" i="3" s="1"/>
  <c r="L145" i="3"/>
  <c r="K145" i="3"/>
  <c r="J145" i="3"/>
  <c r="I145" i="3"/>
  <c r="H145" i="3"/>
  <c r="G145" i="3"/>
  <c r="F145" i="3"/>
  <c r="E145" i="3"/>
  <c r="E151" i="3" s="1"/>
  <c r="D145" i="3"/>
  <c r="D151" i="3" s="1"/>
  <c r="C145" i="3"/>
  <c r="B145" i="3"/>
  <c r="N137" i="3"/>
  <c r="P132" i="2" s="1"/>
  <c r="N133" i="3"/>
  <c r="P128" i="2" s="1"/>
  <c r="M132" i="3"/>
  <c r="L132" i="3"/>
  <c r="K132" i="3"/>
  <c r="J132" i="3"/>
  <c r="I132" i="3"/>
  <c r="H132" i="3"/>
  <c r="G132" i="3"/>
  <c r="F132" i="3"/>
  <c r="E132" i="3"/>
  <c r="D132" i="3"/>
  <c r="C132" i="3"/>
  <c r="B132" i="3"/>
  <c r="N131" i="3"/>
  <c r="P126" i="2" s="1"/>
  <c r="M130" i="3"/>
  <c r="L130" i="3"/>
  <c r="K130" i="3"/>
  <c r="J130" i="3"/>
  <c r="I130" i="3"/>
  <c r="H130" i="3"/>
  <c r="G130" i="3"/>
  <c r="F130" i="3"/>
  <c r="E130" i="3"/>
  <c r="D130" i="3"/>
  <c r="C130" i="3"/>
  <c r="B130" i="3"/>
  <c r="N116" i="3"/>
  <c r="P111" i="2" s="1"/>
  <c r="M115" i="3"/>
  <c r="L115" i="3"/>
  <c r="K115" i="3"/>
  <c r="J115" i="3"/>
  <c r="I115" i="3"/>
  <c r="H115" i="3"/>
  <c r="G115" i="3"/>
  <c r="F115" i="3"/>
  <c r="E115" i="3"/>
  <c r="D115" i="3"/>
  <c r="C115" i="3"/>
  <c r="B115" i="3"/>
  <c r="N112" i="3"/>
  <c r="P107" i="2" s="1"/>
  <c r="N111" i="3"/>
  <c r="P106" i="2" s="1"/>
  <c r="N110" i="3"/>
  <c r="P105" i="2" s="1"/>
  <c r="N108" i="3"/>
  <c r="P103" i="2" s="1"/>
  <c r="N107" i="3"/>
  <c r="P102" i="2" s="1"/>
  <c r="N106" i="3"/>
  <c r="P101" i="2" s="1"/>
  <c r="M105" i="3"/>
  <c r="L105" i="3"/>
  <c r="K105" i="3"/>
  <c r="J105" i="3"/>
  <c r="I105" i="3"/>
  <c r="H105" i="3"/>
  <c r="G105" i="3"/>
  <c r="F105" i="3"/>
  <c r="E105" i="3"/>
  <c r="D105" i="3"/>
  <c r="C105" i="3"/>
  <c r="B105" i="3"/>
  <c r="M71" i="3"/>
  <c r="L71" i="3"/>
  <c r="K71" i="3"/>
  <c r="J71" i="3"/>
  <c r="I71" i="3"/>
  <c r="H71" i="3"/>
  <c r="G71" i="3"/>
  <c r="F71" i="3"/>
  <c r="E71" i="3"/>
  <c r="D71" i="3"/>
  <c r="C71" i="3"/>
  <c r="B71" i="3"/>
  <c r="M70" i="3"/>
  <c r="L70" i="3"/>
  <c r="K70" i="3"/>
  <c r="J70" i="3"/>
  <c r="I70" i="3"/>
  <c r="H70" i="3"/>
  <c r="G70" i="3"/>
  <c r="F70" i="3"/>
  <c r="E70" i="3"/>
  <c r="D70" i="3"/>
  <c r="C70" i="3"/>
  <c r="B70" i="3"/>
  <c r="M68" i="3"/>
  <c r="L68" i="3"/>
  <c r="K68" i="3"/>
  <c r="J68" i="3"/>
  <c r="I68" i="3"/>
  <c r="H68" i="3"/>
  <c r="G68" i="3"/>
  <c r="F68" i="3"/>
  <c r="E68" i="3"/>
  <c r="D68" i="3"/>
  <c r="C68" i="3"/>
  <c r="B68" i="3"/>
  <c r="M67" i="3"/>
  <c r="L67" i="3"/>
  <c r="K67" i="3"/>
  <c r="J67" i="3"/>
  <c r="I67" i="3"/>
  <c r="H67" i="3"/>
  <c r="G67" i="3"/>
  <c r="F67" i="3"/>
  <c r="E67" i="3"/>
  <c r="D67" i="3"/>
  <c r="C67" i="3"/>
  <c r="B67" i="3"/>
  <c r="M66" i="3"/>
  <c r="L66" i="3"/>
  <c r="K66" i="3"/>
  <c r="J66" i="3"/>
  <c r="I66" i="3"/>
  <c r="H66" i="3"/>
  <c r="G66" i="3"/>
  <c r="F66" i="3"/>
  <c r="E66" i="3"/>
  <c r="D66" i="3"/>
  <c r="C66" i="3"/>
  <c r="B66" i="3"/>
  <c r="N63" i="3"/>
  <c r="P63" i="2" s="1"/>
  <c r="N62" i="3"/>
  <c r="P62" i="2" s="1"/>
  <c r="N61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P59" i="2" s="1"/>
  <c r="N58" i="3"/>
  <c r="P58" i="2" s="1"/>
  <c r="N57" i="3"/>
  <c r="P57" i="2" s="1"/>
  <c r="M56" i="3"/>
  <c r="L56" i="3"/>
  <c r="K56" i="3"/>
  <c r="J56" i="3"/>
  <c r="I56" i="3"/>
  <c r="H56" i="3"/>
  <c r="G56" i="3"/>
  <c r="F56" i="3"/>
  <c r="E56" i="3"/>
  <c r="D56" i="3"/>
  <c r="C56" i="3"/>
  <c r="B56" i="3"/>
  <c r="N10" i="3"/>
  <c r="P10" i="2" s="1"/>
  <c r="N9" i="3"/>
  <c r="P9" i="2" s="1"/>
  <c r="N7" i="3"/>
  <c r="P7" i="2" s="1"/>
  <c r="N6" i="3"/>
  <c r="P6" i="2" s="1"/>
  <c r="C9" i="4" l="1"/>
  <c r="E7" i="4"/>
  <c r="L7" i="4" s="1"/>
  <c r="C6" i="4"/>
  <c r="I6" i="4" s="1"/>
  <c r="P142" i="2"/>
  <c r="C7" i="4"/>
  <c r="B134" i="3"/>
  <c r="C134" i="3"/>
  <c r="D134" i="3"/>
  <c r="G6" i="4"/>
  <c r="E134" i="3"/>
  <c r="N162" i="3"/>
  <c r="P158" i="2" s="1"/>
  <c r="M134" i="3"/>
  <c r="N145" i="3"/>
  <c r="P140" i="2" s="1"/>
  <c r="Q140" i="2" s="1"/>
  <c r="P141" i="2"/>
  <c r="B151" i="3"/>
  <c r="C8" i="4"/>
  <c r="F134" i="3"/>
  <c r="J134" i="3"/>
  <c r="K134" i="3"/>
  <c r="L134" i="3"/>
  <c r="G134" i="3"/>
  <c r="H134" i="3"/>
  <c r="N160" i="3"/>
  <c r="P156" i="2" s="1"/>
  <c r="P157" i="2"/>
  <c r="C5" i="4"/>
  <c r="I134" i="3"/>
  <c r="E9" i="4"/>
  <c r="K6" i="4"/>
  <c r="E5" i="4"/>
  <c r="L5" i="4" s="1"/>
  <c r="E4" i="4"/>
  <c r="C4" i="4"/>
  <c r="N132" i="3"/>
  <c r="P127" i="2" s="1"/>
  <c r="Q127" i="2" s="1"/>
  <c r="N60" i="3"/>
  <c r="P60" i="2" s="1"/>
  <c r="Q60" i="2" s="1"/>
  <c r="P61" i="2"/>
  <c r="B69" i="3"/>
  <c r="B164" i="3"/>
  <c r="N105" i="3"/>
  <c r="P100" i="2" s="1"/>
  <c r="G69" i="3"/>
  <c r="M113" i="3"/>
  <c r="L113" i="3"/>
  <c r="E113" i="3"/>
  <c r="F114" i="3"/>
  <c r="D69" i="3"/>
  <c r="M150" i="3"/>
  <c r="N130" i="3"/>
  <c r="L69" i="3"/>
  <c r="D113" i="3"/>
  <c r="C114" i="3"/>
  <c r="F150" i="3"/>
  <c r="H164" i="3"/>
  <c r="F65" i="3"/>
  <c r="F72" i="3" s="1"/>
  <c r="N115" i="3"/>
  <c r="P110" i="2" s="1"/>
  <c r="H113" i="3"/>
  <c r="J113" i="3"/>
  <c r="D164" i="3"/>
  <c r="C164" i="3"/>
  <c r="M12" i="3"/>
  <c r="K113" i="3"/>
  <c r="E164" i="3"/>
  <c r="G164" i="3"/>
  <c r="I113" i="3"/>
  <c r="M64" i="3"/>
  <c r="M114" i="3"/>
  <c r="G150" i="3"/>
  <c r="E64" i="3"/>
  <c r="K12" i="3"/>
  <c r="N56" i="3"/>
  <c r="H150" i="3"/>
  <c r="G113" i="3"/>
  <c r="I69" i="3"/>
  <c r="G114" i="3"/>
  <c r="I150" i="3"/>
  <c r="D65" i="3"/>
  <c r="H65" i="3"/>
  <c r="J69" i="3"/>
  <c r="B113" i="3"/>
  <c r="I114" i="3"/>
  <c r="K69" i="3"/>
  <c r="C113" i="3"/>
  <c r="K114" i="3"/>
  <c r="N66" i="3"/>
  <c r="P67" i="2" s="1"/>
  <c r="E150" i="3"/>
  <c r="C65" i="3"/>
  <c r="C72" i="3" s="1"/>
  <c r="B17" i="3"/>
  <c r="E17" i="3"/>
  <c r="H17" i="3"/>
  <c r="L17" i="3"/>
  <c r="C12" i="3"/>
  <c r="E12" i="3"/>
  <c r="H12" i="3"/>
  <c r="G12" i="3"/>
  <c r="J150" i="3"/>
  <c r="E65" i="3"/>
  <c r="G65" i="3"/>
  <c r="G72" i="3" s="1"/>
  <c r="B114" i="3"/>
  <c r="L150" i="3"/>
  <c r="N14" i="3"/>
  <c r="P14" i="2" s="1"/>
  <c r="F12" i="3"/>
  <c r="M69" i="3"/>
  <c r="N71" i="3"/>
  <c r="P72" i="2" s="1"/>
  <c r="I164" i="3"/>
  <c r="I65" i="3"/>
  <c r="J164" i="3"/>
  <c r="J65" i="3"/>
  <c r="J72" i="3" s="1"/>
  <c r="N68" i="3"/>
  <c r="N70" i="3"/>
  <c r="P71" i="2" s="1"/>
  <c r="K164" i="3"/>
  <c r="K65" i="3"/>
  <c r="C69" i="3"/>
  <c r="F151" i="3"/>
  <c r="L164" i="3"/>
  <c r="N8" i="3"/>
  <c r="P8" i="2" s="1"/>
  <c r="Q8" i="2" s="1"/>
  <c r="N15" i="3"/>
  <c r="P15" i="2" s="1"/>
  <c r="C64" i="3"/>
  <c r="H69" i="3"/>
  <c r="B150" i="3"/>
  <c r="H151" i="3"/>
  <c r="M164" i="3"/>
  <c r="F164" i="3"/>
  <c r="M65" i="3"/>
  <c r="E69" i="3"/>
  <c r="C150" i="3"/>
  <c r="J151" i="3"/>
  <c r="C165" i="3"/>
  <c r="D12" i="3"/>
  <c r="K64" i="3"/>
  <c r="N67" i="3"/>
  <c r="P68" i="2" s="1"/>
  <c r="F69" i="3"/>
  <c r="J114" i="3"/>
  <c r="D150" i="3"/>
  <c r="L151" i="3"/>
  <c r="E165" i="3"/>
  <c r="K150" i="3"/>
  <c r="L12" i="3"/>
  <c r="L65" i="3"/>
  <c r="L72" i="3" s="1"/>
  <c r="E114" i="3"/>
  <c r="N5" i="3"/>
  <c r="P5" i="2" s="1"/>
  <c r="G165" i="3"/>
  <c r="I165" i="3"/>
  <c r="I12" i="3"/>
  <c r="I64" i="3"/>
  <c r="B12" i="3"/>
  <c r="J12" i="3"/>
  <c r="B64" i="3"/>
  <c r="J64" i="3"/>
  <c r="H114" i="3"/>
  <c r="G151" i="3"/>
  <c r="H165" i="3"/>
  <c r="D64" i="3"/>
  <c r="L64" i="3"/>
  <c r="I151" i="3"/>
  <c r="B165" i="3"/>
  <c r="J165" i="3"/>
  <c r="F64" i="3"/>
  <c r="D114" i="3"/>
  <c r="L114" i="3"/>
  <c r="C151" i="3"/>
  <c r="K151" i="3"/>
  <c r="D165" i="3"/>
  <c r="L165" i="3"/>
  <c r="G64" i="3"/>
  <c r="B65" i="3"/>
  <c r="F113" i="3"/>
  <c r="H64" i="3"/>
  <c r="I9" i="4" l="1"/>
  <c r="N134" i="3"/>
  <c r="P129" i="2" s="1"/>
  <c r="P125" i="2"/>
  <c r="N165" i="3"/>
  <c r="P161" i="2" s="1"/>
  <c r="N150" i="3"/>
  <c r="P146" i="2" s="1"/>
  <c r="N164" i="3"/>
  <c r="P160" i="2" s="1"/>
  <c r="I7" i="4"/>
  <c r="K7" i="4"/>
  <c r="I8" i="4"/>
  <c r="K8" i="4"/>
  <c r="N151" i="3"/>
  <c r="P147" i="2" s="1"/>
  <c r="G5" i="4"/>
  <c r="G10" i="4" s="1"/>
  <c r="N114" i="3"/>
  <c r="P109" i="2" s="1"/>
  <c r="N113" i="3"/>
  <c r="P108" i="2" s="1"/>
  <c r="I5" i="4"/>
  <c r="E10" i="4"/>
  <c r="L4" i="4"/>
  <c r="C10" i="4"/>
  <c r="I4" i="4"/>
  <c r="N64" i="3"/>
  <c r="P65" i="2" s="1"/>
  <c r="P56" i="2"/>
  <c r="N135" i="3"/>
  <c r="D72" i="3"/>
  <c r="N65" i="3"/>
  <c r="H72" i="3"/>
  <c r="N12" i="3"/>
  <c r="P12" i="2" s="1"/>
  <c r="N69" i="3"/>
  <c r="P70" i="2" s="1"/>
  <c r="F17" i="3"/>
  <c r="I17" i="3"/>
  <c r="C17" i="3"/>
  <c r="M72" i="3"/>
  <c r="B72" i="3"/>
  <c r="M17" i="3"/>
  <c r="G17" i="3"/>
  <c r="E72" i="3"/>
  <c r="K72" i="3"/>
  <c r="J17" i="3"/>
  <c r="K17" i="3"/>
  <c r="D17" i="3"/>
  <c r="I72" i="3"/>
  <c r="N13" i="3"/>
  <c r="I10" i="4" l="1"/>
  <c r="P130" i="2"/>
  <c r="N17" i="3"/>
  <c r="P17" i="2" s="1"/>
  <c r="P13" i="2"/>
  <c r="N72" i="3"/>
  <c r="P73" i="2" s="1"/>
  <c r="P66" i="2"/>
  <c r="M72" i="2"/>
  <c r="L72" i="2"/>
  <c r="K72" i="2"/>
  <c r="J72" i="2"/>
  <c r="I72" i="2"/>
  <c r="H72" i="2"/>
  <c r="G72" i="2"/>
  <c r="F72" i="2"/>
  <c r="E72" i="2"/>
  <c r="D72" i="2"/>
  <c r="C72" i="2"/>
  <c r="M71" i="2"/>
  <c r="L71" i="2"/>
  <c r="K71" i="2"/>
  <c r="J71" i="2"/>
  <c r="I71" i="2"/>
  <c r="H71" i="2"/>
  <c r="G71" i="2"/>
  <c r="F71" i="2"/>
  <c r="E71" i="2"/>
  <c r="D71" i="2"/>
  <c r="C71" i="2"/>
  <c r="B72" i="2"/>
  <c r="B71" i="2"/>
  <c r="N159" i="2" l="1"/>
  <c r="I158" i="2"/>
  <c r="H158" i="2"/>
  <c r="G158" i="2"/>
  <c r="F158" i="2"/>
  <c r="E158" i="2"/>
  <c r="D158" i="2"/>
  <c r="C158" i="2"/>
  <c r="B158" i="2"/>
  <c r="N157" i="2"/>
  <c r="I156" i="2"/>
  <c r="H156" i="2"/>
  <c r="G156" i="2"/>
  <c r="F156" i="2"/>
  <c r="E156" i="2"/>
  <c r="D156" i="2"/>
  <c r="C156" i="2"/>
  <c r="B156" i="2"/>
  <c r="F9" i="4" l="1"/>
  <c r="L9" i="4" s="1"/>
  <c r="D9" i="4"/>
  <c r="E161" i="2"/>
  <c r="E160" i="2"/>
  <c r="F161" i="2"/>
  <c r="F160" i="2"/>
  <c r="G160" i="2"/>
  <c r="G161" i="2"/>
  <c r="H160" i="2"/>
  <c r="H161" i="2"/>
  <c r="I161" i="2"/>
  <c r="I160" i="2"/>
  <c r="B161" i="2"/>
  <c r="B160" i="2"/>
  <c r="D161" i="2"/>
  <c r="D160" i="2"/>
  <c r="N156" i="2"/>
  <c r="C161" i="2"/>
  <c r="C160" i="2"/>
  <c r="N158" i="2"/>
  <c r="Q158" i="2" s="1"/>
  <c r="N142" i="2"/>
  <c r="Q142" i="2" s="1"/>
  <c r="C146" i="2"/>
  <c r="N141" i="2"/>
  <c r="G147" i="2"/>
  <c r="E147" i="2"/>
  <c r="F10" i="4" l="1"/>
  <c r="F11" i="4" s="1"/>
  <c r="J9" i="4"/>
  <c r="N161" i="2"/>
  <c r="Q156" i="2"/>
  <c r="K9" i="4"/>
  <c r="N160" i="2"/>
  <c r="B146" i="2"/>
  <c r="F146" i="2"/>
  <c r="H146" i="2"/>
  <c r="J146" i="2"/>
  <c r="I146" i="2"/>
  <c r="D146" i="2"/>
  <c r="M146" i="2"/>
  <c r="K146" i="2"/>
  <c r="L146" i="2"/>
  <c r="E146" i="2"/>
  <c r="D147" i="2"/>
  <c r="H147" i="2"/>
  <c r="L147" i="2"/>
  <c r="G146" i="2"/>
  <c r="I147" i="2"/>
  <c r="J147" i="2"/>
  <c r="C147" i="2"/>
  <c r="K147" i="2"/>
  <c r="M147" i="2"/>
  <c r="F147" i="2"/>
  <c r="L10" i="4" l="1"/>
  <c r="N72" i="2"/>
  <c r="N71" i="2"/>
  <c r="M70" i="2"/>
  <c r="L70" i="2"/>
  <c r="K70" i="2"/>
  <c r="J70" i="2"/>
  <c r="I70" i="2"/>
  <c r="H70" i="2"/>
  <c r="G70" i="2"/>
  <c r="F70" i="2"/>
  <c r="E70" i="2"/>
  <c r="D70" i="2"/>
  <c r="C70" i="2"/>
  <c r="B70" i="2"/>
  <c r="N63" i="2"/>
  <c r="N70" i="2" l="1"/>
  <c r="N131" i="2" l="1"/>
  <c r="N128" i="2"/>
  <c r="N126" i="2"/>
  <c r="N125" i="2" l="1"/>
  <c r="Q125" i="2" s="1"/>
  <c r="N107" i="2"/>
  <c r="N106" i="2"/>
  <c r="N105" i="2"/>
  <c r="N103" i="2"/>
  <c r="N102" i="2"/>
  <c r="N104" i="2" l="1"/>
  <c r="Q104" i="2" s="1"/>
  <c r="N129" i="2"/>
  <c r="N130" i="2"/>
  <c r="N100" i="2"/>
  <c r="Q100" i="2" s="1"/>
  <c r="N62" i="2"/>
  <c r="N61" i="2"/>
  <c r="N59" i="2"/>
  <c r="N58" i="2"/>
  <c r="N57" i="2"/>
  <c r="M56" i="2"/>
  <c r="M65" i="2" s="1"/>
  <c r="L56" i="2"/>
  <c r="K56" i="2"/>
  <c r="J56" i="2"/>
  <c r="I56" i="2"/>
  <c r="H56" i="2"/>
  <c r="G56" i="2"/>
  <c r="F56" i="2"/>
  <c r="E56" i="2"/>
  <c r="D56" i="2"/>
  <c r="C56" i="2"/>
  <c r="B56" i="2"/>
  <c r="N15" i="2"/>
  <c r="N14" i="2"/>
  <c r="N7" i="2"/>
  <c r="N6" i="2"/>
  <c r="M5" i="2"/>
  <c r="L5" i="2"/>
  <c r="K5" i="2"/>
  <c r="J5" i="2"/>
  <c r="I5" i="2"/>
  <c r="H5" i="2"/>
  <c r="G5" i="2"/>
  <c r="F5" i="2"/>
  <c r="E5" i="2"/>
  <c r="D5" i="2"/>
  <c r="C5" i="2"/>
  <c r="B5" i="2"/>
  <c r="D5" i="4" l="1"/>
  <c r="K5" i="4" s="1"/>
  <c r="D4" i="4"/>
  <c r="N108" i="2"/>
  <c r="N109" i="2"/>
  <c r="B65" i="2"/>
  <c r="N56" i="2"/>
  <c r="Q56" i="2" s="1"/>
  <c r="C65" i="2"/>
  <c r="K65" i="2"/>
  <c r="H65" i="2"/>
  <c r="D65" i="2"/>
  <c r="L65" i="2"/>
  <c r="D66" i="2"/>
  <c r="C66" i="2"/>
  <c r="K66" i="2"/>
  <c r="J65" i="2"/>
  <c r="E65" i="2"/>
  <c r="I65" i="2"/>
  <c r="I66" i="2"/>
  <c r="F65" i="2"/>
  <c r="E66" i="2"/>
  <c r="G65" i="2"/>
  <c r="F66" i="2"/>
  <c r="G66" i="2"/>
  <c r="K17" i="2"/>
  <c r="H66" i="2"/>
  <c r="L66" i="2"/>
  <c r="M66" i="2"/>
  <c r="J66" i="2"/>
  <c r="B66" i="2"/>
  <c r="E12" i="2"/>
  <c r="M12" i="2"/>
  <c r="I17" i="2"/>
  <c r="J12" i="2"/>
  <c r="L17" i="2"/>
  <c r="J17" i="2"/>
  <c r="I12" i="2"/>
  <c r="F17" i="2"/>
  <c r="B17" i="2"/>
  <c r="C17" i="2"/>
  <c r="M17" i="2"/>
  <c r="D17" i="2"/>
  <c r="D12" i="2"/>
  <c r="L12" i="2"/>
  <c r="N13" i="2"/>
  <c r="G12" i="2"/>
  <c r="H12" i="2"/>
  <c r="B12" i="2"/>
  <c r="E17" i="2"/>
  <c r="G17" i="2"/>
  <c r="H17" i="2"/>
  <c r="C12" i="2"/>
  <c r="K12" i="2"/>
  <c r="F12" i="2"/>
  <c r="N5" i="2"/>
  <c r="Q5" i="2" s="1"/>
  <c r="J5" i="4" l="1"/>
  <c r="D10" i="4"/>
  <c r="J10" i="4" s="1"/>
  <c r="K4" i="4"/>
  <c r="J4" i="4"/>
  <c r="H5" i="4"/>
  <c r="H10" i="4" s="1"/>
  <c r="H11" i="4" s="1"/>
  <c r="L73" i="2"/>
  <c r="I73" i="2"/>
  <c r="H73" i="2"/>
  <c r="B73" i="2"/>
  <c r="G73" i="2"/>
  <c r="F73" i="2"/>
  <c r="K73" i="2"/>
  <c r="J73" i="2"/>
  <c r="E73" i="2"/>
  <c r="C73" i="2"/>
  <c r="M73" i="2"/>
  <c r="D73" i="2"/>
  <c r="N65" i="2"/>
  <c r="N66" i="2"/>
  <c r="N17" i="2"/>
  <c r="N12" i="2"/>
  <c r="N146" i="2"/>
  <c r="N147" i="2"/>
  <c r="K10" i="4" l="1"/>
  <c r="N7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A08F4CCB-19A0-4CDE-A936-853B8711DECC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F1968AB2-A534-4FAB-9BE5-22852BD76CCE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3BEDADDB-4D88-4A44-8E63-8C20CAD0F5C9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31DEB31C-2BBA-452C-B3C3-33FF060525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1B8F1832-A724-45B9-BE51-8C0FFA161D92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sharedStrings.xml><?xml version="1.0" encoding="utf-8"?>
<sst xmlns="http://schemas.openxmlformats.org/spreadsheetml/2006/main" count="562" uniqueCount="97">
  <si>
    <t>IMM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</si>
  <si>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</si>
  <si>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</si>
  <si>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</si>
  <si>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</si>
  <si>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</si>
  <si>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</si>
  <si>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</si>
  <si>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</si>
  <si>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</si>
  <si>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</si>
  <si>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</si>
  <si>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</si>
  <si>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</si>
  <si>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OB Removal (KBcm)</t>
  </si>
  <si>
    <t>PAMA (WB)</t>
  </si>
  <si>
    <t>PAMA (EB)</t>
  </si>
  <si>
    <t>ROM Production (Kton)</t>
  </si>
  <si>
    <t>SR ROM Total</t>
  </si>
  <si>
    <t>FC Product (Kton)</t>
  </si>
  <si>
    <t>SR FC Total</t>
  </si>
  <si>
    <t>IMM-WB.HCV.LS</t>
  </si>
  <si>
    <t>TS</t>
  </si>
  <si>
    <t>Ash</t>
  </si>
  <si>
    <t>Moist</t>
  </si>
  <si>
    <t>TM</t>
  </si>
  <si>
    <t>IMM-WB.HCV.HS</t>
  </si>
  <si>
    <t>IMM-EB.MCV.LS</t>
  </si>
  <si>
    <t>IMM-EB.MCV.MS</t>
  </si>
  <si>
    <t>IMM-EB.MCV.HS</t>
  </si>
  <si>
    <t>TRUST</t>
  </si>
  <si>
    <t>TCM</t>
  </si>
  <si>
    <t>SR ROM with void</t>
  </si>
  <si>
    <t>FC Product CP (Kton)</t>
  </si>
  <si>
    <t>SR FC</t>
  </si>
  <si>
    <t xml:space="preserve">TCM.HCV.LS </t>
  </si>
  <si>
    <t>Sul &lt; 0.7</t>
  </si>
  <si>
    <t>ASH &lt; 5.0</t>
  </si>
  <si>
    <t>IM</t>
  </si>
  <si>
    <t xml:space="preserve">TCM.HCV.HS </t>
  </si>
  <si>
    <t>Sul &lt; 2.0</t>
  </si>
  <si>
    <t>TCM.HCV.MS</t>
  </si>
  <si>
    <t>Sul  &lt; 1.2</t>
  </si>
  <si>
    <t>SR ROM</t>
  </si>
  <si>
    <t>JBG</t>
  </si>
  <si>
    <t>SNS</t>
  </si>
  <si>
    <t>JBG Coal Loading</t>
  </si>
  <si>
    <t>FC Production (Ktons)</t>
  </si>
  <si>
    <t>BEK</t>
  </si>
  <si>
    <t>FC Product (KTons)</t>
  </si>
  <si>
    <t>BEK.MCV.LS</t>
  </si>
  <si>
    <t>BEK.MCV.MS</t>
  </si>
  <si>
    <t>JBG FC Product (Kton) / JBG</t>
  </si>
  <si>
    <t>TIS</t>
  </si>
  <si>
    <t>GPK</t>
  </si>
  <si>
    <t xml:space="preserve">EBH.HCV.LS </t>
  </si>
  <si>
    <t xml:space="preserve">MBL.MCV.MS </t>
  </si>
  <si>
    <t>PJPN</t>
  </si>
  <si>
    <t>MAP</t>
  </si>
  <si>
    <t>PAMA</t>
  </si>
  <si>
    <t>FC Product 3rd party (Kton)</t>
  </si>
  <si>
    <t>Contractor</t>
  </si>
  <si>
    <t>CV(GAR)</t>
  </si>
  <si>
    <t>Done</t>
  </si>
  <si>
    <t>Out.</t>
  </si>
  <si>
    <t>ITM plan year 2024</t>
  </si>
  <si>
    <t>TCM.LCV.MS.HA</t>
  </si>
  <si>
    <t>Contractor Pit UCE ext</t>
  </si>
  <si>
    <t>Sul  &lt; 1</t>
  </si>
  <si>
    <t>ASH</t>
  </si>
  <si>
    <t>Fine Coal</t>
  </si>
  <si>
    <t>Pit UCE-Extend</t>
  </si>
  <si>
    <t>Fine Coal (WB)</t>
  </si>
  <si>
    <t>BEK.HCV.MS</t>
  </si>
  <si>
    <t>Temporary ROM Stock</t>
  </si>
  <si>
    <t>ARKA</t>
  </si>
  <si>
    <t>SLS</t>
  </si>
  <si>
    <t>TIS.HCV.HS</t>
  </si>
  <si>
    <t>Other Contractor</t>
  </si>
  <si>
    <t>SITES</t>
  </si>
  <si>
    <t>OB</t>
  </si>
  <si>
    <t>Budget</t>
  </si>
  <si>
    <t>Actual</t>
  </si>
  <si>
    <t>ROM</t>
  </si>
  <si>
    <t>Diff. (Act.%)</t>
  </si>
  <si>
    <t>TOTAL</t>
  </si>
  <si>
    <t>FC</t>
  </si>
  <si>
    <t>SR (OB/ROM)</t>
  </si>
  <si>
    <t>ITM outlook 2025 (0+12)</t>
  </si>
  <si>
    <t>Budget 2025</t>
  </si>
  <si>
    <t>As of 18 Nov'24</t>
  </si>
  <si>
    <t>NPR</t>
  </si>
  <si>
    <t>CV(GAD)</t>
  </si>
  <si>
    <t>MCV.HS</t>
  </si>
  <si>
    <t>HCV.LS</t>
  </si>
  <si>
    <t>MCV.LS</t>
  </si>
  <si>
    <t>HCV.MS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</si>
</sst>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4" fillId="0" borderId="0"/>
    <xf numFmtId="9" fontId="4" fillId="0" borderId="0" applyFont="0" applyFill="0" applyBorder="0" applyAlignment="0" applyProtection="0"/>
    <xf numFmtId="164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4">
    <xf numFmtId="0" fontId="0" fillId="0" borderId="0" xfId="0"/>
    <xf numFmtId="0" fontId="0" fillId="3" borderId="0" xfId="0" applyFill="1"/>
    <xf numFmtId="0" fontId="3" fillId="3" borderId="0" xfId="0" applyFont="1" applyFill="1"/>
    <xf numFmtId="0" fontId="5" fillId="3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43" fontId="0" fillId="3" borderId="1" xfId="1" applyFont="1" applyFill="1" applyBorder="1"/>
    <xf numFmtId="165" fontId="0" fillId="3" borderId="1" xfId="1" applyNumberFormat="1" applyFont="1" applyFill="1" applyBorder="1"/>
    <xf numFmtId="0" fontId="3" fillId="2" borderId="1" xfId="0" applyFont="1" applyFill="1" applyBorder="1"/>
    <xf numFmtId="165" fontId="3" fillId="2" borderId="1" xfId="1" applyNumberFormat="1" applyFont="1" applyFill="1" applyBorder="1"/>
    <xf numFmtId="43" fontId="3" fillId="2" borderId="1" xfId="1" applyFont="1" applyFill="1" applyBorder="1"/>
    <xf numFmtId="165" fontId="0" fillId="3" borderId="0" xfId="0" applyNumberFormat="1" applyFill="1"/>
    <xf numFmtId="43" fontId="0" fillId="3" borderId="0" xfId="0" applyNumberFormat="1" applyFill="1"/>
    <xf numFmtId="165" fontId="0" fillId="0" borderId="1" xfId="1" applyNumberFormat="1" applyFont="1" applyFill="1" applyBorder="1"/>
    <xf numFmtId="43" fontId="0" fillId="0" borderId="1" xfId="1" applyFont="1" applyFill="1" applyBorder="1"/>
    <xf numFmtId="0" fontId="8" fillId="0" borderId="1" xfId="0" applyFont="1" applyBorder="1" applyAlignment="1">
      <alignment horizontal="center" vertical="center"/>
    </xf>
    <xf numFmtId="9" fontId="0" fillId="0" borderId="0" xfId="7" applyFont="1"/>
    <xf numFmtId="165" fontId="0" fillId="0" borderId="1" xfId="1" applyNumberFormat="1" applyFont="1" applyBorder="1" applyAlignment="1">
      <alignment horizontal="left"/>
    </xf>
    <xf numFmtId="165" fontId="0" fillId="0" borderId="1" xfId="1" applyNumberFormat="1" applyFont="1" applyBorder="1"/>
    <xf numFmtId="43" fontId="0" fillId="0" borderId="1" xfId="1" applyFont="1" applyBorder="1"/>
    <xf numFmtId="9" fontId="0" fillId="0" borderId="1" xfId="7" applyFont="1" applyBorder="1"/>
    <xf numFmtId="0" fontId="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0" fillId="6" borderId="1" xfId="0" applyNumberFormat="1" applyFill="1" applyBorder="1"/>
    <xf numFmtId="43" fontId="0" fillId="6" borderId="1" xfId="1" applyFont="1" applyFill="1" applyBorder="1"/>
    <xf numFmtId="9" fontId="0" fillId="6" borderId="1" xfId="7" applyFont="1" applyFill="1" applyBorder="1"/>
    <xf numFmtId="2" fontId="0" fillId="3" borderId="0" xfId="0" applyNumberFormat="1" applyFill="1"/>
    <xf numFmtId="9" fontId="3" fillId="3" borderId="0" xfId="7" applyFont="1" applyFill="1"/>
    <xf numFmtId="0" fontId="3" fillId="7" borderId="1" xfId="0" applyFont="1" applyFill="1" applyBorder="1"/>
    <xf numFmtId="165" fontId="3" fillId="7" borderId="1" xfId="1" applyNumberFormat="1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3" fillId="7" borderId="0" xfId="0" applyFont="1" applyFill="1"/>
  </cellXfs>
  <cellStyles count="9">
    <cellStyle name="Comma" xfId="1" builtinId="3"/>
    <cellStyle name="Comma 4 3" xfId="5" xr:uid="{00000000-0005-0000-0000-000001000000}"/>
    <cellStyle name="Normal" xfId="0" builtinId="0"/>
    <cellStyle name="Normal 2 2" xfId="2" xr:uid="{00000000-0005-0000-0000-000003000000}"/>
    <cellStyle name="Normal 3" xfId="4" xr:uid="{00000000-0005-0000-0000-000004000000}"/>
    <cellStyle name="Normal 5" xfId="8" xr:uid="{B3D36331-AB3B-4E6D-8495-D2CA8331041D}"/>
    <cellStyle name="Percent" xfId="7" builtinId="5"/>
    <cellStyle name="Percent 10" xfId="3" xr:uid="{00000000-0005-0000-0000-000005000000}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rate"/>
      <sheetName val="summary"/>
      <sheetName val="OVERBURDEN"/>
      <sheetName val="SUBKON"/>
      <sheetName val="MAINTENANCE"/>
      <sheetName val="Housekeeping"/>
      <sheetName val="Summ PRM"/>
      <sheetName val="Run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PS"/>
      <sheetName val="Plant"/>
      <sheetName val="EWH-UA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MTD OB Forecasting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DRILL&amp;BLAST"/>
      <sheetName val="DOZING"/>
      <sheetName val="PLAN CC"/>
      <sheetName val="PLAN CM"/>
      <sheetName val="PLAN OB"/>
      <sheetName val="COA"/>
      <sheetName val="Formula"/>
      <sheetName val="CA110_sep10"/>
      <sheetName val="Cost from Acc"/>
      <sheetName val="SUPPORT"/>
      <sheetName val="DOZER"/>
      <sheetName val="EXCA"/>
      <sheetName val="HAULER"/>
      <sheetName val="Update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4">
          <cell r="A4">
            <v>1</v>
          </cell>
        </row>
      </sheetData>
      <sheetData sheetId="49">
        <row r="4">
          <cell r="A4">
            <v>1</v>
          </cell>
        </row>
      </sheetData>
      <sheetData sheetId="50">
        <row r="4">
          <cell r="A4">
            <v>1</v>
          </cell>
        </row>
      </sheetData>
      <sheetData sheetId="51">
        <row r="4">
          <cell r="A4">
            <v>1</v>
          </cell>
        </row>
      </sheetData>
      <sheetData sheetId="52">
        <row r="4">
          <cell r="A4">
            <v>1</v>
          </cell>
        </row>
      </sheetData>
      <sheetData sheetId="53">
        <row r="4">
          <cell r="A4">
            <v>1</v>
          </cell>
        </row>
      </sheetData>
      <sheetData sheetId="54">
        <row r="4">
          <cell r="A4">
            <v>1</v>
          </cell>
        </row>
      </sheetData>
      <sheetData sheetId="55">
        <row r="4">
          <cell r="A4">
            <v>1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E"/>
      <sheetName val="DB Dept"/>
      <sheetName val="HAUL C1,C2,C3"/>
      <sheetName val="OB PLAN"/>
      <sheetName val="Database"/>
      <sheetName val="COAL ACT"/>
      <sheetName val="WASH PLANT"/>
      <sheetName val="DIRTY COAL ACT"/>
      <sheetName val="JAM2AN"/>
      <sheetName val="SUM"/>
      <sheetName val="Run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>
            <v>0</v>
          </cell>
        </row>
        <row r="153">
          <cell r="AN153">
            <v>0</v>
          </cell>
        </row>
        <row r="154">
          <cell r="AN154">
            <v>0</v>
          </cell>
        </row>
        <row r="155">
          <cell r="AN155">
            <v>0</v>
          </cell>
        </row>
        <row r="156">
          <cell r="AN156">
            <v>0</v>
          </cell>
        </row>
        <row r="157">
          <cell r="AN157">
            <v>0</v>
          </cell>
        </row>
        <row r="158">
          <cell r="AN158">
            <v>0</v>
          </cell>
        </row>
        <row r="159">
          <cell r="AN159">
            <v>0</v>
          </cell>
        </row>
        <row r="160">
          <cell r="AN160">
            <v>0</v>
          </cell>
        </row>
        <row r="161">
          <cell r="AN161">
            <v>0</v>
          </cell>
        </row>
        <row r="162">
          <cell r="AN162">
            <v>0</v>
          </cell>
        </row>
        <row r="163">
          <cell r="AN163">
            <v>0</v>
          </cell>
        </row>
        <row r="164">
          <cell r="AN164">
            <v>0</v>
          </cell>
        </row>
        <row r="165">
          <cell r="AN165">
            <v>0</v>
          </cell>
        </row>
        <row r="166">
          <cell r="AN166">
            <v>0</v>
          </cell>
        </row>
        <row r="167">
          <cell r="AN167">
            <v>0</v>
          </cell>
        </row>
        <row r="168">
          <cell r="AN168">
            <v>0</v>
          </cell>
        </row>
        <row r="169">
          <cell r="AN169">
            <v>0</v>
          </cell>
        </row>
        <row r="170">
          <cell r="AN170">
            <v>0</v>
          </cell>
        </row>
        <row r="171">
          <cell r="AN171">
            <v>0</v>
          </cell>
        </row>
        <row r="172">
          <cell r="AN172">
            <v>0</v>
          </cell>
        </row>
        <row r="173">
          <cell r="AN173">
            <v>0</v>
          </cell>
        </row>
        <row r="174">
          <cell r="AN174">
            <v>0</v>
          </cell>
        </row>
        <row r="175">
          <cell r="AN175">
            <v>0</v>
          </cell>
        </row>
        <row r="176">
          <cell r="AN176">
            <v>0</v>
          </cell>
        </row>
        <row r="177">
          <cell r="AN177">
            <v>0</v>
          </cell>
        </row>
        <row r="178">
          <cell r="AN178">
            <v>0</v>
          </cell>
        </row>
        <row r="179">
          <cell r="AN179">
            <v>0</v>
          </cell>
        </row>
        <row r="180">
          <cell r="AN180">
            <v>0</v>
          </cell>
        </row>
        <row r="181">
          <cell r="AN181">
            <v>0</v>
          </cell>
        </row>
        <row r="182">
          <cell r="AN182">
            <v>0</v>
          </cell>
        </row>
        <row r="183">
          <cell r="AN183">
            <v>0</v>
          </cell>
        </row>
        <row r="184">
          <cell r="AN184">
            <v>0</v>
          </cell>
        </row>
        <row r="185">
          <cell r="AN185">
            <v>0</v>
          </cell>
        </row>
        <row r="186">
          <cell r="AN186">
            <v>0</v>
          </cell>
        </row>
        <row r="187">
          <cell r="AN187">
            <v>0</v>
          </cell>
        </row>
        <row r="188">
          <cell r="AN188">
            <v>0</v>
          </cell>
        </row>
        <row r="189">
          <cell r="AN189">
            <v>0</v>
          </cell>
        </row>
        <row r="190">
          <cell r="AN190">
            <v>0</v>
          </cell>
        </row>
        <row r="191">
          <cell r="AN191">
            <v>0</v>
          </cell>
        </row>
        <row r="192">
          <cell r="AN192">
            <v>0</v>
          </cell>
        </row>
        <row r="193">
          <cell r="AN193">
            <v>0</v>
          </cell>
        </row>
        <row r="194">
          <cell r="AN194">
            <v>0</v>
          </cell>
        </row>
        <row r="195">
          <cell r="AN195">
            <v>0</v>
          </cell>
        </row>
        <row r="196">
          <cell r="AN196">
            <v>0</v>
          </cell>
        </row>
        <row r="197">
          <cell r="AN197">
            <v>0</v>
          </cell>
        </row>
        <row r="198">
          <cell r="AN198">
            <v>0</v>
          </cell>
        </row>
        <row r="199">
          <cell r="AN199">
            <v>0</v>
          </cell>
        </row>
        <row r="200">
          <cell r="AN200">
            <v>0</v>
          </cell>
        </row>
        <row r="201">
          <cell r="AN201">
            <v>0</v>
          </cell>
        </row>
        <row r="202">
          <cell r="AN202">
            <v>0</v>
          </cell>
        </row>
        <row r="203">
          <cell r="AN203">
            <v>0</v>
          </cell>
        </row>
        <row r="204">
          <cell r="AN204">
            <v>0</v>
          </cell>
        </row>
        <row r="205">
          <cell r="AN205">
            <v>0</v>
          </cell>
        </row>
        <row r="206">
          <cell r="AN206">
            <v>0</v>
          </cell>
        </row>
        <row r="207">
          <cell r="AN207">
            <v>0</v>
          </cell>
        </row>
        <row r="208">
          <cell r="AN208">
            <v>0</v>
          </cell>
        </row>
        <row r="209">
          <cell r="AN209">
            <v>0</v>
          </cell>
        </row>
        <row r="210">
          <cell r="AN210">
            <v>0</v>
          </cell>
        </row>
        <row r="211">
          <cell r="AN211">
            <v>0</v>
          </cell>
        </row>
        <row r="212">
          <cell r="AN212">
            <v>0</v>
          </cell>
        </row>
        <row r="213">
          <cell r="AN213">
            <v>0</v>
          </cell>
        </row>
        <row r="214">
          <cell r="AN214">
            <v>0</v>
          </cell>
        </row>
        <row r="215">
          <cell r="AN215">
            <v>0</v>
          </cell>
        </row>
        <row r="216">
          <cell r="AN216">
            <v>0</v>
          </cell>
        </row>
        <row r="217">
          <cell r="AN217">
            <v>0</v>
          </cell>
        </row>
        <row r="218">
          <cell r="AN218">
            <v>0</v>
          </cell>
        </row>
        <row r="219">
          <cell r="AN219">
            <v>0</v>
          </cell>
        </row>
        <row r="220">
          <cell r="AN220">
            <v>0</v>
          </cell>
        </row>
        <row r="221">
          <cell r="AN221">
            <v>0</v>
          </cell>
        </row>
        <row r="222">
          <cell r="AN222">
            <v>0</v>
          </cell>
        </row>
        <row r="223">
          <cell r="AN223">
            <v>0</v>
          </cell>
        </row>
        <row r="224">
          <cell r="AN224">
            <v>0</v>
          </cell>
        </row>
        <row r="225">
          <cell r="AN225">
            <v>0</v>
          </cell>
        </row>
        <row r="226">
          <cell r="AN226">
            <v>0</v>
          </cell>
        </row>
        <row r="227">
          <cell r="AN227">
            <v>0</v>
          </cell>
        </row>
        <row r="228">
          <cell r="AN228">
            <v>0</v>
          </cell>
        </row>
        <row r="229">
          <cell r="AN229">
            <v>0</v>
          </cell>
        </row>
        <row r="230">
          <cell r="AN230">
            <v>0</v>
          </cell>
        </row>
        <row r="231">
          <cell r="AN231">
            <v>0</v>
          </cell>
        </row>
        <row r="232">
          <cell r="AN232">
            <v>0</v>
          </cell>
        </row>
        <row r="233">
          <cell r="AN233">
            <v>0</v>
          </cell>
        </row>
        <row r="234">
          <cell r="AN234">
            <v>0</v>
          </cell>
        </row>
        <row r="235">
          <cell r="AN235">
            <v>0</v>
          </cell>
        </row>
        <row r="236">
          <cell r="AN236">
            <v>0</v>
          </cell>
        </row>
        <row r="237">
          <cell r="AN237">
            <v>0</v>
          </cell>
        </row>
        <row r="238">
          <cell r="AN238">
            <v>0</v>
          </cell>
        </row>
        <row r="239">
          <cell r="AN239">
            <v>0</v>
          </cell>
        </row>
        <row r="240">
          <cell r="AN240">
            <v>0</v>
          </cell>
        </row>
        <row r="241">
          <cell r="AN241">
            <v>0</v>
          </cell>
        </row>
        <row r="242">
          <cell r="AN242">
            <v>0</v>
          </cell>
        </row>
        <row r="243">
          <cell r="AN243">
            <v>0</v>
          </cell>
        </row>
        <row r="244">
          <cell r="AN244">
            <v>0</v>
          </cell>
        </row>
        <row r="245">
          <cell r="AN245">
            <v>0</v>
          </cell>
        </row>
        <row r="246">
          <cell r="AN246">
            <v>0</v>
          </cell>
        </row>
        <row r="247">
          <cell r="AN247">
            <v>0</v>
          </cell>
        </row>
        <row r="248">
          <cell r="AN248">
            <v>0</v>
          </cell>
        </row>
        <row r="249">
          <cell r="AN249">
            <v>0</v>
          </cell>
        </row>
        <row r="250">
          <cell r="AN250">
            <v>0</v>
          </cell>
        </row>
        <row r="251">
          <cell r="AN251">
            <v>0</v>
          </cell>
        </row>
        <row r="252">
          <cell r="AN252">
            <v>0</v>
          </cell>
        </row>
        <row r="253">
          <cell r="AN253">
            <v>0</v>
          </cell>
        </row>
        <row r="254">
          <cell r="AN254">
            <v>0</v>
          </cell>
        </row>
        <row r="255">
          <cell r="AN255">
            <v>0</v>
          </cell>
        </row>
        <row r="256">
          <cell r="AN256">
            <v>0</v>
          </cell>
        </row>
        <row r="257">
          <cell r="AN257">
            <v>0</v>
          </cell>
        </row>
        <row r="258">
          <cell r="AN258">
            <v>0</v>
          </cell>
        </row>
        <row r="259">
          <cell r="AN259">
            <v>0</v>
          </cell>
        </row>
        <row r="260">
          <cell r="AN260">
            <v>0</v>
          </cell>
        </row>
        <row r="261">
          <cell r="AN261">
            <v>0</v>
          </cell>
        </row>
        <row r="262">
          <cell r="AN262">
            <v>0</v>
          </cell>
        </row>
        <row r="263">
          <cell r="AN263">
            <v>0</v>
          </cell>
        </row>
        <row r="264">
          <cell r="AN264">
            <v>0</v>
          </cell>
        </row>
        <row r="265">
          <cell r="AN265">
            <v>0</v>
          </cell>
        </row>
        <row r="266">
          <cell r="AN266">
            <v>0</v>
          </cell>
        </row>
        <row r="267">
          <cell r="AN267">
            <v>0</v>
          </cell>
        </row>
        <row r="268">
          <cell r="AN268">
            <v>0</v>
          </cell>
        </row>
        <row r="269">
          <cell r="AN269">
            <v>0</v>
          </cell>
        </row>
        <row r="270">
          <cell r="AN270">
            <v>0</v>
          </cell>
        </row>
        <row r="271">
          <cell r="AN271">
            <v>0</v>
          </cell>
        </row>
        <row r="272">
          <cell r="AN272">
            <v>0</v>
          </cell>
        </row>
        <row r="273">
          <cell r="AN273">
            <v>0</v>
          </cell>
        </row>
        <row r="274">
          <cell r="AN274">
            <v>0</v>
          </cell>
        </row>
        <row r="275">
          <cell r="AN275">
            <v>0</v>
          </cell>
        </row>
        <row r="276">
          <cell r="AN276">
            <v>0</v>
          </cell>
        </row>
        <row r="277">
          <cell r="AN277">
            <v>0</v>
          </cell>
        </row>
        <row r="278">
          <cell r="AN278">
            <v>0</v>
          </cell>
        </row>
        <row r="279">
          <cell r="AN279">
            <v>0</v>
          </cell>
        </row>
        <row r="280">
          <cell r="AN280">
            <v>0</v>
          </cell>
        </row>
        <row r="281">
          <cell r="AN281">
            <v>0</v>
          </cell>
        </row>
        <row r="282">
          <cell r="AN282">
            <v>0</v>
          </cell>
        </row>
        <row r="283">
          <cell r="AN283">
            <v>0</v>
          </cell>
        </row>
        <row r="284">
          <cell r="AN284">
            <v>0</v>
          </cell>
        </row>
        <row r="285">
          <cell r="AN285">
            <v>0</v>
          </cell>
        </row>
        <row r="286">
          <cell r="AN286">
            <v>0</v>
          </cell>
        </row>
        <row r="287">
          <cell r="AN287">
            <v>0</v>
          </cell>
        </row>
        <row r="289">
          <cell r="AN289">
            <v>0</v>
          </cell>
        </row>
        <row r="290">
          <cell r="AN290">
            <v>0</v>
          </cell>
        </row>
        <row r="291">
          <cell r="AN291">
            <v>0</v>
          </cell>
        </row>
        <row r="292">
          <cell r="AN292">
            <v>0</v>
          </cell>
        </row>
        <row r="293">
          <cell r="AN293">
            <v>0</v>
          </cell>
        </row>
        <row r="294">
          <cell r="AN294">
            <v>0</v>
          </cell>
        </row>
        <row r="295">
          <cell r="AN295">
            <v>0</v>
          </cell>
        </row>
        <row r="296">
          <cell r="AN296">
            <v>0</v>
          </cell>
        </row>
        <row r="297">
          <cell r="AN297">
            <v>0</v>
          </cell>
        </row>
        <row r="298">
          <cell r="AN298">
            <v>0</v>
          </cell>
        </row>
        <row r="299">
          <cell r="AN299">
            <v>0</v>
          </cell>
        </row>
        <row r="300">
          <cell r="AN300">
            <v>0</v>
          </cell>
        </row>
        <row r="301">
          <cell r="AN301">
            <v>0</v>
          </cell>
        </row>
        <row r="302">
          <cell r="AN302">
            <v>0</v>
          </cell>
        </row>
        <row r="303">
          <cell r="AN303">
            <v>0</v>
          </cell>
        </row>
        <row r="304">
          <cell r="AN304">
            <v>0</v>
          </cell>
        </row>
        <row r="305">
          <cell r="AN305">
            <v>0</v>
          </cell>
        </row>
        <row r="306">
          <cell r="AN306">
            <v>0</v>
          </cell>
        </row>
        <row r="307">
          <cell r="AN307">
            <v>0</v>
          </cell>
        </row>
        <row r="308">
          <cell r="AN308">
            <v>0</v>
          </cell>
        </row>
        <row r="309">
          <cell r="AN309">
            <v>0</v>
          </cell>
        </row>
        <row r="310">
          <cell r="AN310">
            <v>0</v>
          </cell>
        </row>
        <row r="311">
          <cell r="AN311">
            <v>0</v>
          </cell>
        </row>
        <row r="312">
          <cell r="AN312">
            <v>0</v>
          </cell>
        </row>
        <row r="313">
          <cell r="AN313">
            <v>0</v>
          </cell>
        </row>
        <row r="314">
          <cell r="AN314">
            <v>0</v>
          </cell>
        </row>
        <row r="315">
          <cell r="AN315">
            <v>0</v>
          </cell>
        </row>
        <row r="316">
          <cell r="AN316">
            <v>0</v>
          </cell>
        </row>
        <row r="317">
          <cell r="AN317">
            <v>0</v>
          </cell>
        </row>
        <row r="318">
          <cell r="AN318">
            <v>0</v>
          </cell>
        </row>
        <row r="319">
          <cell r="AN319">
            <v>0</v>
          </cell>
        </row>
        <row r="320">
          <cell r="AN320">
            <v>0</v>
          </cell>
        </row>
        <row r="321">
          <cell r="AN321">
            <v>0</v>
          </cell>
        </row>
        <row r="322">
          <cell r="AN322">
            <v>0</v>
          </cell>
        </row>
        <row r="323">
          <cell r="AN323">
            <v>0</v>
          </cell>
        </row>
        <row r="324">
          <cell r="AN324">
            <v>0</v>
          </cell>
        </row>
        <row r="325">
          <cell r="AN325">
            <v>0</v>
          </cell>
        </row>
        <row r="326">
          <cell r="AN326">
            <v>0</v>
          </cell>
        </row>
        <row r="327">
          <cell r="AN327">
            <v>0</v>
          </cell>
        </row>
        <row r="328">
          <cell r="AN328">
            <v>0</v>
          </cell>
        </row>
        <row r="329">
          <cell r="AN329">
            <v>0</v>
          </cell>
        </row>
        <row r="330">
          <cell r="AN330">
            <v>0</v>
          </cell>
        </row>
        <row r="331">
          <cell r="AN331">
            <v>0</v>
          </cell>
        </row>
        <row r="332">
          <cell r="AN332">
            <v>0</v>
          </cell>
        </row>
        <row r="333">
          <cell r="AN333">
            <v>0</v>
          </cell>
        </row>
        <row r="334">
          <cell r="AN334">
            <v>0</v>
          </cell>
        </row>
        <row r="335">
          <cell r="AN335">
            <v>0</v>
          </cell>
        </row>
        <row r="336">
          <cell r="AN336">
            <v>0</v>
          </cell>
        </row>
        <row r="337">
          <cell r="AN337">
            <v>0</v>
          </cell>
        </row>
        <row r="338">
          <cell r="AN338">
            <v>0</v>
          </cell>
        </row>
        <row r="339">
          <cell r="AN339">
            <v>0</v>
          </cell>
        </row>
        <row r="340">
          <cell r="AN340">
            <v>0</v>
          </cell>
        </row>
        <row r="341">
          <cell r="AN341">
            <v>0</v>
          </cell>
        </row>
        <row r="342">
          <cell r="AN342">
            <v>0</v>
          </cell>
        </row>
        <row r="343">
          <cell r="AN343">
            <v>0</v>
          </cell>
        </row>
        <row r="344">
          <cell r="AN344">
            <v>0</v>
          </cell>
        </row>
        <row r="345">
          <cell r="AN345">
            <v>0</v>
          </cell>
        </row>
        <row r="346">
          <cell r="AN346">
            <v>0</v>
          </cell>
        </row>
        <row r="347">
          <cell r="AN347">
            <v>0</v>
          </cell>
        </row>
        <row r="348">
          <cell r="AN348">
            <v>0</v>
          </cell>
        </row>
        <row r="349">
          <cell r="AN349">
            <v>0</v>
          </cell>
        </row>
        <row r="350">
          <cell r="AN350">
            <v>0</v>
          </cell>
        </row>
        <row r="351">
          <cell r="AN351">
            <v>0</v>
          </cell>
        </row>
        <row r="352">
          <cell r="AN352">
            <v>0</v>
          </cell>
        </row>
        <row r="353">
          <cell r="AN353">
            <v>0</v>
          </cell>
        </row>
        <row r="354">
          <cell r="AN354">
            <v>0</v>
          </cell>
        </row>
        <row r="355">
          <cell r="AN355">
            <v>0</v>
          </cell>
        </row>
        <row r="356">
          <cell r="AN356">
            <v>0</v>
          </cell>
        </row>
        <row r="357">
          <cell r="AN357">
            <v>0</v>
          </cell>
        </row>
        <row r="358">
          <cell r="AN358">
            <v>0</v>
          </cell>
        </row>
        <row r="359">
          <cell r="AN359">
            <v>0</v>
          </cell>
        </row>
        <row r="360">
          <cell r="AN360">
            <v>0</v>
          </cell>
        </row>
        <row r="361">
          <cell r="AN361">
            <v>0</v>
          </cell>
        </row>
        <row r="362">
          <cell r="AN362">
            <v>0</v>
          </cell>
        </row>
        <row r="363">
          <cell r="AN363">
            <v>0</v>
          </cell>
        </row>
        <row r="364">
          <cell r="AN364">
            <v>0</v>
          </cell>
        </row>
        <row r="365">
          <cell r="AN365">
            <v>0</v>
          </cell>
        </row>
        <row r="366">
          <cell r="AN366">
            <v>0</v>
          </cell>
        </row>
        <row r="367">
          <cell r="AN367">
            <v>0</v>
          </cell>
        </row>
        <row r="368">
          <cell r="AN368">
            <v>0</v>
          </cell>
        </row>
        <row r="369">
          <cell r="AN369">
            <v>0</v>
          </cell>
        </row>
        <row r="370">
          <cell r="AN370">
            <v>0</v>
          </cell>
        </row>
        <row r="371">
          <cell r="AN371">
            <v>0</v>
          </cell>
        </row>
        <row r="372">
          <cell r="AN372">
            <v>0</v>
          </cell>
        </row>
        <row r="373">
          <cell r="AN373">
            <v>0</v>
          </cell>
        </row>
        <row r="374">
          <cell r="AN374">
            <v>0</v>
          </cell>
        </row>
        <row r="375">
          <cell r="AN375">
            <v>0</v>
          </cell>
        </row>
        <row r="376">
          <cell r="AN376">
            <v>0</v>
          </cell>
        </row>
        <row r="377">
          <cell r="AN377">
            <v>0</v>
          </cell>
        </row>
        <row r="378">
          <cell r="AN378">
            <v>0</v>
          </cell>
        </row>
        <row r="379">
          <cell r="AN379">
            <v>0</v>
          </cell>
        </row>
        <row r="380">
          <cell r="AN380">
            <v>0</v>
          </cell>
        </row>
        <row r="381">
          <cell r="AN381">
            <v>0</v>
          </cell>
        </row>
        <row r="382">
          <cell r="AN382">
            <v>0</v>
          </cell>
        </row>
        <row r="383">
          <cell r="AN383">
            <v>0</v>
          </cell>
        </row>
        <row r="384">
          <cell r="AN384">
            <v>0</v>
          </cell>
        </row>
        <row r="385">
          <cell r="AN385">
            <v>0</v>
          </cell>
        </row>
        <row r="386">
          <cell r="AN386">
            <v>0</v>
          </cell>
        </row>
        <row r="387">
          <cell r="AN387">
            <v>0</v>
          </cell>
        </row>
        <row r="388">
          <cell r="AN388">
            <v>0</v>
          </cell>
        </row>
        <row r="389">
          <cell r="AN389">
            <v>0</v>
          </cell>
        </row>
        <row r="390">
          <cell r="AN390">
            <v>0</v>
          </cell>
        </row>
        <row r="391">
          <cell r="AN391">
            <v>0</v>
          </cell>
        </row>
        <row r="392">
          <cell r="AN392">
            <v>0</v>
          </cell>
        </row>
        <row r="393">
          <cell r="AN393">
            <v>0</v>
          </cell>
        </row>
        <row r="394">
          <cell r="AN394">
            <v>0</v>
          </cell>
        </row>
        <row r="395">
          <cell r="AN395">
            <v>0</v>
          </cell>
        </row>
        <row r="396">
          <cell r="AN396">
            <v>0</v>
          </cell>
        </row>
        <row r="397">
          <cell r="AN397">
            <v>0</v>
          </cell>
        </row>
        <row r="398">
          <cell r="AN398">
            <v>0</v>
          </cell>
        </row>
        <row r="399">
          <cell r="AN399">
            <v>0</v>
          </cell>
        </row>
        <row r="400">
          <cell r="AN400">
            <v>0</v>
          </cell>
        </row>
        <row r="401">
          <cell r="AN401">
            <v>0</v>
          </cell>
        </row>
        <row r="402">
          <cell r="AN402">
            <v>0</v>
          </cell>
        </row>
        <row r="403">
          <cell r="AN403">
            <v>0</v>
          </cell>
        </row>
        <row r="404">
          <cell r="AN404">
            <v>0</v>
          </cell>
        </row>
        <row r="405">
          <cell r="AN405">
            <v>0</v>
          </cell>
        </row>
        <row r="406">
          <cell r="AN406">
            <v>0</v>
          </cell>
        </row>
        <row r="407">
          <cell r="AN407">
            <v>0</v>
          </cell>
        </row>
        <row r="408">
          <cell r="AN408">
            <v>0</v>
          </cell>
        </row>
        <row r="409">
          <cell r="AN409">
            <v>0</v>
          </cell>
        </row>
        <row r="410">
          <cell r="AN410">
            <v>0</v>
          </cell>
        </row>
        <row r="411">
          <cell r="AN411">
            <v>0</v>
          </cell>
        </row>
        <row r="412">
          <cell r="AN412">
            <v>0</v>
          </cell>
        </row>
        <row r="413">
          <cell r="AN413">
            <v>0</v>
          </cell>
        </row>
        <row r="414">
          <cell r="AN414">
            <v>0</v>
          </cell>
        </row>
        <row r="415">
          <cell r="AN415">
            <v>0</v>
          </cell>
        </row>
        <row r="416">
          <cell r="AN416">
            <v>0</v>
          </cell>
        </row>
        <row r="417">
          <cell r="AN417">
            <v>0</v>
          </cell>
        </row>
        <row r="418">
          <cell r="AN418">
            <v>0</v>
          </cell>
        </row>
        <row r="419">
          <cell r="AN419">
            <v>0</v>
          </cell>
        </row>
        <row r="420">
          <cell r="AN420">
            <v>0</v>
          </cell>
        </row>
        <row r="421">
          <cell r="AN421">
            <v>0</v>
          </cell>
        </row>
        <row r="422">
          <cell r="AN422">
            <v>0</v>
          </cell>
        </row>
        <row r="423">
          <cell r="AN423">
            <v>0</v>
          </cell>
        </row>
        <row r="424">
          <cell r="AN424">
            <v>0</v>
          </cell>
        </row>
        <row r="425">
          <cell r="AN425">
            <v>0</v>
          </cell>
        </row>
        <row r="426">
          <cell r="AN426">
            <v>0</v>
          </cell>
        </row>
        <row r="427">
          <cell r="AN427">
            <v>0</v>
          </cell>
        </row>
        <row r="428">
          <cell r="AN428">
            <v>0</v>
          </cell>
        </row>
        <row r="429">
          <cell r="AN429">
            <v>0</v>
          </cell>
        </row>
        <row r="430">
          <cell r="AN430">
            <v>0</v>
          </cell>
        </row>
        <row r="431">
          <cell r="AN431">
            <v>0</v>
          </cell>
        </row>
        <row r="432">
          <cell r="AN432">
            <v>0</v>
          </cell>
        </row>
        <row r="433">
          <cell r="AN433">
            <v>0</v>
          </cell>
        </row>
        <row r="434">
          <cell r="AN434">
            <v>0</v>
          </cell>
        </row>
        <row r="435">
          <cell r="AN435">
            <v>0</v>
          </cell>
        </row>
        <row r="436">
          <cell r="AN436">
            <v>0</v>
          </cell>
        </row>
        <row r="437">
          <cell r="AN437">
            <v>0</v>
          </cell>
        </row>
        <row r="438">
          <cell r="AN438">
            <v>0</v>
          </cell>
        </row>
        <row r="439">
          <cell r="AN439">
            <v>0</v>
          </cell>
        </row>
        <row r="440">
          <cell r="AN440">
            <v>0</v>
          </cell>
        </row>
        <row r="441">
          <cell r="AN441">
            <v>0</v>
          </cell>
        </row>
        <row r="442">
          <cell r="AN442">
            <v>0</v>
          </cell>
        </row>
        <row r="443">
          <cell r="AN443">
            <v>0</v>
          </cell>
        </row>
        <row r="444">
          <cell r="AN444">
            <v>0</v>
          </cell>
        </row>
        <row r="445">
          <cell r="AN445">
            <v>0</v>
          </cell>
        </row>
        <row r="446">
          <cell r="AN446">
            <v>0</v>
          </cell>
        </row>
        <row r="447">
          <cell r="AN447">
            <v>0</v>
          </cell>
        </row>
        <row r="448">
          <cell r="AN448">
            <v>0</v>
          </cell>
        </row>
        <row r="449">
          <cell r="AN449">
            <v>0</v>
          </cell>
        </row>
        <row r="450">
          <cell r="AN450">
            <v>0</v>
          </cell>
        </row>
        <row r="451">
          <cell r="AN451">
            <v>0</v>
          </cell>
        </row>
        <row r="452">
          <cell r="AN452">
            <v>0</v>
          </cell>
        </row>
        <row r="453">
          <cell r="AN453">
            <v>0</v>
          </cell>
        </row>
        <row r="454">
          <cell r="AN454">
            <v>0</v>
          </cell>
        </row>
        <row r="455">
          <cell r="AN455">
            <v>0</v>
          </cell>
        </row>
        <row r="456">
          <cell r="AN456">
            <v>0</v>
          </cell>
        </row>
        <row r="457">
          <cell r="AN457">
            <v>0</v>
          </cell>
        </row>
        <row r="458">
          <cell r="AN458">
            <v>0</v>
          </cell>
        </row>
        <row r="459">
          <cell r="AN459">
            <v>0</v>
          </cell>
        </row>
        <row r="460">
          <cell r="AN460">
            <v>0</v>
          </cell>
        </row>
        <row r="461">
          <cell r="AN461">
            <v>0</v>
          </cell>
        </row>
        <row r="462">
          <cell r="AN462">
            <v>0</v>
          </cell>
        </row>
        <row r="463">
          <cell r="AN463">
            <v>0</v>
          </cell>
        </row>
        <row r="464">
          <cell r="AN464">
            <v>0</v>
          </cell>
        </row>
        <row r="465">
          <cell r="AN465">
            <v>0</v>
          </cell>
        </row>
        <row r="466">
          <cell r="AN466">
            <v>0</v>
          </cell>
        </row>
        <row r="467">
          <cell r="AN467">
            <v>0</v>
          </cell>
        </row>
        <row r="468">
          <cell r="AN468">
            <v>0</v>
          </cell>
        </row>
        <row r="469">
          <cell r="AN469">
            <v>0</v>
          </cell>
        </row>
        <row r="470">
          <cell r="AN470">
            <v>0</v>
          </cell>
        </row>
        <row r="471">
          <cell r="AN471">
            <v>0</v>
          </cell>
        </row>
        <row r="472">
          <cell r="AN472">
            <v>0</v>
          </cell>
        </row>
        <row r="473">
          <cell r="AN473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MTD OB Forecasting"/>
      <sheetName val="Project"/>
      <sheetName val="PLAN"/>
      <sheetName val="Rain &amp; Slippery Method"/>
      <sheetName val="Daily Plan"/>
      <sheetName val="BS final"/>
      <sheetName val="Data Base"/>
      <sheetName val="Petrosea"/>
      <sheetName val="chart D31"/>
      <sheetName val="chart-DT"/>
      <sheetName val="chart-WA 500"/>
      <sheetName val="Permanent info"/>
      <sheetName val="GeneralInfo"/>
      <sheetName val="A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>
            <v>0</v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>
            <v>0</v>
          </cell>
          <cell r="R69">
            <v>0</v>
          </cell>
          <cell r="V69">
            <v>0</v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>
            <v>0</v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>
            <v>0</v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>
            <v>0</v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  <cell r="R201">
            <v>0</v>
          </cell>
          <cell r="V201">
            <v>0</v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>
            <v>0</v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>
            <v>0</v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>
            <v>0</v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>
            <v>0</v>
          </cell>
          <cell r="V333">
            <v>0</v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>
            <v>0</v>
          </cell>
          <cell r="R366">
            <v>0</v>
          </cell>
          <cell r="V366">
            <v>0</v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>
            <v>0</v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>
            <v>0</v>
          </cell>
          <cell r="V36">
            <v>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>
            <v>0</v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>
            <v>0</v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>
            <v>0</v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>
            <v>0</v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>
            <v>0</v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>
            <v>0</v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>
            <v>0</v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>
            <v>0</v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>
            <v>0</v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>
            <v>0</v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>
            <v>0</v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>
            <v>0</v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>
            <v>0</v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>
            <v>0</v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>
            <v>0</v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>
            <v>0</v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>
            <v>0</v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>
            <v>0</v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>
            <v>0</v>
          </cell>
          <cell r="V102">
            <v>0</v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>
            <v>0</v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>
            <v>0</v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>
            <v>0</v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>
            <v>0</v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>
            <v>0</v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>
            <v>0</v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>
            <v>0</v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>
            <v>0</v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>
            <v>0</v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>
            <v>0</v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>
            <v>0</v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>
            <v>0</v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>
            <v>0</v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>
            <v>0</v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>
            <v>0</v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>
            <v>0</v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>
            <v>0</v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>
            <v>0</v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>
            <v>0</v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>
            <v>0</v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>
            <v>0</v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>
            <v>0</v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>
            <v>0</v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>
            <v>0</v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>
            <v>0</v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>
            <v>0</v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>
            <v>0</v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B3" t="str">
            <v>RP</v>
          </cell>
        </row>
        <row r="4">
          <cell r="B4" t="str">
            <v>SGD</v>
          </cell>
        </row>
        <row r="5">
          <cell r="B5" t="str">
            <v>USD</v>
          </cell>
        </row>
        <row r="6"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B3" t="str">
            <v>Banpu Public Company  Limted</v>
          </cell>
        </row>
        <row r="4">
          <cell r="B4" t="str">
            <v>Banpu Minerals Company  Limted</v>
          </cell>
        </row>
        <row r="5">
          <cell r="B5" t="str">
            <v>Promsin Company Limited</v>
          </cell>
        </row>
        <row r="6">
          <cell r="B6" t="str">
            <v>Banpu International Limted</v>
          </cell>
        </row>
      </sheetData>
      <sheetData sheetId="5" refreshError="1">
        <row r="2">
          <cell r="B2" t="str">
            <v>Description</v>
          </cell>
        </row>
        <row r="3">
          <cell r="B3" t="str">
            <v>Corporate</v>
          </cell>
        </row>
        <row r="4">
          <cell r="B4" t="str">
            <v>Coal Thailand Business</v>
          </cell>
        </row>
        <row r="5">
          <cell r="B5" t="str">
            <v>Minerals Business</v>
          </cell>
        </row>
        <row r="6">
          <cell r="B6" t="str">
            <v>Engineering Service Business</v>
          </cell>
        </row>
      </sheetData>
      <sheetData sheetId="6" refreshError="1">
        <row r="2">
          <cell r="B2" t="str">
            <v>Description</v>
          </cell>
        </row>
        <row r="3">
          <cell r="B3" t="str">
            <v>Administration</v>
          </cell>
        </row>
        <row r="4">
          <cell r="B4" t="str">
            <v>Office of CEO</v>
          </cell>
        </row>
        <row r="5">
          <cell r="B5" t="str">
            <v>Government Relations</v>
          </cell>
        </row>
        <row r="6">
          <cell r="B6" t="str">
            <v>Corporate Communications</v>
          </cell>
        </row>
      </sheetData>
      <sheetData sheetId="7" refreshError="1">
        <row r="2">
          <cell r="B2" t="str">
            <v>Description</v>
          </cell>
        </row>
        <row r="3">
          <cell r="B3" t="str">
            <v>Routine</v>
          </cell>
        </row>
        <row r="4">
          <cell r="B4" t="str">
            <v>Increase domestic coal sales valume in cement industy</v>
          </cell>
        </row>
        <row r="5">
          <cell r="B5" t="str">
            <v>Sell Coal to EGAT</v>
          </cell>
        </row>
        <row r="6">
          <cell r="B6" t="str">
            <v>Routine-Sales-Coal Thailand</v>
          </cell>
        </row>
      </sheetData>
      <sheetData sheetId="8" refreshError="1">
        <row r="2">
          <cell r="B2" t="str">
            <v>Description</v>
          </cell>
        </row>
        <row r="3">
          <cell r="B3" t="str">
            <v>Land</v>
          </cell>
        </row>
        <row r="4">
          <cell r="B4" t="str">
            <v>Land Improvement</v>
          </cell>
        </row>
        <row r="5">
          <cell r="B5" t="str">
            <v>Building</v>
          </cell>
        </row>
        <row r="6">
          <cell r="B6" t="str">
            <v>Structures</v>
          </cell>
        </row>
      </sheetData>
      <sheetData sheetId="9" refreshError="1">
        <row r="2">
          <cell r="B2" t="str">
            <v>Description</v>
          </cell>
        </row>
        <row r="3">
          <cell r="B3" t="str">
            <v>SETTING POND</v>
          </cell>
        </row>
        <row r="4">
          <cell r="B4" t="str">
            <v>CONTROLL WATER TANK</v>
          </cell>
        </row>
        <row r="5">
          <cell r="B5" t="str">
            <v>DOCUMENT ROOM</v>
          </cell>
        </row>
        <row r="6">
          <cell r="B6" t="str">
            <v>SPREADER &amp; TRIPPER CAR IN PROGRESS</v>
          </cell>
        </row>
      </sheetData>
      <sheetData sheetId="10" refreshError="1">
        <row r="2">
          <cell r="B2" t="str">
            <v>Description</v>
          </cell>
        </row>
        <row r="3">
          <cell r="B3" t="str">
            <v>Unspecified</v>
          </cell>
        </row>
        <row r="4">
          <cell r="B4" t="str">
            <v>LP-2 Project</v>
          </cell>
        </row>
        <row r="5">
          <cell r="B5" t="str">
            <v>Lampang 3 Project</v>
          </cell>
        </row>
        <row r="6">
          <cell r="B6" t="str">
            <v>LP-2 Project (Coordination)</v>
          </cell>
        </row>
      </sheetData>
      <sheetData sheetId="11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  <row r="6">
          <cell r="B6" t="str">
            <v>08</v>
          </cell>
        </row>
      </sheetData>
      <sheetData sheetId="21" refreshError="1">
        <row r="2">
          <cell r="B2" t="str">
            <v>Description</v>
          </cell>
        </row>
        <row r="4"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Non-staff Tender Rates"/>
      <sheetName val="EX2500FIX"/>
      <sheetName val="MacPro"/>
      <sheetName val="Unit"/>
      <sheetName val="G&amp;L"/>
      <sheetName val="Bonus"/>
      <sheetName val="input loading point"/>
      <sheetName val="Range"/>
      <sheetName val="Dates"/>
      <sheetName val="Movement_Bench15 (ob)"/>
      <sheetName val="Movement_Bench15 (ore)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Truck"/>
      <sheetName val="SUM"/>
      <sheetName val="database"/>
      <sheetName val="summary"/>
      <sheetName val="OPT_GL"/>
      <sheetName val="bantuan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DT ob"/>
      <sheetName val="DT coal"/>
      <sheetName val="HM"/>
      <sheetName val="OLIE"/>
      <sheetName val="II"/>
      <sheetName val="III"/>
      <sheetName val="UP-CIVIL"/>
      <sheetName val="Konversi Jarak"/>
      <sheetName val="Cash Flow"/>
      <sheetName val="F1771-IV"/>
      <sheetName val="OB_TCM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Budget"/>
      <sheetName val="SOS Summary "/>
      <sheetName val="Elec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DATA MASTER JUN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roduction HO"/>
      <sheetName val="EDS110507"/>
      <sheetName val="MA"/>
      <sheetName val="Ppls"/>
      <sheetName val="Dozing Estimation"/>
      <sheetName val="Statistik"/>
      <sheetName val="FORM"/>
      <sheetName val="Prod'n"/>
      <sheetName val="PAR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0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33">
          <cell r="F33">
            <v>0</v>
          </cell>
        </row>
      </sheetData>
      <sheetData sheetId="147">
        <row r="33">
          <cell r="F33">
            <v>0</v>
          </cell>
        </row>
      </sheetData>
      <sheetData sheetId="148">
        <row r="33">
          <cell r="F33">
            <v>0</v>
          </cell>
        </row>
      </sheetData>
      <sheetData sheetId="149">
        <row r="33">
          <cell r="F33">
            <v>0</v>
          </cell>
        </row>
      </sheetData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33">
          <cell r="F33">
            <v>0</v>
          </cell>
        </row>
      </sheetData>
      <sheetData sheetId="186">
        <row r="33">
          <cell r="F33">
            <v>0</v>
          </cell>
        </row>
      </sheetData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>
        <row r="33">
          <cell r="F33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>
        <row r="33">
          <cell r="F33">
            <v>0</v>
          </cell>
        </row>
      </sheetData>
      <sheetData sheetId="207"/>
      <sheetData sheetId="208"/>
      <sheetData sheetId="209">
        <row r="33">
          <cell r="F33">
            <v>0</v>
          </cell>
        </row>
      </sheetData>
      <sheetData sheetId="210">
        <row r="33">
          <cell r="F33">
            <v>0</v>
          </cell>
        </row>
      </sheetData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3">
          <cell r="F33">
            <v>0</v>
          </cell>
        </row>
      </sheetData>
      <sheetData sheetId="245"/>
      <sheetData sheetId="246"/>
      <sheetData sheetId="247">
        <row r="33">
          <cell r="F33">
            <v>0</v>
          </cell>
        </row>
      </sheetData>
      <sheetData sheetId="248"/>
      <sheetData sheetId="249"/>
      <sheetData sheetId="250">
        <row r="33">
          <cell r="F33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>
        <row r="33">
          <cell r="F33">
            <v>0</v>
          </cell>
        </row>
      </sheetData>
      <sheetData sheetId="263">
        <row r="33">
          <cell r="F33">
            <v>0</v>
          </cell>
        </row>
      </sheetData>
      <sheetData sheetId="264"/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/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2004"/>
      <sheetName val="cov"/>
      <sheetName val="Petrosea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212"/>
  <sheetViews>
    <sheetView zoomScale="70" zoomScaleNormal="70" workbookViewId="0">
      <pane ySplit="3" topLeftCell="A162" activePane="bottomLeft" state="frozen"/>
      <selection pane="bottomLeft" activeCell="A68" sqref="A68"/>
    </sheetView>
  </sheetViews>
  <sheetFormatPr defaultColWidth="8.90625" defaultRowHeight="14.5" x14ac:dyDescent="0.35"/>
  <cols>
    <col min="1" max="1" width="27.453125" style="1" customWidth="1"/>
    <col min="2" max="2" width="9.453125" style="1" bestFit="1" customWidth="1"/>
    <col min="3" max="13" width="9.08984375" style="1" bestFit="1" customWidth="1"/>
    <col min="14" max="14" width="13.36328125" style="1" customWidth="1"/>
    <col min="15" max="15" width="1.6328125" style="1" customWidth="1"/>
    <col min="16" max="16384" width="8.90625" style="1"/>
  </cols>
  <sheetData>
    <row r="1" spans="1:16" x14ac:dyDescent="0.35">
      <c r="A1" s="3" t="s">
        <v>65</v>
      </c>
      <c r="B1" s="13">
        <v>1000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6" x14ac:dyDescent="0.35">
      <c r="A2" s="1" t="s">
        <v>90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6" ht="15.65" customHeigh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</row>
    <row r="5" spans="1:16" s="2" customFormat="1" x14ac:dyDescent="0.35">
      <c r="A5" s="9" t="s">
        <v>14</v>
      </c>
      <c r="B5" s="10">
        <f t="shared" ref="B5:M5" si="0">SUM(B6:B7)</f>
        <v>7619.4482509159834</v>
      </c>
      <c r="C5" s="10">
        <f t="shared" si="0"/>
        <v>7224.3023415320331</v>
      </c>
      <c r="D5" s="10">
        <f t="shared" si="0"/>
        <v>6870.0230645853517</v>
      </c>
      <c r="E5" s="10">
        <f t="shared" si="0"/>
        <v>7815.914736806606</v>
      </c>
      <c r="F5" s="10">
        <f t="shared" si="0"/>
        <v>8233.4755375151999</v>
      </c>
      <c r="G5" s="10">
        <f t="shared" si="0"/>
        <v>7596.8792096389116</v>
      </c>
      <c r="H5" s="10">
        <f t="shared" si="0"/>
        <v>8769.1099760000016</v>
      </c>
      <c r="I5" s="10">
        <f t="shared" si="0"/>
        <v>8498.049198354307</v>
      </c>
      <c r="J5" s="10">
        <f t="shared" si="0"/>
        <v>8442.1756946414371</v>
      </c>
      <c r="K5" s="10">
        <f t="shared" si="0"/>
        <v>8242.1086181600003</v>
      </c>
      <c r="L5" s="10">
        <f t="shared" si="0"/>
        <v>7836.3005412799994</v>
      </c>
      <c r="M5" s="10">
        <f t="shared" si="0"/>
        <v>7566.6910208623995</v>
      </c>
      <c r="N5" s="10">
        <f>SUM(B5:M5)</f>
        <v>94714.47819029224</v>
      </c>
      <c r="P5" s="1" t="s">
        <v>63</v>
      </c>
    </row>
    <row r="6" spans="1:16" x14ac:dyDescent="0.35">
      <c r="A6" s="5" t="s">
        <v>15</v>
      </c>
      <c r="B6" s="8">
        <v>2904.7860139722798</v>
      </c>
      <c r="C6" s="8">
        <v>2754.4503289203089</v>
      </c>
      <c r="D6" s="8">
        <v>2424.3210080843396</v>
      </c>
      <c r="E6" s="8">
        <v>2767.1447268380184</v>
      </c>
      <c r="F6" s="8">
        <v>2927.6178277359995</v>
      </c>
      <c r="G6" s="8">
        <v>2460.4194197995207</v>
      </c>
      <c r="H6" s="8">
        <v>3157.9027600000004</v>
      </c>
      <c r="I6" s="8">
        <v>3107.217252161915</v>
      </c>
      <c r="J6" s="8">
        <v>2899.6425922558324</v>
      </c>
      <c r="K6" s="8">
        <v>2829.8233457599999</v>
      </c>
      <c r="L6" s="8">
        <v>2690.1553020799997</v>
      </c>
      <c r="M6" s="8">
        <v>2609.1784283023999</v>
      </c>
      <c r="N6" s="8">
        <f t="shared" ref="N6:N7" si="1">SUM(B6:M6)</f>
        <v>33532.659005910617</v>
      </c>
    </row>
    <row r="7" spans="1:16" x14ac:dyDescent="0.35">
      <c r="A7" s="5" t="s">
        <v>16</v>
      </c>
      <c r="B7" s="8">
        <v>4714.6622369437036</v>
      </c>
      <c r="C7" s="8">
        <v>4469.8520126117237</v>
      </c>
      <c r="D7" s="8">
        <v>4445.7020565010125</v>
      </c>
      <c r="E7" s="8">
        <v>5048.7700099685881</v>
      </c>
      <c r="F7" s="8">
        <v>5305.8577097792004</v>
      </c>
      <c r="G7" s="8">
        <v>5136.4597898393913</v>
      </c>
      <c r="H7" s="8">
        <v>5611.2072160000007</v>
      </c>
      <c r="I7" s="8">
        <v>5390.8319461923929</v>
      </c>
      <c r="J7" s="8">
        <v>5542.5331023856052</v>
      </c>
      <c r="K7" s="8">
        <v>5412.2852724000013</v>
      </c>
      <c r="L7" s="8">
        <v>5146.1452392000001</v>
      </c>
      <c r="M7" s="8">
        <v>4957.5125925599996</v>
      </c>
      <c r="N7" s="8">
        <f t="shared" si="1"/>
        <v>61181.819184381624</v>
      </c>
    </row>
    <row r="8" spans="1:16" s="2" customFormat="1" x14ac:dyDescent="0.35">
      <c r="A8" s="9" t="s">
        <v>17</v>
      </c>
      <c r="B8" s="10">
        <f>SUM(B9:B11)</f>
        <v>550.00000001155615</v>
      </c>
      <c r="C8" s="10">
        <f t="shared" ref="C8:M8" si="2">SUM(C9:C11)</f>
        <v>545.00000001144872</v>
      </c>
      <c r="D8" s="10">
        <f t="shared" si="2"/>
        <v>550.00000001155615</v>
      </c>
      <c r="E8" s="10">
        <f t="shared" si="2"/>
        <v>550.00000001155627</v>
      </c>
      <c r="F8" s="10">
        <f t="shared" si="2"/>
        <v>550.00000001155627</v>
      </c>
      <c r="G8" s="10">
        <f t="shared" si="2"/>
        <v>550.00000001155627</v>
      </c>
      <c r="H8" s="10">
        <f t="shared" si="2"/>
        <v>622.50000001311491</v>
      </c>
      <c r="I8" s="10">
        <f t="shared" si="2"/>
        <v>637.50000001343756</v>
      </c>
      <c r="J8" s="10">
        <f t="shared" si="2"/>
        <v>637.50000001343744</v>
      </c>
      <c r="K8" s="10">
        <f t="shared" si="2"/>
        <v>637.50000001343756</v>
      </c>
      <c r="L8" s="10">
        <f t="shared" si="2"/>
        <v>637.50000001343744</v>
      </c>
      <c r="M8" s="10">
        <f t="shared" si="2"/>
        <v>632.5000000133299</v>
      </c>
      <c r="N8" s="10">
        <f>SUM(B8:M8)</f>
        <v>7100.0000001494245</v>
      </c>
    </row>
    <row r="9" spans="1:16" x14ac:dyDescent="0.35">
      <c r="A9" s="5" t="s">
        <v>15</v>
      </c>
      <c r="B9" s="8">
        <v>192.50000000413874</v>
      </c>
      <c r="C9" s="8">
        <v>187.50000000403122</v>
      </c>
      <c r="D9" s="8">
        <v>192.50000000413874</v>
      </c>
      <c r="E9" s="8">
        <v>190.00000000408502</v>
      </c>
      <c r="F9" s="8">
        <v>185.0000000039775</v>
      </c>
      <c r="G9" s="8">
        <v>155.0000000033325</v>
      </c>
      <c r="H9" s="8">
        <v>130.00000000279499</v>
      </c>
      <c r="I9" s="8">
        <v>135.00000000290248</v>
      </c>
      <c r="J9" s="8">
        <v>145.00000000311749</v>
      </c>
      <c r="K9" s="8">
        <v>110.000000002365</v>
      </c>
      <c r="L9" s="8">
        <v>120.00000000257998</v>
      </c>
      <c r="M9" s="8">
        <v>120.00000000257998</v>
      </c>
      <c r="N9" s="8">
        <f t="shared" ref="N9:N11" si="3">SUM(B9:M9)</f>
        <v>1862.5000000400435</v>
      </c>
    </row>
    <row r="10" spans="1:16" x14ac:dyDescent="0.35">
      <c r="A10" s="5" t="s">
        <v>16</v>
      </c>
      <c r="B10" s="8">
        <v>345.00000000741744</v>
      </c>
      <c r="C10" s="8">
        <v>345.00000000741744</v>
      </c>
      <c r="D10" s="8">
        <v>345.00000000741744</v>
      </c>
      <c r="E10" s="8">
        <v>347.50000000747127</v>
      </c>
      <c r="F10" s="8">
        <v>352.50000000757871</v>
      </c>
      <c r="G10" s="8">
        <v>382.50000000822376</v>
      </c>
      <c r="H10" s="8">
        <v>480.00000001031992</v>
      </c>
      <c r="I10" s="8">
        <v>490.00000001053508</v>
      </c>
      <c r="J10" s="8">
        <v>480.00000001031998</v>
      </c>
      <c r="K10" s="8">
        <v>515.00000001107253</v>
      </c>
      <c r="L10" s="8">
        <v>505.00000001085749</v>
      </c>
      <c r="M10" s="8">
        <v>500.00000001074994</v>
      </c>
      <c r="N10" s="8">
        <f t="shared" si="3"/>
        <v>5087.5000001093813</v>
      </c>
    </row>
    <row r="11" spans="1:16" x14ac:dyDescent="0.35">
      <c r="A11" s="5" t="s">
        <v>70</v>
      </c>
      <c r="B11" s="8">
        <v>12.5</v>
      </c>
      <c r="C11" s="8">
        <v>12.5</v>
      </c>
      <c r="D11" s="8">
        <v>12.5</v>
      </c>
      <c r="E11" s="8">
        <v>12.5</v>
      </c>
      <c r="F11" s="8">
        <v>12.5</v>
      </c>
      <c r="G11" s="8">
        <v>12.5</v>
      </c>
      <c r="H11" s="8">
        <v>12.5</v>
      </c>
      <c r="I11" s="8">
        <v>12.5</v>
      </c>
      <c r="J11" s="8">
        <v>12.5</v>
      </c>
      <c r="K11" s="8">
        <v>12.5</v>
      </c>
      <c r="L11" s="8">
        <v>12.5</v>
      </c>
      <c r="M11" s="8">
        <v>12.5</v>
      </c>
      <c r="N11" s="8">
        <f t="shared" si="3"/>
        <v>150</v>
      </c>
    </row>
    <row r="12" spans="1:16" s="2" customFormat="1" x14ac:dyDescent="0.35">
      <c r="A12" s="9" t="s">
        <v>18</v>
      </c>
      <c r="B12" s="11">
        <f t="shared" ref="B12:N12" si="4">B5/B8</f>
        <v>13.853542274101617</v>
      </c>
      <c r="C12" s="11">
        <f t="shared" si="4"/>
        <v>13.255600626385823</v>
      </c>
      <c r="D12" s="11">
        <f t="shared" si="4"/>
        <v>12.490951026256372</v>
      </c>
      <c r="E12" s="11">
        <f t="shared" si="4"/>
        <v>14.210754066622513</v>
      </c>
      <c r="F12" s="11">
        <f t="shared" si="4"/>
        <v>14.969955522440369</v>
      </c>
      <c r="G12" s="11">
        <f t="shared" si="4"/>
        <v>13.812507653598709</v>
      </c>
      <c r="H12" s="11">
        <f t="shared" si="4"/>
        <v>14.086923655928118</v>
      </c>
      <c r="I12" s="11">
        <f t="shared" si="4"/>
        <v>13.330273252039499</v>
      </c>
      <c r="J12" s="11">
        <f t="shared" si="4"/>
        <v>13.242628540334886</v>
      </c>
      <c r="K12" s="11">
        <f t="shared" si="4"/>
        <v>12.928797832135324</v>
      </c>
      <c r="L12" s="11">
        <f t="shared" si="4"/>
        <v>12.292236142925212</v>
      </c>
      <c r="M12" s="11">
        <f t="shared" si="4"/>
        <v>11.963147858818864</v>
      </c>
      <c r="N12" s="11">
        <f t="shared" si="4"/>
        <v>13.340067350464635</v>
      </c>
    </row>
    <row r="13" spans="1:16" s="2" customFormat="1" x14ac:dyDescent="0.35">
      <c r="A13" s="9" t="s">
        <v>19</v>
      </c>
      <c r="B13" s="10">
        <f>SUM(B14:B16)</f>
        <v>541.75000001155615</v>
      </c>
      <c r="C13" s="10">
        <f t="shared" ref="C13:M13" si="5">SUM(C14:C16)</f>
        <v>536.75000001144849</v>
      </c>
      <c r="D13" s="10">
        <f t="shared" si="5"/>
        <v>541.75000001155615</v>
      </c>
      <c r="E13" s="10">
        <f t="shared" si="5"/>
        <v>551.75000001155638</v>
      </c>
      <c r="F13" s="10">
        <f t="shared" si="5"/>
        <v>551.75000001155627</v>
      </c>
      <c r="G13" s="10">
        <f t="shared" si="5"/>
        <v>551.75000001155627</v>
      </c>
      <c r="H13" s="10">
        <f t="shared" si="5"/>
        <v>635.75000001311491</v>
      </c>
      <c r="I13" s="10">
        <f t="shared" si="5"/>
        <v>637.75000001343756</v>
      </c>
      <c r="J13" s="10">
        <f t="shared" si="5"/>
        <v>637.75000001343744</v>
      </c>
      <c r="K13" s="10">
        <f t="shared" si="5"/>
        <v>637.75000001343756</v>
      </c>
      <c r="L13" s="10">
        <f t="shared" si="5"/>
        <v>637.75000001343744</v>
      </c>
      <c r="M13" s="10">
        <f t="shared" si="5"/>
        <v>637.7500000133299</v>
      </c>
      <c r="N13" s="10">
        <f>SUM(B13:M13)</f>
        <v>7100.0000001494254</v>
      </c>
    </row>
    <row r="14" spans="1:16" x14ac:dyDescent="0.35">
      <c r="A14" s="5" t="s">
        <v>15</v>
      </c>
      <c r="B14" s="8">
        <v>192.50000000413874</v>
      </c>
      <c r="C14" s="8">
        <v>187.50000000403122</v>
      </c>
      <c r="D14" s="8">
        <v>192.50000000413874</v>
      </c>
      <c r="E14" s="8">
        <v>190.00000000408502</v>
      </c>
      <c r="F14" s="8">
        <v>185.0000000039775</v>
      </c>
      <c r="G14" s="8">
        <v>155.00000000333253</v>
      </c>
      <c r="H14" s="8">
        <v>130.00000000279499</v>
      </c>
      <c r="I14" s="8">
        <v>135.00000000290248</v>
      </c>
      <c r="J14" s="8">
        <v>145.00000000311749</v>
      </c>
      <c r="K14" s="8">
        <v>110.00000000236497</v>
      </c>
      <c r="L14" s="8">
        <v>120.00000000257998</v>
      </c>
      <c r="M14" s="8">
        <v>120.00000000257998</v>
      </c>
      <c r="N14" s="8">
        <f t="shared" ref="N14:N16" si="6">SUM(B14:M14)</f>
        <v>1862.5000000400439</v>
      </c>
    </row>
    <row r="15" spans="1:16" x14ac:dyDescent="0.35">
      <c r="A15" s="5" t="s">
        <v>16</v>
      </c>
      <c r="B15" s="8">
        <v>345.00000000741744</v>
      </c>
      <c r="C15" s="8">
        <v>345.00000000741733</v>
      </c>
      <c r="D15" s="8">
        <v>345.00000000741738</v>
      </c>
      <c r="E15" s="8">
        <v>349.00000000747139</v>
      </c>
      <c r="F15" s="8">
        <v>354.00000000757876</v>
      </c>
      <c r="G15" s="8">
        <v>384.00000000822376</v>
      </c>
      <c r="H15" s="8">
        <v>493.00000001031987</v>
      </c>
      <c r="I15" s="8">
        <v>490.00000001053502</v>
      </c>
      <c r="J15" s="8">
        <v>480.00000001031998</v>
      </c>
      <c r="K15" s="8">
        <v>515.00000001107253</v>
      </c>
      <c r="L15" s="8">
        <v>505.00000001085743</v>
      </c>
      <c r="M15" s="8">
        <v>505.00000001074989</v>
      </c>
      <c r="N15" s="8">
        <f t="shared" si="6"/>
        <v>5110.0000001093813</v>
      </c>
    </row>
    <row r="16" spans="1:16" x14ac:dyDescent="0.35">
      <c r="A16" s="5" t="s">
        <v>70</v>
      </c>
      <c r="B16" s="8">
        <v>4.25</v>
      </c>
      <c r="C16" s="8">
        <v>4.25</v>
      </c>
      <c r="D16" s="8">
        <v>4.25</v>
      </c>
      <c r="E16" s="8">
        <v>12.75</v>
      </c>
      <c r="F16" s="8">
        <v>12.75</v>
      </c>
      <c r="G16" s="8">
        <v>12.75</v>
      </c>
      <c r="H16" s="8">
        <v>12.75</v>
      </c>
      <c r="I16" s="8">
        <v>12.75</v>
      </c>
      <c r="J16" s="8">
        <v>12.75</v>
      </c>
      <c r="K16" s="8">
        <v>12.75</v>
      </c>
      <c r="L16" s="8">
        <v>12.75</v>
      </c>
      <c r="M16" s="8">
        <v>12.75</v>
      </c>
      <c r="N16" s="8">
        <f t="shared" si="6"/>
        <v>127.5</v>
      </c>
    </row>
    <row r="17" spans="1:14" s="2" customFormat="1" x14ac:dyDescent="0.35">
      <c r="A17" s="9" t="s">
        <v>20</v>
      </c>
      <c r="B17" s="11">
        <f t="shared" ref="B17:N17" si="7">B5/B13</f>
        <v>14.064509922941305</v>
      </c>
      <c r="C17" s="11">
        <f t="shared" si="7"/>
        <v>13.459342974155462</v>
      </c>
      <c r="D17" s="11">
        <f t="shared" si="7"/>
        <v>12.681168554570938</v>
      </c>
      <c r="E17" s="11">
        <f t="shared" si="7"/>
        <v>14.16568144384758</v>
      </c>
      <c r="F17" s="11">
        <f t="shared" si="7"/>
        <v>14.922474920421843</v>
      </c>
      <c r="G17" s="11">
        <f t="shared" si="7"/>
        <v>13.768698159455907</v>
      </c>
      <c r="H17" s="11">
        <f t="shared" si="7"/>
        <v>13.793330673722538</v>
      </c>
      <c r="I17" s="11">
        <f t="shared" si="7"/>
        <v>13.325047743120738</v>
      </c>
      <c r="J17" s="11">
        <f t="shared" si="7"/>
        <v>13.23743738841797</v>
      </c>
      <c r="K17" s="11">
        <f t="shared" si="7"/>
        <v>12.923729702840198</v>
      </c>
      <c r="L17" s="11">
        <f t="shared" si="7"/>
        <v>12.287417547808527</v>
      </c>
      <c r="M17" s="11">
        <f t="shared" si="7"/>
        <v>11.864666437795758</v>
      </c>
      <c r="N17" s="11">
        <f t="shared" si="7"/>
        <v>13.340067350464633</v>
      </c>
    </row>
    <row r="18" spans="1:14" s="2" customFormat="1" x14ac:dyDescent="0.35">
      <c r="A18" s="9" t="s">
        <v>21</v>
      </c>
      <c r="B18" s="10">
        <v>154.98219503174565</v>
      </c>
      <c r="C18" s="10">
        <v>150.19218160128071</v>
      </c>
      <c r="D18" s="10">
        <v>153.4445563810246</v>
      </c>
      <c r="E18" s="10">
        <v>142.73183471385479</v>
      </c>
      <c r="F18" s="10">
        <v>131.89202032321668</v>
      </c>
      <c r="G18" s="10">
        <v>90.256715538018611</v>
      </c>
      <c r="H18" s="10">
        <v>45.052828901866903</v>
      </c>
      <c r="I18" s="10">
        <v>60.104109115298094</v>
      </c>
      <c r="J18" s="10">
        <v>62.623267929485316</v>
      </c>
      <c r="K18" s="10">
        <v>73.637876407635943</v>
      </c>
      <c r="L18" s="10">
        <v>78.465631870437093</v>
      </c>
      <c r="M18" s="10">
        <v>85.419934164545566</v>
      </c>
      <c r="N18" s="10">
        <f>SUM(B18:M18)</f>
        <v>1228.8031519784099</v>
      </c>
    </row>
    <row r="19" spans="1:14" x14ac:dyDescent="0.35">
      <c r="A19" s="5" t="s">
        <v>62</v>
      </c>
      <c r="B19" s="8">
        <v>6066.6995236616567</v>
      </c>
      <c r="C19" s="8">
        <v>6061.0989599236254</v>
      </c>
      <c r="D19" s="8">
        <v>6072.9613669119926</v>
      </c>
      <c r="E19" s="8">
        <v>6113.1736688237306</v>
      </c>
      <c r="F19" s="8">
        <v>6106.3251425473118</v>
      </c>
      <c r="G19" s="8">
        <v>6216.0563483357264</v>
      </c>
      <c r="H19" s="8">
        <v>6397.4706275743638</v>
      </c>
      <c r="I19" s="8">
        <v>6374.5334781205074</v>
      </c>
      <c r="J19" s="8">
        <v>6369.4630224845687</v>
      </c>
      <c r="K19" s="8">
        <v>6395.7373996868109</v>
      </c>
      <c r="L19" s="8">
        <v>6207.9868019311343</v>
      </c>
      <c r="M19" s="8">
        <v>6224.9984283843123</v>
      </c>
      <c r="N19" s="8">
        <f>SUMPRODUCT(B19:M19,$B$18:$M$18)/SUM($B$18:$M$18)</f>
        <v>6169.7769053579887</v>
      </c>
    </row>
    <row r="20" spans="1:14" x14ac:dyDescent="0.35">
      <c r="A20" s="5" t="s">
        <v>22</v>
      </c>
      <c r="B20" s="7">
        <v>0.79938883027914631</v>
      </c>
      <c r="C20" s="7">
        <v>0.79960478901948973</v>
      </c>
      <c r="D20" s="7">
        <v>0.80630914143077848</v>
      </c>
      <c r="E20" s="7">
        <v>0.8023832108405784</v>
      </c>
      <c r="F20" s="7">
        <v>0.79513307340060657</v>
      </c>
      <c r="G20" s="7">
        <v>0.79813521543026744</v>
      </c>
      <c r="H20" s="7">
        <v>0.80005679709031075</v>
      </c>
      <c r="I20" s="7">
        <v>0.80071013621505049</v>
      </c>
      <c r="J20" s="7">
        <v>0.80424058075694882</v>
      </c>
      <c r="K20" s="7">
        <v>0.87778388186624534</v>
      </c>
      <c r="L20" s="7">
        <v>0.8910313898112916</v>
      </c>
      <c r="M20" s="7">
        <v>0.79704817292407448</v>
      </c>
      <c r="N20" s="7">
        <f t="shared" ref="N20:N23" si="8">SUMPRODUCT(B20:M20,$B$18:$M$18)/SUM($B$18:$M$18)</f>
        <v>0.81080180973763216</v>
      </c>
    </row>
    <row r="21" spans="1:14" x14ac:dyDescent="0.35">
      <c r="A21" s="5" t="s">
        <v>23</v>
      </c>
      <c r="B21" s="7">
        <v>8.593191295227772</v>
      </c>
      <c r="C21" s="7">
        <v>8.57234620886004</v>
      </c>
      <c r="D21" s="7">
        <v>8.465250519512912</v>
      </c>
      <c r="E21" s="7">
        <v>8.3496537003307214</v>
      </c>
      <c r="F21" s="7">
        <v>8.4544990866224978</v>
      </c>
      <c r="G21" s="7">
        <v>8.0611615745190282</v>
      </c>
      <c r="H21" s="7">
        <v>8.0877488091247116</v>
      </c>
      <c r="I21" s="7">
        <v>8.0139288328177987</v>
      </c>
      <c r="J21" s="7">
        <v>8.0939060328843269</v>
      </c>
      <c r="K21" s="7">
        <v>8.3113444802935348</v>
      </c>
      <c r="L21" s="7">
        <v>8.6583469356862057</v>
      </c>
      <c r="M21" s="7">
        <v>8.1211955802377105</v>
      </c>
      <c r="N21" s="7">
        <f t="shared" si="8"/>
        <v>8.3745644868486551</v>
      </c>
    </row>
    <row r="22" spans="1:14" x14ac:dyDescent="0.35">
      <c r="A22" s="5" t="s">
        <v>24</v>
      </c>
      <c r="B22" s="7">
        <v>8.4967581002306591</v>
      </c>
      <c r="C22" s="7">
        <v>8.6035878182729011</v>
      </c>
      <c r="D22" s="7">
        <v>8.5701167448006466</v>
      </c>
      <c r="E22" s="7">
        <v>8.295886974501947</v>
      </c>
      <c r="F22" s="7">
        <v>8.4360235925821563</v>
      </c>
      <c r="G22" s="7">
        <v>8.1042226801207473</v>
      </c>
      <c r="H22" s="7">
        <v>7.1124622582611954</v>
      </c>
      <c r="I22" s="7">
        <v>7.0457454723190676</v>
      </c>
      <c r="J22" s="7">
        <v>7.1276118781950286</v>
      </c>
      <c r="K22" s="7">
        <v>7.1603036855222175</v>
      </c>
      <c r="L22" s="7">
        <v>7.2146756054694317</v>
      </c>
      <c r="M22" s="7">
        <v>7.540279131288111</v>
      </c>
      <c r="N22" s="7">
        <f t="shared" si="8"/>
        <v>8.0403443049370615</v>
      </c>
    </row>
    <row r="23" spans="1:14" x14ac:dyDescent="0.35">
      <c r="A23" s="5" t="s">
        <v>25</v>
      </c>
      <c r="B23" s="7">
        <v>13.522120419071236</v>
      </c>
      <c r="C23" s="7">
        <v>13.628950137113483</v>
      </c>
      <c r="D23" s="7">
        <v>13.595479063641227</v>
      </c>
      <c r="E23" s="7">
        <v>13.321249293342527</v>
      </c>
      <c r="F23" s="7">
        <v>13.461385911422735</v>
      </c>
      <c r="G23" s="7">
        <v>13.129584998961327</v>
      </c>
      <c r="H23" s="7">
        <v>12.137824577101776</v>
      </c>
      <c r="I23" s="7">
        <v>12.071107791159649</v>
      </c>
      <c r="J23" s="7">
        <v>12.152974197035608</v>
      </c>
      <c r="K23" s="7">
        <v>12.185666004362798</v>
      </c>
      <c r="L23" s="7">
        <v>12.240037924310013</v>
      </c>
      <c r="M23" s="7">
        <v>12.565641450128691</v>
      </c>
      <c r="N23" s="7">
        <f t="shared" si="8"/>
        <v>13.065706623777643</v>
      </c>
    </row>
    <row r="24" spans="1:14" s="2" customFormat="1" x14ac:dyDescent="0.35">
      <c r="A24" s="9" t="s">
        <v>26</v>
      </c>
      <c r="B24" s="10">
        <v>37.517804972393101</v>
      </c>
      <c r="C24" s="10">
        <v>37.307818402750534</v>
      </c>
      <c r="D24" s="10">
        <v>39.055443623114158</v>
      </c>
      <c r="E24" s="10">
        <v>47.268165290230215</v>
      </c>
      <c r="F24" s="10">
        <v>53.107979680760806</v>
      </c>
      <c r="G24" s="10">
        <v>64.74328446531392</v>
      </c>
      <c r="H24" s="10">
        <v>84.947171100928088</v>
      </c>
      <c r="I24" s="10">
        <v>74.895890887604395</v>
      </c>
      <c r="J24" s="10">
        <v>82.376732073632169</v>
      </c>
      <c r="K24" s="10">
        <v>36.362123594729042</v>
      </c>
      <c r="L24" s="10">
        <v>41.534368132142887</v>
      </c>
      <c r="M24" s="10">
        <v>34.580065838034407</v>
      </c>
      <c r="N24" s="10">
        <f>SUM(B24:M24)</f>
        <v>633.69684806163377</v>
      </c>
    </row>
    <row r="25" spans="1:14" x14ac:dyDescent="0.35">
      <c r="A25" s="5" t="s">
        <v>62</v>
      </c>
      <c r="B25" s="8">
        <v>5995.4057681473259</v>
      </c>
      <c r="C25" s="8">
        <v>6102.8668263893796</v>
      </c>
      <c r="D25" s="8">
        <v>6012.8802747593891</v>
      </c>
      <c r="E25" s="8">
        <v>5956.2490886453397</v>
      </c>
      <c r="F25" s="8">
        <v>5900.9820142427507</v>
      </c>
      <c r="G25" s="8">
        <v>5903.8514241921393</v>
      </c>
      <c r="H25" s="8">
        <v>5953.1500966248623</v>
      </c>
      <c r="I25" s="8">
        <v>5935.2902531242025</v>
      </c>
      <c r="J25" s="8">
        <v>5994.0693909965221</v>
      </c>
      <c r="K25" s="8">
        <v>5972.6070218426266</v>
      </c>
      <c r="L25" s="8">
        <v>5974.5066679245583</v>
      </c>
      <c r="M25" s="8">
        <v>5973.0937532392509</v>
      </c>
      <c r="N25" s="8">
        <f>SUMPRODUCT(B25:M25,$B$24:$M$24)/SUM($B$24:$M$24)</f>
        <v>5965.7827396699631</v>
      </c>
    </row>
    <row r="26" spans="1:14" x14ac:dyDescent="0.35">
      <c r="A26" s="5" t="s">
        <v>22</v>
      </c>
      <c r="B26" s="7">
        <v>2.4295613389229067</v>
      </c>
      <c r="C26" s="7">
        <v>2.4050655472408091</v>
      </c>
      <c r="D26" s="7">
        <v>2.5318666130721192</v>
      </c>
      <c r="E26" s="7">
        <v>2.5966145443649666</v>
      </c>
      <c r="F26" s="7">
        <v>2.6452674432660652</v>
      </c>
      <c r="G26" s="7">
        <v>2.7646956869678796</v>
      </c>
      <c r="H26" s="7">
        <v>2.7577905061835821</v>
      </c>
      <c r="I26" s="7">
        <v>2.7055365434574292</v>
      </c>
      <c r="J26" s="7">
        <v>2.643182170730336</v>
      </c>
      <c r="K26" s="7">
        <v>2.4886633195301315</v>
      </c>
      <c r="L26" s="7">
        <v>2.384214949856013</v>
      </c>
      <c r="M26" s="7">
        <v>1.9721835230281968</v>
      </c>
      <c r="N26" s="7">
        <f t="shared" ref="N26:N29" si="9">SUMPRODUCT(B26:M26,$B$24:$M$24)/SUM($B$24:$M$24)</f>
        <v>2.5790489447985023</v>
      </c>
    </row>
    <row r="27" spans="1:14" x14ac:dyDescent="0.35">
      <c r="A27" s="5" t="s">
        <v>23</v>
      </c>
      <c r="B27" s="7">
        <v>13.650338133390873</v>
      </c>
      <c r="C27" s="7">
        <v>13.072659982013985</v>
      </c>
      <c r="D27" s="7">
        <v>13.536180359290373</v>
      </c>
      <c r="E27" s="7">
        <v>14.197738944160342</v>
      </c>
      <c r="F27" s="7">
        <v>14.748210087127436</v>
      </c>
      <c r="G27" s="7">
        <v>14.555829258716642</v>
      </c>
      <c r="H27" s="7">
        <v>13.682948785674105</v>
      </c>
      <c r="I27" s="7">
        <v>14.423529656510109</v>
      </c>
      <c r="J27" s="7">
        <v>13.830266694421123</v>
      </c>
      <c r="K27" s="7">
        <v>13.802136340491229</v>
      </c>
      <c r="L27" s="7">
        <v>13.963262263577962</v>
      </c>
      <c r="M27" s="7">
        <v>13.239604954281964</v>
      </c>
      <c r="N27" s="7">
        <f t="shared" si="9"/>
        <v>13.960595439757462</v>
      </c>
    </row>
    <row r="28" spans="1:14" x14ac:dyDescent="0.35">
      <c r="A28" s="5" t="s">
        <v>24</v>
      </c>
      <c r="B28" s="7">
        <v>6.0446714187122899</v>
      </c>
      <c r="C28" s="7">
        <v>6.0271092018648948</v>
      </c>
      <c r="D28" s="7">
        <v>6.0381378037085476</v>
      </c>
      <c r="E28" s="7">
        <v>6.0670306006769152</v>
      </c>
      <c r="F28" s="7">
        <v>6.0650681974266973</v>
      </c>
      <c r="G28" s="7">
        <v>7.0545207424561021</v>
      </c>
      <c r="H28" s="7">
        <v>6.8576284528796458</v>
      </c>
      <c r="I28" s="7">
        <v>6.9141155703557073</v>
      </c>
      <c r="J28" s="7">
        <v>7.1513479824037924</v>
      </c>
      <c r="K28" s="7">
        <v>7.5030577897811339</v>
      </c>
      <c r="L28" s="7">
        <v>7.5101273468544756</v>
      </c>
      <c r="M28" s="7">
        <v>7.123713872317385</v>
      </c>
      <c r="N28" s="7">
        <f t="shared" si="9"/>
        <v>6.7439986369460003</v>
      </c>
    </row>
    <row r="29" spans="1:14" x14ac:dyDescent="0.35">
      <c r="A29" s="5" t="s">
        <v>25</v>
      </c>
      <c r="B29" s="7">
        <v>11.070033737552869</v>
      </c>
      <c r="C29" s="7">
        <v>11.052471520705474</v>
      </c>
      <c r="D29" s="7">
        <v>11.063500122549128</v>
      </c>
      <c r="E29" s="7">
        <v>11.092392919517495</v>
      </c>
      <c r="F29" s="7">
        <v>11.090430516267276</v>
      </c>
      <c r="G29" s="7">
        <v>12.07988306129668</v>
      </c>
      <c r="H29" s="7">
        <v>11.882990771720229</v>
      </c>
      <c r="I29" s="7">
        <v>11.939477889196286</v>
      </c>
      <c r="J29" s="7">
        <v>12.176710301244373</v>
      </c>
      <c r="K29" s="7">
        <v>12.528420108621715</v>
      </c>
      <c r="L29" s="7">
        <v>12.535489665695055</v>
      </c>
      <c r="M29" s="7">
        <v>12.149076191157965</v>
      </c>
      <c r="N29" s="7">
        <f t="shared" si="9"/>
        <v>11.769360955786579</v>
      </c>
    </row>
    <row r="30" spans="1:14" s="2" customFormat="1" x14ac:dyDescent="0.35">
      <c r="A30" s="9" t="s">
        <v>27</v>
      </c>
      <c r="B30" s="10">
        <v>3.3845712783206716</v>
      </c>
      <c r="C30" s="10">
        <v>2.1986171307373499</v>
      </c>
      <c r="D30" s="10">
        <v>2.3031177893122021</v>
      </c>
      <c r="E30" s="10">
        <v>2.7672070184371251</v>
      </c>
      <c r="F30" s="10">
        <v>1.8758652434621963</v>
      </c>
      <c r="G30" s="10">
        <v>1.1105574718538087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13.639935932123354</v>
      </c>
    </row>
    <row r="31" spans="1:14" x14ac:dyDescent="0.35">
      <c r="A31" s="5" t="s">
        <v>62</v>
      </c>
      <c r="B31" s="8">
        <v>5821.8830389301438</v>
      </c>
      <c r="C31" s="8">
        <v>5816.4870718851098</v>
      </c>
      <c r="D31" s="8">
        <v>5824.2204187161951</v>
      </c>
      <c r="E31" s="8">
        <v>5826.2222569118403</v>
      </c>
      <c r="F31" s="8">
        <v>5821.6227744855487</v>
      </c>
      <c r="G31" s="8">
        <v>5824.0809155002926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f>SUMPRODUCT(B31:M31,$B$30:$M$30)/SUM($B$30:$M$30)</f>
        <v>5822.4314107916898</v>
      </c>
    </row>
    <row r="32" spans="1:14" x14ac:dyDescent="0.35">
      <c r="A32" s="5" t="s">
        <v>22</v>
      </c>
      <c r="B32" s="7">
        <v>0.89812632418464311</v>
      </c>
      <c r="C32" s="7">
        <v>0.89994493621741711</v>
      </c>
      <c r="D32" s="7">
        <v>0.90129646914644679</v>
      </c>
      <c r="E32" s="7">
        <v>0.90153153628846394</v>
      </c>
      <c r="F32" s="7">
        <v>0.9029212669795168</v>
      </c>
      <c r="G32" s="7">
        <v>0.90325731755353178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f t="shared" ref="N32:N35" si="10">SUMPRODUCT(B32:M32,$B$30:$M$30)/SUM($B$30:$M$30)</f>
        <v>0.90072278104426418</v>
      </c>
    </row>
    <row r="33" spans="1:14" x14ac:dyDescent="0.35">
      <c r="A33" s="5" t="s">
        <v>23</v>
      </c>
      <c r="B33" s="7">
        <v>8.66424594683774</v>
      </c>
      <c r="C33" s="7">
        <v>8.6537904008900739</v>
      </c>
      <c r="D33" s="7">
        <v>8.6423872541014521</v>
      </c>
      <c r="E33" s="7">
        <v>8.5289327371516634</v>
      </c>
      <c r="F33" s="7">
        <v>8.5159534696087835</v>
      </c>
      <c r="G33" s="7">
        <v>8.5014971668605828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f t="shared" si="10"/>
        <v>8.5977728246687075</v>
      </c>
    </row>
    <row r="34" spans="1:14" x14ac:dyDescent="0.35">
      <c r="A34" s="5" t="s">
        <v>24</v>
      </c>
      <c r="B34" s="7">
        <v>11.332980559812546</v>
      </c>
      <c r="C34" s="7">
        <v>11.33686874989186</v>
      </c>
      <c r="D34" s="7">
        <v>11.369267800815926</v>
      </c>
      <c r="E34" s="7">
        <v>11.35012826840938</v>
      </c>
      <c r="F34" s="7">
        <v>11.399581208015936</v>
      </c>
      <c r="G34" s="7">
        <v>11.357707284097838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f t="shared" si="10"/>
        <v>11.354385937535314</v>
      </c>
    </row>
    <row r="35" spans="1:14" x14ac:dyDescent="0.35">
      <c r="A35" s="5" t="s">
        <v>25</v>
      </c>
      <c r="B35" s="7">
        <v>16.332980559812547</v>
      </c>
      <c r="C35" s="7">
        <v>16.33686874989186</v>
      </c>
      <c r="D35" s="7">
        <v>16.369267800815926</v>
      </c>
      <c r="E35" s="7">
        <v>16.350128268409382</v>
      </c>
      <c r="F35" s="7">
        <v>16.399581208015938</v>
      </c>
      <c r="G35" s="7">
        <v>16.357707284097838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f t="shared" si="10"/>
        <v>16.354385937535316</v>
      </c>
    </row>
    <row r="36" spans="1:14" s="2" customFormat="1" x14ac:dyDescent="0.35">
      <c r="A36" s="9" t="s">
        <v>28</v>
      </c>
      <c r="B36" s="10">
        <v>2.521882492117089</v>
      </c>
      <c r="C36" s="10">
        <v>7.2154785630134359</v>
      </c>
      <c r="D36" s="10">
        <v>26.720101190114498</v>
      </c>
      <c r="E36" s="10">
        <v>6.3272232517840097</v>
      </c>
      <c r="F36" s="10">
        <v>12.63017381605996</v>
      </c>
      <c r="G36" s="10">
        <v>4.808785062682797</v>
      </c>
      <c r="H36" s="10">
        <v>12.094950861320664</v>
      </c>
      <c r="I36" s="10">
        <v>14.998053056294571</v>
      </c>
      <c r="J36" s="10">
        <v>83.697272769729182</v>
      </c>
      <c r="K36" s="10">
        <v>94.400599271572034</v>
      </c>
      <c r="L36" s="10">
        <v>71.335320101362981</v>
      </c>
      <c r="M36" s="10">
        <v>85.965623698155213</v>
      </c>
      <c r="N36" s="10">
        <f>SUM(B36:M36)</f>
        <v>422.7154641342064</v>
      </c>
    </row>
    <row r="37" spans="1:14" x14ac:dyDescent="0.35">
      <c r="A37" s="5" t="s">
        <v>62</v>
      </c>
      <c r="B37" s="8">
        <v>6013.7439830402591</v>
      </c>
      <c r="C37" s="8">
        <v>5958.5718837654094</v>
      </c>
      <c r="D37" s="8">
        <v>6011.5142410181879</v>
      </c>
      <c r="E37" s="8">
        <v>6033.7912126391166</v>
      </c>
      <c r="F37" s="8">
        <v>5987.1311344722953</v>
      </c>
      <c r="G37" s="8">
        <v>6002.8141464546325</v>
      </c>
      <c r="H37" s="8">
        <v>6036.2059277468388</v>
      </c>
      <c r="I37" s="8">
        <v>6005.6296270049379</v>
      </c>
      <c r="J37" s="8">
        <v>5996.4182585771696</v>
      </c>
      <c r="K37" s="8">
        <v>6012.5831882377197</v>
      </c>
      <c r="L37" s="8">
        <v>6026.6617065098399</v>
      </c>
      <c r="M37" s="8">
        <v>6027.4417066915366</v>
      </c>
      <c r="N37" s="8">
        <f>SUMPRODUCT(B37:M37,$B$36:$M$36)/SUM($N$36)</f>
        <v>6013.6725198079248</v>
      </c>
    </row>
    <row r="38" spans="1:14" x14ac:dyDescent="0.35">
      <c r="A38" s="5" t="s">
        <v>22</v>
      </c>
      <c r="B38" s="7">
        <v>1.5719258596243288</v>
      </c>
      <c r="C38" s="7">
        <v>1.5704927756355485</v>
      </c>
      <c r="D38" s="7">
        <v>1.5645054910609499</v>
      </c>
      <c r="E38" s="7">
        <v>1.5541280998263451</v>
      </c>
      <c r="F38" s="7">
        <v>1.5514425548091835</v>
      </c>
      <c r="G38" s="7">
        <v>1.5490809371241008</v>
      </c>
      <c r="H38" s="7">
        <v>1.5706205123520396</v>
      </c>
      <c r="I38" s="7">
        <v>1.5667220713882541</v>
      </c>
      <c r="J38" s="7">
        <v>1.5492652356708461</v>
      </c>
      <c r="K38" s="7">
        <v>1.5532509789014217</v>
      </c>
      <c r="L38" s="7">
        <v>1.5598161852155374</v>
      </c>
      <c r="M38" s="7">
        <v>1.5724278212094895</v>
      </c>
      <c r="N38" s="7">
        <f t="shared" ref="N38:N41" si="11">SUMPRODUCT(B38:M38,$B$36:$M$36)/SUM($N$36)</f>
        <v>1.5594733437535224</v>
      </c>
    </row>
    <row r="39" spans="1:14" x14ac:dyDescent="0.35">
      <c r="A39" s="5" t="s">
        <v>23</v>
      </c>
      <c r="B39" s="7">
        <v>6.0748081545659556</v>
      </c>
      <c r="C39" s="7">
        <v>6.1530970205235906</v>
      </c>
      <c r="D39" s="7">
        <v>6.1792075534550124</v>
      </c>
      <c r="E39" s="7">
        <v>5.1976319992471325</v>
      </c>
      <c r="F39" s="7">
        <v>5.2945573330686697</v>
      </c>
      <c r="G39" s="7">
        <v>5.2369339714032916</v>
      </c>
      <c r="H39" s="7">
        <v>5.1052577356075943</v>
      </c>
      <c r="I39" s="7">
        <v>5.3674074588461043</v>
      </c>
      <c r="J39" s="7">
        <v>5.3569250734287994</v>
      </c>
      <c r="K39" s="7">
        <v>5.1696910445757469</v>
      </c>
      <c r="L39" s="7">
        <v>5.1649102507825946</v>
      </c>
      <c r="M39" s="7">
        <v>5.3009891296063767</v>
      </c>
      <c r="N39" s="7">
        <f t="shared" si="11"/>
        <v>5.3287414331663765</v>
      </c>
    </row>
    <row r="40" spans="1:14" x14ac:dyDescent="0.35">
      <c r="A40" s="5" t="s">
        <v>24</v>
      </c>
      <c r="B40" s="7">
        <v>10.127325083840056</v>
      </c>
      <c r="C40" s="7">
        <v>10.233783513685028</v>
      </c>
      <c r="D40" s="7">
        <v>10.532646696345953</v>
      </c>
      <c r="E40" s="7">
        <v>10.352599613583598</v>
      </c>
      <c r="F40" s="7">
        <v>10.781853659182515</v>
      </c>
      <c r="G40" s="7">
        <v>10.481305172848286</v>
      </c>
      <c r="H40" s="7">
        <v>10.365902833746919</v>
      </c>
      <c r="I40" s="7">
        <v>10.468448068692119</v>
      </c>
      <c r="J40" s="7">
        <v>10.443603705511876</v>
      </c>
      <c r="K40" s="7">
        <v>10.274017908609304</v>
      </c>
      <c r="L40" s="7">
        <v>10.24039726981246</v>
      </c>
      <c r="M40" s="7">
        <v>9.9507726321549459</v>
      </c>
      <c r="N40" s="7">
        <f t="shared" si="11"/>
        <v>10.279206642306004</v>
      </c>
    </row>
    <row r="41" spans="1:14" x14ac:dyDescent="0.35">
      <c r="A41" s="5" t="s">
        <v>25</v>
      </c>
      <c r="B41" s="7">
        <v>15.127325083840059</v>
      </c>
      <c r="C41" s="7">
        <v>15.233783513685026</v>
      </c>
      <c r="D41" s="7">
        <v>15.532646696345955</v>
      </c>
      <c r="E41" s="7">
        <v>15.352599613583596</v>
      </c>
      <c r="F41" s="7">
        <v>15.781853659182515</v>
      </c>
      <c r="G41" s="7">
        <v>15.481305172848288</v>
      </c>
      <c r="H41" s="7">
        <v>15.365902833746915</v>
      </c>
      <c r="I41" s="7">
        <v>15.468448068692121</v>
      </c>
      <c r="J41" s="7">
        <v>15.443603705511876</v>
      </c>
      <c r="K41" s="7">
        <v>15.274017908609304</v>
      </c>
      <c r="L41" s="7">
        <v>15.240397269812457</v>
      </c>
      <c r="M41" s="7">
        <v>14.950772632154948</v>
      </c>
      <c r="N41" s="7">
        <f t="shared" si="11"/>
        <v>15.279206642306002</v>
      </c>
    </row>
    <row r="42" spans="1:14" s="2" customFormat="1" x14ac:dyDescent="0.35">
      <c r="A42" s="9" t="s">
        <v>29</v>
      </c>
      <c r="B42" s="10">
        <v>339.09354623697971</v>
      </c>
      <c r="C42" s="10">
        <v>335.58590431366656</v>
      </c>
      <c r="D42" s="10">
        <v>315.97678102799074</v>
      </c>
      <c r="E42" s="10">
        <v>339.90556973725023</v>
      </c>
      <c r="F42" s="10">
        <v>339.49396094805661</v>
      </c>
      <c r="G42" s="10">
        <v>378.08065747368715</v>
      </c>
      <c r="H42" s="10">
        <v>480.90504914899924</v>
      </c>
      <c r="I42" s="10">
        <v>475.00194695424045</v>
      </c>
      <c r="J42" s="10">
        <v>396.3027272405908</v>
      </c>
      <c r="K42" s="10">
        <v>420.59940073950054</v>
      </c>
      <c r="L42" s="10">
        <v>433.6646799094944</v>
      </c>
      <c r="M42" s="10">
        <v>419.03437631259465</v>
      </c>
      <c r="N42" s="10">
        <f>SUM(B42:M42)</f>
        <v>4673.6446000430515</v>
      </c>
    </row>
    <row r="43" spans="1:14" x14ac:dyDescent="0.35">
      <c r="A43" s="5" t="s">
        <v>62</v>
      </c>
      <c r="B43" s="8">
        <v>5916.7972906941595</v>
      </c>
      <c r="C43" s="8">
        <v>5925.4345063142891</v>
      </c>
      <c r="D43" s="8">
        <v>5916.7949036737691</v>
      </c>
      <c r="E43" s="8">
        <v>5912.980952840614</v>
      </c>
      <c r="F43" s="8">
        <v>5924.7514756611617</v>
      </c>
      <c r="G43" s="8">
        <v>5924.6892633555917</v>
      </c>
      <c r="H43" s="8">
        <v>5904.229432754244</v>
      </c>
      <c r="I43" s="8">
        <v>5885.0998442747577</v>
      </c>
      <c r="J43" s="8">
        <v>5912.8315469654126</v>
      </c>
      <c r="K43" s="8">
        <v>5911.5993544817393</v>
      </c>
      <c r="L43" s="8">
        <v>5931.5837237163742</v>
      </c>
      <c r="M43" s="8">
        <v>5905.9087610383558</v>
      </c>
      <c r="N43" s="8">
        <f>SUMPRODUCT(B43:M43,$B$43:$M$43)/SUM($B$43:$M$43)</f>
        <v>5914.4155370661638</v>
      </c>
    </row>
    <row r="44" spans="1:14" x14ac:dyDescent="0.35">
      <c r="A44" s="5" t="s">
        <v>22</v>
      </c>
      <c r="B44" s="7">
        <v>2.4966476929177563</v>
      </c>
      <c r="C44" s="7">
        <v>2.3877689379253044</v>
      </c>
      <c r="D44" s="7">
        <v>2.3757583063015502</v>
      </c>
      <c r="E44" s="7">
        <v>2.4775564096655827</v>
      </c>
      <c r="F44" s="7">
        <v>2.374329394428345</v>
      </c>
      <c r="G44" s="7">
        <v>2.3234040146916115</v>
      </c>
      <c r="H44" s="7">
        <v>2.4257585660475254</v>
      </c>
      <c r="I44" s="7">
        <v>2.4636130645651053</v>
      </c>
      <c r="J44" s="7">
        <v>2.4167182192891019</v>
      </c>
      <c r="K44" s="7">
        <v>2.4357905437595275</v>
      </c>
      <c r="L44" s="7">
        <v>2.3205566532405477</v>
      </c>
      <c r="M44" s="7">
        <v>2.4316069716957789</v>
      </c>
      <c r="N44" s="7">
        <f t="shared" ref="N44:N47" si="12">SUMPRODUCT(B44:M44,$B$43:$M$43)/SUM($B$43:$M$43)</f>
        <v>2.4107218075517403</v>
      </c>
    </row>
    <row r="45" spans="1:14" x14ac:dyDescent="0.35">
      <c r="A45" s="5" t="s">
        <v>23</v>
      </c>
      <c r="B45" s="7">
        <v>5.9842872271090917</v>
      </c>
      <c r="C45" s="7">
        <v>5.6662583965414441</v>
      </c>
      <c r="D45" s="7">
        <v>5.7800832870181598</v>
      </c>
      <c r="E45" s="7">
        <v>5.6993194464212262</v>
      </c>
      <c r="F45" s="7">
        <v>5.5739932443182454</v>
      </c>
      <c r="G45" s="7">
        <v>5.7147496734423422</v>
      </c>
      <c r="H45" s="7">
        <v>5.7034798554012829</v>
      </c>
      <c r="I45" s="7">
        <v>5.9277179055499509</v>
      </c>
      <c r="J45" s="7">
        <v>5.6702116883273499</v>
      </c>
      <c r="K45" s="7">
        <v>5.6370679249355851</v>
      </c>
      <c r="L45" s="7">
        <v>5.5901854958066695</v>
      </c>
      <c r="M45" s="7">
        <v>5.6938518419828652</v>
      </c>
      <c r="N45" s="7">
        <f t="shared" si="12"/>
        <v>5.7199741396739743</v>
      </c>
    </row>
    <row r="46" spans="1:14" x14ac:dyDescent="0.35">
      <c r="A46" s="5" t="s">
        <v>24</v>
      </c>
      <c r="B46" s="7">
        <v>10.283641671440318</v>
      </c>
      <c r="C46" s="7">
        <v>10.556237677028596</v>
      </c>
      <c r="D46" s="7">
        <v>10.683766753314643</v>
      </c>
      <c r="E46" s="7">
        <v>10.487339002148291</v>
      </c>
      <c r="F46" s="7">
        <v>10.689785351050897</v>
      </c>
      <c r="G46" s="7">
        <v>10.72389304702777</v>
      </c>
      <c r="H46" s="7">
        <v>10.619717599103479</v>
      </c>
      <c r="I46" s="7">
        <v>10.523637825608192</v>
      </c>
      <c r="J46" s="7">
        <v>10.478050145007465</v>
      </c>
      <c r="K46" s="7">
        <v>10.497093228274611</v>
      </c>
      <c r="L46" s="7">
        <v>10.552452127746783</v>
      </c>
      <c r="M46" s="7">
        <v>10.601733003407114</v>
      </c>
      <c r="N46" s="7">
        <f t="shared" si="12"/>
        <v>10.558154609501265</v>
      </c>
    </row>
    <row r="47" spans="1:14" x14ac:dyDescent="0.35">
      <c r="A47" s="5" t="s">
        <v>25</v>
      </c>
      <c r="B47" s="7">
        <v>15.283641671440318</v>
      </c>
      <c r="C47" s="7">
        <v>15.556237677028594</v>
      </c>
      <c r="D47" s="7">
        <v>15.683766753314643</v>
      </c>
      <c r="E47" s="7">
        <v>15.487339002148289</v>
      </c>
      <c r="F47" s="7">
        <v>15.689785351050896</v>
      </c>
      <c r="G47" s="7">
        <v>15.72389304702777</v>
      </c>
      <c r="H47" s="7">
        <v>15.619717599103481</v>
      </c>
      <c r="I47" s="7">
        <v>15.523637825608189</v>
      </c>
      <c r="J47" s="7">
        <v>15.478050145007463</v>
      </c>
      <c r="K47" s="7">
        <v>15.497093228274609</v>
      </c>
      <c r="L47" s="7">
        <v>15.552452127746781</v>
      </c>
      <c r="M47" s="7">
        <v>15.601733003407109</v>
      </c>
      <c r="N47" s="7">
        <f t="shared" si="12"/>
        <v>15.558154609501264</v>
      </c>
    </row>
    <row r="48" spans="1:14" s="2" customFormat="1" x14ac:dyDescent="0.35">
      <c r="A48" s="9" t="s">
        <v>70</v>
      </c>
      <c r="B48" s="10">
        <v>4.25</v>
      </c>
      <c r="C48" s="10">
        <v>4.25</v>
      </c>
      <c r="D48" s="10">
        <v>4.25</v>
      </c>
      <c r="E48" s="10">
        <v>12.75</v>
      </c>
      <c r="F48" s="10">
        <v>12.75</v>
      </c>
      <c r="G48" s="10">
        <v>12.75</v>
      </c>
      <c r="H48" s="10">
        <v>12.75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127.5</v>
      </c>
    </row>
    <row r="49" spans="1:16" x14ac:dyDescent="0.35">
      <c r="A49" s="5" t="s">
        <v>62</v>
      </c>
      <c r="B49" s="8">
        <v>3146.067415730337</v>
      </c>
      <c r="C49" s="8">
        <v>3146.067415730337</v>
      </c>
      <c r="D49" s="8">
        <v>3146.067415730337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8">
        <f>SUMPRODUCT(B49:M49,$B$48:$M$48)/SUM($B$48:$M$48)</f>
        <v>3146.0674157303379</v>
      </c>
    </row>
    <row r="50" spans="1:16" x14ac:dyDescent="0.35">
      <c r="A50" s="5" t="s">
        <v>22</v>
      </c>
      <c r="B50" s="7">
        <v>2</v>
      </c>
      <c r="C50" s="7">
        <v>2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7">
        <f t="shared" ref="N50:N53" si="13">SUMPRODUCT(B50:M50,$B$48:$M$48)/SUM($B$48:$M$48)</f>
        <v>2</v>
      </c>
    </row>
    <row r="51" spans="1:16" x14ac:dyDescent="0.35">
      <c r="A51" s="5" t="s">
        <v>23</v>
      </c>
      <c r="B51" s="7">
        <v>40</v>
      </c>
      <c r="C51" s="7">
        <v>40</v>
      </c>
      <c r="D51" s="7">
        <v>40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7">
        <f t="shared" si="13"/>
        <v>40</v>
      </c>
    </row>
    <row r="52" spans="1:16" x14ac:dyDescent="0.35">
      <c r="A52" s="5" t="s">
        <v>24</v>
      </c>
      <c r="B52" s="7">
        <v>11</v>
      </c>
      <c r="C52" s="7">
        <v>11</v>
      </c>
      <c r="D52" s="7">
        <v>11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7">
        <f t="shared" si="13"/>
        <v>11</v>
      </c>
    </row>
    <row r="53" spans="1:16" x14ac:dyDescent="0.35">
      <c r="A53" s="5" t="s">
        <v>25</v>
      </c>
      <c r="B53" s="7">
        <v>20</v>
      </c>
      <c r="C53" s="7">
        <v>20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7">
        <f t="shared" si="13"/>
        <v>20</v>
      </c>
    </row>
    <row r="54" spans="1:16" x14ac:dyDescent="0.3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6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</row>
    <row r="56" spans="1:16" s="2" customFormat="1" x14ac:dyDescent="0.35">
      <c r="A56" s="9" t="s">
        <v>14</v>
      </c>
      <c r="B56" s="10">
        <f t="shared" ref="B56:N56" si="14">SUM(B57:B59)</f>
        <v>4195</v>
      </c>
      <c r="C56" s="10">
        <f t="shared" si="14"/>
        <v>4015</v>
      </c>
      <c r="D56" s="10">
        <f t="shared" si="14"/>
        <v>4020</v>
      </c>
      <c r="E56" s="10">
        <f t="shared" si="14"/>
        <v>4250</v>
      </c>
      <c r="F56" s="10">
        <f t="shared" si="14"/>
        <v>4410</v>
      </c>
      <c r="G56" s="10">
        <f t="shared" si="14"/>
        <v>4660</v>
      </c>
      <c r="H56" s="10">
        <f t="shared" si="14"/>
        <v>4720</v>
      </c>
      <c r="I56" s="10">
        <f t="shared" si="14"/>
        <v>5055</v>
      </c>
      <c r="J56" s="10">
        <f t="shared" si="14"/>
        <v>4740</v>
      </c>
      <c r="K56" s="10">
        <f t="shared" si="14"/>
        <v>3990</v>
      </c>
      <c r="L56" s="10">
        <f t="shared" si="14"/>
        <v>3805</v>
      </c>
      <c r="M56" s="10">
        <f t="shared" si="14"/>
        <v>3790</v>
      </c>
      <c r="N56" s="10">
        <f t="shared" si="14"/>
        <v>51650</v>
      </c>
      <c r="P56" s="1" t="s">
        <v>63</v>
      </c>
    </row>
    <row r="57" spans="1:16" x14ac:dyDescent="0.35">
      <c r="A57" s="5" t="s">
        <v>59</v>
      </c>
      <c r="B57" s="8">
        <v>2025</v>
      </c>
      <c r="C57" s="8">
        <v>1905</v>
      </c>
      <c r="D57" s="8">
        <v>1870</v>
      </c>
      <c r="E57" s="8">
        <v>2010</v>
      </c>
      <c r="F57" s="8">
        <v>2110</v>
      </c>
      <c r="G57" s="8">
        <v>2210</v>
      </c>
      <c r="H57" s="8">
        <v>2320</v>
      </c>
      <c r="I57" s="8">
        <v>2305</v>
      </c>
      <c r="J57" s="8">
        <v>2240</v>
      </c>
      <c r="K57" s="8">
        <v>1890</v>
      </c>
      <c r="L57" s="8">
        <v>1745</v>
      </c>
      <c r="M57" s="8">
        <v>1770</v>
      </c>
      <c r="N57" s="8">
        <f t="shared" ref="N57:N59" si="15">SUM(B57:M57)</f>
        <v>24400</v>
      </c>
    </row>
    <row r="58" spans="1:16" x14ac:dyDescent="0.35">
      <c r="A58" s="5" t="s">
        <v>58</v>
      </c>
      <c r="B58" s="8">
        <v>890</v>
      </c>
      <c r="C58" s="8">
        <v>810</v>
      </c>
      <c r="D58" s="8">
        <v>750</v>
      </c>
      <c r="E58" s="8">
        <v>940</v>
      </c>
      <c r="F58" s="8">
        <v>950</v>
      </c>
      <c r="G58" s="8">
        <v>950</v>
      </c>
      <c r="H58" s="8">
        <v>1000</v>
      </c>
      <c r="I58" s="8">
        <v>1050</v>
      </c>
      <c r="J58" s="8">
        <v>950</v>
      </c>
      <c r="K58" s="8">
        <v>900</v>
      </c>
      <c r="L58" s="8">
        <v>860</v>
      </c>
      <c r="M58" s="8">
        <v>950</v>
      </c>
      <c r="N58" s="8">
        <f t="shared" si="15"/>
        <v>11000</v>
      </c>
    </row>
    <row r="59" spans="1:16" x14ac:dyDescent="0.35">
      <c r="A59" s="5" t="s">
        <v>57</v>
      </c>
      <c r="B59" s="8">
        <v>1280</v>
      </c>
      <c r="C59" s="8">
        <v>1300</v>
      </c>
      <c r="D59" s="8">
        <v>1400</v>
      </c>
      <c r="E59" s="8">
        <v>1300</v>
      </c>
      <c r="F59" s="8">
        <v>1350</v>
      </c>
      <c r="G59" s="8">
        <v>1500</v>
      </c>
      <c r="H59" s="8">
        <v>1400</v>
      </c>
      <c r="I59" s="8">
        <v>1700</v>
      </c>
      <c r="J59" s="8">
        <v>1550</v>
      </c>
      <c r="K59" s="8">
        <v>1200</v>
      </c>
      <c r="L59" s="8">
        <v>1200</v>
      </c>
      <c r="M59" s="8">
        <v>1070</v>
      </c>
      <c r="N59" s="8">
        <f t="shared" si="15"/>
        <v>16250</v>
      </c>
    </row>
    <row r="60" spans="1:16" s="2" customFormat="1" x14ac:dyDescent="0.35">
      <c r="A60" s="9" t="s">
        <v>17</v>
      </c>
      <c r="B60" s="10">
        <f t="shared" ref="B60:N60" si="16">SUM(B61:B63)</f>
        <v>200</v>
      </c>
      <c r="C60" s="10">
        <f t="shared" si="16"/>
        <v>215</v>
      </c>
      <c r="D60" s="10">
        <f t="shared" si="16"/>
        <v>217</v>
      </c>
      <c r="E60" s="10">
        <f t="shared" si="16"/>
        <v>255</v>
      </c>
      <c r="F60" s="10">
        <f t="shared" si="16"/>
        <v>285</v>
      </c>
      <c r="G60" s="10">
        <f t="shared" si="16"/>
        <v>315</v>
      </c>
      <c r="H60" s="10">
        <f t="shared" si="16"/>
        <v>310</v>
      </c>
      <c r="I60" s="10">
        <f t="shared" si="16"/>
        <v>335.38697316446883</v>
      </c>
      <c r="J60" s="10">
        <f t="shared" si="16"/>
        <v>307</v>
      </c>
      <c r="K60" s="10">
        <f t="shared" si="16"/>
        <v>300</v>
      </c>
      <c r="L60" s="10">
        <f t="shared" si="16"/>
        <v>281</v>
      </c>
      <c r="M60" s="10">
        <f t="shared" si="16"/>
        <v>280</v>
      </c>
      <c r="N60" s="10">
        <f t="shared" si="16"/>
        <v>3300.3869731644691</v>
      </c>
    </row>
    <row r="61" spans="1:16" x14ac:dyDescent="0.35">
      <c r="A61" s="5" t="s">
        <v>59</v>
      </c>
      <c r="B61" s="8">
        <v>130</v>
      </c>
      <c r="C61" s="8">
        <v>145</v>
      </c>
      <c r="D61" s="8">
        <v>150</v>
      </c>
      <c r="E61" s="8">
        <v>160</v>
      </c>
      <c r="F61" s="8">
        <v>170</v>
      </c>
      <c r="G61" s="8">
        <v>200</v>
      </c>
      <c r="H61" s="8">
        <v>195</v>
      </c>
      <c r="I61" s="8">
        <v>210</v>
      </c>
      <c r="J61" s="8">
        <v>210</v>
      </c>
      <c r="K61" s="8">
        <v>195</v>
      </c>
      <c r="L61" s="8">
        <v>180</v>
      </c>
      <c r="M61" s="8">
        <v>185</v>
      </c>
      <c r="N61" s="8">
        <f t="shared" ref="N61:N63" si="17">SUM(B61:M61)</f>
        <v>2130</v>
      </c>
    </row>
    <row r="62" spans="1:16" x14ac:dyDescent="0.35">
      <c r="A62" s="5" t="s">
        <v>58</v>
      </c>
      <c r="B62" s="8">
        <v>45</v>
      </c>
      <c r="C62" s="8">
        <v>40</v>
      </c>
      <c r="D62" s="8">
        <v>37</v>
      </c>
      <c r="E62" s="8">
        <v>45</v>
      </c>
      <c r="F62" s="8">
        <v>50</v>
      </c>
      <c r="G62" s="8">
        <v>50</v>
      </c>
      <c r="H62" s="8">
        <v>50</v>
      </c>
      <c r="I62" s="8">
        <v>55</v>
      </c>
      <c r="J62" s="8">
        <v>47</v>
      </c>
      <c r="K62" s="8">
        <v>45</v>
      </c>
      <c r="L62" s="8">
        <v>41</v>
      </c>
      <c r="M62" s="8">
        <v>45</v>
      </c>
      <c r="N62" s="8">
        <f t="shared" si="17"/>
        <v>550</v>
      </c>
    </row>
    <row r="63" spans="1:16" x14ac:dyDescent="0.35">
      <c r="A63" s="5" t="s">
        <v>57</v>
      </c>
      <c r="B63" s="8">
        <v>25</v>
      </c>
      <c r="C63" s="8">
        <v>30</v>
      </c>
      <c r="D63" s="8">
        <v>30</v>
      </c>
      <c r="E63" s="8">
        <v>50</v>
      </c>
      <c r="F63" s="8">
        <v>65</v>
      </c>
      <c r="G63" s="8">
        <v>65</v>
      </c>
      <c r="H63" s="8">
        <v>65</v>
      </c>
      <c r="I63" s="8">
        <v>70.386973164468827</v>
      </c>
      <c r="J63" s="8">
        <v>50</v>
      </c>
      <c r="K63" s="8">
        <v>60</v>
      </c>
      <c r="L63" s="8">
        <v>60</v>
      </c>
      <c r="M63" s="8">
        <v>50</v>
      </c>
      <c r="N63" s="8">
        <f t="shared" si="17"/>
        <v>620.38697316446883</v>
      </c>
    </row>
    <row r="64" spans="1:16" s="2" customFormat="1" x14ac:dyDescent="0.35">
      <c r="A64" s="9" t="s">
        <v>32</v>
      </c>
      <c r="B64" s="11">
        <f t="shared" ref="B64:N64" si="18">B56/B60</f>
        <v>20.975000000000001</v>
      </c>
      <c r="C64" s="11">
        <f t="shared" si="18"/>
        <v>18.674418604651162</v>
      </c>
      <c r="D64" s="11">
        <f t="shared" si="18"/>
        <v>18.525345622119815</v>
      </c>
      <c r="E64" s="11">
        <f t="shared" si="18"/>
        <v>16.666666666666668</v>
      </c>
      <c r="F64" s="11">
        <f t="shared" si="18"/>
        <v>15.473684210526315</v>
      </c>
      <c r="G64" s="11">
        <f t="shared" si="18"/>
        <v>14.793650793650794</v>
      </c>
      <c r="H64" s="11">
        <f t="shared" si="18"/>
        <v>15.225806451612904</v>
      </c>
      <c r="I64" s="11">
        <f t="shared" si="18"/>
        <v>15.072141748096765</v>
      </c>
      <c r="J64" s="11">
        <f t="shared" si="18"/>
        <v>15.439739413680782</v>
      </c>
      <c r="K64" s="11">
        <f t="shared" si="18"/>
        <v>13.3</v>
      </c>
      <c r="L64" s="11">
        <f t="shared" si="18"/>
        <v>13.540925266903914</v>
      </c>
      <c r="M64" s="11">
        <f t="shared" si="18"/>
        <v>13.535714285714286</v>
      </c>
      <c r="N64" s="11">
        <f t="shared" si="18"/>
        <v>15.649679998123696</v>
      </c>
    </row>
    <row r="65" spans="1:15" s="2" customFormat="1" x14ac:dyDescent="0.35">
      <c r="A65" s="9" t="s">
        <v>33</v>
      </c>
      <c r="B65" s="10">
        <f>SUM(B66:B68)</f>
        <v>217</v>
      </c>
      <c r="C65" s="10">
        <f t="shared" ref="C65:N65" si="19">SUM(C66:C68)</f>
        <v>235</v>
      </c>
      <c r="D65" s="10">
        <f t="shared" si="19"/>
        <v>258</v>
      </c>
      <c r="E65" s="10">
        <f t="shared" si="19"/>
        <v>257</v>
      </c>
      <c r="F65" s="10">
        <f t="shared" si="19"/>
        <v>290</v>
      </c>
      <c r="G65" s="10">
        <f t="shared" si="19"/>
        <v>305</v>
      </c>
      <c r="H65" s="10">
        <f t="shared" si="19"/>
        <v>315</v>
      </c>
      <c r="I65" s="10">
        <f t="shared" si="19"/>
        <v>320</v>
      </c>
      <c r="J65" s="10">
        <f t="shared" si="19"/>
        <v>285</v>
      </c>
      <c r="K65" s="10">
        <f t="shared" si="19"/>
        <v>253</v>
      </c>
      <c r="L65" s="10">
        <f t="shared" si="19"/>
        <v>242</v>
      </c>
      <c r="M65" s="10">
        <f t="shared" si="19"/>
        <v>253</v>
      </c>
      <c r="N65" s="10">
        <f t="shared" si="19"/>
        <v>3230</v>
      </c>
    </row>
    <row r="66" spans="1:15" x14ac:dyDescent="0.35">
      <c r="A66" s="5" t="s">
        <v>35</v>
      </c>
      <c r="B66" s="8">
        <f>B73</f>
        <v>110</v>
      </c>
      <c r="C66" s="8">
        <f t="shared" ref="C66:M66" si="20">C73</f>
        <v>130</v>
      </c>
      <c r="D66" s="8">
        <f t="shared" si="20"/>
        <v>130</v>
      </c>
      <c r="E66" s="8">
        <f t="shared" si="20"/>
        <v>140</v>
      </c>
      <c r="F66" s="8">
        <f t="shared" si="20"/>
        <v>150</v>
      </c>
      <c r="G66" s="8">
        <f t="shared" si="20"/>
        <v>170</v>
      </c>
      <c r="H66" s="8">
        <f t="shared" si="20"/>
        <v>170</v>
      </c>
      <c r="I66" s="8">
        <f t="shared" si="20"/>
        <v>150</v>
      </c>
      <c r="J66" s="8">
        <f t="shared" si="20"/>
        <v>155</v>
      </c>
      <c r="K66" s="8">
        <f t="shared" si="20"/>
        <v>115</v>
      </c>
      <c r="L66" s="8">
        <f t="shared" si="20"/>
        <v>115</v>
      </c>
      <c r="M66" s="8">
        <f t="shared" si="20"/>
        <v>95</v>
      </c>
      <c r="N66" s="8">
        <f t="shared" ref="N66:N71" si="21">SUM(B66:M66)</f>
        <v>1630</v>
      </c>
    </row>
    <row r="67" spans="1:15" x14ac:dyDescent="0.35">
      <c r="A67" s="5" t="s">
        <v>39</v>
      </c>
      <c r="B67" s="8">
        <f>B79</f>
        <v>100</v>
      </c>
      <c r="C67" s="8">
        <f t="shared" ref="C67:M67" si="22">C79</f>
        <v>100</v>
      </c>
      <c r="D67" s="8">
        <f t="shared" si="22"/>
        <v>120</v>
      </c>
      <c r="E67" s="8">
        <f t="shared" si="22"/>
        <v>110</v>
      </c>
      <c r="F67" s="8">
        <f t="shared" si="22"/>
        <v>130</v>
      </c>
      <c r="G67" s="8">
        <f t="shared" si="22"/>
        <v>120</v>
      </c>
      <c r="H67" s="8">
        <f t="shared" si="22"/>
        <v>130</v>
      </c>
      <c r="I67" s="8">
        <f t="shared" si="22"/>
        <v>150</v>
      </c>
      <c r="J67" s="8">
        <f t="shared" si="22"/>
        <v>120</v>
      </c>
      <c r="K67" s="8">
        <f t="shared" si="22"/>
        <v>130</v>
      </c>
      <c r="L67" s="8">
        <f t="shared" si="22"/>
        <v>120</v>
      </c>
      <c r="M67" s="8">
        <f t="shared" si="22"/>
        <v>150</v>
      </c>
      <c r="N67" s="8">
        <f t="shared" si="21"/>
        <v>1480</v>
      </c>
    </row>
    <row r="68" spans="1:15" x14ac:dyDescent="0.35">
      <c r="A68" s="5" t="s">
        <v>41</v>
      </c>
      <c r="B68" s="8">
        <f>B85</f>
        <v>7</v>
      </c>
      <c r="C68" s="8">
        <f t="shared" ref="C68:M68" si="23">C85</f>
        <v>5</v>
      </c>
      <c r="D68" s="8">
        <f t="shared" si="23"/>
        <v>8</v>
      </c>
      <c r="E68" s="8">
        <f t="shared" si="23"/>
        <v>7</v>
      </c>
      <c r="F68" s="8">
        <f t="shared" si="23"/>
        <v>10</v>
      </c>
      <c r="G68" s="8">
        <f t="shared" si="23"/>
        <v>15</v>
      </c>
      <c r="H68" s="8">
        <f t="shared" si="23"/>
        <v>15</v>
      </c>
      <c r="I68" s="8">
        <f t="shared" si="23"/>
        <v>20</v>
      </c>
      <c r="J68" s="8">
        <f t="shared" si="23"/>
        <v>10</v>
      </c>
      <c r="K68" s="8">
        <f t="shared" si="23"/>
        <v>8</v>
      </c>
      <c r="L68" s="8">
        <f t="shared" si="23"/>
        <v>7</v>
      </c>
      <c r="M68" s="8">
        <f t="shared" si="23"/>
        <v>8</v>
      </c>
      <c r="N68" s="8">
        <f t="shared" si="21"/>
        <v>120</v>
      </c>
    </row>
    <row r="69" spans="1:15" x14ac:dyDescent="0.35">
      <c r="A69" s="9" t="s">
        <v>60</v>
      </c>
      <c r="B69" s="10">
        <f>B70+B71</f>
        <v>139.1</v>
      </c>
      <c r="C69" s="10">
        <f t="shared" ref="C69:M69" si="24">C70+C71</f>
        <v>139.4</v>
      </c>
      <c r="D69" s="10">
        <f t="shared" si="24"/>
        <v>138.6</v>
      </c>
      <c r="E69" s="10">
        <f t="shared" si="24"/>
        <v>138.1</v>
      </c>
      <c r="F69" s="10">
        <f t="shared" si="24"/>
        <v>139</v>
      </c>
      <c r="G69" s="10">
        <f t="shared" si="24"/>
        <v>138.30000000000001</v>
      </c>
      <c r="H69" s="10">
        <f t="shared" si="24"/>
        <v>138.5</v>
      </c>
      <c r="I69" s="10">
        <f t="shared" si="24"/>
        <v>137.69999999999999</v>
      </c>
      <c r="J69" s="10">
        <f t="shared" si="24"/>
        <v>145.6</v>
      </c>
      <c r="K69" s="10">
        <f t="shared" si="24"/>
        <v>146.19999999999999</v>
      </c>
      <c r="L69" s="10">
        <f t="shared" si="24"/>
        <v>138.30000000000001</v>
      </c>
      <c r="M69" s="10">
        <f t="shared" si="24"/>
        <v>137.69999999999999</v>
      </c>
      <c r="N69" s="10">
        <f>SUM(B69:M69)</f>
        <v>1676.5</v>
      </c>
      <c r="O69" s="2"/>
    </row>
    <row r="70" spans="1:15" x14ac:dyDescent="0.35">
      <c r="A70" s="5" t="s">
        <v>55</v>
      </c>
      <c r="B70" s="8">
        <f>B91</f>
        <v>56.6</v>
      </c>
      <c r="C70" s="8">
        <f t="shared" ref="C70:M70" si="25">C91</f>
        <v>56.9</v>
      </c>
      <c r="D70" s="8">
        <f t="shared" si="25"/>
        <v>56.1</v>
      </c>
      <c r="E70" s="8">
        <f t="shared" si="25"/>
        <v>55.6</v>
      </c>
      <c r="F70" s="8">
        <f t="shared" si="25"/>
        <v>56.5</v>
      </c>
      <c r="G70" s="8">
        <f t="shared" si="25"/>
        <v>55.8</v>
      </c>
      <c r="H70" s="8">
        <f t="shared" si="25"/>
        <v>56</v>
      </c>
      <c r="I70" s="8">
        <f t="shared" si="25"/>
        <v>55.2</v>
      </c>
      <c r="J70" s="8">
        <f t="shared" si="25"/>
        <v>55.6</v>
      </c>
      <c r="K70" s="8">
        <f t="shared" si="25"/>
        <v>56.2</v>
      </c>
      <c r="L70" s="8">
        <f t="shared" si="25"/>
        <v>55.8</v>
      </c>
      <c r="M70" s="8">
        <f t="shared" si="25"/>
        <v>55.2</v>
      </c>
      <c r="N70" s="8">
        <f t="shared" si="21"/>
        <v>671.5</v>
      </c>
    </row>
    <row r="71" spans="1:15" x14ac:dyDescent="0.35">
      <c r="A71" s="5" t="s">
        <v>56</v>
      </c>
      <c r="B71" s="8">
        <f>B97</f>
        <v>82.5</v>
      </c>
      <c r="C71" s="8">
        <f t="shared" ref="C71:M71" si="26">C97</f>
        <v>82.5</v>
      </c>
      <c r="D71" s="8">
        <f t="shared" si="26"/>
        <v>82.5</v>
      </c>
      <c r="E71" s="8">
        <f t="shared" si="26"/>
        <v>82.5</v>
      </c>
      <c r="F71" s="8">
        <f t="shared" si="26"/>
        <v>82.5</v>
      </c>
      <c r="G71" s="8">
        <f t="shared" si="26"/>
        <v>82.5</v>
      </c>
      <c r="H71" s="8">
        <f t="shared" si="26"/>
        <v>82.5</v>
      </c>
      <c r="I71" s="8">
        <f t="shared" si="26"/>
        <v>82.5</v>
      </c>
      <c r="J71" s="8">
        <f t="shared" si="26"/>
        <v>90</v>
      </c>
      <c r="K71" s="8">
        <f t="shared" si="26"/>
        <v>90</v>
      </c>
      <c r="L71" s="8">
        <f t="shared" si="26"/>
        <v>82.5</v>
      </c>
      <c r="M71" s="8">
        <f t="shared" si="26"/>
        <v>82.5</v>
      </c>
      <c r="N71" s="8">
        <f t="shared" si="21"/>
        <v>1005</v>
      </c>
    </row>
    <row r="72" spans="1:15" s="2" customFormat="1" x14ac:dyDescent="0.35">
      <c r="A72" s="9" t="s">
        <v>34</v>
      </c>
      <c r="B72" s="11">
        <f t="shared" ref="B72:N72" si="27">B56/B65</f>
        <v>19.331797235023043</v>
      </c>
      <c r="C72" s="11">
        <f t="shared" si="27"/>
        <v>17.085106382978722</v>
      </c>
      <c r="D72" s="11">
        <f t="shared" si="27"/>
        <v>15.581395348837209</v>
      </c>
      <c r="E72" s="11">
        <f t="shared" si="27"/>
        <v>16.536964980544749</v>
      </c>
      <c r="F72" s="11">
        <f t="shared" si="27"/>
        <v>15.206896551724139</v>
      </c>
      <c r="G72" s="11">
        <f t="shared" si="27"/>
        <v>15.278688524590164</v>
      </c>
      <c r="H72" s="11">
        <f t="shared" si="27"/>
        <v>14.984126984126984</v>
      </c>
      <c r="I72" s="11">
        <f t="shared" si="27"/>
        <v>15.796875</v>
      </c>
      <c r="J72" s="11">
        <f t="shared" si="27"/>
        <v>16.631578947368421</v>
      </c>
      <c r="K72" s="11">
        <f t="shared" si="27"/>
        <v>15.770750988142293</v>
      </c>
      <c r="L72" s="11">
        <f t="shared" si="27"/>
        <v>15.723140495867769</v>
      </c>
      <c r="M72" s="11">
        <f t="shared" si="27"/>
        <v>14.980237154150197</v>
      </c>
      <c r="N72" s="11">
        <f t="shared" si="27"/>
        <v>15.990712074303406</v>
      </c>
    </row>
    <row r="73" spans="1:15" s="2" customFormat="1" x14ac:dyDescent="0.35">
      <c r="A73" s="9" t="s">
        <v>35</v>
      </c>
      <c r="B73" s="10">
        <v>110</v>
      </c>
      <c r="C73" s="10">
        <v>130</v>
      </c>
      <c r="D73" s="10">
        <v>130</v>
      </c>
      <c r="E73" s="10">
        <v>140</v>
      </c>
      <c r="F73" s="10">
        <v>150</v>
      </c>
      <c r="G73" s="10">
        <v>170</v>
      </c>
      <c r="H73" s="10">
        <v>170</v>
      </c>
      <c r="I73" s="10">
        <v>150</v>
      </c>
      <c r="J73" s="10">
        <v>155</v>
      </c>
      <c r="K73" s="10">
        <v>115</v>
      </c>
      <c r="L73" s="10">
        <v>115</v>
      </c>
      <c r="M73" s="10">
        <v>95</v>
      </c>
      <c r="N73" s="10">
        <f>SUM(B73:M73)</f>
        <v>1630</v>
      </c>
    </row>
    <row r="74" spans="1:15" x14ac:dyDescent="0.35">
      <c r="A74" s="5" t="s">
        <v>62</v>
      </c>
      <c r="B74" s="8">
        <v>6331.7793828876238</v>
      </c>
      <c r="C74" s="8">
        <v>6327.6425693981791</v>
      </c>
      <c r="D74" s="8">
        <v>6345.3425138325065</v>
      </c>
      <c r="E74" s="8">
        <v>6327.8237416204238</v>
      </c>
      <c r="F74" s="8">
        <v>6373.2295595361038</v>
      </c>
      <c r="G74" s="8">
        <v>6243.3001857798381</v>
      </c>
      <c r="H74" s="8">
        <v>6268.7386978746026</v>
      </c>
      <c r="I74" s="8">
        <v>6402.2298368615757</v>
      </c>
      <c r="J74" s="8">
        <v>6455.7439711831212</v>
      </c>
      <c r="K74" s="8">
        <v>6429.1850997886104</v>
      </c>
      <c r="L74" s="8">
        <v>6453.9309387797784</v>
      </c>
      <c r="M74" s="8">
        <v>6360.7188727803714</v>
      </c>
      <c r="N74" s="8">
        <f>SUMPRODUCT(B74:M74,$B$73:$M$73)/SUM($B$73:$M$73)</f>
        <v>6355.6512817964895</v>
      </c>
    </row>
    <row r="75" spans="1:15" x14ac:dyDescent="0.35">
      <c r="A75" s="5" t="s">
        <v>36</v>
      </c>
      <c r="B75" s="7">
        <v>0.63238991761318497</v>
      </c>
      <c r="C75" s="7">
        <v>0.69248100776136201</v>
      </c>
      <c r="D75" s="7">
        <v>0.65200146322569297</v>
      </c>
      <c r="E75" s="7">
        <v>0.65479545313176901</v>
      </c>
      <c r="F75" s="7">
        <v>0.61486787827618805</v>
      </c>
      <c r="G75" s="7">
        <v>0.63759554200202295</v>
      </c>
      <c r="H75" s="7">
        <v>0.63464406615669899</v>
      </c>
      <c r="I75" s="7">
        <v>0.55063000651322802</v>
      </c>
      <c r="J75" s="7">
        <v>0.52383376576180996</v>
      </c>
      <c r="K75" s="7">
        <v>0.52785902773208504</v>
      </c>
      <c r="L75" s="7">
        <v>0.546982631574634</v>
      </c>
      <c r="M75" s="7">
        <v>0.54360501085869495</v>
      </c>
      <c r="N75" s="7">
        <f t="shared" ref="N75:N78" si="28">SUMPRODUCT(B75:M75,$B$73:$M$73)/SUM($B$73:$M$73)</f>
        <v>0.60341465782487103</v>
      </c>
    </row>
    <row r="76" spans="1:15" x14ac:dyDescent="0.35">
      <c r="A76" s="5" t="s">
        <v>37</v>
      </c>
      <c r="B76" s="7">
        <v>5.1400008226411904</v>
      </c>
      <c r="C76" s="7">
        <v>4.5591191358841403</v>
      </c>
      <c r="D76" s="7">
        <v>4.5963271300049602</v>
      </c>
      <c r="E76" s="7">
        <v>5.1237409897543804</v>
      </c>
      <c r="F76" s="7">
        <v>4.8279056232027298</v>
      </c>
      <c r="G76" s="7">
        <v>4.5406008919884</v>
      </c>
      <c r="H76" s="7">
        <v>5.46940983358121</v>
      </c>
      <c r="I76" s="7">
        <v>4.9514040687002403</v>
      </c>
      <c r="J76" s="7">
        <v>4.2318464131914997</v>
      </c>
      <c r="K76" s="7">
        <v>4.7988366524975996</v>
      </c>
      <c r="L76" s="7">
        <v>4.93003836984703</v>
      </c>
      <c r="M76" s="7">
        <v>4.9975468448450897</v>
      </c>
      <c r="N76" s="7">
        <f t="shared" si="28"/>
        <v>4.8411373574408625</v>
      </c>
    </row>
    <row r="77" spans="1:15" x14ac:dyDescent="0.35">
      <c r="A77" s="5" t="s">
        <v>38</v>
      </c>
      <c r="B77" s="7">
        <v>7.9684127195664098</v>
      </c>
      <c r="C77" s="7">
        <v>7.5073713345746302</v>
      </c>
      <c r="D77" s="7">
        <v>7.3053122036805602</v>
      </c>
      <c r="E77" s="7">
        <v>7.3141874168513201</v>
      </c>
      <c r="F77" s="7">
        <v>7.2934235711691597</v>
      </c>
      <c r="G77" s="7">
        <v>7.0845271641510301</v>
      </c>
      <c r="H77" s="7">
        <v>7.3044096894042596</v>
      </c>
      <c r="I77" s="7">
        <v>7.5575721221498098</v>
      </c>
      <c r="J77" s="7">
        <v>7.1826945652590499</v>
      </c>
      <c r="K77" s="7">
        <v>7.4774673877961497</v>
      </c>
      <c r="L77" s="7">
        <v>7.3249599667415399</v>
      </c>
      <c r="M77" s="7">
        <v>7.6231050296600698</v>
      </c>
      <c r="N77" s="7">
        <f t="shared" si="28"/>
        <v>7.386331839135952</v>
      </c>
    </row>
    <row r="78" spans="1:15" x14ac:dyDescent="0.35">
      <c r="A78" s="5" t="s">
        <v>25</v>
      </c>
      <c r="B78" s="7">
        <v>13.501773791466501</v>
      </c>
      <c r="C78" s="7">
        <v>14.506560947286875</v>
      </c>
      <c r="D78" s="7">
        <v>14.200725957541751</v>
      </c>
      <c r="E78" s="7">
        <v>13.742458193290251</v>
      </c>
      <c r="F78" s="7">
        <v>13.759598617916499</v>
      </c>
      <c r="G78" s="7">
        <v>15.888522129933875</v>
      </c>
      <c r="H78" s="7">
        <v>14.347097458553</v>
      </c>
      <c r="I78" s="7">
        <v>13.186564691276374</v>
      </c>
      <c r="J78" s="7">
        <v>13.129570168035125</v>
      </c>
      <c r="K78" s="7">
        <v>12.982684650667624</v>
      </c>
      <c r="L78" s="7">
        <v>12.464583441012387</v>
      </c>
      <c r="M78" s="7">
        <v>13.528504363957126</v>
      </c>
      <c r="N78" s="7">
        <f t="shared" si="28"/>
        <v>13.846499085482177</v>
      </c>
    </row>
    <row r="79" spans="1:15" s="2" customFormat="1" x14ac:dyDescent="0.35">
      <c r="A79" s="9" t="s">
        <v>39</v>
      </c>
      <c r="B79" s="10">
        <v>100</v>
      </c>
      <c r="C79" s="10">
        <v>100</v>
      </c>
      <c r="D79" s="10">
        <v>120</v>
      </c>
      <c r="E79" s="10">
        <v>110</v>
      </c>
      <c r="F79" s="10">
        <v>130</v>
      </c>
      <c r="G79" s="10">
        <v>120</v>
      </c>
      <c r="H79" s="10">
        <v>130</v>
      </c>
      <c r="I79" s="10">
        <v>150</v>
      </c>
      <c r="J79" s="10">
        <v>120</v>
      </c>
      <c r="K79" s="10">
        <v>130</v>
      </c>
      <c r="L79" s="10">
        <v>120</v>
      </c>
      <c r="M79" s="10">
        <v>150</v>
      </c>
      <c r="N79" s="10">
        <f>SUM(B79:M79)</f>
        <v>1480</v>
      </c>
    </row>
    <row r="80" spans="1:15" x14ac:dyDescent="0.35">
      <c r="A80" s="5" t="s">
        <v>62</v>
      </c>
      <c r="B80" s="8">
        <v>6528.8012797245638</v>
      </c>
      <c r="C80" s="8">
        <v>6523.4410485998433</v>
      </c>
      <c r="D80" s="8">
        <v>6602.1856468823917</v>
      </c>
      <c r="E80" s="8">
        <v>6481.08549184607</v>
      </c>
      <c r="F80" s="8">
        <v>6487.5273811442139</v>
      </c>
      <c r="G80" s="8">
        <v>6515.571438084402</v>
      </c>
      <c r="H80" s="8">
        <v>6445.0322974685605</v>
      </c>
      <c r="I80" s="8">
        <v>6472.1448439150581</v>
      </c>
      <c r="J80" s="8">
        <v>6412.4032320438118</v>
      </c>
      <c r="K80" s="8">
        <v>6476.7335262632087</v>
      </c>
      <c r="L80" s="8">
        <v>6460.6228119435345</v>
      </c>
      <c r="M80" s="8">
        <v>6423.295236099113</v>
      </c>
      <c r="N80" s="8">
        <f>SUMPRODUCT(B80:M80,$B$79:$M$79)/SUM($B$79:$M$79)</f>
        <v>6482.8119871932486</v>
      </c>
    </row>
    <row r="81" spans="1:16" x14ac:dyDescent="0.35">
      <c r="A81" s="5" t="s">
        <v>40</v>
      </c>
      <c r="B81" s="7">
        <v>1.8419030452067799</v>
      </c>
      <c r="C81" s="7">
        <v>2.1453577261518602</v>
      </c>
      <c r="D81" s="7">
        <v>1.7213436922084799</v>
      </c>
      <c r="E81" s="7">
        <v>1.7720411434008401</v>
      </c>
      <c r="F81" s="7">
        <v>1.7757748411372201</v>
      </c>
      <c r="G81" s="7">
        <v>2.0870683125705898</v>
      </c>
      <c r="H81" s="7">
        <v>1.81379341991147</v>
      </c>
      <c r="I81" s="7">
        <v>1.82869354084894</v>
      </c>
      <c r="J81" s="7">
        <v>1.84821414527398</v>
      </c>
      <c r="K81" s="7">
        <v>1.8968173866107201</v>
      </c>
      <c r="L81" s="7">
        <v>1.81902940099376</v>
      </c>
      <c r="M81" s="7">
        <v>1.9904988877701799</v>
      </c>
      <c r="N81" s="7">
        <f t="shared" ref="N81:N84" si="29">SUMPRODUCT(B81:M81,$B$79:$M$79)/SUM($B$79:$M$79)</f>
        <v>1.8762420726514626</v>
      </c>
    </row>
    <row r="82" spans="1:16" x14ac:dyDescent="0.35">
      <c r="A82" s="5" t="s">
        <v>37</v>
      </c>
      <c r="B82" s="7">
        <v>6.7257045938398603</v>
      </c>
      <c r="C82" s="7">
        <v>7.6729169335237897</v>
      </c>
      <c r="D82" s="7">
        <v>55.9656466134116</v>
      </c>
      <c r="E82" s="7">
        <v>5.9370559464232704</v>
      </c>
      <c r="F82" s="7">
        <v>5.2917712925480398</v>
      </c>
      <c r="G82" s="7">
        <v>7.3265169057402604</v>
      </c>
      <c r="H82" s="7">
        <v>5.9374765556133804</v>
      </c>
      <c r="I82" s="7">
        <v>5.9831573658387596</v>
      </c>
      <c r="J82" s="7">
        <v>6.0080331869390102</v>
      </c>
      <c r="K82" s="7">
        <v>6.0190798405328803</v>
      </c>
      <c r="L82" s="7">
        <v>6.0931431583968196</v>
      </c>
      <c r="M82" s="7">
        <v>5.9789559137233397</v>
      </c>
      <c r="N82" s="7">
        <f t="shared" si="29"/>
        <v>10.254553163544609</v>
      </c>
    </row>
    <row r="83" spans="1:16" x14ac:dyDescent="0.35">
      <c r="A83" s="5" t="s">
        <v>38</v>
      </c>
      <c r="B83" s="7">
        <v>7.2396068035292096</v>
      </c>
      <c r="C83" s="7">
        <v>7.1179754392605297</v>
      </c>
      <c r="D83" s="7">
        <v>6.70650535542008</v>
      </c>
      <c r="E83" s="7">
        <v>6.8833177652101698</v>
      </c>
      <c r="F83" s="7">
        <v>6.7128750919537499</v>
      </c>
      <c r="G83" s="7">
        <v>6.6876777458339998</v>
      </c>
      <c r="H83" s="7">
        <v>6.6455047447535698</v>
      </c>
      <c r="I83" s="7">
        <v>6.3583254552017303</v>
      </c>
      <c r="J83" s="7">
        <v>6.7263937642713101</v>
      </c>
      <c r="K83" s="7">
        <v>6.4663362167734801</v>
      </c>
      <c r="L83" s="7">
        <v>6.2063255544558302</v>
      </c>
      <c r="M83" s="7">
        <v>6.1537235204866203</v>
      </c>
      <c r="N83" s="7">
        <f t="shared" si="29"/>
        <v>6.6257918257808086</v>
      </c>
    </row>
    <row r="84" spans="1:16" x14ac:dyDescent="0.35">
      <c r="A84" s="5" t="s">
        <v>25</v>
      </c>
      <c r="B84" s="7">
        <v>11.802556881451491</v>
      </c>
      <c r="C84" s="7">
        <v>10.616484809103152</v>
      </c>
      <c r="D84" s="7">
        <v>10.666707929638552</v>
      </c>
      <c r="E84" s="7">
        <v>11.538927408118219</v>
      </c>
      <c r="F84" s="7">
        <v>11.478201392020001</v>
      </c>
      <c r="G84" s="7">
        <v>10.023203001736388</v>
      </c>
      <c r="H84" s="7">
        <v>11.71496750954244</v>
      </c>
      <c r="I84" s="7">
        <v>11.1861149948812</v>
      </c>
      <c r="J84" s="7">
        <v>11.92604943552946</v>
      </c>
      <c r="K84" s="7">
        <v>11.484406114408591</v>
      </c>
      <c r="L84" s="7">
        <v>11.08083488825698</v>
      </c>
      <c r="M84" s="7">
        <v>11.4168335968786</v>
      </c>
      <c r="N84" s="7">
        <f t="shared" si="29"/>
        <v>11.252249091491917</v>
      </c>
    </row>
    <row r="85" spans="1:16" s="2" customFormat="1" x14ac:dyDescent="0.35">
      <c r="A85" s="9" t="s">
        <v>66</v>
      </c>
      <c r="B85" s="10">
        <v>7</v>
      </c>
      <c r="C85" s="10">
        <v>5</v>
      </c>
      <c r="D85" s="10">
        <v>8</v>
      </c>
      <c r="E85" s="10">
        <v>7</v>
      </c>
      <c r="F85" s="10">
        <v>10</v>
      </c>
      <c r="G85" s="10">
        <v>15</v>
      </c>
      <c r="H85" s="10">
        <v>15</v>
      </c>
      <c r="I85" s="10">
        <v>20</v>
      </c>
      <c r="J85" s="10">
        <v>10</v>
      </c>
      <c r="K85" s="10">
        <v>8</v>
      </c>
      <c r="L85" s="10">
        <v>7</v>
      </c>
      <c r="M85" s="10">
        <v>8</v>
      </c>
      <c r="N85" s="10">
        <f>SUM(B85:M85)</f>
        <v>120</v>
      </c>
    </row>
    <row r="86" spans="1:16" x14ac:dyDescent="0.35">
      <c r="A86" s="5" t="s">
        <v>62</v>
      </c>
      <c r="B86" s="8">
        <v>3581.7630737660656</v>
      </c>
      <c r="C86" s="8">
        <v>3599.0009409474374</v>
      </c>
      <c r="D86" s="8">
        <v>4341.3047199482971</v>
      </c>
      <c r="E86" s="8">
        <v>3587.2262601626016</v>
      </c>
      <c r="F86" s="8">
        <v>3651.2002116062845</v>
      </c>
      <c r="G86" s="8">
        <v>5641.0448876583969</v>
      </c>
      <c r="H86" s="8">
        <v>5567.1957616646541</v>
      </c>
      <c r="I86" s="8">
        <v>5442.612127455508</v>
      </c>
      <c r="J86" s="8">
        <v>5422.5221928173087</v>
      </c>
      <c r="K86" s="8">
        <v>5471.7948296685745</v>
      </c>
      <c r="L86" s="8">
        <v>5388.1089836950741</v>
      </c>
      <c r="M86" s="8">
        <v>5438.948456537958</v>
      </c>
      <c r="N86" s="8">
        <f>SUMPRODUCT(B86:M86,$B$85:$M$85)/SUM($B$85:$M$85)</f>
        <v>4963.534610921115</v>
      </c>
    </row>
    <row r="87" spans="1:16" x14ac:dyDescent="0.35">
      <c r="A87" s="5" t="s">
        <v>42</v>
      </c>
      <c r="B87" s="7">
        <v>1.1599999999999999</v>
      </c>
      <c r="C87" s="7">
        <v>1.1499999999999999</v>
      </c>
      <c r="D87" s="7">
        <v>1.44</v>
      </c>
      <c r="E87" s="7">
        <v>0.51</v>
      </c>
      <c r="F87" s="7">
        <v>0.5</v>
      </c>
      <c r="G87" s="7">
        <v>1.45</v>
      </c>
      <c r="H87" s="7">
        <v>1.5216666666666649</v>
      </c>
      <c r="I87" s="7">
        <v>1.5933333333333299</v>
      </c>
      <c r="J87" s="7">
        <v>1.61333333333333</v>
      </c>
      <c r="K87" s="7">
        <v>1.5833333333333299</v>
      </c>
      <c r="L87" s="7">
        <v>1.5533333333333299</v>
      </c>
      <c r="M87" s="7">
        <v>1.61333333333333</v>
      </c>
      <c r="N87" s="7">
        <f t="shared" ref="N87:N90" si="30">SUMPRODUCT(B87:M87,$B$85:$M$85)/SUM($B$85:$M$85)</f>
        <v>1.3581805555555537</v>
      </c>
    </row>
    <row r="88" spans="1:16" x14ac:dyDescent="0.35">
      <c r="A88" s="5" t="s">
        <v>37</v>
      </c>
      <c r="B88" s="7">
        <v>13.6</v>
      </c>
      <c r="C88" s="7">
        <v>13.18</v>
      </c>
      <c r="D88" s="7">
        <v>12.69</v>
      </c>
      <c r="E88" s="7">
        <v>14.445</v>
      </c>
      <c r="F88" s="7">
        <v>14.2</v>
      </c>
      <c r="G88" s="7">
        <v>6.835</v>
      </c>
      <c r="H88" s="7">
        <v>8.9933333333333252</v>
      </c>
      <c r="I88" s="7">
        <v>11.15166666666665</v>
      </c>
      <c r="J88" s="7">
        <v>11.1416666666666</v>
      </c>
      <c r="K88" s="7">
        <v>11.011666666666599</v>
      </c>
      <c r="L88" s="7">
        <v>11.171666666666599</v>
      </c>
      <c r="M88" s="7">
        <v>11.9816666666666</v>
      </c>
      <c r="N88" s="7">
        <f t="shared" si="30"/>
        <v>11.164652777777754</v>
      </c>
    </row>
    <row r="89" spans="1:16" x14ac:dyDescent="0.35">
      <c r="A89" s="5" t="s">
        <v>38</v>
      </c>
      <c r="B89" s="7">
        <v>7.41</v>
      </c>
      <c r="C89" s="7">
        <v>7.54</v>
      </c>
      <c r="D89" s="7">
        <v>7.16</v>
      </c>
      <c r="E89" s="7">
        <v>6.52</v>
      </c>
      <c r="F89" s="7">
        <v>6.43</v>
      </c>
      <c r="G89" s="7">
        <v>6.09</v>
      </c>
      <c r="H89" s="7">
        <v>6.1266666666666652</v>
      </c>
      <c r="I89" s="7">
        <v>6.1633333333333304</v>
      </c>
      <c r="J89" s="7">
        <v>6.1633333333333304</v>
      </c>
      <c r="K89" s="7">
        <v>6.1633333333333304</v>
      </c>
      <c r="L89" s="7">
        <v>6.1633333333333304</v>
      </c>
      <c r="M89" s="7">
        <v>6.1633333333333304</v>
      </c>
      <c r="N89" s="7">
        <f t="shared" si="30"/>
        <v>6.3891388888888878</v>
      </c>
    </row>
    <row r="90" spans="1:16" x14ac:dyDescent="0.35">
      <c r="A90" s="5" t="s">
        <v>25</v>
      </c>
      <c r="B90" s="7">
        <v>13.89</v>
      </c>
      <c r="C90" s="7">
        <v>14.11</v>
      </c>
      <c r="D90" s="7">
        <v>14.411999999999999</v>
      </c>
      <c r="E90" s="7">
        <v>13.208</v>
      </c>
      <c r="F90" s="7">
        <v>13.587999999999999</v>
      </c>
      <c r="G90" s="7">
        <v>13.532</v>
      </c>
      <c r="H90" s="7">
        <v>13.394666666666662</v>
      </c>
      <c r="I90" s="7">
        <v>14.053333333333327</v>
      </c>
      <c r="J90" s="7">
        <v>14.0233333333333</v>
      </c>
      <c r="K90" s="7">
        <v>13.983333333333301</v>
      </c>
      <c r="L90" s="7">
        <v>14.453333333333299</v>
      </c>
      <c r="M90" s="7">
        <v>14.053333333333301</v>
      </c>
      <c r="N90" s="7">
        <f t="shared" si="30"/>
        <v>13.850655555555546</v>
      </c>
    </row>
    <row r="91" spans="1:16" x14ac:dyDescent="0.35">
      <c r="A91" s="29" t="s">
        <v>55</v>
      </c>
      <c r="B91" s="30">
        <v>56.6</v>
      </c>
      <c r="C91" s="30">
        <v>56.9</v>
      </c>
      <c r="D91" s="30">
        <v>56.1</v>
      </c>
      <c r="E91" s="30">
        <v>55.6</v>
      </c>
      <c r="F91" s="30">
        <v>56.5</v>
      </c>
      <c r="G91" s="30">
        <v>55.8</v>
      </c>
      <c r="H91" s="30">
        <v>56</v>
      </c>
      <c r="I91" s="30">
        <v>55.2</v>
      </c>
      <c r="J91" s="30">
        <v>55.6</v>
      </c>
      <c r="K91" s="30">
        <v>56.2</v>
      </c>
      <c r="L91" s="30">
        <v>55.8</v>
      </c>
      <c r="M91" s="30">
        <v>55.2</v>
      </c>
      <c r="N91" s="30">
        <f>SUM(B91:M91)</f>
        <v>671.5</v>
      </c>
      <c r="O91" s="2"/>
      <c r="P91"/>
    </row>
    <row r="92" spans="1:16" x14ac:dyDescent="0.35">
      <c r="A92" s="5" t="s">
        <v>62</v>
      </c>
      <c r="B92" s="8">
        <v>6322</v>
      </c>
      <c r="C92" s="8">
        <v>6322</v>
      </c>
      <c r="D92" s="8">
        <v>6322</v>
      </c>
      <c r="E92" s="8">
        <v>6322</v>
      </c>
      <c r="F92" s="8">
        <v>6322</v>
      </c>
      <c r="G92" s="8">
        <v>6322</v>
      </c>
      <c r="H92" s="8">
        <v>6322</v>
      </c>
      <c r="I92" s="8">
        <v>6322</v>
      </c>
      <c r="J92" s="8">
        <v>6322</v>
      </c>
      <c r="K92" s="8">
        <v>6322</v>
      </c>
      <c r="L92" s="8">
        <v>6322</v>
      </c>
      <c r="M92" s="8">
        <v>6322</v>
      </c>
      <c r="N92" s="8">
        <v>6322</v>
      </c>
      <c r="P92"/>
    </row>
    <row r="93" spans="1:16" x14ac:dyDescent="0.35">
      <c r="A93" s="5" t="s">
        <v>68</v>
      </c>
      <c r="B93" s="7">
        <v>0.6</v>
      </c>
      <c r="C93" s="7">
        <v>0.6</v>
      </c>
      <c r="D93" s="7">
        <v>0.6</v>
      </c>
      <c r="E93" s="7">
        <v>0.6</v>
      </c>
      <c r="F93" s="7">
        <v>0.6</v>
      </c>
      <c r="G93" s="7">
        <v>0.6</v>
      </c>
      <c r="H93" s="7">
        <v>0.6</v>
      </c>
      <c r="I93" s="7">
        <v>0.6</v>
      </c>
      <c r="J93" s="7">
        <v>0.6</v>
      </c>
      <c r="K93" s="7">
        <v>0.6</v>
      </c>
      <c r="L93" s="7">
        <v>0.6</v>
      </c>
      <c r="M93" s="7">
        <v>0.6</v>
      </c>
      <c r="N93" s="7">
        <v>0.6</v>
      </c>
      <c r="P93"/>
    </row>
    <row r="94" spans="1:16" x14ac:dyDescent="0.35">
      <c r="A94" s="5" t="s">
        <v>69</v>
      </c>
      <c r="B94" s="7">
        <v>7</v>
      </c>
      <c r="C94" s="7">
        <v>7</v>
      </c>
      <c r="D94" s="7">
        <v>7</v>
      </c>
      <c r="E94" s="7">
        <v>7</v>
      </c>
      <c r="F94" s="7">
        <v>7</v>
      </c>
      <c r="G94" s="7">
        <v>7</v>
      </c>
      <c r="H94" s="7">
        <v>7</v>
      </c>
      <c r="I94" s="7">
        <v>7</v>
      </c>
      <c r="J94" s="7">
        <v>7</v>
      </c>
      <c r="K94" s="7">
        <v>7</v>
      </c>
      <c r="L94" s="7">
        <v>7</v>
      </c>
      <c r="M94" s="7">
        <v>7</v>
      </c>
      <c r="N94" s="7">
        <v>7</v>
      </c>
      <c r="P94"/>
    </row>
    <row r="95" spans="1:16" x14ac:dyDescent="0.35">
      <c r="A95" s="5" t="s">
        <v>38</v>
      </c>
      <c r="B95" s="7">
        <v>12</v>
      </c>
      <c r="C95" s="7">
        <v>12</v>
      </c>
      <c r="D95" s="7">
        <v>12</v>
      </c>
      <c r="E95" s="7">
        <v>12</v>
      </c>
      <c r="F95" s="7">
        <v>12</v>
      </c>
      <c r="G95" s="7">
        <v>12</v>
      </c>
      <c r="H95" s="7">
        <v>12</v>
      </c>
      <c r="I95" s="7">
        <v>12</v>
      </c>
      <c r="J95" s="7">
        <v>12</v>
      </c>
      <c r="K95" s="7">
        <v>12</v>
      </c>
      <c r="L95" s="7">
        <v>12</v>
      </c>
      <c r="M95" s="7">
        <v>12</v>
      </c>
      <c r="N95" s="7">
        <v>12</v>
      </c>
      <c r="P95"/>
    </row>
    <row r="96" spans="1:16" x14ac:dyDescent="0.35">
      <c r="A96" s="5" t="s">
        <v>25</v>
      </c>
      <c r="B96" s="7">
        <v>14</v>
      </c>
      <c r="C96" s="7">
        <v>14</v>
      </c>
      <c r="D96" s="7">
        <v>14</v>
      </c>
      <c r="E96" s="7">
        <v>14</v>
      </c>
      <c r="F96" s="7">
        <v>14</v>
      </c>
      <c r="G96" s="7">
        <v>14</v>
      </c>
      <c r="H96" s="7">
        <v>14</v>
      </c>
      <c r="I96" s="7">
        <v>14</v>
      </c>
      <c r="J96" s="7">
        <v>14</v>
      </c>
      <c r="K96" s="7">
        <v>14</v>
      </c>
      <c r="L96" s="7">
        <v>14</v>
      </c>
      <c r="M96" s="7">
        <v>14</v>
      </c>
      <c r="N96" s="7">
        <v>14</v>
      </c>
      <c r="P96"/>
    </row>
    <row r="97" spans="1:16" x14ac:dyDescent="0.35">
      <c r="A97" s="29" t="s">
        <v>56</v>
      </c>
      <c r="B97" s="30">
        <v>82.5</v>
      </c>
      <c r="C97" s="30">
        <v>82.5</v>
      </c>
      <c r="D97" s="30">
        <v>82.5</v>
      </c>
      <c r="E97" s="30">
        <v>82.5</v>
      </c>
      <c r="F97" s="30">
        <v>82.5</v>
      </c>
      <c r="G97" s="30">
        <v>82.5</v>
      </c>
      <c r="H97" s="30">
        <v>82.5</v>
      </c>
      <c r="I97" s="30">
        <v>82.5</v>
      </c>
      <c r="J97" s="30">
        <v>90</v>
      </c>
      <c r="K97" s="30">
        <v>90</v>
      </c>
      <c r="L97" s="30">
        <v>82.5</v>
      </c>
      <c r="M97" s="30">
        <v>82.5</v>
      </c>
      <c r="N97" s="30">
        <f>SUM(B97:M97)</f>
        <v>1005</v>
      </c>
      <c r="O97" s="2"/>
      <c r="P97"/>
    </row>
    <row r="98" spans="1:16" x14ac:dyDescent="0.35">
      <c r="A98" s="5" t="s">
        <v>62</v>
      </c>
      <c r="B98" s="8">
        <v>5400</v>
      </c>
      <c r="C98" s="8">
        <v>5400</v>
      </c>
      <c r="D98" s="8">
        <v>5400</v>
      </c>
      <c r="E98" s="8">
        <v>5400</v>
      </c>
      <c r="F98" s="8">
        <v>5400</v>
      </c>
      <c r="G98" s="8">
        <v>5400</v>
      </c>
      <c r="H98" s="8">
        <v>5400</v>
      </c>
      <c r="I98" s="8">
        <v>5400</v>
      </c>
      <c r="J98" s="8">
        <v>5400</v>
      </c>
      <c r="K98" s="8">
        <v>5400</v>
      </c>
      <c r="L98" s="8">
        <v>5400</v>
      </c>
      <c r="M98" s="8">
        <v>5400</v>
      </c>
      <c r="N98" s="8">
        <v>5400</v>
      </c>
      <c r="P98"/>
    </row>
    <row r="99" spans="1:16" x14ac:dyDescent="0.35">
      <c r="A99" s="5" t="s">
        <v>42</v>
      </c>
      <c r="B99" s="7">
        <v>1</v>
      </c>
      <c r="C99" s="7">
        <v>1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P99"/>
    </row>
    <row r="100" spans="1:16" x14ac:dyDescent="0.35">
      <c r="A100" s="5" t="s">
        <v>69</v>
      </c>
      <c r="B100" s="7">
        <v>6</v>
      </c>
      <c r="C100" s="7">
        <v>6</v>
      </c>
      <c r="D100" s="7">
        <v>6</v>
      </c>
      <c r="E100" s="7">
        <v>6</v>
      </c>
      <c r="F100" s="7">
        <v>6</v>
      </c>
      <c r="G100" s="7">
        <v>6</v>
      </c>
      <c r="H100" s="7">
        <v>6</v>
      </c>
      <c r="I100" s="7">
        <v>6</v>
      </c>
      <c r="J100" s="7">
        <v>6</v>
      </c>
      <c r="K100" s="7">
        <v>6</v>
      </c>
      <c r="L100" s="7">
        <v>6</v>
      </c>
      <c r="M100" s="7">
        <v>6</v>
      </c>
      <c r="N100" s="7">
        <v>6</v>
      </c>
      <c r="P100"/>
    </row>
    <row r="101" spans="1:16" x14ac:dyDescent="0.35">
      <c r="A101" s="5" t="s">
        <v>38</v>
      </c>
      <c r="B101" s="7">
        <v>15</v>
      </c>
      <c r="C101" s="7">
        <v>15</v>
      </c>
      <c r="D101" s="7">
        <v>15</v>
      </c>
      <c r="E101" s="7">
        <v>15</v>
      </c>
      <c r="F101" s="7">
        <v>15</v>
      </c>
      <c r="G101" s="7">
        <v>15</v>
      </c>
      <c r="H101" s="7">
        <v>15</v>
      </c>
      <c r="I101" s="7">
        <v>15</v>
      </c>
      <c r="J101" s="7">
        <v>15</v>
      </c>
      <c r="K101" s="7">
        <v>15</v>
      </c>
      <c r="L101" s="7">
        <v>15</v>
      </c>
      <c r="M101" s="7">
        <v>15</v>
      </c>
      <c r="N101" s="7">
        <v>15</v>
      </c>
      <c r="P101"/>
    </row>
    <row r="102" spans="1:16" x14ac:dyDescent="0.35">
      <c r="A102" s="5" t="s">
        <v>25</v>
      </c>
      <c r="B102" s="7">
        <v>24</v>
      </c>
      <c r="C102" s="7">
        <v>24</v>
      </c>
      <c r="D102" s="7">
        <v>24</v>
      </c>
      <c r="E102" s="7">
        <v>24</v>
      </c>
      <c r="F102" s="7">
        <v>24</v>
      </c>
      <c r="G102" s="7">
        <v>24</v>
      </c>
      <c r="H102" s="7">
        <v>24</v>
      </c>
      <c r="I102" s="7">
        <v>24</v>
      </c>
      <c r="J102" s="7">
        <v>24</v>
      </c>
      <c r="K102" s="7">
        <v>24</v>
      </c>
      <c r="L102" s="7">
        <v>24</v>
      </c>
      <c r="M102" s="7">
        <v>24</v>
      </c>
      <c r="N102" s="7">
        <v>24</v>
      </c>
      <c r="P102"/>
    </row>
    <row r="104" spans="1:16" x14ac:dyDescent="0.35">
      <c r="A104" s="6" t="s">
        <v>48</v>
      </c>
      <c r="B104" s="6" t="s">
        <v>1</v>
      </c>
      <c r="C104" s="6" t="s">
        <v>2</v>
      </c>
      <c r="D104" s="6" t="s">
        <v>3</v>
      </c>
      <c r="E104" s="6" t="s">
        <v>4</v>
      </c>
      <c r="F104" s="6" t="s">
        <v>5</v>
      </c>
      <c r="G104" s="6" t="s">
        <v>6</v>
      </c>
      <c r="H104" s="6" t="s">
        <v>7</v>
      </c>
      <c r="I104" s="6" t="s">
        <v>8</v>
      </c>
      <c r="J104" s="6" t="s">
        <v>9</v>
      </c>
      <c r="K104" s="6" t="s">
        <v>10</v>
      </c>
      <c r="L104" s="6" t="s">
        <v>11</v>
      </c>
      <c r="M104" s="6" t="s">
        <v>12</v>
      </c>
      <c r="N104" s="6" t="s">
        <v>13</v>
      </c>
      <c r="O104" s="4"/>
    </row>
    <row r="105" spans="1:16" s="2" customFormat="1" x14ac:dyDescent="0.35">
      <c r="A105" s="9" t="s">
        <v>14</v>
      </c>
      <c r="B105" s="10">
        <f>SUM(B106:B108)</f>
        <v>7995</v>
      </c>
      <c r="C105" s="10">
        <f t="shared" ref="C105:N105" si="31">SUM(C106:C108)</f>
        <v>7084</v>
      </c>
      <c r="D105" s="10">
        <f t="shared" si="31"/>
        <v>7619</v>
      </c>
      <c r="E105" s="10">
        <f t="shared" si="31"/>
        <v>7232</v>
      </c>
      <c r="F105" s="10">
        <f t="shared" si="31"/>
        <v>7571</v>
      </c>
      <c r="G105" s="10">
        <f t="shared" si="31"/>
        <v>7592.9999999999991</v>
      </c>
      <c r="H105" s="10">
        <f t="shared" si="31"/>
        <v>8096.9999999999982</v>
      </c>
      <c r="I105" s="10">
        <f t="shared" si="31"/>
        <v>8330</v>
      </c>
      <c r="J105" s="10">
        <f t="shared" si="31"/>
        <v>7698</v>
      </c>
      <c r="K105" s="10">
        <f t="shared" si="31"/>
        <v>7481.9999999999991</v>
      </c>
      <c r="L105" s="10">
        <f t="shared" si="31"/>
        <v>6860</v>
      </c>
      <c r="M105" s="10">
        <f t="shared" si="31"/>
        <v>7389.0000000000009</v>
      </c>
      <c r="N105" s="10">
        <f t="shared" si="31"/>
        <v>90950</v>
      </c>
      <c r="P105" s="1" t="s">
        <v>63</v>
      </c>
    </row>
    <row r="106" spans="1:16" x14ac:dyDescent="0.35">
      <c r="A106" s="5" t="s">
        <v>30</v>
      </c>
      <c r="B106" s="8">
        <v>2085</v>
      </c>
      <c r="C106" s="8">
        <v>1783.9999999999998</v>
      </c>
      <c r="D106" s="8">
        <v>1974</v>
      </c>
      <c r="E106" s="8">
        <v>1997</v>
      </c>
      <c r="F106" s="8">
        <v>1991</v>
      </c>
      <c r="G106" s="8">
        <v>1967.9999999999993</v>
      </c>
      <c r="H106" s="8">
        <v>2131.9999999999986</v>
      </c>
      <c r="I106" s="8">
        <v>2305.0000000000009</v>
      </c>
      <c r="J106" s="8">
        <v>2063</v>
      </c>
      <c r="K106" s="8">
        <v>2061.9999999999991</v>
      </c>
      <c r="L106" s="8">
        <v>1755</v>
      </c>
      <c r="M106" s="8">
        <v>1884.0000000000009</v>
      </c>
      <c r="N106" s="8">
        <f>SUM(B106:M106)</f>
        <v>24000</v>
      </c>
    </row>
    <row r="107" spans="1:16" x14ac:dyDescent="0.35">
      <c r="A107" s="5" t="s">
        <v>59</v>
      </c>
      <c r="B107" s="8">
        <v>4250</v>
      </c>
      <c r="C107" s="8">
        <v>3810</v>
      </c>
      <c r="D107" s="8">
        <v>4105</v>
      </c>
      <c r="E107" s="8">
        <v>4235</v>
      </c>
      <c r="F107" s="8">
        <v>4480</v>
      </c>
      <c r="G107" s="8">
        <v>4475</v>
      </c>
      <c r="H107" s="8">
        <v>4785</v>
      </c>
      <c r="I107" s="8">
        <v>4825</v>
      </c>
      <c r="J107" s="8">
        <v>4495</v>
      </c>
      <c r="K107" s="8">
        <v>4420</v>
      </c>
      <c r="L107" s="8">
        <v>4115</v>
      </c>
      <c r="M107" s="8">
        <v>4455</v>
      </c>
      <c r="N107" s="8">
        <f t="shared" ref="N107:N108" si="32">SUM(B107:M107)</f>
        <v>52450</v>
      </c>
    </row>
    <row r="108" spans="1:16" x14ac:dyDescent="0.35">
      <c r="A108" s="5" t="s">
        <v>45</v>
      </c>
      <c r="B108" s="8">
        <v>1660</v>
      </c>
      <c r="C108" s="8">
        <v>1490</v>
      </c>
      <c r="D108" s="8">
        <v>1540</v>
      </c>
      <c r="E108" s="8">
        <v>1000</v>
      </c>
      <c r="F108" s="8">
        <v>1100</v>
      </c>
      <c r="G108" s="8">
        <v>1150</v>
      </c>
      <c r="H108" s="8">
        <v>1180</v>
      </c>
      <c r="I108" s="8">
        <v>1200</v>
      </c>
      <c r="J108" s="8">
        <v>1140</v>
      </c>
      <c r="K108" s="8">
        <v>1000</v>
      </c>
      <c r="L108" s="8">
        <v>990</v>
      </c>
      <c r="M108" s="8">
        <v>1050</v>
      </c>
      <c r="N108" s="8">
        <f t="shared" si="32"/>
        <v>14500</v>
      </c>
    </row>
    <row r="109" spans="1:16" s="2" customFormat="1" x14ac:dyDescent="0.35">
      <c r="A109" s="9" t="s">
        <v>17</v>
      </c>
      <c r="B109" s="10">
        <f t="shared" ref="B109:M109" si="33">SUM(B110:B112)</f>
        <v>684</v>
      </c>
      <c r="C109" s="10">
        <f t="shared" si="33"/>
        <v>657.99999999999989</v>
      </c>
      <c r="D109" s="10">
        <f t="shared" si="33"/>
        <v>685.5</v>
      </c>
      <c r="E109" s="10">
        <f t="shared" si="33"/>
        <v>564</v>
      </c>
      <c r="F109" s="10">
        <f t="shared" si="33"/>
        <v>663</v>
      </c>
      <c r="G109" s="10">
        <f t="shared" si="33"/>
        <v>712</v>
      </c>
      <c r="H109" s="10">
        <f t="shared" si="33"/>
        <v>745</v>
      </c>
      <c r="I109" s="10">
        <f t="shared" si="33"/>
        <v>751.99999999999989</v>
      </c>
      <c r="J109" s="10">
        <f t="shared" si="33"/>
        <v>704</v>
      </c>
      <c r="K109" s="10">
        <f t="shared" si="33"/>
        <v>627.5</v>
      </c>
      <c r="L109" s="10">
        <f t="shared" si="33"/>
        <v>589</v>
      </c>
      <c r="M109" s="10">
        <f t="shared" si="33"/>
        <v>616</v>
      </c>
      <c r="N109" s="10">
        <f>SUM(B109:M109)</f>
        <v>8000</v>
      </c>
    </row>
    <row r="110" spans="1:16" x14ac:dyDescent="0.35">
      <c r="A110" s="5" t="s">
        <v>30</v>
      </c>
      <c r="B110" s="8">
        <v>194</v>
      </c>
      <c r="C110" s="8">
        <v>187.99999999999989</v>
      </c>
      <c r="D110" s="8">
        <v>185.49999999999994</v>
      </c>
      <c r="E110" s="8">
        <v>155.99999999999997</v>
      </c>
      <c r="F110" s="8">
        <v>195.99999999999994</v>
      </c>
      <c r="G110" s="8">
        <v>211.99999999999994</v>
      </c>
      <c r="H110" s="8">
        <v>245</v>
      </c>
      <c r="I110" s="8">
        <v>251.99999999999989</v>
      </c>
      <c r="J110" s="8">
        <v>234.00000000000006</v>
      </c>
      <c r="K110" s="8">
        <v>192.49999999999994</v>
      </c>
      <c r="L110" s="8">
        <v>168.99999999999994</v>
      </c>
      <c r="M110" s="8">
        <v>176</v>
      </c>
      <c r="N110" s="8">
        <f>SUM(B110:M110)</f>
        <v>2399.9999999999995</v>
      </c>
    </row>
    <row r="111" spans="1:16" x14ac:dyDescent="0.35">
      <c r="A111" s="5" t="s">
        <v>59</v>
      </c>
      <c r="B111" s="8">
        <v>360</v>
      </c>
      <c r="C111" s="8">
        <v>350</v>
      </c>
      <c r="D111" s="8">
        <v>375</v>
      </c>
      <c r="E111" s="8">
        <v>335</v>
      </c>
      <c r="F111" s="8">
        <v>380</v>
      </c>
      <c r="G111" s="8">
        <v>415</v>
      </c>
      <c r="H111" s="8">
        <v>375</v>
      </c>
      <c r="I111" s="8">
        <v>400</v>
      </c>
      <c r="J111" s="8">
        <v>370</v>
      </c>
      <c r="K111" s="8">
        <v>350</v>
      </c>
      <c r="L111" s="8">
        <v>340</v>
      </c>
      <c r="M111" s="8">
        <v>350</v>
      </c>
      <c r="N111" s="8">
        <f t="shared" ref="N111:N112" si="34">SUM(B111:M111)</f>
        <v>4400</v>
      </c>
    </row>
    <row r="112" spans="1:16" x14ac:dyDescent="0.35">
      <c r="A112" s="5" t="s">
        <v>45</v>
      </c>
      <c r="B112" s="8">
        <v>130</v>
      </c>
      <c r="C112" s="8">
        <v>120</v>
      </c>
      <c r="D112" s="8">
        <v>125</v>
      </c>
      <c r="E112" s="8">
        <v>73</v>
      </c>
      <c r="F112" s="8">
        <v>87</v>
      </c>
      <c r="G112" s="8">
        <v>85</v>
      </c>
      <c r="H112" s="8">
        <v>125</v>
      </c>
      <c r="I112" s="8">
        <v>100</v>
      </c>
      <c r="J112" s="8">
        <v>100</v>
      </c>
      <c r="K112" s="8">
        <v>85</v>
      </c>
      <c r="L112" s="8">
        <v>80</v>
      </c>
      <c r="M112" s="8">
        <v>90</v>
      </c>
      <c r="N112" s="8">
        <f t="shared" si="34"/>
        <v>1200</v>
      </c>
    </row>
    <row r="113" spans="1:14" s="2" customFormat="1" x14ac:dyDescent="0.35">
      <c r="A113" s="9" t="s">
        <v>43</v>
      </c>
      <c r="B113" s="11">
        <f t="shared" ref="B113:N113" si="35">B105/B109</f>
        <v>11.68859649122807</v>
      </c>
      <c r="C113" s="11">
        <f t="shared" si="35"/>
        <v>10.765957446808512</v>
      </c>
      <c r="D113" s="11">
        <f t="shared" si="35"/>
        <v>11.114514952589351</v>
      </c>
      <c r="E113" s="11">
        <f t="shared" si="35"/>
        <v>12.822695035460994</v>
      </c>
      <c r="F113" s="11">
        <f t="shared" si="35"/>
        <v>11.419306184012067</v>
      </c>
      <c r="G113" s="11">
        <f t="shared" si="35"/>
        <v>10.664325842696629</v>
      </c>
      <c r="H113" s="11">
        <f t="shared" si="35"/>
        <v>10.868456375838925</v>
      </c>
      <c r="I113" s="11">
        <f t="shared" si="35"/>
        <v>11.077127659574471</v>
      </c>
      <c r="J113" s="11">
        <f t="shared" si="35"/>
        <v>10.934659090909092</v>
      </c>
      <c r="K113" s="11">
        <f t="shared" si="35"/>
        <v>11.923505976095615</v>
      </c>
      <c r="L113" s="11">
        <f t="shared" si="35"/>
        <v>11.646859083191851</v>
      </c>
      <c r="M113" s="11">
        <f t="shared" si="35"/>
        <v>11.995129870129871</v>
      </c>
      <c r="N113" s="11">
        <f t="shared" si="35"/>
        <v>11.36875</v>
      </c>
    </row>
    <row r="114" spans="1:14" s="2" customFormat="1" x14ac:dyDescent="0.35">
      <c r="A114" s="9" t="s">
        <v>34</v>
      </c>
      <c r="B114" s="11">
        <f t="shared" ref="B114:N114" si="36">B105/B115</f>
        <v>11.421428571428571</v>
      </c>
      <c r="C114" s="11">
        <f t="shared" si="36"/>
        <v>10.119999999999999</v>
      </c>
      <c r="D114" s="11">
        <f t="shared" si="36"/>
        <v>10.884285714285713</v>
      </c>
      <c r="E114" s="11">
        <f t="shared" si="36"/>
        <v>11.126153846153846</v>
      </c>
      <c r="F114" s="11">
        <f t="shared" si="36"/>
        <v>11.647692307692308</v>
      </c>
      <c r="G114" s="11">
        <f t="shared" si="36"/>
        <v>11.681538461538461</v>
      </c>
      <c r="H114" s="11">
        <f t="shared" si="36"/>
        <v>11.567142857142855</v>
      </c>
      <c r="I114" s="11">
        <f t="shared" si="36"/>
        <v>11.732394366197184</v>
      </c>
      <c r="J114" s="11">
        <f t="shared" si="36"/>
        <v>10.997142857142856</v>
      </c>
      <c r="K114" s="11">
        <f t="shared" si="36"/>
        <v>11.336363636363634</v>
      </c>
      <c r="L114" s="11">
        <f t="shared" si="36"/>
        <v>10.71875</v>
      </c>
      <c r="M114" s="11">
        <f t="shared" si="36"/>
        <v>11.545312500000001</v>
      </c>
      <c r="N114" s="11">
        <f t="shared" si="36"/>
        <v>11.228395061728396</v>
      </c>
    </row>
    <row r="115" spans="1:14" s="2" customFormat="1" x14ac:dyDescent="0.35">
      <c r="A115" s="9" t="s">
        <v>49</v>
      </c>
      <c r="B115" s="10">
        <f>B116+B122</f>
        <v>700</v>
      </c>
      <c r="C115" s="10">
        <f t="shared" ref="C115:N115" si="37">C116+C122</f>
        <v>700</v>
      </c>
      <c r="D115" s="10">
        <f t="shared" si="37"/>
        <v>700</v>
      </c>
      <c r="E115" s="10">
        <f t="shared" si="37"/>
        <v>650</v>
      </c>
      <c r="F115" s="10">
        <f t="shared" si="37"/>
        <v>650</v>
      </c>
      <c r="G115" s="10">
        <f t="shared" si="37"/>
        <v>650</v>
      </c>
      <c r="H115" s="10">
        <f t="shared" si="37"/>
        <v>700</v>
      </c>
      <c r="I115" s="10">
        <f t="shared" si="37"/>
        <v>710</v>
      </c>
      <c r="J115" s="10">
        <f t="shared" si="37"/>
        <v>700</v>
      </c>
      <c r="K115" s="10">
        <f t="shared" si="37"/>
        <v>660</v>
      </c>
      <c r="L115" s="10">
        <f t="shared" si="37"/>
        <v>640</v>
      </c>
      <c r="M115" s="10">
        <f t="shared" si="37"/>
        <v>640</v>
      </c>
      <c r="N115" s="10">
        <f t="shared" si="37"/>
        <v>8100</v>
      </c>
    </row>
    <row r="116" spans="1:14" s="2" customFormat="1" x14ac:dyDescent="0.35">
      <c r="A116" s="9" t="s">
        <v>50</v>
      </c>
      <c r="B116" s="10">
        <v>400</v>
      </c>
      <c r="C116" s="10">
        <v>480</v>
      </c>
      <c r="D116" s="10">
        <v>480</v>
      </c>
      <c r="E116" s="10">
        <v>465</v>
      </c>
      <c r="F116" s="10">
        <v>465</v>
      </c>
      <c r="G116" s="10">
        <v>460</v>
      </c>
      <c r="H116" s="10">
        <v>500</v>
      </c>
      <c r="I116" s="10">
        <v>490</v>
      </c>
      <c r="J116" s="10">
        <v>480</v>
      </c>
      <c r="K116" s="10">
        <v>460</v>
      </c>
      <c r="L116" s="10">
        <v>440</v>
      </c>
      <c r="M116" s="10">
        <v>440</v>
      </c>
      <c r="N116" s="10">
        <f>SUM(B116:M116)</f>
        <v>5560</v>
      </c>
    </row>
    <row r="117" spans="1:14" x14ac:dyDescent="0.35">
      <c r="A117" s="5" t="s">
        <v>62</v>
      </c>
      <c r="B117" s="8">
        <v>6030.4357814927362</v>
      </c>
      <c r="C117" s="8">
        <v>5774.2276646849386</v>
      </c>
      <c r="D117" s="8">
        <v>5860.9708116608763</v>
      </c>
      <c r="E117" s="8">
        <v>5868.1864226528614</v>
      </c>
      <c r="F117" s="8">
        <v>5954.6027202388759</v>
      </c>
      <c r="G117" s="8">
        <v>5916.1255336096965</v>
      </c>
      <c r="H117" s="8">
        <v>5984.1869808979909</v>
      </c>
      <c r="I117" s="8">
        <v>5944.3265998459783</v>
      </c>
      <c r="J117" s="8">
        <v>5921.0085428423181</v>
      </c>
      <c r="K117" s="8">
        <v>5916.7362162196005</v>
      </c>
      <c r="L117" s="8">
        <v>5898.2909887133328</v>
      </c>
      <c r="M117" s="8">
        <v>5928.9325032790275</v>
      </c>
      <c r="N117" s="8">
        <f>SUMPRODUCT(B117:M117,$B$116:$M$116)/SUM($B$116:$M$116)</f>
        <v>5915.2264206877153</v>
      </c>
    </row>
    <row r="118" spans="1:14" x14ac:dyDescent="0.35">
      <c r="A118" s="5" t="s">
        <v>22</v>
      </c>
      <c r="B118" s="7">
        <v>0.53158467391584474</v>
      </c>
      <c r="C118" s="7">
        <v>0.52888776957649841</v>
      </c>
      <c r="D118" s="7">
        <v>0.51140210533143016</v>
      </c>
      <c r="E118" s="7">
        <v>0.47876764008773132</v>
      </c>
      <c r="F118" s="7">
        <v>0.51889295774581812</v>
      </c>
      <c r="G118" s="7">
        <v>0.54684188086311158</v>
      </c>
      <c r="H118" s="7">
        <v>0.61559945024075446</v>
      </c>
      <c r="I118" s="7">
        <v>0.65164339698113882</v>
      </c>
      <c r="J118" s="7">
        <v>0.57082928603597893</v>
      </c>
      <c r="K118" s="7">
        <v>0.61027739358512456</v>
      </c>
      <c r="L118" s="7">
        <v>0.68842584286686559</v>
      </c>
      <c r="M118" s="7">
        <v>0.67517043062076731</v>
      </c>
      <c r="N118" s="7">
        <f t="shared" ref="N118:N121" si="38">SUMPRODUCT(B118:M118,$B$116:$M$116)/SUM($B$116:$M$116)</f>
        <v>0.57720242104926189</v>
      </c>
    </row>
    <row r="119" spans="1:14" x14ac:dyDescent="0.35">
      <c r="A119" s="5" t="s">
        <v>23</v>
      </c>
      <c r="B119" s="7">
        <v>4.5798126626659954</v>
      </c>
      <c r="C119" s="7">
        <v>4.3819201459010451</v>
      </c>
      <c r="D119" s="7">
        <v>4.7059230060586206</v>
      </c>
      <c r="E119" s="7">
        <v>4.7159271838283319</v>
      </c>
      <c r="F119" s="7">
        <v>4.4700417129915948</v>
      </c>
      <c r="G119" s="7">
        <v>4.6727263311539593</v>
      </c>
      <c r="H119" s="7">
        <v>5.1675000848450257</v>
      </c>
      <c r="I119" s="7">
        <v>5.2806866728952429</v>
      </c>
      <c r="J119" s="7">
        <v>5.376416049039725</v>
      </c>
      <c r="K119" s="7">
        <v>5.2082429049172614</v>
      </c>
      <c r="L119" s="7">
        <v>4.9554984587139774</v>
      </c>
      <c r="M119" s="7">
        <v>5.0376142722205035</v>
      </c>
      <c r="N119" s="7">
        <f t="shared" si="38"/>
        <v>4.8848465793008069</v>
      </c>
    </row>
    <row r="120" spans="1:14" x14ac:dyDescent="0.35">
      <c r="A120" s="5" t="s">
        <v>38</v>
      </c>
      <c r="B120" s="7">
        <v>11.532529614702808</v>
      </c>
      <c r="C120" s="7">
        <v>12.161691848905418</v>
      </c>
      <c r="D120" s="7">
        <v>11.768774375470745</v>
      </c>
      <c r="E120" s="7">
        <v>10.98217037670126</v>
      </c>
      <c r="F120" s="7">
        <v>11.996304820089939</v>
      </c>
      <c r="G120" s="7">
        <v>11.373388092536571</v>
      </c>
      <c r="H120" s="7">
        <v>10.851380733454274</v>
      </c>
      <c r="I120" s="7">
        <v>11.259921803513318</v>
      </c>
      <c r="J120" s="7">
        <v>11.128284461914429</v>
      </c>
      <c r="K120" s="7">
        <v>11.312911978882918</v>
      </c>
      <c r="L120" s="7">
        <v>11.810253610966651</v>
      </c>
      <c r="M120" s="7">
        <v>11.519677357231016</v>
      </c>
      <c r="N120" s="7">
        <f t="shared" si="38"/>
        <v>11.469446555956317</v>
      </c>
    </row>
    <row r="121" spans="1:14" x14ac:dyDescent="0.35">
      <c r="A121" s="5" t="s">
        <v>25</v>
      </c>
      <c r="B121" s="7">
        <v>16.073115860649153</v>
      </c>
      <c r="C121" s="7">
        <v>18.344657603302554</v>
      </c>
      <c r="D121" s="7">
        <v>16.11386576058236</v>
      </c>
      <c r="E121" s="7">
        <v>15.281800435496748</v>
      </c>
      <c r="F121" s="7">
        <v>15.684993194579956</v>
      </c>
      <c r="G121" s="7">
        <v>15.034525665926573</v>
      </c>
      <c r="H121" s="7">
        <v>13.98671336913484</v>
      </c>
      <c r="I121" s="7">
        <v>14.31000661999747</v>
      </c>
      <c r="J121" s="7">
        <v>14.291295324058144</v>
      </c>
      <c r="K121" s="7">
        <v>14.463594053767407</v>
      </c>
      <c r="L121" s="7">
        <v>14.864978729110646</v>
      </c>
      <c r="M121" s="7">
        <v>14.548488178736108</v>
      </c>
      <c r="N121" s="7">
        <f t="shared" si="38"/>
        <v>15.241913451679135</v>
      </c>
    </row>
    <row r="122" spans="1:14" s="2" customFormat="1" x14ac:dyDescent="0.35">
      <c r="A122" s="9" t="s">
        <v>51</v>
      </c>
      <c r="B122" s="10">
        <v>300</v>
      </c>
      <c r="C122" s="10">
        <v>220</v>
      </c>
      <c r="D122" s="10">
        <v>220</v>
      </c>
      <c r="E122" s="10">
        <v>185</v>
      </c>
      <c r="F122" s="10">
        <v>185</v>
      </c>
      <c r="G122" s="10">
        <v>190</v>
      </c>
      <c r="H122" s="10">
        <v>200</v>
      </c>
      <c r="I122" s="10">
        <v>220</v>
      </c>
      <c r="J122" s="10">
        <v>220</v>
      </c>
      <c r="K122" s="10">
        <v>200</v>
      </c>
      <c r="L122" s="10">
        <v>200</v>
      </c>
      <c r="M122" s="10">
        <v>200</v>
      </c>
      <c r="N122" s="10">
        <f>SUM(B122:M122)</f>
        <v>2540</v>
      </c>
    </row>
    <row r="123" spans="1:14" x14ac:dyDescent="0.35">
      <c r="A123" s="5" t="s">
        <v>62</v>
      </c>
      <c r="B123" s="8">
        <v>5978.3054556265597</v>
      </c>
      <c r="C123" s="8">
        <v>5788.4873674777928</v>
      </c>
      <c r="D123" s="8">
        <v>5780.4749200608012</v>
      </c>
      <c r="E123" s="8">
        <v>5757.1238943170265</v>
      </c>
      <c r="F123" s="8">
        <v>5689.0305770952909</v>
      </c>
      <c r="G123" s="8">
        <v>5723.4268887854187</v>
      </c>
      <c r="H123" s="8">
        <v>5710.0662701682413</v>
      </c>
      <c r="I123" s="8">
        <v>5767.3036052663256</v>
      </c>
      <c r="J123" s="8">
        <v>5816.7183587027257</v>
      </c>
      <c r="K123" s="8">
        <v>5783.9440068778431</v>
      </c>
      <c r="L123" s="8">
        <v>5714.3881793197588</v>
      </c>
      <c r="M123" s="8">
        <v>5899.7670661427646</v>
      </c>
      <c r="N123" s="8">
        <f>SUMPRODUCT(B123:M123,$B$122:$M$122)/SUM($N$122)</f>
        <v>5792.8232136227871</v>
      </c>
    </row>
    <row r="124" spans="1:14" x14ac:dyDescent="0.35">
      <c r="A124" s="5" t="s">
        <v>22</v>
      </c>
      <c r="B124" s="7">
        <v>1.787024420543599</v>
      </c>
      <c r="C124" s="7">
        <v>1.8050807511941165</v>
      </c>
      <c r="D124" s="7">
        <v>1.753484658353373</v>
      </c>
      <c r="E124" s="7">
        <v>1.7530000378904598</v>
      </c>
      <c r="F124" s="7">
        <v>1.7123074495204251</v>
      </c>
      <c r="G124" s="7">
        <v>1.7853721095868915</v>
      </c>
      <c r="H124" s="7">
        <v>1.8238815961156631</v>
      </c>
      <c r="I124" s="7">
        <v>1.7419960155643373</v>
      </c>
      <c r="J124" s="7">
        <v>1.7014004656420247</v>
      </c>
      <c r="K124" s="7">
        <v>1.7605879730997038</v>
      </c>
      <c r="L124" s="7">
        <v>1.767814198414398</v>
      </c>
      <c r="M124" s="7">
        <v>1.7232917279280713</v>
      </c>
      <c r="N124" s="7">
        <f t="shared" ref="N124:N127" si="39">SUMPRODUCT(B124:M124,$B$122:$M$122)/SUM($N$122)</f>
        <v>1.7606128453673298</v>
      </c>
    </row>
    <row r="125" spans="1:14" x14ac:dyDescent="0.35">
      <c r="A125" s="5" t="s">
        <v>23</v>
      </c>
      <c r="B125" s="7">
        <v>4.7301044978019764</v>
      </c>
      <c r="C125" s="7">
        <v>5.5271121039826419</v>
      </c>
      <c r="D125" s="7">
        <v>5.5457883214480397</v>
      </c>
      <c r="E125" s="7">
        <v>5.7432540624021691</v>
      </c>
      <c r="F125" s="7">
        <v>6.1338157267673825</v>
      </c>
      <c r="G125" s="7">
        <v>6.4531615243414668</v>
      </c>
      <c r="H125" s="7">
        <v>6.4437425567786066</v>
      </c>
      <c r="I125" s="7">
        <v>6.2121469296871501</v>
      </c>
      <c r="J125" s="7">
        <v>5.7608226161450142</v>
      </c>
      <c r="K125" s="7">
        <v>5.8895183832541882</v>
      </c>
      <c r="L125" s="7">
        <v>6.1089249013580069</v>
      </c>
      <c r="M125" s="7">
        <v>5.1119700187862556</v>
      </c>
      <c r="N125" s="7">
        <f t="shared" si="39"/>
        <v>5.7572096518405811</v>
      </c>
    </row>
    <row r="126" spans="1:14" x14ac:dyDescent="0.35">
      <c r="A126" s="5" t="s">
        <v>38</v>
      </c>
      <c r="B126" s="7">
        <v>11.089447843541894</v>
      </c>
      <c r="C126" s="7">
        <v>10.939007756939889</v>
      </c>
      <c r="D126" s="7">
        <v>11.103271057993588</v>
      </c>
      <c r="E126" s="7">
        <v>10.753087747400615</v>
      </c>
      <c r="F126" s="7">
        <v>10.931757250593529</v>
      </c>
      <c r="G126" s="7">
        <v>10.542872135234294</v>
      </c>
      <c r="H126" s="7">
        <v>10.926300465614883</v>
      </c>
      <c r="I126" s="7">
        <v>10.532727609486793</v>
      </c>
      <c r="J126" s="7">
        <v>10.519638665180322</v>
      </c>
      <c r="K126" s="7">
        <v>10.608982288782695</v>
      </c>
      <c r="L126" s="7">
        <v>10.409757384707607</v>
      </c>
      <c r="M126" s="7">
        <v>10.300642053236681</v>
      </c>
      <c r="N126" s="7">
        <f t="shared" si="39"/>
        <v>10.736864071482877</v>
      </c>
    </row>
    <row r="127" spans="1:14" x14ac:dyDescent="0.35">
      <c r="A127" s="5" t="s">
        <v>25</v>
      </c>
      <c r="B127" s="7">
        <v>14.77672590471496</v>
      </c>
      <c r="C127" s="7">
        <v>14.788491878026898</v>
      </c>
      <c r="D127" s="7">
        <v>14.968616021907097</v>
      </c>
      <c r="E127" s="7">
        <v>14.622565939548902</v>
      </c>
      <c r="F127" s="7">
        <v>15.039201128192587</v>
      </c>
      <c r="G127" s="7">
        <v>14.452434531645325</v>
      </c>
      <c r="H127" s="7">
        <v>14.766174108649652</v>
      </c>
      <c r="I127" s="7">
        <v>14.301752611637571</v>
      </c>
      <c r="J127" s="7">
        <v>14.225128330536242</v>
      </c>
      <c r="K127" s="7">
        <v>14.404258385302949</v>
      </c>
      <c r="L127" s="7">
        <v>14.445124735031138</v>
      </c>
      <c r="M127" s="7">
        <v>13.747354344462451</v>
      </c>
      <c r="N127" s="7">
        <f t="shared" si="39"/>
        <v>14.551758700752847</v>
      </c>
    </row>
    <row r="129" spans="1:16" x14ac:dyDescent="0.35">
      <c r="A129" s="6" t="s">
        <v>44</v>
      </c>
      <c r="B129" s="6" t="s">
        <v>1</v>
      </c>
      <c r="C129" s="6" t="s">
        <v>2</v>
      </c>
      <c r="D129" s="6" t="s">
        <v>3</v>
      </c>
      <c r="E129" s="6" t="s">
        <v>4</v>
      </c>
      <c r="F129" s="6" t="s">
        <v>5</v>
      </c>
      <c r="G129" s="6" t="s">
        <v>6</v>
      </c>
      <c r="H129" s="6" t="s">
        <v>7</v>
      </c>
      <c r="I129" s="6" t="s">
        <v>8</v>
      </c>
      <c r="J129" s="6" t="s">
        <v>9</v>
      </c>
      <c r="K129" s="6" t="s">
        <v>10</v>
      </c>
      <c r="L129" s="6" t="s">
        <v>11</v>
      </c>
      <c r="M129" s="6" t="s">
        <v>12</v>
      </c>
      <c r="N129" s="6" t="s">
        <v>13</v>
      </c>
      <c r="O129" s="4"/>
    </row>
    <row r="130" spans="1:16" s="2" customFormat="1" x14ac:dyDescent="0.35">
      <c r="A130" s="9" t="s">
        <v>14</v>
      </c>
      <c r="B130" s="10">
        <f t="shared" ref="B130:N130" si="40">SUM(B131:B131)</f>
        <v>103.00700003222835</v>
      </c>
      <c r="C130" s="10">
        <f t="shared" si="40"/>
        <v>93.069999998767926</v>
      </c>
      <c r="D130" s="10">
        <f t="shared" si="40"/>
        <v>98.05900000904235</v>
      </c>
      <c r="E130" s="10">
        <f t="shared" si="40"/>
        <v>280.62450003328621</v>
      </c>
      <c r="F130" s="10">
        <f t="shared" si="40"/>
        <v>579.37850009221097</v>
      </c>
      <c r="G130" s="10">
        <f t="shared" si="40"/>
        <v>448.88900009712</v>
      </c>
      <c r="H130" s="10">
        <f t="shared" si="40"/>
        <v>536.382999964639</v>
      </c>
      <c r="I130" s="10">
        <f t="shared" si="40"/>
        <v>575.345000118852</v>
      </c>
      <c r="J130" s="10">
        <f t="shared" si="40"/>
        <v>590.09399996139598</v>
      </c>
      <c r="K130" s="10">
        <f t="shared" si="40"/>
        <v>632.10300000592349</v>
      </c>
      <c r="L130" s="10">
        <f t="shared" si="40"/>
        <v>557.71999993702639</v>
      </c>
      <c r="M130" s="10">
        <f t="shared" si="40"/>
        <v>543.93500004792293</v>
      </c>
      <c r="N130" s="10">
        <f t="shared" si="40"/>
        <v>5038.6080002984163</v>
      </c>
      <c r="P130" s="1" t="s">
        <v>63</v>
      </c>
    </row>
    <row r="131" spans="1:16" x14ac:dyDescent="0.35">
      <c r="A131" s="5" t="s">
        <v>67</v>
      </c>
      <c r="B131" s="8">
        <v>103.00700003222835</v>
      </c>
      <c r="C131" s="8">
        <v>93.069999998767926</v>
      </c>
      <c r="D131" s="8">
        <v>98.05900000904235</v>
      </c>
      <c r="E131" s="8">
        <v>280.62450003328621</v>
      </c>
      <c r="F131" s="8">
        <v>579.37850009221097</v>
      </c>
      <c r="G131" s="8">
        <v>448.88900009712</v>
      </c>
      <c r="H131" s="8">
        <v>536.382999964639</v>
      </c>
      <c r="I131" s="8">
        <v>575.345000118852</v>
      </c>
      <c r="J131" s="8">
        <v>590.09399996139598</v>
      </c>
      <c r="K131" s="8">
        <v>632.10300000592349</v>
      </c>
      <c r="L131" s="8">
        <v>557.71999993702639</v>
      </c>
      <c r="M131" s="8">
        <v>543.93500004792293</v>
      </c>
      <c r="N131" s="8">
        <f>SUM(B131:M131)</f>
        <v>5038.6080002984163</v>
      </c>
    </row>
    <row r="132" spans="1:16" s="2" customFormat="1" x14ac:dyDescent="0.35">
      <c r="A132" s="9" t="s">
        <v>17</v>
      </c>
      <c r="B132" s="10">
        <f t="shared" ref="B132:N132" si="41">SUM(B133:B133)</f>
        <v>0</v>
      </c>
      <c r="C132" s="10">
        <f t="shared" si="41"/>
        <v>0</v>
      </c>
      <c r="D132" s="10">
        <f t="shared" si="41"/>
        <v>0</v>
      </c>
      <c r="E132" s="10">
        <f t="shared" si="41"/>
        <v>0</v>
      </c>
      <c r="F132" s="10">
        <f t="shared" si="41"/>
        <v>20</v>
      </c>
      <c r="G132" s="10">
        <f t="shared" si="41"/>
        <v>37</v>
      </c>
      <c r="H132" s="10">
        <f t="shared" si="41"/>
        <v>51</v>
      </c>
      <c r="I132" s="10">
        <f t="shared" si="41"/>
        <v>60</v>
      </c>
      <c r="J132" s="10">
        <f t="shared" si="41"/>
        <v>70</v>
      </c>
      <c r="K132" s="10">
        <f t="shared" si="41"/>
        <v>75</v>
      </c>
      <c r="L132" s="10">
        <f t="shared" si="41"/>
        <v>68</v>
      </c>
      <c r="M132" s="10">
        <f t="shared" si="41"/>
        <v>67</v>
      </c>
      <c r="N132" s="10">
        <f t="shared" si="41"/>
        <v>448</v>
      </c>
    </row>
    <row r="133" spans="1:16" x14ac:dyDescent="0.35">
      <c r="A133" s="5" t="s">
        <v>67</v>
      </c>
      <c r="B133" s="8">
        <v>0</v>
      </c>
      <c r="C133" s="8">
        <v>0</v>
      </c>
      <c r="D133" s="8">
        <v>0</v>
      </c>
      <c r="E133" s="8">
        <v>0</v>
      </c>
      <c r="F133" s="8">
        <v>20</v>
      </c>
      <c r="G133" s="8">
        <v>37</v>
      </c>
      <c r="H133" s="8">
        <v>51</v>
      </c>
      <c r="I133" s="8">
        <v>60</v>
      </c>
      <c r="J133" s="8">
        <v>70</v>
      </c>
      <c r="K133" s="8">
        <v>75</v>
      </c>
      <c r="L133" s="8">
        <v>68</v>
      </c>
      <c r="M133" s="8">
        <v>67</v>
      </c>
      <c r="N133" s="8">
        <f>SUM(B133:M133)</f>
        <v>448</v>
      </c>
    </row>
    <row r="134" spans="1:16" s="2" customFormat="1" x14ac:dyDescent="0.35">
      <c r="A134" s="9" t="s">
        <v>43</v>
      </c>
      <c r="B134" s="11">
        <f t="shared" ref="B134:M134" si="42">IFERROR(B130/B132,0)</f>
        <v>0</v>
      </c>
      <c r="C134" s="11">
        <f t="shared" si="42"/>
        <v>0</v>
      </c>
      <c r="D134" s="11">
        <f t="shared" si="42"/>
        <v>0</v>
      </c>
      <c r="E134" s="11">
        <f t="shared" si="42"/>
        <v>0</v>
      </c>
      <c r="F134" s="11">
        <f t="shared" si="42"/>
        <v>28.968925004610547</v>
      </c>
      <c r="G134" s="11">
        <f t="shared" si="42"/>
        <v>12.132135137760001</v>
      </c>
      <c r="H134" s="11">
        <f t="shared" si="42"/>
        <v>10.517313724796843</v>
      </c>
      <c r="I134" s="11">
        <f t="shared" si="42"/>
        <v>9.5890833353142</v>
      </c>
      <c r="J134" s="11">
        <f t="shared" si="42"/>
        <v>8.4299142851628002</v>
      </c>
      <c r="K134" s="11">
        <f t="shared" si="42"/>
        <v>8.4280400000789797</v>
      </c>
      <c r="L134" s="11">
        <f t="shared" si="42"/>
        <v>8.2017647049562701</v>
      </c>
      <c r="M134" s="11">
        <f t="shared" si="42"/>
        <v>8.1184328365361633</v>
      </c>
      <c r="N134" s="11">
        <f>N130/N132</f>
        <v>11.246892857808964</v>
      </c>
    </row>
    <row r="135" spans="1:16" s="2" customFormat="1" x14ac:dyDescent="0.35">
      <c r="A135" s="9" t="s">
        <v>34</v>
      </c>
      <c r="B135" s="11">
        <f>IFERROR(B130/B137,0)</f>
        <v>0</v>
      </c>
      <c r="C135" s="11">
        <f t="shared" ref="C135:M135" si="43">IFERROR(C130/C137,0)</f>
        <v>0</v>
      </c>
      <c r="D135" s="11">
        <f t="shared" si="43"/>
        <v>0</v>
      </c>
      <c r="E135" s="11">
        <f t="shared" si="43"/>
        <v>0</v>
      </c>
      <c r="F135" s="11">
        <f t="shared" si="43"/>
        <v>32.187694449567275</v>
      </c>
      <c r="G135" s="11">
        <f t="shared" si="43"/>
        <v>12.825400002774858</v>
      </c>
      <c r="H135" s="11">
        <f t="shared" si="43"/>
        <v>10.727659999292779</v>
      </c>
      <c r="I135" s="11">
        <f t="shared" si="43"/>
        <v>9.9197413813595166</v>
      </c>
      <c r="J135" s="11">
        <f t="shared" si="43"/>
        <v>8.6778529406087639</v>
      </c>
      <c r="K135" s="11">
        <f t="shared" si="43"/>
        <v>8.7792083334156032</v>
      </c>
      <c r="L135" s="11">
        <f t="shared" si="43"/>
        <v>8.4503030293488841</v>
      </c>
      <c r="M135" s="11">
        <f t="shared" si="43"/>
        <v>8.2414393946654982</v>
      </c>
      <c r="N135" s="11">
        <f t="shared" ref="N135" si="44">N130/N137</f>
        <v>11.63650808383006</v>
      </c>
    </row>
    <row r="136" spans="1:16" s="2" customFormat="1" x14ac:dyDescent="0.35">
      <c r="A136" s="9" t="s">
        <v>46</v>
      </c>
      <c r="B136" s="10">
        <v>14.6</v>
      </c>
      <c r="C136" s="10">
        <v>14.6</v>
      </c>
      <c r="D136" s="10">
        <v>7.3</v>
      </c>
      <c r="E136" s="10">
        <v>7.3</v>
      </c>
      <c r="F136" s="10">
        <v>21.9</v>
      </c>
      <c r="G136" s="10">
        <v>36.5</v>
      </c>
      <c r="H136" s="10">
        <v>43.8</v>
      </c>
      <c r="I136" s="10">
        <v>58.4</v>
      </c>
      <c r="J136" s="10">
        <v>58.4</v>
      </c>
      <c r="K136" s="10">
        <v>58.4</v>
      </c>
      <c r="L136" s="10">
        <v>58.4</v>
      </c>
      <c r="M136" s="10">
        <v>51.1</v>
      </c>
      <c r="N136" s="10">
        <f>SUM(B136:M136)</f>
        <v>430.7</v>
      </c>
    </row>
    <row r="137" spans="1:16" s="2" customFormat="1" x14ac:dyDescent="0.35">
      <c r="A137" s="9" t="s">
        <v>52</v>
      </c>
      <c r="B137" s="10">
        <v>0</v>
      </c>
      <c r="C137" s="10">
        <v>0</v>
      </c>
      <c r="D137" s="10">
        <v>0</v>
      </c>
      <c r="E137" s="10">
        <v>0</v>
      </c>
      <c r="F137" s="10">
        <v>18</v>
      </c>
      <c r="G137" s="10">
        <v>35</v>
      </c>
      <c r="H137" s="10">
        <v>50</v>
      </c>
      <c r="I137" s="10">
        <v>58</v>
      </c>
      <c r="J137" s="10">
        <v>68</v>
      </c>
      <c r="K137" s="10">
        <v>72</v>
      </c>
      <c r="L137" s="10">
        <v>66</v>
      </c>
      <c r="M137" s="10">
        <v>66</v>
      </c>
      <c r="N137" s="10">
        <f>SUM(B137:M137)</f>
        <v>433</v>
      </c>
    </row>
    <row r="138" spans="1:16" x14ac:dyDescent="0.35">
      <c r="A138" s="5" t="s">
        <v>62</v>
      </c>
      <c r="B138" s="8">
        <v>0</v>
      </c>
      <c r="C138" s="8">
        <v>0</v>
      </c>
      <c r="D138" s="8">
        <v>0</v>
      </c>
      <c r="E138" s="8">
        <v>0</v>
      </c>
      <c r="F138" s="8">
        <v>4442.3524630978109</v>
      </c>
      <c r="G138" s="8">
        <v>4414.0197341055573</v>
      </c>
      <c r="H138" s="8">
        <v>4416.3842473113355</v>
      </c>
      <c r="I138" s="8">
        <v>4432.5862004850405</v>
      </c>
      <c r="J138" s="8">
        <v>4408.9259713034116</v>
      </c>
      <c r="K138" s="8">
        <v>4423.0871583211037</v>
      </c>
      <c r="L138" s="8">
        <v>4453.7859806142369</v>
      </c>
      <c r="M138" s="8">
        <v>4407.9044655308044</v>
      </c>
      <c r="N138" s="8">
        <f>SUMPRODUCT(B138:M138,$B$137:$M$137)/SUM($B$137:$M$137)</f>
        <v>4423.7945910311291</v>
      </c>
    </row>
    <row r="139" spans="1:16" x14ac:dyDescent="0.35">
      <c r="A139" s="5" t="s">
        <v>22</v>
      </c>
      <c r="B139" s="7">
        <v>0</v>
      </c>
      <c r="C139" s="7">
        <v>0</v>
      </c>
      <c r="D139" s="7">
        <v>0</v>
      </c>
      <c r="E139" s="7">
        <v>0</v>
      </c>
      <c r="F139" s="7">
        <v>0.38873573353044444</v>
      </c>
      <c r="G139" s="7">
        <v>0.35403485131504908</v>
      </c>
      <c r="H139" s="7">
        <v>0.38863711531936274</v>
      </c>
      <c r="I139" s="7">
        <v>0.37485738989539719</v>
      </c>
      <c r="J139" s="7">
        <v>0.36433237274630625</v>
      </c>
      <c r="K139" s="7">
        <v>0.35476496479555497</v>
      </c>
      <c r="L139" s="7">
        <v>0.3569313165491026</v>
      </c>
      <c r="M139" s="7">
        <v>0.38385933871926886</v>
      </c>
      <c r="N139" s="7">
        <f t="shared" ref="N139:N142" si="45">SUMPRODUCT(B139:M139,$B$137:$M$137)/SUM($B$137:$M$137)</f>
        <v>0.36898824350858472</v>
      </c>
    </row>
    <row r="140" spans="1:16" x14ac:dyDescent="0.35">
      <c r="A140" s="5" t="s">
        <v>23</v>
      </c>
      <c r="B140" s="7">
        <v>0</v>
      </c>
      <c r="C140" s="7">
        <v>0</v>
      </c>
      <c r="D140" s="7">
        <v>0</v>
      </c>
      <c r="E140" s="7">
        <v>0</v>
      </c>
      <c r="F140" s="7">
        <v>4.3469189899646095</v>
      </c>
      <c r="G140" s="7">
        <v>4.2775242942804486</v>
      </c>
      <c r="H140" s="7">
        <v>4.5771833228759133</v>
      </c>
      <c r="I140" s="7">
        <v>4.410710810024324</v>
      </c>
      <c r="J140" s="7">
        <v>4.3137913551427269</v>
      </c>
      <c r="K140" s="7">
        <v>4.437983464347746</v>
      </c>
      <c r="L140" s="7">
        <v>4.3733361138806135</v>
      </c>
      <c r="M140" s="7">
        <v>4.6218111106752566</v>
      </c>
      <c r="N140" s="7">
        <f t="shared" si="45"/>
        <v>4.4323109091173567</v>
      </c>
    </row>
    <row r="141" spans="1:16" x14ac:dyDescent="0.35">
      <c r="A141" s="5" t="s">
        <v>38</v>
      </c>
      <c r="B141" s="7">
        <v>0</v>
      </c>
      <c r="C141" s="7">
        <v>0</v>
      </c>
      <c r="D141" s="7">
        <v>0</v>
      </c>
      <c r="E141" s="7">
        <v>0</v>
      </c>
      <c r="F141" s="7">
        <v>17.434023703251668</v>
      </c>
      <c r="G141" s="7">
        <v>17.203780063089837</v>
      </c>
      <c r="H141" s="7">
        <v>17.033950729465953</v>
      </c>
      <c r="I141" s="7">
        <v>16.871627410791572</v>
      </c>
      <c r="J141" s="7">
        <v>16.977285235598046</v>
      </c>
      <c r="K141" s="7">
        <v>16.725080655028712</v>
      </c>
      <c r="L141" s="7">
        <v>16.935726676875372</v>
      </c>
      <c r="M141" s="7">
        <v>16.762054197985886</v>
      </c>
      <c r="N141" s="7">
        <f t="shared" si="45"/>
        <v>16.92589236972162</v>
      </c>
    </row>
    <row r="142" spans="1:16" x14ac:dyDescent="0.35">
      <c r="A142" s="5" t="s">
        <v>25</v>
      </c>
      <c r="B142" s="7">
        <v>0</v>
      </c>
      <c r="C142" s="7">
        <v>0</v>
      </c>
      <c r="D142" s="7">
        <v>0</v>
      </c>
      <c r="E142" s="7">
        <v>0</v>
      </c>
      <c r="F142" s="7">
        <v>30.186701266561656</v>
      </c>
      <c r="G142" s="7">
        <v>30.265561275012825</v>
      </c>
      <c r="H142" s="7">
        <v>30.334870236874433</v>
      </c>
      <c r="I142" s="7">
        <v>30.21975773859311</v>
      </c>
      <c r="J142" s="7">
        <v>30.233061449365842</v>
      </c>
      <c r="K142" s="7">
        <v>30.245087481798901</v>
      </c>
      <c r="L142" s="7">
        <v>30.178269906357734</v>
      </c>
      <c r="M142" s="7">
        <v>30.227936505165239</v>
      </c>
      <c r="N142" s="7">
        <f t="shared" si="45"/>
        <v>30.236602375317773</v>
      </c>
    </row>
    <row r="144" spans="1:16" x14ac:dyDescent="0.35">
      <c r="A144" s="6" t="s">
        <v>54</v>
      </c>
      <c r="B144" s="6" t="s">
        <v>1</v>
      </c>
      <c r="C144" s="6" t="s">
        <v>2</v>
      </c>
      <c r="D144" s="6" t="s">
        <v>3</v>
      </c>
      <c r="E144" s="6" t="s">
        <v>4</v>
      </c>
      <c r="F144" s="6" t="s">
        <v>5</v>
      </c>
      <c r="G144" s="6" t="s">
        <v>6</v>
      </c>
      <c r="H144" s="6" t="s">
        <v>7</v>
      </c>
      <c r="I144" s="6" t="s">
        <v>8</v>
      </c>
      <c r="J144" s="6" t="s">
        <v>9</v>
      </c>
      <c r="K144" s="6" t="s">
        <v>10</v>
      </c>
      <c r="L144" s="6" t="s">
        <v>11</v>
      </c>
      <c r="M144" s="6" t="s">
        <v>12</v>
      </c>
      <c r="N144" s="6" t="s">
        <v>13</v>
      </c>
      <c r="O144" s="4"/>
    </row>
    <row r="145" spans="1:17" x14ac:dyDescent="0.35">
      <c r="A145" s="9" t="s">
        <v>14</v>
      </c>
      <c r="B145" s="10">
        <f t="shared" ref="B145:N145" si="46">SUM(B146:B146)</f>
        <v>630</v>
      </c>
      <c r="C145" s="10">
        <f t="shared" si="46"/>
        <v>580</v>
      </c>
      <c r="D145" s="10">
        <f t="shared" si="46"/>
        <v>630</v>
      </c>
      <c r="E145" s="10">
        <f t="shared" si="46"/>
        <v>610</v>
      </c>
      <c r="F145" s="10">
        <f t="shared" si="46"/>
        <v>700</v>
      </c>
      <c r="G145" s="10">
        <f t="shared" si="46"/>
        <v>675</v>
      </c>
      <c r="H145" s="10">
        <f t="shared" si="46"/>
        <v>745</v>
      </c>
      <c r="I145" s="10">
        <f t="shared" si="46"/>
        <v>790</v>
      </c>
      <c r="J145" s="10">
        <f t="shared" si="46"/>
        <v>785</v>
      </c>
      <c r="K145" s="10">
        <f t="shared" si="46"/>
        <v>880</v>
      </c>
      <c r="L145" s="10">
        <f t="shared" si="46"/>
        <v>705</v>
      </c>
      <c r="M145" s="10">
        <f t="shared" si="46"/>
        <v>770</v>
      </c>
      <c r="N145" s="10">
        <f t="shared" si="46"/>
        <v>8500</v>
      </c>
      <c r="O145" s="2"/>
      <c r="P145" s="1" t="s">
        <v>63</v>
      </c>
      <c r="Q145"/>
    </row>
    <row r="146" spans="1:17" x14ac:dyDescent="0.35">
      <c r="A146" s="5" t="s">
        <v>75</v>
      </c>
      <c r="B146" s="8">
        <v>630</v>
      </c>
      <c r="C146" s="8">
        <v>580</v>
      </c>
      <c r="D146" s="8">
        <v>630</v>
      </c>
      <c r="E146" s="8">
        <v>610</v>
      </c>
      <c r="F146" s="8">
        <v>700</v>
      </c>
      <c r="G146" s="8">
        <v>675</v>
      </c>
      <c r="H146" s="8">
        <v>745</v>
      </c>
      <c r="I146" s="8">
        <v>790</v>
      </c>
      <c r="J146" s="8">
        <v>785</v>
      </c>
      <c r="K146" s="8">
        <v>880</v>
      </c>
      <c r="L146" s="8">
        <v>705</v>
      </c>
      <c r="M146" s="8">
        <v>770</v>
      </c>
      <c r="N146" s="8">
        <f>SUM(B146:M146)</f>
        <v>8500</v>
      </c>
      <c r="Q146"/>
    </row>
    <row r="147" spans="1:17" x14ac:dyDescent="0.35">
      <c r="A147" s="9" t="s">
        <v>17</v>
      </c>
      <c r="B147" s="10">
        <f>SUM(B148:B149)</f>
        <v>184</v>
      </c>
      <c r="C147" s="10">
        <f t="shared" ref="C147:M147" si="47">SUM(C148:C149)</f>
        <v>166</v>
      </c>
      <c r="D147" s="10">
        <f t="shared" si="47"/>
        <v>182</v>
      </c>
      <c r="E147" s="10">
        <f t="shared" si="47"/>
        <v>175</v>
      </c>
      <c r="F147" s="10">
        <f t="shared" si="47"/>
        <v>180</v>
      </c>
      <c r="G147" s="10">
        <f t="shared" si="47"/>
        <v>175</v>
      </c>
      <c r="H147" s="10">
        <f t="shared" si="47"/>
        <v>160</v>
      </c>
      <c r="I147" s="10">
        <f t="shared" si="47"/>
        <v>160</v>
      </c>
      <c r="J147" s="10">
        <f t="shared" si="47"/>
        <v>160</v>
      </c>
      <c r="K147" s="10">
        <f t="shared" si="47"/>
        <v>196</v>
      </c>
      <c r="L147" s="10">
        <f t="shared" si="47"/>
        <v>175</v>
      </c>
      <c r="M147" s="10">
        <f t="shared" si="47"/>
        <v>187</v>
      </c>
      <c r="N147" s="10">
        <f>SUM(B147:M147)</f>
        <v>2100</v>
      </c>
      <c r="O147" s="2"/>
      <c r="Q147"/>
    </row>
    <row r="148" spans="1:17" x14ac:dyDescent="0.35">
      <c r="A148" s="5" t="s">
        <v>75</v>
      </c>
      <c r="B148" s="8">
        <v>119</v>
      </c>
      <c r="C148" s="8">
        <v>108</v>
      </c>
      <c r="D148" s="8">
        <v>118</v>
      </c>
      <c r="E148" s="8">
        <v>114</v>
      </c>
      <c r="F148" s="8">
        <v>131</v>
      </c>
      <c r="G148" s="8">
        <v>127</v>
      </c>
      <c r="H148" s="8">
        <v>125</v>
      </c>
      <c r="I148" s="8">
        <v>124</v>
      </c>
      <c r="J148" s="8">
        <v>126</v>
      </c>
      <c r="K148" s="8">
        <v>139</v>
      </c>
      <c r="L148" s="8">
        <v>114</v>
      </c>
      <c r="M148" s="8">
        <v>122</v>
      </c>
      <c r="N148" s="8">
        <f>SUM(B148:M148)</f>
        <v>1467</v>
      </c>
      <c r="Q148"/>
    </row>
    <row r="149" spans="1:17" x14ac:dyDescent="0.35">
      <c r="A149" s="5" t="s">
        <v>76</v>
      </c>
      <c r="B149" s="8">
        <v>65</v>
      </c>
      <c r="C149" s="8">
        <v>58</v>
      </c>
      <c r="D149" s="8">
        <v>64</v>
      </c>
      <c r="E149" s="8">
        <v>61</v>
      </c>
      <c r="F149" s="8">
        <v>49</v>
      </c>
      <c r="G149" s="8">
        <v>48</v>
      </c>
      <c r="H149" s="8">
        <v>35</v>
      </c>
      <c r="I149" s="8">
        <v>36</v>
      </c>
      <c r="J149" s="8">
        <v>34</v>
      </c>
      <c r="K149" s="8">
        <v>57</v>
      </c>
      <c r="L149" s="8">
        <v>61</v>
      </c>
      <c r="M149" s="8">
        <v>65</v>
      </c>
      <c r="N149" s="8">
        <f>SUM(B149:M149)</f>
        <v>633</v>
      </c>
      <c r="Q149"/>
    </row>
    <row r="150" spans="1:17" x14ac:dyDescent="0.35">
      <c r="A150" s="9" t="s">
        <v>43</v>
      </c>
      <c r="B150" s="11">
        <f t="shared" ref="B150:N150" si="48">B145/B147</f>
        <v>3.4239130434782608</v>
      </c>
      <c r="C150" s="11">
        <f t="shared" si="48"/>
        <v>3.4939759036144578</v>
      </c>
      <c r="D150" s="11">
        <f t="shared" si="48"/>
        <v>3.4615384615384617</v>
      </c>
      <c r="E150" s="11">
        <f t="shared" si="48"/>
        <v>3.4857142857142858</v>
      </c>
      <c r="F150" s="11">
        <f t="shared" si="48"/>
        <v>3.8888888888888888</v>
      </c>
      <c r="G150" s="11">
        <f t="shared" si="48"/>
        <v>3.8571428571428572</v>
      </c>
      <c r="H150" s="11">
        <f t="shared" si="48"/>
        <v>4.65625</v>
      </c>
      <c r="I150" s="11">
        <f t="shared" si="48"/>
        <v>4.9375</v>
      </c>
      <c r="J150" s="11">
        <f t="shared" si="48"/>
        <v>4.90625</v>
      </c>
      <c r="K150" s="11">
        <f t="shared" si="48"/>
        <v>4.4897959183673466</v>
      </c>
      <c r="L150" s="11">
        <f t="shared" si="48"/>
        <v>4.0285714285714285</v>
      </c>
      <c r="M150" s="11">
        <f t="shared" si="48"/>
        <v>4.117647058823529</v>
      </c>
      <c r="N150" s="11">
        <f t="shared" si="48"/>
        <v>4.0476190476190474</v>
      </c>
      <c r="O150" s="2"/>
      <c r="Q150"/>
    </row>
    <row r="151" spans="1:17" x14ac:dyDescent="0.35">
      <c r="A151" s="9" t="s">
        <v>34</v>
      </c>
      <c r="B151" s="11">
        <f t="shared" ref="B151:N151" si="49">B145/B152</f>
        <v>3.15</v>
      </c>
      <c r="C151" s="11">
        <f t="shared" si="49"/>
        <v>3.2222222222222223</v>
      </c>
      <c r="D151" s="11">
        <f t="shared" si="49"/>
        <v>3.3157894736842106</v>
      </c>
      <c r="E151" s="11">
        <f t="shared" si="49"/>
        <v>3.4857142857142858</v>
      </c>
      <c r="F151" s="11">
        <f t="shared" si="49"/>
        <v>3.8888888888888888</v>
      </c>
      <c r="G151" s="11">
        <f t="shared" si="49"/>
        <v>3.8571428571428572</v>
      </c>
      <c r="H151" s="11">
        <f t="shared" si="49"/>
        <v>8.2777777777777786</v>
      </c>
      <c r="I151" s="11">
        <f t="shared" si="49"/>
        <v>15.8</v>
      </c>
      <c r="J151" s="11">
        <f t="shared" si="49"/>
        <v>8.7222222222222214</v>
      </c>
      <c r="K151" s="11">
        <f t="shared" si="49"/>
        <v>4.1904761904761907</v>
      </c>
      <c r="L151" s="11">
        <f t="shared" si="49"/>
        <v>2.7115384615384617</v>
      </c>
      <c r="M151" s="11">
        <f t="shared" si="49"/>
        <v>3.0800000000000005</v>
      </c>
      <c r="N151" s="11">
        <f t="shared" si="49"/>
        <v>4.1463414634146343</v>
      </c>
      <c r="O151" s="2"/>
      <c r="Q151"/>
    </row>
    <row r="152" spans="1:17" x14ac:dyDescent="0.35">
      <c r="A152" s="9" t="s">
        <v>47</v>
      </c>
      <c r="B152" s="10">
        <v>200</v>
      </c>
      <c r="C152" s="10">
        <v>180</v>
      </c>
      <c r="D152" s="10">
        <v>190</v>
      </c>
      <c r="E152" s="10">
        <v>175</v>
      </c>
      <c r="F152" s="10">
        <v>180</v>
      </c>
      <c r="G152" s="10">
        <v>175</v>
      </c>
      <c r="H152" s="10">
        <v>90</v>
      </c>
      <c r="I152" s="10">
        <v>50</v>
      </c>
      <c r="J152" s="10">
        <v>90</v>
      </c>
      <c r="K152" s="10">
        <v>210</v>
      </c>
      <c r="L152" s="10">
        <v>260</v>
      </c>
      <c r="M152" s="10">
        <v>249.99999999999994</v>
      </c>
      <c r="N152" s="10">
        <f>SUM(B152:M152)</f>
        <v>2050</v>
      </c>
      <c r="O152" s="2"/>
      <c r="Q152"/>
    </row>
    <row r="153" spans="1:17" x14ac:dyDescent="0.35">
      <c r="A153" s="5" t="s">
        <v>62</v>
      </c>
      <c r="B153" s="8">
        <v>3597.7503671421059</v>
      </c>
      <c r="C153" s="8">
        <v>3594.5295983597939</v>
      </c>
      <c r="D153" s="8">
        <v>3663.6762112802235</v>
      </c>
      <c r="E153" s="8">
        <v>3731.5322801509137</v>
      </c>
      <c r="F153" s="8">
        <v>3747.0876814215917</v>
      </c>
      <c r="G153" s="8">
        <v>3753.0309161867781</v>
      </c>
      <c r="H153" s="8">
        <v>3709.984204356359</v>
      </c>
      <c r="I153" s="8">
        <v>3710.8590506722767</v>
      </c>
      <c r="J153" s="8">
        <v>3754.9789133429726</v>
      </c>
      <c r="K153" s="8">
        <v>3802.4689892377123</v>
      </c>
      <c r="L153" s="8">
        <v>3810.8051584828913</v>
      </c>
      <c r="M153" s="8">
        <v>3790.9104124565929</v>
      </c>
      <c r="N153" s="8">
        <f>SUMPRODUCT(B153:M153,$B$152:$M$152)/SUM($B$152:$M$152)</f>
        <v>3727.5040431597959</v>
      </c>
      <c r="O153" s="12"/>
      <c r="Q153"/>
    </row>
    <row r="154" spans="1:17" x14ac:dyDescent="0.35">
      <c r="A154" s="5" t="s">
        <v>22</v>
      </c>
      <c r="B154" s="7">
        <v>0.11568840145536496</v>
      </c>
      <c r="C154" s="7">
        <v>0.11701098805931437</v>
      </c>
      <c r="D154" s="7">
        <v>0.15581461251661183</v>
      </c>
      <c r="E154" s="7">
        <v>0.15133328051441322</v>
      </c>
      <c r="F154" s="7">
        <v>0.1530200312436015</v>
      </c>
      <c r="G154" s="7">
        <v>0.14876311698128147</v>
      </c>
      <c r="H154" s="7">
        <v>0.16963776317458534</v>
      </c>
      <c r="I154" s="7">
        <v>0.16909766793837699</v>
      </c>
      <c r="J154" s="7">
        <v>0.15832888187436817</v>
      </c>
      <c r="K154" s="7">
        <v>0.16553178492157389</v>
      </c>
      <c r="L154" s="7">
        <v>0.17247668907568034</v>
      </c>
      <c r="M154" s="7">
        <v>0.16287235032822131</v>
      </c>
      <c r="N154" s="7">
        <f t="shared" ref="N154:N157" si="50">SUMPRODUCT(B154:M154,$B$152:$M$152)/SUM($B$152:$M$152)</f>
        <v>0.15227341108882345</v>
      </c>
      <c r="Q154"/>
    </row>
    <row r="155" spans="1:17" x14ac:dyDescent="0.35">
      <c r="A155" s="5" t="s">
        <v>23</v>
      </c>
      <c r="B155" s="7">
        <v>10.145655446148792</v>
      </c>
      <c r="C155" s="7">
        <v>10.213899366234628</v>
      </c>
      <c r="D155" s="7">
        <v>9.4791856634986438</v>
      </c>
      <c r="E155" s="7">
        <v>8.2664499592751319</v>
      </c>
      <c r="F155" s="7">
        <v>7.9720279699913643</v>
      </c>
      <c r="G155" s="7">
        <v>8.1086561189791855</v>
      </c>
      <c r="H155" s="7">
        <v>9.7174821161794043</v>
      </c>
      <c r="I155" s="7">
        <v>9.7409059080640557</v>
      </c>
      <c r="J155" s="7">
        <v>8.5788059169355098</v>
      </c>
      <c r="K155" s="7">
        <v>6.4455548017586262</v>
      </c>
      <c r="L155" s="7">
        <v>5.4512092871833024</v>
      </c>
      <c r="M155" s="7">
        <v>5.9085709909776138</v>
      </c>
      <c r="N155" s="7">
        <f t="shared" si="50"/>
        <v>7.9761081652071226</v>
      </c>
      <c r="Q155"/>
    </row>
    <row r="156" spans="1:17" x14ac:dyDescent="0.35">
      <c r="A156" s="5" t="s">
        <v>38</v>
      </c>
      <c r="B156" s="7">
        <v>27.273778837579599</v>
      </c>
      <c r="C156" s="7">
        <v>27.292035739913089</v>
      </c>
      <c r="D156" s="7">
        <v>26.977085197877386</v>
      </c>
      <c r="E156" s="7">
        <v>25.124250417061894</v>
      </c>
      <c r="F156" s="7">
        <v>25.063917620785851</v>
      </c>
      <c r="G156" s="7">
        <v>24.254236087634794</v>
      </c>
      <c r="H156" s="7">
        <v>31.602710692812558</v>
      </c>
      <c r="I156" s="7">
        <v>31.478110610095825</v>
      </c>
      <c r="J156" s="7">
        <v>27.521644009129027</v>
      </c>
      <c r="K156" s="7">
        <v>26.441746202974993</v>
      </c>
      <c r="L156" s="7">
        <v>28.914291423592488</v>
      </c>
      <c r="M156" s="7">
        <v>29.04220061352094</v>
      </c>
      <c r="N156" s="7">
        <f t="shared" si="50"/>
        <v>27.254555501550691</v>
      </c>
      <c r="Q156"/>
    </row>
    <row r="157" spans="1:17" x14ac:dyDescent="0.35">
      <c r="A157" s="5" t="s">
        <v>25</v>
      </c>
      <c r="B157" s="7">
        <v>37.918497409869865</v>
      </c>
      <c r="C157" s="7">
        <v>37.923033965371602</v>
      </c>
      <c r="D157" s="7">
        <v>38.042986000504257</v>
      </c>
      <c r="E157" s="7">
        <v>37.950930536574255</v>
      </c>
      <c r="F157" s="7">
        <v>37.978955656242384</v>
      </c>
      <c r="G157" s="7">
        <v>38.073810954498576</v>
      </c>
      <c r="H157" s="7">
        <v>37.71754115883973</v>
      </c>
      <c r="I157" s="7">
        <v>37.733817466441451</v>
      </c>
      <c r="J157" s="7">
        <v>37.863692065067184</v>
      </c>
      <c r="K157" s="7">
        <v>38.416454448307448</v>
      </c>
      <c r="L157" s="7">
        <v>39.068495470080975</v>
      </c>
      <c r="M157" s="7">
        <v>39.167627929178792</v>
      </c>
      <c r="N157" s="7">
        <f t="shared" si="50"/>
        <v>38.285233081479049</v>
      </c>
      <c r="Q157"/>
    </row>
    <row r="158" spans="1:17" x14ac:dyDescent="0.35">
      <c r="Q158"/>
    </row>
    <row r="159" spans="1:17" x14ac:dyDescent="0.35">
      <c r="A159" s="6" t="s">
        <v>53</v>
      </c>
      <c r="B159" s="6" t="s">
        <v>1</v>
      </c>
      <c r="C159" s="6" t="s">
        <v>2</v>
      </c>
      <c r="D159" s="6" t="s">
        <v>3</v>
      </c>
      <c r="E159" s="6" t="s">
        <v>4</v>
      </c>
      <c r="F159" s="6" t="s">
        <v>5</v>
      </c>
      <c r="G159" s="6" t="s">
        <v>6</v>
      </c>
      <c r="H159" s="6" t="s">
        <v>7</v>
      </c>
      <c r="I159" s="6" t="s">
        <v>8</v>
      </c>
      <c r="J159" s="6" t="s">
        <v>9</v>
      </c>
      <c r="K159" s="6" t="s">
        <v>10</v>
      </c>
      <c r="L159" s="6" t="s">
        <v>11</v>
      </c>
      <c r="M159" s="6" t="s">
        <v>12</v>
      </c>
      <c r="N159" s="6" t="s">
        <v>13</v>
      </c>
      <c r="Q159"/>
    </row>
    <row r="160" spans="1:17" x14ac:dyDescent="0.35">
      <c r="A160" s="9" t="s">
        <v>14</v>
      </c>
      <c r="B160" s="10">
        <f t="shared" ref="B160:N160" si="51">SUM(B161:B161)</f>
        <v>982.5</v>
      </c>
      <c r="C160" s="10">
        <f t="shared" si="51"/>
        <v>833.26</v>
      </c>
      <c r="D160" s="10">
        <f t="shared" si="51"/>
        <v>955</v>
      </c>
      <c r="E160" s="10">
        <f t="shared" si="51"/>
        <v>979.8</v>
      </c>
      <c r="F160" s="10">
        <f t="shared" si="51"/>
        <v>1028.75</v>
      </c>
      <c r="G160" s="10">
        <f t="shared" si="51"/>
        <v>1131.3599999999999</v>
      </c>
      <c r="H160" s="10">
        <f t="shared" si="51"/>
        <v>1343.5400000000002</v>
      </c>
      <c r="I160" s="10">
        <f t="shared" si="51"/>
        <v>1450.1499999999999</v>
      </c>
      <c r="J160" s="10">
        <f t="shared" si="51"/>
        <v>1249.8</v>
      </c>
      <c r="K160" s="10">
        <f t="shared" si="51"/>
        <v>960.24</v>
      </c>
      <c r="L160" s="10">
        <f t="shared" si="51"/>
        <v>867.28</v>
      </c>
      <c r="M160" s="10">
        <f t="shared" si="51"/>
        <v>919</v>
      </c>
      <c r="N160" s="10">
        <f t="shared" si="51"/>
        <v>12700.68</v>
      </c>
      <c r="P160" s="1" t="s">
        <v>63</v>
      </c>
      <c r="Q160"/>
    </row>
    <row r="161" spans="1:17" x14ac:dyDescent="0.35">
      <c r="A161" s="5" t="s">
        <v>61</v>
      </c>
      <c r="B161" s="8">
        <v>982.5</v>
      </c>
      <c r="C161" s="8">
        <v>833.26</v>
      </c>
      <c r="D161" s="8">
        <v>955</v>
      </c>
      <c r="E161" s="8">
        <v>979.8</v>
      </c>
      <c r="F161" s="8">
        <v>1028.75</v>
      </c>
      <c r="G161" s="8">
        <v>1131.3599999999999</v>
      </c>
      <c r="H161" s="8">
        <v>1343.5400000000002</v>
      </c>
      <c r="I161" s="8">
        <v>1450.1499999999999</v>
      </c>
      <c r="J161" s="8">
        <v>1249.8</v>
      </c>
      <c r="K161" s="8">
        <v>960.24</v>
      </c>
      <c r="L161" s="8">
        <v>867.28</v>
      </c>
      <c r="M161" s="8">
        <v>919</v>
      </c>
      <c r="N161" s="8">
        <f>SUM(B161:M161)</f>
        <v>12700.68</v>
      </c>
      <c r="Q161"/>
    </row>
    <row r="162" spans="1:17" x14ac:dyDescent="0.35">
      <c r="A162" s="9" t="s">
        <v>17</v>
      </c>
      <c r="B162" s="10">
        <f t="shared" ref="B162:N162" si="52">SUM(B163:B163)</f>
        <v>30</v>
      </c>
      <c r="C162" s="10">
        <f t="shared" si="52"/>
        <v>35</v>
      </c>
      <c r="D162" s="10">
        <f t="shared" si="52"/>
        <v>42</v>
      </c>
      <c r="E162" s="10">
        <f t="shared" si="52"/>
        <v>45</v>
      </c>
      <c r="F162" s="10">
        <f t="shared" si="52"/>
        <v>57</v>
      </c>
      <c r="G162" s="10">
        <f t="shared" si="52"/>
        <v>56</v>
      </c>
      <c r="H162" s="10">
        <f t="shared" si="52"/>
        <v>62</v>
      </c>
      <c r="I162" s="10">
        <f t="shared" si="52"/>
        <v>65</v>
      </c>
      <c r="J162" s="10">
        <f t="shared" si="52"/>
        <v>60</v>
      </c>
      <c r="K162" s="10">
        <f t="shared" si="52"/>
        <v>54</v>
      </c>
      <c r="L162" s="10">
        <f t="shared" si="52"/>
        <v>50</v>
      </c>
      <c r="M162" s="10">
        <f t="shared" si="52"/>
        <v>50</v>
      </c>
      <c r="N162" s="10">
        <f t="shared" si="52"/>
        <v>606</v>
      </c>
      <c r="Q162"/>
    </row>
    <row r="163" spans="1:17" x14ac:dyDescent="0.35">
      <c r="A163" s="5" t="s">
        <v>61</v>
      </c>
      <c r="B163" s="8">
        <v>30</v>
      </c>
      <c r="C163" s="8">
        <v>35</v>
      </c>
      <c r="D163" s="8">
        <v>42</v>
      </c>
      <c r="E163" s="8">
        <v>45</v>
      </c>
      <c r="F163" s="8">
        <v>57</v>
      </c>
      <c r="G163" s="8">
        <v>56</v>
      </c>
      <c r="H163" s="8">
        <v>62</v>
      </c>
      <c r="I163" s="8">
        <v>65</v>
      </c>
      <c r="J163" s="8">
        <v>60</v>
      </c>
      <c r="K163" s="8">
        <v>54</v>
      </c>
      <c r="L163" s="8">
        <v>50</v>
      </c>
      <c r="M163" s="8">
        <v>50</v>
      </c>
      <c r="N163" s="8">
        <f>SUM(B163:M163)</f>
        <v>606</v>
      </c>
      <c r="Q163"/>
    </row>
    <row r="164" spans="1:17" x14ac:dyDescent="0.35">
      <c r="A164" s="9" t="s">
        <v>43</v>
      </c>
      <c r="B164" s="11">
        <f t="shared" ref="B164:N164" si="53">B160/B162</f>
        <v>32.75</v>
      </c>
      <c r="C164" s="11">
        <f t="shared" si="53"/>
        <v>23.80742857142857</v>
      </c>
      <c r="D164" s="11">
        <f t="shared" si="53"/>
        <v>22.738095238095237</v>
      </c>
      <c r="E164" s="11">
        <f t="shared" si="53"/>
        <v>21.773333333333333</v>
      </c>
      <c r="F164" s="11">
        <f t="shared" si="53"/>
        <v>18.048245614035089</v>
      </c>
      <c r="G164" s="11">
        <f t="shared" si="53"/>
        <v>20.202857142857141</v>
      </c>
      <c r="H164" s="11">
        <f t="shared" si="53"/>
        <v>21.67</v>
      </c>
      <c r="I164" s="11">
        <f t="shared" si="53"/>
        <v>22.31</v>
      </c>
      <c r="J164" s="11">
        <f t="shared" si="53"/>
        <v>20.83</v>
      </c>
      <c r="K164" s="11">
        <f t="shared" si="53"/>
        <v>17.782222222222224</v>
      </c>
      <c r="L164" s="11">
        <f t="shared" si="53"/>
        <v>17.345600000000001</v>
      </c>
      <c r="M164" s="11">
        <f t="shared" si="53"/>
        <v>18.38</v>
      </c>
      <c r="N164" s="11">
        <f t="shared" si="53"/>
        <v>20.958217821782178</v>
      </c>
      <c r="Q164"/>
    </row>
    <row r="165" spans="1:17" x14ac:dyDescent="0.35">
      <c r="A165" s="9" t="s">
        <v>34</v>
      </c>
      <c r="B165" s="11">
        <f t="shared" ref="B165:N165" si="54">B160/B166</f>
        <v>32.75</v>
      </c>
      <c r="C165" s="11">
        <f t="shared" si="54"/>
        <v>27.775333333333332</v>
      </c>
      <c r="D165" s="11">
        <f t="shared" si="54"/>
        <v>23.875</v>
      </c>
      <c r="E165" s="11">
        <f t="shared" si="54"/>
        <v>21.773333333333333</v>
      </c>
      <c r="F165" s="11">
        <f t="shared" si="54"/>
        <v>20.574999999999999</v>
      </c>
      <c r="G165" s="11">
        <f t="shared" si="54"/>
        <v>22.627199999999998</v>
      </c>
      <c r="H165" s="11">
        <f t="shared" si="54"/>
        <v>22.392333333333337</v>
      </c>
      <c r="I165" s="11">
        <f t="shared" si="54"/>
        <v>24.169166666666666</v>
      </c>
      <c r="J165" s="11">
        <f t="shared" si="54"/>
        <v>22.723636363636363</v>
      </c>
      <c r="K165" s="11">
        <f t="shared" si="54"/>
        <v>17.458909090909092</v>
      </c>
      <c r="L165" s="11">
        <f t="shared" si="54"/>
        <v>15.768727272727272</v>
      </c>
      <c r="M165" s="11">
        <f t="shared" si="54"/>
        <v>15.316666666666666</v>
      </c>
      <c r="N165" s="11">
        <f t="shared" si="54"/>
        <v>21.526576271186443</v>
      </c>
      <c r="Q165"/>
    </row>
    <row r="166" spans="1:17" x14ac:dyDescent="0.35">
      <c r="A166" s="9" t="s">
        <v>47</v>
      </c>
      <c r="B166" s="10">
        <v>30</v>
      </c>
      <c r="C166" s="10">
        <v>30</v>
      </c>
      <c r="D166" s="10">
        <v>40</v>
      </c>
      <c r="E166" s="10">
        <v>45</v>
      </c>
      <c r="F166" s="10">
        <v>50</v>
      </c>
      <c r="G166" s="10">
        <v>50</v>
      </c>
      <c r="H166" s="10">
        <v>60</v>
      </c>
      <c r="I166" s="10">
        <v>60</v>
      </c>
      <c r="J166" s="10">
        <v>55</v>
      </c>
      <c r="K166" s="10">
        <v>55</v>
      </c>
      <c r="L166" s="10">
        <v>55</v>
      </c>
      <c r="M166" s="10">
        <v>60</v>
      </c>
      <c r="N166" s="10">
        <f>SUM(B166:M166)</f>
        <v>590</v>
      </c>
      <c r="Q166"/>
    </row>
    <row r="167" spans="1:17" x14ac:dyDescent="0.35">
      <c r="A167" s="5" t="s">
        <v>62</v>
      </c>
      <c r="B167" s="8">
        <v>6824.4902225997639</v>
      </c>
      <c r="C167" s="8">
        <v>6820.3469675853594</v>
      </c>
      <c r="D167" s="8">
        <v>6806.1230503826937</v>
      </c>
      <c r="E167" s="8">
        <v>6833.932414756966</v>
      </c>
      <c r="F167" s="8">
        <v>6994.3648077539901</v>
      </c>
      <c r="G167" s="8">
        <v>7027.7690366285115</v>
      </c>
      <c r="H167" s="8">
        <v>7159.1562120685448</v>
      </c>
      <c r="I167" s="8">
        <v>7071.2556940585901</v>
      </c>
      <c r="J167" s="8">
        <v>6895.4537268545728</v>
      </c>
      <c r="K167" s="8">
        <v>6801.9028317959619</v>
      </c>
      <c r="L167" s="8">
        <v>6932.819878290059</v>
      </c>
      <c r="M167" s="8">
        <v>6909.6968587777419</v>
      </c>
      <c r="N167" s="8">
        <f>SUMPRODUCT(B167:M167,$B$166:$M$166)/SUM($B$166:$M$166)</f>
        <v>6937.779522932331</v>
      </c>
      <c r="Q167"/>
    </row>
    <row r="168" spans="1:17" x14ac:dyDescent="0.35">
      <c r="A168" s="5" t="s">
        <v>22</v>
      </c>
      <c r="B168" s="7">
        <v>1.4307860802885155</v>
      </c>
      <c r="C168" s="7">
        <v>1.5139921725626135</v>
      </c>
      <c r="D168" s="7">
        <v>1.5555952186996624</v>
      </c>
      <c r="E168" s="7">
        <v>1.5555952186996624</v>
      </c>
      <c r="F168" s="7">
        <v>1.5555952186996627</v>
      </c>
      <c r="G168" s="7">
        <v>1.2555952186996624</v>
      </c>
      <c r="H168" s="7">
        <v>1.2555952186996624</v>
      </c>
      <c r="I168" s="7">
        <v>1.29559521869966</v>
      </c>
      <c r="J168" s="7">
        <v>1.1555952186996601</v>
      </c>
      <c r="K168" s="7">
        <v>1.2555952186996624</v>
      </c>
      <c r="L168" s="7">
        <v>1.1825559521869899</v>
      </c>
      <c r="M168" s="7">
        <v>1.2555952186996622</v>
      </c>
      <c r="N168" s="7">
        <f t="shared" ref="N168:N171" si="55">SUMPRODUCT(B168:M168,$B$166:$M$166)/SUM($B$166:$M$166)</f>
        <v>1.3342231420985724</v>
      </c>
      <c r="Q168"/>
    </row>
    <row r="169" spans="1:17" x14ac:dyDescent="0.35">
      <c r="A169" s="5" t="s">
        <v>23</v>
      </c>
      <c r="B169" s="7">
        <v>2.9538162037923059</v>
      </c>
      <c r="C169" s="7">
        <v>3.1341807059133933</v>
      </c>
      <c r="D169" s="7">
        <v>3.1951670551646072</v>
      </c>
      <c r="E169" s="7">
        <v>3.3934830644611829</v>
      </c>
      <c r="F169" s="7">
        <v>3.2981006712672354</v>
      </c>
      <c r="G169" s="7">
        <v>2.8070270920194642</v>
      </c>
      <c r="H169" s="7">
        <v>2.8034330774321643</v>
      </c>
      <c r="I169" s="7">
        <v>3.0056476055558021</v>
      </c>
      <c r="J169" s="7">
        <v>2.6376748457291481</v>
      </c>
      <c r="K169" s="7">
        <v>2.88308071810722</v>
      </c>
      <c r="L169" s="7">
        <v>2.593483111042977</v>
      </c>
      <c r="M169" s="7">
        <v>2.6436861976992021</v>
      </c>
      <c r="N169" s="7">
        <f t="shared" si="55"/>
        <v>2.918404839868538</v>
      </c>
      <c r="Q169"/>
    </row>
    <row r="170" spans="1:17" x14ac:dyDescent="0.35">
      <c r="A170" s="5" t="s">
        <v>25</v>
      </c>
      <c r="B170" s="7">
        <v>9.295414204357213</v>
      </c>
      <c r="C170" s="7">
        <v>9.5622703326100158</v>
      </c>
      <c r="D170" s="7">
        <v>9.5266894901104155</v>
      </c>
      <c r="E170" s="7">
        <v>9.1730303432048945</v>
      </c>
      <c r="F170" s="7">
        <v>7.382980757124729</v>
      </c>
      <c r="G170" s="7">
        <v>7.4119872723258613</v>
      </c>
      <c r="H170" s="7">
        <v>7.6268328491735806</v>
      </c>
      <c r="I170" s="7">
        <v>7.9622651451577555</v>
      </c>
      <c r="J170" s="7">
        <v>9.8485976694516477</v>
      </c>
      <c r="K170" s="7">
        <v>10.62814110418763</v>
      </c>
      <c r="L170" s="7">
        <v>9.9458142460428469</v>
      </c>
      <c r="M170" s="7">
        <v>10.112334823720609</v>
      </c>
      <c r="N170" s="7">
        <f t="shared" si="55"/>
        <v>9.0078970640607068</v>
      </c>
      <c r="Q170"/>
    </row>
    <row r="171" spans="1:17" x14ac:dyDescent="0.35">
      <c r="A171" s="5" t="s">
        <v>38</v>
      </c>
      <c r="B171" s="7">
        <v>4.4327769749624331</v>
      </c>
      <c r="C171" s="7">
        <v>4.5234544554619722</v>
      </c>
      <c r="D171" s="7">
        <v>4.5521376375757292</v>
      </c>
      <c r="E171" s="7">
        <v>4.5576540170831441</v>
      </c>
      <c r="F171" s="7">
        <v>4.7566333824107767</v>
      </c>
      <c r="G171" s="7">
        <v>4.5532701609917909</v>
      </c>
      <c r="H171" s="7">
        <v>4.6037047519600041</v>
      </c>
      <c r="I171" s="7">
        <v>4.8185718922915539</v>
      </c>
      <c r="J171" s="7">
        <v>4.5690436952893529</v>
      </c>
      <c r="K171" s="7">
        <v>4.9641888327929982</v>
      </c>
      <c r="L171" s="7">
        <v>4.6397494251868796</v>
      </c>
      <c r="M171" s="7">
        <v>4.7276789214345705</v>
      </c>
      <c r="N171" s="7">
        <f t="shared" si="55"/>
        <v>4.6608023690264515</v>
      </c>
      <c r="Q171"/>
    </row>
    <row r="173" spans="1:17" x14ac:dyDescent="0.35">
      <c r="A173" s="6" t="s">
        <v>91</v>
      </c>
      <c r="B173" s="6" t="s">
        <v>1</v>
      </c>
      <c r="C173" s="6" t="s">
        <v>2</v>
      </c>
      <c r="D173" s="6" t="s">
        <v>3</v>
      </c>
      <c r="E173" s="6" t="s">
        <v>4</v>
      </c>
      <c r="F173" s="6" t="s">
        <v>5</v>
      </c>
      <c r="G173" s="6" t="s">
        <v>6</v>
      </c>
      <c r="H173" s="6" t="s">
        <v>7</v>
      </c>
      <c r="I173" s="6" t="s">
        <v>8</v>
      </c>
      <c r="J173" s="6" t="s">
        <v>9</v>
      </c>
      <c r="K173" s="6" t="s">
        <v>10</v>
      </c>
      <c r="L173" s="6" t="s">
        <v>11</v>
      </c>
      <c r="M173" s="6" t="s">
        <v>12</v>
      </c>
      <c r="N173" s="6" t="s">
        <v>13</v>
      </c>
      <c r="Q173"/>
    </row>
    <row r="174" spans="1:17" x14ac:dyDescent="0.35">
      <c r="A174" s="9" t="s">
        <v>14</v>
      </c>
      <c r="B174" s="10">
        <f t="shared" ref="B174:N174" si="56">SUM(B175:B175)</f>
        <v>0</v>
      </c>
      <c r="C174" s="10">
        <f t="shared" si="56"/>
        <v>0</v>
      </c>
      <c r="D174" s="10">
        <f t="shared" si="56"/>
        <v>129</v>
      </c>
      <c r="E174" s="10">
        <f t="shared" si="56"/>
        <v>535</v>
      </c>
      <c r="F174" s="10">
        <f t="shared" si="56"/>
        <v>542</v>
      </c>
      <c r="G174" s="10">
        <f t="shared" si="56"/>
        <v>543</v>
      </c>
      <c r="H174" s="10">
        <f t="shared" si="56"/>
        <v>586</v>
      </c>
      <c r="I174" s="10">
        <f t="shared" si="56"/>
        <v>594</v>
      </c>
      <c r="J174" s="10">
        <f t="shared" si="56"/>
        <v>578</v>
      </c>
      <c r="K174" s="10">
        <f t="shared" si="56"/>
        <v>752</v>
      </c>
      <c r="L174" s="10">
        <f t="shared" si="56"/>
        <v>682</v>
      </c>
      <c r="M174" s="10">
        <f t="shared" si="56"/>
        <v>742.5</v>
      </c>
      <c r="N174" s="10">
        <f t="shared" si="56"/>
        <v>5683.5</v>
      </c>
      <c r="P174" s="1" t="s">
        <v>63</v>
      </c>
      <c r="Q174"/>
    </row>
    <row r="175" spans="1:17" x14ac:dyDescent="0.35">
      <c r="A175" s="5" t="s">
        <v>61</v>
      </c>
      <c r="B175" s="8">
        <v>0</v>
      </c>
      <c r="C175" s="8">
        <v>0</v>
      </c>
      <c r="D175" s="8">
        <v>129</v>
      </c>
      <c r="E175" s="8">
        <v>535</v>
      </c>
      <c r="F175" s="8">
        <v>542</v>
      </c>
      <c r="G175" s="8">
        <v>543</v>
      </c>
      <c r="H175" s="8">
        <v>586</v>
      </c>
      <c r="I175" s="8">
        <v>594</v>
      </c>
      <c r="J175" s="8">
        <v>578</v>
      </c>
      <c r="K175" s="8">
        <v>752</v>
      </c>
      <c r="L175" s="8">
        <v>682</v>
      </c>
      <c r="M175" s="8">
        <v>742.5</v>
      </c>
      <c r="N175" s="8">
        <f>SUM(B175:M175)</f>
        <v>5683.5</v>
      </c>
      <c r="Q175"/>
    </row>
    <row r="176" spans="1:17" x14ac:dyDescent="0.35">
      <c r="A176" s="9" t="s">
        <v>17</v>
      </c>
      <c r="B176" s="10">
        <f t="shared" ref="B176:N176" si="57">SUM(B177:B177)</f>
        <v>0</v>
      </c>
      <c r="C176" s="10">
        <f t="shared" si="57"/>
        <v>0</v>
      </c>
      <c r="D176" s="10">
        <f t="shared" si="57"/>
        <v>0</v>
      </c>
      <c r="E176" s="10">
        <f t="shared" si="57"/>
        <v>0</v>
      </c>
      <c r="F176" s="10">
        <f t="shared" si="57"/>
        <v>25</v>
      </c>
      <c r="G176" s="10">
        <f t="shared" si="57"/>
        <v>55</v>
      </c>
      <c r="H176" s="10">
        <f t="shared" si="57"/>
        <v>60</v>
      </c>
      <c r="I176" s="10">
        <f t="shared" si="57"/>
        <v>60</v>
      </c>
      <c r="J176" s="10">
        <f t="shared" si="57"/>
        <v>55</v>
      </c>
      <c r="K176" s="10">
        <f t="shared" si="57"/>
        <v>65</v>
      </c>
      <c r="L176" s="10">
        <f t="shared" si="57"/>
        <v>65</v>
      </c>
      <c r="M176" s="10">
        <f t="shared" si="57"/>
        <v>65</v>
      </c>
      <c r="N176" s="10">
        <f t="shared" si="57"/>
        <v>450</v>
      </c>
      <c r="Q176"/>
    </row>
    <row r="177" spans="1:17" x14ac:dyDescent="0.35">
      <c r="A177" s="5" t="s">
        <v>61</v>
      </c>
      <c r="B177" s="8">
        <v>0</v>
      </c>
      <c r="C177" s="8">
        <v>0</v>
      </c>
      <c r="D177" s="8">
        <v>0</v>
      </c>
      <c r="E177" s="8">
        <v>0</v>
      </c>
      <c r="F177" s="8">
        <v>25</v>
      </c>
      <c r="G177" s="8">
        <v>55</v>
      </c>
      <c r="H177" s="8">
        <v>60</v>
      </c>
      <c r="I177" s="8">
        <v>60</v>
      </c>
      <c r="J177" s="8">
        <v>55</v>
      </c>
      <c r="K177" s="8">
        <v>65</v>
      </c>
      <c r="L177" s="8">
        <v>65</v>
      </c>
      <c r="M177" s="8">
        <v>65</v>
      </c>
      <c r="N177" s="8">
        <f>SUM(B177:M177)</f>
        <v>450</v>
      </c>
      <c r="Q177"/>
    </row>
    <row r="178" spans="1:17" x14ac:dyDescent="0.35">
      <c r="A178" s="9" t="s">
        <v>43</v>
      </c>
      <c r="B178" s="11" t="e">
        <f t="shared" ref="B178:N178" si="58">B174/B176</f>
        <v>#DIV/0!</v>
      </c>
      <c r="C178" s="11" t="e">
        <f t="shared" si="58"/>
        <v>#DIV/0!</v>
      </c>
      <c r="D178" s="11" t="e">
        <f t="shared" si="58"/>
        <v>#DIV/0!</v>
      </c>
      <c r="E178" s="11" t="e">
        <f t="shared" si="58"/>
        <v>#DIV/0!</v>
      </c>
      <c r="F178" s="11">
        <f t="shared" si="58"/>
        <v>21.68</v>
      </c>
      <c r="G178" s="11">
        <f t="shared" si="58"/>
        <v>9.872727272727273</v>
      </c>
      <c r="H178" s="11">
        <f t="shared" si="58"/>
        <v>9.7666666666666675</v>
      </c>
      <c r="I178" s="11">
        <f t="shared" si="58"/>
        <v>9.9</v>
      </c>
      <c r="J178" s="11">
        <f t="shared" si="58"/>
        <v>10.50909090909091</v>
      </c>
      <c r="K178" s="11">
        <f t="shared" si="58"/>
        <v>11.569230769230769</v>
      </c>
      <c r="L178" s="11">
        <f t="shared" si="58"/>
        <v>10.492307692307692</v>
      </c>
      <c r="M178" s="11">
        <f t="shared" si="58"/>
        <v>11.423076923076923</v>
      </c>
      <c r="N178" s="11">
        <f t="shared" si="58"/>
        <v>12.63</v>
      </c>
      <c r="Q178"/>
    </row>
    <row r="179" spans="1:17" x14ac:dyDescent="0.35">
      <c r="A179" s="9" t="s">
        <v>34</v>
      </c>
      <c r="B179" s="11" t="e">
        <f t="shared" ref="B179:N179" si="59">B174/B180</f>
        <v>#DIV/0!</v>
      </c>
      <c r="C179" s="11" t="e">
        <f t="shared" si="59"/>
        <v>#DIV/0!</v>
      </c>
      <c r="D179" s="11" t="e">
        <f t="shared" si="59"/>
        <v>#DIV/0!</v>
      </c>
      <c r="E179" s="11" t="e">
        <f t="shared" si="59"/>
        <v>#DIV/0!</v>
      </c>
      <c r="F179" s="10">
        <f t="shared" si="59"/>
        <v>31.882352941176471</v>
      </c>
      <c r="G179" s="11">
        <f t="shared" si="59"/>
        <v>14.675675675675675</v>
      </c>
      <c r="H179" s="11">
        <f t="shared" si="59"/>
        <v>14.65</v>
      </c>
      <c r="I179" s="11">
        <f t="shared" si="59"/>
        <v>14.85</v>
      </c>
      <c r="J179" s="11">
        <f t="shared" si="59"/>
        <v>15.621621621621621</v>
      </c>
      <c r="K179" s="11">
        <f t="shared" si="59"/>
        <v>17.488372093023255</v>
      </c>
      <c r="L179" s="11">
        <f t="shared" si="59"/>
        <v>15.86046511627907</v>
      </c>
      <c r="M179" s="11">
        <f t="shared" si="59"/>
        <v>17.267441860465116</v>
      </c>
      <c r="N179" s="11">
        <f t="shared" si="59"/>
        <v>18.945</v>
      </c>
      <c r="Q179"/>
    </row>
    <row r="180" spans="1:17" x14ac:dyDescent="0.35">
      <c r="A180" s="9" t="s">
        <v>47</v>
      </c>
      <c r="B180" s="10">
        <v>0</v>
      </c>
      <c r="C180" s="10">
        <v>0</v>
      </c>
      <c r="D180" s="10">
        <v>0</v>
      </c>
      <c r="E180" s="10">
        <v>0</v>
      </c>
      <c r="F180" s="10">
        <v>17</v>
      </c>
      <c r="G180" s="10">
        <v>37</v>
      </c>
      <c r="H180" s="10">
        <v>40</v>
      </c>
      <c r="I180" s="10">
        <v>40</v>
      </c>
      <c r="J180" s="10">
        <v>37</v>
      </c>
      <c r="K180" s="10">
        <v>43</v>
      </c>
      <c r="L180" s="10">
        <v>43</v>
      </c>
      <c r="M180" s="10">
        <v>43</v>
      </c>
      <c r="N180" s="10">
        <f>SUM(B180:M180)</f>
        <v>300</v>
      </c>
      <c r="Q180"/>
    </row>
    <row r="181" spans="1:17" x14ac:dyDescent="0.35">
      <c r="A181" s="5" t="s">
        <v>92</v>
      </c>
      <c r="B181" s="8">
        <v>0</v>
      </c>
      <c r="C181" s="8">
        <v>0</v>
      </c>
      <c r="D181" s="8">
        <v>0</v>
      </c>
      <c r="E181" s="8">
        <v>0</v>
      </c>
      <c r="F181" s="8">
        <v>6479.8735513063575</v>
      </c>
      <c r="G181" s="8">
        <v>6587.4532361428255</v>
      </c>
      <c r="H181" s="8">
        <v>6598.4996530979815</v>
      </c>
      <c r="I181" s="8">
        <v>6640.8571020106665</v>
      </c>
      <c r="J181" s="8">
        <v>6546.9131928299039</v>
      </c>
      <c r="K181" s="8">
        <v>6622.554164152155</v>
      </c>
      <c r="L181" s="8">
        <v>6577.0751977468653</v>
      </c>
      <c r="M181" s="8">
        <v>6514.6913723446387</v>
      </c>
      <c r="N181" s="8">
        <f>SUMPRODUCT(B181:M181,$B$166:$M$166)/SUM($B$166:$M$166)</f>
        <v>4957.0662161521141</v>
      </c>
      <c r="Q181"/>
    </row>
    <row r="182" spans="1:17" x14ac:dyDescent="0.35">
      <c r="A182" s="5" t="s">
        <v>22</v>
      </c>
      <c r="B182" s="7">
        <v>0</v>
      </c>
      <c r="C182" s="7">
        <v>0</v>
      </c>
      <c r="D182" s="7">
        <v>0</v>
      </c>
      <c r="E182" s="7">
        <v>0</v>
      </c>
      <c r="F182" s="7">
        <v>1.1963137977016487</v>
      </c>
      <c r="G182" s="7">
        <v>1.2297945486871629</v>
      </c>
      <c r="H182" s="7">
        <v>1.1899371525763407</v>
      </c>
      <c r="I182" s="7">
        <v>1.1598452095168732</v>
      </c>
      <c r="J182" s="7">
        <v>1.043069152154005</v>
      </c>
      <c r="K182" s="7">
        <v>1.0998599026215141</v>
      </c>
      <c r="L182" s="7">
        <v>1.0171850237389215</v>
      </c>
      <c r="M182" s="7">
        <v>0.99868824240130705</v>
      </c>
      <c r="N182" s="7">
        <f t="shared" ref="N182:N185" si="60">SUMPRODUCT(B182:M182,$B$166:$M$166)/SUM($B$166:$M$166)</f>
        <v>0.84071174221594247</v>
      </c>
      <c r="Q182"/>
    </row>
    <row r="183" spans="1:17" x14ac:dyDescent="0.35">
      <c r="A183" s="5" t="s">
        <v>23</v>
      </c>
      <c r="B183" s="7">
        <v>0</v>
      </c>
      <c r="C183" s="7">
        <v>0</v>
      </c>
      <c r="D183" s="7">
        <v>0</v>
      </c>
      <c r="E183" s="7">
        <v>0</v>
      </c>
      <c r="F183" s="7">
        <v>6.1898218520392891</v>
      </c>
      <c r="G183" s="7">
        <v>6.1677029274238109</v>
      </c>
      <c r="H183" s="7">
        <v>6.5216776272949577</v>
      </c>
      <c r="I183" s="7">
        <v>6.2198206941014229</v>
      </c>
      <c r="J183" s="7">
        <v>5.4980496011602895</v>
      </c>
      <c r="K183" s="7">
        <v>6.2002253394155238</v>
      </c>
      <c r="L183" s="7">
        <v>5.4953496668146338</v>
      </c>
      <c r="M183" s="7">
        <v>5.9413443801343009</v>
      </c>
      <c r="N183" s="7">
        <f t="shared" si="60"/>
        <v>4.5499934821550347</v>
      </c>
      <c r="Q183"/>
    </row>
    <row r="184" spans="1:17" x14ac:dyDescent="0.35">
      <c r="A184" s="5" t="s">
        <v>38</v>
      </c>
      <c r="B184" s="7"/>
      <c r="C184" s="7"/>
      <c r="D184" s="7"/>
      <c r="E184" s="7">
        <v>0</v>
      </c>
      <c r="F184" s="7">
        <v>8.6260324569665645</v>
      </c>
      <c r="G184" s="7">
        <v>7.4000020850870269</v>
      </c>
      <c r="H184" s="7">
        <v>6.7387324662647368</v>
      </c>
      <c r="I184" s="7">
        <v>6.6265738034878963</v>
      </c>
      <c r="J184" s="7">
        <v>8.5113001863496525</v>
      </c>
      <c r="K184" s="7">
        <v>6.8655051550811086</v>
      </c>
      <c r="L184" s="7">
        <v>8.0494777521544147</v>
      </c>
      <c r="M184" s="7">
        <v>8.4500340109166245</v>
      </c>
      <c r="N184" s="7">
        <f t="shared" si="60"/>
        <v>5.7604537526949482</v>
      </c>
      <c r="Q184"/>
    </row>
    <row r="185" spans="1:17" x14ac:dyDescent="0.35">
      <c r="A185" s="5" t="s">
        <v>25</v>
      </c>
      <c r="B185" s="7">
        <v>0</v>
      </c>
      <c r="C185" s="7">
        <v>0</v>
      </c>
      <c r="D185" s="7">
        <v>0</v>
      </c>
      <c r="E185" s="7">
        <v>0</v>
      </c>
      <c r="F185" s="7">
        <v>14.780549266908384</v>
      </c>
      <c r="G185" s="7">
        <v>14.414034145582065</v>
      </c>
      <c r="H185" s="7">
        <v>14.368264087092488</v>
      </c>
      <c r="I185" s="7">
        <v>14.399810935412955</v>
      </c>
      <c r="J185" s="7">
        <v>15.000279257794638</v>
      </c>
      <c r="K185" s="7">
        <v>14.384707966561351</v>
      </c>
      <c r="L185" s="7">
        <v>15.075931068448858</v>
      </c>
      <c r="M185" s="7">
        <v>15.09520006903829</v>
      </c>
      <c r="N185" s="7">
        <f t="shared" si="60"/>
        <v>11.079451156307481</v>
      </c>
      <c r="Q185"/>
    </row>
    <row r="186" spans="1:17" x14ac:dyDescent="0.3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7" x14ac:dyDescent="0.35">
      <c r="E187" s="12"/>
      <c r="H187" s="12"/>
      <c r="K187" s="12"/>
      <c r="N187" s="12"/>
    </row>
    <row r="188" spans="1:17" x14ac:dyDescent="0.3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1:17" x14ac:dyDescent="0.35">
      <c r="D189" s="12"/>
      <c r="E189" s="12"/>
      <c r="G189" s="12"/>
      <c r="H189" s="12"/>
      <c r="J189" s="12"/>
      <c r="K189" s="12"/>
      <c r="M189" s="12"/>
      <c r="N189" s="12"/>
    </row>
    <row r="190" spans="1:17" x14ac:dyDescent="0.3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1:17" x14ac:dyDescent="0.35">
      <c r="E191" s="12"/>
      <c r="H191" s="12"/>
      <c r="K191" s="12"/>
      <c r="N191" s="12"/>
    </row>
    <row r="192" spans="1:17" x14ac:dyDescent="0.35">
      <c r="B192" s="12"/>
      <c r="C192" s="12"/>
      <c r="D192" s="12"/>
      <c r="E192" s="13"/>
      <c r="F192" s="12"/>
      <c r="G192" s="12"/>
      <c r="H192" s="13"/>
      <c r="I192" s="12"/>
      <c r="J192" s="12"/>
      <c r="K192" s="13"/>
      <c r="L192" s="12"/>
      <c r="M192" s="12"/>
      <c r="N192" s="13"/>
    </row>
    <row r="193" spans="2:13" x14ac:dyDescent="0.35">
      <c r="D193" s="12"/>
      <c r="G193" s="12"/>
      <c r="J193" s="12"/>
      <c r="M193" s="12"/>
    </row>
    <row r="196" spans="2:13" x14ac:dyDescent="0.3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2:13" x14ac:dyDescent="0.35">
      <c r="D197" s="12"/>
      <c r="G197" s="12"/>
      <c r="J197" s="12"/>
      <c r="M197" s="12"/>
    </row>
    <row r="200" spans="2:13" x14ac:dyDescent="0.3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2:13" x14ac:dyDescent="0.35">
      <c r="D201" s="12"/>
      <c r="G201" s="12"/>
      <c r="J201" s="12"/>
      <c r="M201" s="12"/>
    </row>
    <row r="206" spans="2:13" x14ac:dyDescent="0.3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2:13" x14ac:dyDescent="0.35">
      <c r="D207" s="12"/>
      <c r="G207" s="12"/>
      <c r="J207" s="12"/>
      <c r="M207" s="12"/>
    </row>
    <row r="211" spans="2:13" x14ac:dyDescent="0.3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2:13" x14ac:dyDescent="0.35">
      <c r="D212" s="12"/>
      <c r="G212" s="12"/>
      <c r="J212" s="12"/>
      <c r="M212" s="12"/>
    </row>
  </sheetData>
  <pageMargins left="0.7" right="0.7" top="0.75" bottom="0.75" header="0.3" footer="0.3"/>
  <pageSetup paperSize="9" orientation="portrait" r:id="rId1"/>
  <ignoredErrors>
    <ignoredError sqref="N12 N17 N1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R176"/>
  <sheetViews>
    <sheetView tabSelected="1" zoomScale="70" zoomScaleNormal="70" workbookViewId="0">
      <pane xSplit="1" ySplit="4" topLeftCell="K11" activePane="bottomRight" state="frozen"/>
      <selection pane="topRight" activeCell="B1" sqref="B1"/>
      <selection pane="bottomLeft" activeCell="A5" sqref="A5"/>
      <selection pane="bottomRight" activeCell="S28" sqref="S28"/>
    </sheetView>
  </sheetViews>
  <sheetFormatPr defaultColWidth="8.90625" defaultRowHeight="14.5" x14ac:dyDescent="0.35"/>
  <cols>
    <col min="1" max="1" width="27.453125" style="1" customWidth="1"/>
    <col min="2" max="13" width="11.81640625" style="1" bestFit="1" customWidth="1"/>
    <col min="14" max="14" width="13.36328125" style="1" customWidth="1"/>
    <col min="15" max="15" width="1.6328125" style="1" customWidth="1"/>
    <col min="16" max="16" width="13.6328125" style="1" customWidth="1"/>
    <col min="17" max="17" width="0" style="1" hidden="1" customWidth="1"/>
    <col min="18" max="16384" width="8.90625" style="1"/>
  </cols>
  <sheetData>
    <row r="1" spans="1:17" x14ac:dyDescent="0.35">
      <c r="A1" s="3" t="s">
        <v>88</v>
      </c>
      <c r="B1" s="12">
        <v>1000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7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7" ht="15.65" customHeight="1" x14ac:dyDescent="0.35">
      <c r="B3" s="4" t="s">
        <v>64</v>
      </c>
      <c r="C3" s="4" t="s">
        <v>64</v>
      </c>
      <c r="D3" s="4" t="s">
        <v>64</v>
      </c>
      <c r="E3" s="4" t="s">
        <v>64</v>
      </c>
      <c r="F3" s="4" t="s">
        <v>64</v>
      </c>
      <c r="G3" s="4" t="s">
        <v>64</v>
      </c>
      <c r="H3" s="4" t="s">
        <v>64</v>
      </c>
      <c r="I3" s="4" t="s">
        <v>64</v>
      </c>
      <c r="J3" s="4" t="s">
        <v>64</v>
      </c>
      <c r="K3" s="4" t="s">
        <v>64</v>
      </c>
      <c r="L3" s="4" t="s">
        <v>64</v>
      </c>
      <c r="M3" s="4" t="s">
        <v>64</v>
      </c>
      <c r="N3" s="4" t="s">
        <v>64</v>
      </c>
      <c r="O3" s="4"/>
      <c r="P3" s="4"/>
    </row>
    <row r="4" spans="1:17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  <c r="P4" s="6" t="s">
        <v>89</v>
      </c>
    </row>
    <row r="5" spans="1:17" s="2" customFormat="1" x14ac:dyDescent="0.35">
      <c r="A5" s="9" t="s">
        <v>14</v>
      </c>
      <c r="B5" s="10">
        <f t="shared" ref="B5:M5" si="0">SUM(B6:B7)</f>
        <v>7628.0102799999986</v>
      </c>
      <c r="C5" s="10">
        <f t="shared" si="0"/>
        <v>7275.0401741430796</v>
      </c>
      <c r="D5" s="10">
        <f t="shared" si="0"/>
        <v>6917.9241208752192</v>
      </c>
      <c r="E5" s="10">
        <f t="shared" si="0"/>
        <v>7858.73406421662</v>
      </c>
      <c r="F5" s="10">
        <f t="shared" si="0"/>
        <v>8278.4904739824015</v>
      </c>
      <c r="G5" s="10">
        <f t="shared" si="0"/>
        <v>7640.6139919246343</v>
      </c>
      <c r="H5" s="10">
        <f t="shared" si="0"/>
        <v>8789.246788800001</v>
      </c>
      <c r="I5" s="10">
        <f t="shared" si="0"/>
        <v>8512.6790073979319</v>
      </c>
      <c r="J5" s="10">
        <f t="shared" si="0"/>
        <v>8487.7924339737674</v>
      </c>
      <c r="K5" s="10">
        <f t="shared" si="0"/>
        <v>8286.6040618800016</v>
      </c>
      <c r="L5" s="10">
        <f t="shared" si="0"/>
        <v>7878.5928290399997</v>
      </c>
      <c r="M5" s="10">
        <f t="shared" si="0"/>
        <v>7651.8217737663672</v>
      </c>
      <c r="N5" s="10">
        <f>SUM(B5:M5)</f>
        <v>95205.550000000032</v>
      </c>
      <c r="P5" s="10">
        <f>'Budget 2025'!N5</f>
        <v>94714.47819029224</v>
      </c>
      <c r="Q5" s="28">
        <f>N5/P5</f>
        <v>1.005184759701903</v>
      </c>
    </row>
    <row r="6" spans="1:17" x14ac:dyDescent="0.35">
      <c r="A6" s="5" t="s">
        <v>15</v>
      </c>
      <c r="B6" s="8">
        <v>2766.4135332620285</v>
      </c>
      <c r="C6" s="8">
        <v>2778.6096169609859</v>
      </c>
      <c r="D6" s="8">
        <v>2447.1295388552735</v>
      </c>
      <c r="E6" s="8">
        <v>2781.4178359746898</v>
      </c>
      <c r="F6" s="8">
        <v>2942.6228065584</v>
      </c>
      <c r="G6" s="8">
        <v>2548.7014797070556</v>
      </c>
      <c r="H6" s="8">
        <v>3112.9386000000004</v>
      </c>
      <c r="I6" s="8">
        <v>3121.8470612055389</v>
      </c>
      <c r="J6" s="8">
        <v>2945.2593315881622</v>
      </c>
      <c r="K6" s="8">
        <v>2874.3187894800003</v>
      </c>
      <c r="L6" s="8">
        <v>2732.4475898399996</v>
      </c>
      <c r="M6" s="8">
        <v>2649.3725265980884</v>
      </c>
      <c r="N6" s="8">
        <f t="shared" ref="N6:N7" si="1">SUM(B6:M6)</f>
        <v>33701.078710030219</v>
      </c>
      <c r="P6" s="8">
        <f>'Budget 2025'!N6</f>
        <v>33532.659005910617</v>
      </c>
    </row>
    <row r="7" spans="1:17" x14ac:dyDescent="0.35">
      <c r="A7" s="5" t="s">
        <v>16</v>
      </c>
      <c r="B7" s="8">
        <v>4861.5967467379705</v>
      </c>
      <c r="C7" s="8">
        <v>4496.4305571820942</v>
      </c>
      <c r="D7" s="8">
        <v>4470.7945820199457</v>
      </c>
      <c r="E7" s="8">
        <v>5077.3162282419307</v>
      </c>
      <c r="F7" s="8">
        <v>5335.8676674240005</v>
      </c>
      <c r="G7" s="8">
        <v>5091.9125122175783</v>
      </c>
      <c r="H7" s="8">
        <v>5676.3081888000006</v>
      </c>
      <c r="I7" s="8">
        <v>5390.8319461923929</v>
      </c>
      <c r="J7" s="8">
        <v>5542.5331023856052</v>
      </c>
      <c r="K7" s="8">
        <v>5412.2852724000013</v>
      </c>
      <c r="L7" s="8">
        <v>5146.1452392000001</v>
      </c>
      <c r="M7" s="8">
        <v>5002.4492471682788</v>
      </c>
      <c r="N7" s="8">
        <f t="shared" si="1"/>
        <v>61504.471289969806</v>
      </c>
      <c r="P7" s="8">
        <f>'Budget 2025'!N7</f>
        <v>61181.819184381624</v>
      </c>
    </row>
    <row r="8" spans="1:17" s="2" customFormat="1" x14ac:dyDescent="0.35">
      <c r="A8" s="9" t="s">
        <v>17</v>
      </c>
      <c r="B8" s="10">
        <f>SUM(B9:B11)</f>
        <v>554.06481804697194</v>
      </c>
      <c r="C8" s="10">
        <f t="shared" ref="C8:N8" si="2">SUM(C9:C11)</f>
        <v>552.50000001160993</v>
      </c>
      <c r="D8" s="10">
        <f t="shared" si="2"/>
        <v>552.50000001160993</v>
      </c>
      <c r="E8" s="10">
        <f t="shared" si="2"/>
        <v>557.50000001171747</v>
      </c>
      <c r="F8" s="10">
        <f t="shared" si="2"/>
        <v>557.50000001171747</v>
      </c>
      <c r="G8" s="10">
        <f t="shared" si="2"/>
        <v>557.50000001171747</v>
      </c>
      <c r="H8" s="10">
        <f t="shared" si="2"/>
        <v>622.50000001311491</v>
      </c>
      <c r="I8" s="10">
        <f t="shared" si="2"/>
        <v>637.50000001343744</v>
      </c>
      <c r="J8" s="10">
        <f t="shared" si="2"/>
        <v>637.50000001343744</v>
      </c>
      <c r="K8" s="10">
        <f t="shared" si="2"/>
        <v>637.50000001343756</v>
      </c>
      <c r="L8" s="10">
        <f t="shared" si="2"/>
        <v>637.50000001343756</v>
      </c>
      <c r="M8" s="10">
        <f t="shared" si="2"/>
        <v>630.93518277000692</v>
      </c>
      <c r="N8" s="10">
        <f t="shared" si="2"/>
        <v>7135.0000009422165</v>
      </c>
      <c r="P8" s="10">
        <f>'Budget 2025'!N8</f>
        <v>7100.0000001494245</v>
      </c>
      <c r="Q8" s="28">
        <f>N8/P8</f>
        <v>1.0049295775763458</v>
      </c>
    </row>
    <row r="9" spans="1:17" x14ac:dyDescent="0.35">
      <c r="A9" s="5" t="s">
        <v>15</v>
      </c>
      <c r="B9" s="8">
        <v>188.78323313399997</v>
      </c>
      <c r="C9" s="8">
        <v>170.000000003655</v>
      </c>
      <c r="D9" s="8">
        <v>170.000000003655</v>
      </c>
      <c r="E9" s="8">
        <v>160.00000000344002</v>
      </c>
      <c r="F9" s="8">
        <v>175.00000000376252</v>
      </c>
      <c r="G9" s="8">
        <v>150.00000000322498</v>
      </c>
      <c r="H9" s="8">
        <v>140.00000000300997</v>
      </c>
      <c r="I9" s="8">
        <v>130.27368404122004</v>
      </c>
      <c r="J9" s="8">
        <v>130.00000000279499</v>
      </c>
      <c r="K9" s="8">
        <v>115.0000000024725</v>
      </c>
      <c r="L9" s="8">
        <v>110.000000002365</v>
      </c>
      <c r="M9" s="8">
        <v>85.942653683639634</v>
      </c>
      <c r="N9" s="8">
        <f t="shared" ref="N9:N11" si="3">SUM(B9:M9)</f>
        <v>1724.9995708872398</v>
      </c>
      <c r="P9" s="8">
        <f>'Budget 2025'!N9</f>
        <v>1862.5000000400435</v>
      </c>
    </row>
    <row r="10" spans="1:17" x14ac:dyDescent="0.35">
      <c r="A10" s="5" t="s">
        <v>16</v>
      </c>
      <c r="B10" s="8">
        <v>365.28158491297194</v>
      </c>
      <c r="C10" s="8">
        <v>370.00000000795495</v>
      </c>
      <c r="D10" s="8">
        <v>370.00000000795495</v>
      </c>
      <c r="E10" s="8">
        <v>385.00000000827742</v>
      </c>
      <c r="F10" s="8">
        <v>370.00000000795495</v>
      </c>
      <c r="G10" s="8">
        <v>395.00000000849252</v>
      </c>
      <c r="H10" s="8">
        <v>470.00000001010494</v>
      </c>
      <c r="I10" s="8">
        <v>494.72631597221744</v>
      </c>
      <c r="J10" s="8">
        <v>495.00000001064245</v>
      </c>
      <c r="K10" s="8">
        <v>510.00000001096504</v>
      </c>
      <c r="L10" s="8">
        <v>515.00000001107253</v>
      </c>
      <c r="M10" s="8">
        <v>532.49252908636731</v>
      </c>
      <c r="N10" s="8">
        <f t="shared" si="3"/>
        <v>5272.5004300549763</v>
      </c>
      <c r="P10" s="8">
        <f>'Budget 2025'!N10</f>
        <v>5087.5000001093813</v>
      </c>
    </row>
    <row r="11" spans="1:17" x14ac:dyDescent="0.35">
      <c r="A11" s="5" t="s">
        <v>72</v>
      </c>
      <c r="B11" s="8">
        <v>0</v>
      </c>
      <c r="C11" s="8">
        <v>12.5</v>
      </c>
      <c r="D11" s="8">
        <v>12.5</v>
      </c>
      <c r="E11" s="8">
        <v>12.5</v>
      </c>
      <c r="F11" s="8">
        <v>12.5</v>
      </c>
      <c r="G11" s="8">
        <v>12.5</v>
      </c>
      <c r="H11" s="8">
        <v>12.5</v>
      </c>
      <c r="I11" s="8">
        <v>12.5</v>
      </c>
      <c r="J11" s="8">
        <v>12.5</v>
      </c>
      <c r="K11" s="8">
        <v>12.5</v>
      </c>
      <c r="L11" s="8">
        <v>12.5</v>
      </c>
      <c r="M11" s="8">
        <v>12.5</v>
      </c>
      <c r="N11" s="8">
        <f t="shared" si="3"/>
        <v>137.5</v>
      </c>
      <c r="P11" s="8">
        <f>'Budget 2025'!N11</f>
        <v>150</v>
      </c>
    </row>
    <row r="12" spans="1:17" s="2" customFormat="1" x14ac:dyDescent="0.35">
      <c r="A12" s="9" t="s">
        <v>18</v>
      </c>
      <c r="B12" s="11">
        <f t="shared" ref="B12:N12" si="4">B5/B8</f>
        <v>13.767360842162908</v>
      </c>
      <c r="C12" s="11">
        <f t="shared" si="4"/>
        <v>13.167493527584083</v>
      </c>
      <c r="D12" s="11">
        <f t="shared" si="4"/>
        <v>12.521129630280271</v>
      </c>
      <c r="E12" s="11">
        <f t="shared" si="4"/>
        <v>14.096383971392727</v>
      </c>
      <c r="F12" s="11">
        <f t="shared" si="4"/>
        <v>14.849310266920906</v>
      </c>
      <c r="G12" s="11">
        <f t="shared" si="4"/>
        <v>13.705137204957929</v>
      </c>
      <c r="H12" s="11">
        <f t="shared" si="4"/>
        <v>14.119271949582053</v>
      </c>
      <c r="I12" s="11">
        <f t="shared" si="4"/>
        <v>13.353221972107448</v>
      </c>
      <c r="J12" s="11">
        <f t="shared" si="4"/>
        <v>13.314184209874288</v>
      </c>
      <c r="K12" s="11">
        <f t="shared" si="4"/>
        <v>12.998594606596599</v>
      </c>
      <c r="L12" s="11">
        <f t="shared" si="4"/>
        <v>12.358576986468911</v>
      </c>
      <c r="M12" s="11">
        <f t="shared" si="4"/>
        <v>12.127746213442126</v>
      </c>
      <c r="N12" s="11">
        <f t="shared" si="4"/>
        <v>13.343454798518236</v>
      </c>
      <c r="P12" s="11">
        <f>'Budget 2025'!N12</f>
        <v>13.340067350464635</v>
      </c>
    </row>
    <row r="13" spans="1:17" s="2" customFormat="1" x14ac:dyDescent="0.35">
      <c r="A13" s="9" t="s">
        <v>19</v>
      </c>
      <c r="B13" s="10">
        <f>SUM(B14:B16)</f>
        <v>575</v>
      </c>
      <c r="C13" s="10">
        <f t="shared" ref="C13:M13" si="5">SUM(C14:C16)</f>
        <v>575.00000001160993</v>
      </c>
      <c r="D13" s="10">
        <f t="shared" si="5"/>
        <v>575.00000001160993</v>
      </c>
      <c r="E13" s="10">
        <f t="shared" si="5"/>
        <v>554.25000001171747</v>
      </c>
      <c r="F13" s="10">
        <f t="shared" si="5"/>
        <v>559.25000001171747</v>
      </c>
      <c r="G13" s="10">
        <f t="shared" si="5"/>
        <v>559.25000001171747</v>
      </c>
      <c r="H13" s="10">
        <f>SUM(H14:H16)</f>
        <v>625.75000001311491</v>
      </c>
      <c r="I13" s="10">
        <f t="shared" si="5"/>
        <v>637.75000001343756</v>
      </c>
      <c r="J13" s="10">
        <f t="shared" si="5"/>
        <v>637.75000001343756</v>
      </c>
      <c r="K13" s="10">
        <f t="shared" si="5"/>
        <v>607.00000001343756</v>
      </c>
      <c r="L13" s="10">
        <f t="shared" si="5"/>
        <v>607.00000001343756</v>
      </c>
      <c r="M13" s="10">
        <f t="shared" si="5"/>
        <v>621.99999987476315</v>
      </c>
      <c r="N13" s="10">
        <f>SUM(B13:M13)</f>
        <v>7135.0000000000018</v>
      </c>
      <c r="P13" s="10">
        <f>'Budget 2025'!N13</f>
        <v>7100.0000001494254</v>
      </c>
    </row>
    <row r="14" spans="1:17" x14ac:dyDescent="0.35">
      <c r="A14" s="5" t="s">
        <v>15</v>
      </c>
      <c r="B14" s="8">
        <v>185</v>
      </c>
      <c r="C14" s="8">
        <v>185.000000003655</v>
      </c>
      <c r="D14" s="8">
        <v>185.000000003655</v>
      </c>
      <c r="E14" s="8">
        <v>165.00000000344005</v>
      </c>
      <c r="F14" s="8">
        <v>175.00000000376252</v>
      </c>
      <c r="G14" s="8">
        <v>150.00000000322498</v>
      </c>
      <c r="H14" s="8">
        <v>150.00000000300997</v>
      </c>
      <c r="I14" s="8">
        <v>130.27368404122004</v>
      </c>
      <c r="J14" s="8">
        <v>130.00000000279499</v>
      </c>
      <c r="K14" s="8">
        <v>100.0000000024725</v>
      </c>
      <c r="L14" s="8">
        <v>95.00000000236497</v>
      </c>
      <c r="M14" s="8">
        <v>74.726315930399693</v>
      </c>
      <c r="N14" s="8">
        <f t="shared" ref="N14:N15" si="6">SUM(B14:M14)</f>
        <v>1724.9999999999998</v>
      </c>
      <c r="P14" s="8">
        <f>'Budget 2025'!N14</f>
        <v>1862.5000000400439</v>
      </c>
    </row>
    <row r="15" spans="1:17" x14ac:dyDescent="0.35">
      <c r="A15" s="5" t="s">
        <v>16</v>
      </c>
      <c r="B15" s="8">
        <v>390</v>
      </c>
      <c r="C15" s="8">
        <v>385.75000000795495</v>
      </c>
      <c r="D15" s="8">
        <v>385.7500000079549</v>
      </c>
      <c r="E15" s="8">
        <v>385.00000000827742</v>
      </c>
      <c r="F15" s="8">
        <v>371.50000000795495</v>
      </c>
      <c r="G15" s="8">
        <v>396.50000000849246</v>
      </c>
      <c r="H15" s="8">
        <v>463.00000001010494</v>
      </c>
      <c r="I15" s="8">
        <v>494.72631597221749</v>
      </c>
      <c r="J15" s="8">
        <v>495.00000001064251</v>
      </c>
      <c r="K15" s="8">
        <v>494.25000001096504</v>
      </c>
      <c r="L15" s="8">
        <v>499.25000001107259</v>
      </c>
      <c r="M15" s="8">
        <v>534.52368394436348</v>
      </c>
      <c r="N15" s="8">
        <f t="shared" si="6"/>
        <v>5295.25</v>
      </c>
      <c r="P15" s="8">
        <f>'Budget 2025'!N15</f>
        <v>5110.0000001093813</v>
      </c>
    </row>
    <row r="16" spans="1:17" x14ac:dyDescent="0.35">
      <c r="A16" s="5" t="s">
        <v>70</v>
      </c>
      <c r="B16" s="14">
        <v>0</v>
      </c>
      <c r="C16" s="14">
        <v>4.25</v>
      </c>
      <c r="D16" s="14">
        <v>4.25</v>
      </c>
      <c r="E16" s="14">
        <v>4.25</v>
      </c>
      <c r="F16" s="14">
        <v>12.75</v>
      </c>
      <c r="G16" s="14">
        <v>12.75</v>
      </c>
      <c r="H16" s="14">
        <v>12.75</v>
      </c>
      <c r="I16" s="14">
        <v>12.75</v>
      </c>
      <c r="J16" s="14">
        <v>12.75</v>
      </c>
      <c r="K16" s="14">
        <v>12.75</v>
      </c>
      <c r="L16" s="14">
        <v>12.75</v>
      </c>
      <c r="M16" s="14">
        <v>12.75</v>
      </c>
      <c r="N16" s="8">
        <f t="shared" ref="N16" si="7">N48</f>
        <v>114.75</v>
      </c>
      <c r="P16" s="14">
        <f>'Budget 2025'!N48</f>
        <v>127.5</v>
      </c>
    </row>
    <row r="17" spans="1:18" s="2" customFormat="1" x14ac:dyDescent="0.35">
      <c r="A17" s="9" t="s">
        <v>20</v>
      </c>
      <c r="B17" s="11">
        <f>B5/B13</f>
        <v>13.266104834782606</v>
      </c>
      <c r="C17" s="11">
        <f t="shared" ref="C17:N17" si="8">C5/C13</f>
        <v>12.652243780862936</v>
      </c>
      <c r="D17" s="11">
        <f t="shared" si="8"/>
        <v>12.031172383887892</v>
      </c>
      <c r="E17" s="11">
        <f t="shared" si="8"/>
        <v>14.179042064141592</v>
      </c>
      <c r="F17" s="11">
        <f t="shared" si="8"/>
        <v>14.802843940650781</v>
      </c>
      <c r="G17" s="11">
        <f t="shared" si="8"/>
        <v>13.662251214599101</v>
      </c>
      <c r="H17" s="11">
        <f t="shared" si="8"/>
        <v>14.045939734104339</v>
      </c>
      <c r="I17" s="11">
        <f t="shared" si="8"/>
        <v>13.347987467218452</v>
      </c>
      <c r="J17" s="11">
        <f t="shared" si="8"/>
        <v>13.30896500791051</v>
      </c>
      <c r="K17" s="11">
        <f t="shared" si="8"/>
        <v>13.651736510208494</v>
      </c>
      <c r="L17" s="11">
        <f t="shared" si="8"/>
        <v>12.979559849860932</v>
      </c>
      <c r="M17" s="11">
        <f t="shared" si="8"/>
        <v>12.301964268982358</v>
      </c>
      <c r="N17" s="11">
        <f t="shared" si="8"/>
        <v>13.343454800280309</v>
      </c>
      <c r="P17" s="11">
        <f>'Budget 2025'!N17</f>
        <v>13.340067350464633</v>
      </c>
    </row>
    <row r="18" spans="1:18" s="2" customFormat="1" x14ac:dyDescent="0.35">
      <c r="A18" s="9" t="s">
        <v>21</v>
      </c>
      <c r="B18" s="10">
        <v>128</v>
      </c>
      <c r="C18" s="10">
        <v>127.89721799307937</v>
      </c>
      <c r="D18" s="10">
        <v>125.94799534600658</v>
      </c>
      <c r="E18" s="10">
        <v>123.72368007263053</v>
      </c>
      <c r="F18" s="10">
        <v>121.2849467939586</v>
      </c>
      <c r="G18" s="10">
        <v>72.693323215740435</v>
      </c>
      <c r="H18" s="10">
        <v>51.77651142559661</v>
      </c>
      <c r="I18" s="10">
        <v>63.569436708823062</v>
      </c>
      <c r="J18" s="10">
        <v>60.509719918717295</v>
      </c>
      <c r="K18" s="10">
        <v>63.634133096279825</v>
      </c>
      <c r="L18" s="10">
        <v>63.954928480609119</v>
      </c>
      <c r="M18" s="10">
        <v>73.789156335662724</v>
      </c>
      <c r="N18" s="10">
        <f>SUM(B18:M18)</f>
        <v>1076.7810493871043</v>
      </c>
      <c r="P18" s="10">
        <f>'Budget 2025'!N18</f>
        <v>1228.8031519784099</v>
      </c>
      <c r="R18" s="2" t="s">
        <v>94</v>
      </c>
    </row>
    <row r="19" spans="1:18" x14ac:dyDescent="0.35">
      <c r="A19" s="5" t="s">
        <v>62</v>
      </c>
      <c r="B19" s="8">
        <v>6056.5044176990141</v>
      </c>
      <c r="C19" s="8">
        <v>6054.4664356602325</v>
      </c>
      <c r="D19" s="8">
        <v>6060.4291964386939</v>
      </c>
      <c r="E19" s="8">
        <v>6107.8097875907979</v>
      </c>
      <c r="F19" s="8">
        <v>6113.6028860364131</v>
      </c>
      <c r="G19" s="8">
        <v>6164.2166399769212</v>
      </c>
      <c r="H19" s="8">
        <v>6395.8697035458372</v>
      </c>
      <c r="I19" s="8">
        <v>6385.8034688968764</v>
      </c>
      <c r="J19" s="8">
        <v>6374.9064664787247</v>
      </c>
      <c r="K19" s="8">
        <v>6403.0077940905394</v>
      </c>
      <c r="L19" s="8">
        <v>6240.9311032595442</v>
      </c>
      <c r="M19" s="8">
        <v>6210.1109639199349</v>
      </c>
      <c r="N19" s="14">
        <f>SUMPRODUCT(B19:M19,$B$18:$M$18)/SUM($B$18:$M$18)</f>
        <v>6171.9284016201473</v>
      </c>
      <c r="P19" s="8">
        <f>'Budget 2025'!N19</f>
        <v>6169.7769053579887</v>
      </c>
    </row>
    <row r="20" spans="1:18" x14ac:dyDescent="0.35">
      <c r="A20" s="5" t="s">
        <v>22</v>
      </c>
      <c r="B20" s="7">
        <v>0.80255178902808699</v>
      </c>
      <c r="C20" s="7">
        <v>0.79953187414870475</v>
      </c>
      <c r="D20" s="7">
        <v>0.80438711378238081</v>
      </c>
      <c r="E20" s="7">
        <v>0.79980648935871512</v>
      </c>
      <c r="F20" s="7">
        <v>0.79531019336632214</v>
      </c>
      <c r="G20" s="7">
        <v>0.79962966074864539</v>
      </c>
      <c r="H20" s="7">
        <v>0.79864937445909845</v>
      </c>
      <c r="I20" s="7">
        <v>0.80332935060343347</v>
      </c>
      <c r="J20" s="7">
        <v>0.79960709449365663</v>
      </c>
      <c r="K20" s="7">
        <v>0.83948630108657163</v>
      </c>
      <c r="L20" s="7">
        <v>0.84973272917985532</v>
      </c>
      <c r="M20" s="7">
        <v>0.8351775475695622</v>
      </c>
      <c r="N20" s="15">
        <f t="shared" ref="N20:N23" si="9">SUMPRODUCT(B20:M20,$B$18:$M$18)/SUM($B$18:$M$18)</f>
        <v>0.80799292493161168</v>
      </c>
      <c r="P20" s="7">
        <f>'Budget 2025'!N20</f>
        <v>0.81080180973763216</v>
      </c>
    </row>
    <row r="21" spans="1:18" x14ac:dyDescent="0.35">
      <c r="A21" s="5" t="s">
        <v>23</v>
      </c>
      <c r="B21" s="7">
        <v>8.9639585121394081</v>
      </c>
      <c r="C21" s="7">
        <v>8.616595248018351</v>
      </c>
      <c r="D21" s="7">
        <v>8.5485529464204806</v>
      </c>
      <c r="E21" s="7">
        <v>8.4230846937112176</v>
      </c>
      <c r="F21" s="7">
        <v>8.4692566957458411</v>
      </c>
      <c r="G21" s="7">
        <v>8.3241763703697362</v>
      </c>
      <c r="H21" s="7">
        <v>8.2711426057658262</v>
      </c>
      <c r="I21" s="7">
        <v>8.0000283377685921</v>
      </c>
      <c r="J21" s="7">
        <v>7.9678795986958537</v>
      </c>
      <c r="K21" s="7">
        <v>8.1901514828496129</v>
      </c>
      <c r="L21" s="7">
        <v>8.1985325364522286</v>
      </c>
      <c r="M21" s="7">
        <v>8.205386307786533</v>
      </c>
      <c r="N21" s="15">
        <f t="shared" si="9"/>
        <v>8.4236804143308941</v>
      </c>
      <c r="P21" s="7">
        <f>'Budget 2025'!N21</f>
        <v>8.3745644868486551</v>
      </c>
    </row>
    <row r="22" spans="1:18" x14ac:dyDescent="0.35">
      <c r="A22" s="5" t="s">
        <v>24</v>
      </c>
      <c r="B22" s="7">
        <v>8.4747045456115462</v>
      </c>
      <c r="C22" s="7">
        <v>8.698508805140893</v>
      </c>
      <c r="D22" s="7">
        <v>8.8456573738831104</v>
      </c>
      <c r="E22" s="7">
        <v>8.5394601434810795</v>
      </c>
      <c r="F22" s="7">
        <v>8.6055963074478932</v>
      </c>
      <c r="G22" s="7">
        <v>8.6071019820897341</v>
      </c>
      <c r="H22" s="7">
        <v>7.2977720924249443</v>
      </c>
      <c r="I22" s="7">
        <v>7.0138128448956163</v>
      </c>
      <c r="J22" s="7">
        <v>7.1238158744048095</v>
      </c>
      <c r="K22" s="7">
        <v>7.1299379498535682</v>
      </c>
      <c r="L22" s="7">
        <v>7.0581128900960222</v>
      </c>
      <c r="M22" s="7">
        <v>7.7179068512562266</v>
      </c>
      <c r="N22" s="15">
        <f t="shared" si="9"/>
        <v>8.1415766230421287</v>
      </c>
      <c r="P22" s="7">
        <f>'Budget 2025'!N22</f>
        <v>8.0403443049370615</v>
      </c>
    </row>
    <row r="23" spans="1:18" x14ac:dyDescent="0.35">
      <c r="A23" s="5" t="s">
        <v>25</v>
      </c>
      <c r="B23" s="7">
        <v>13.324127390701653</v>
      </c>
      <c r="C23" s="7">
        <v>13.723871123981475</v>
      </c>
      <c r="D23" s="7">
        <v>13.871019692723687</v>
      </c>
      <c r="E23" s="7">
        <v>13.564822462321661</v>
      </c>
      <c r="F23" s="7">
        <v>13.630958626288471</v>
      </c>
      <c r="G23" s="7">
        <v>13.632464300930312</v>
      </c>
      <c r="H23" s="7">
        <v>12.323134411265526</v>
      </c>
      <c r="I23" s="7">
        <v>12.039175163736196</v>
      </c>
      <c r="J23" s="7">
        <v>12.149178193245387</v>
      </c>
      <c r="K23" s="7">
        <v>12.15530026869415</v>
      </c>
      <c r="L23" s="7">
        <v>12.083475208936601</v>
      </c>
      <c r="M23" s="7">
        <v>12.743269170096807</v>
      </c>
      <c r="N23" s="15">
        <f t="shared" si="9"/>
        <v>13.146024520466321</v>
      </c>
      <c r="P23" s="7">
        <f>'Budget 2025'!N23</f>
        <v>13.065706623777643</v>
      </c>
    </row>
    <row r="24" spans="1:18" s="2" customFormat="1" x14ac:dyDescent="0.35">
      <c r="A24" s="9" t="s">
        <v>26</v>
      </c>
      <c r="B24" s="10">
        <v>57</v>
      </c>
      <c r="C24" s="10">
        <v>57.102782010575638</v>
      </c>
      <c r="D24" s="10">
        <v>59.052004657648432</v>
      </c>
      <c r="E24" s="10">
        <v>41.276319930809521</v>
      </c>
      <c r="F24" s="10">
        <v>53.715053209803912</v>
      </c>
      <c r="G24" s="10">
        <v>77.306676787484548</v>
      </c>
      <c r="H24" s="10">
        <v>98.223488577413377</v>
      </c>
      <c r="I24" s="10">
        <v>66.70424733239696</v>
      </c>
      <c r="J24" s="10">
        <v>69.49028008407771</v>
      </c>
      <c r="K24" s="10">
        <v>36.365866906192679</v>
      </c>
      <c r="L24" s="10">
        <v>31.045071521755862</v>
      </c>
      <c r="M24" s="10">
        <v>0.93715959473697152</v>
      </c>
      <c r="N24" s="10">
        <f>SUM(B24:M24)</f>
        <v>648.21895061289547</v>
      </c>
      <c r="P24" s="10">
        <f>'Budget 2025'!N24</f>
        <v>633.69684806163377</v>
      </c>
      <c r="R24" s="33" t="s">
        <v>93</v>
      </c>
    </row>
    <row r="25" spans="1:18" x14ac:dyDescent="0.35">
      <c r="A25" s="5" t="s">
        <v>62</v>
      </c>
      <c r="B25" s="8">
        <v>5986.157772655074</v>
      </c>
      <c r="C25" s="8">
        <v>6173.5681095347709</v>
      </c>
      <c r="D25" s="8">
        <v>6011.4534827253437</v>
      </c>
      <c r="E25" s="8">
        <v>5973.6522590612603</v>
      </c>
      <c r="F25" s="8">
        <v>5924.8145164993566</v>
      </c>
      <c r="G25" s="8">
        <v>5894.6696661688284</v>
      </c>
      <c r="H25" s="8">
        <v>5962.1308007127254</v>
      </c>
      <c r="I25" s="8">
        <v>5930.0108847873544</v>
      </c>
      <c r="J25" s="8">
        <v>6005.5198212395453</v>
      </c>
      <c r="K25" s="8">
        <v>5934.0912424629687</v>
      </c>
      <c r="L25" s="8">
        <v>5986.2385812156572</v>
      </c>
      <c r="M25" s="8">
        <v>5823.7306752212962</v>
      </c>
      <c r="N25" s="14">
        <f>SUMPRODUCT(B25:M25,$B$24:$M$24)/SUM($B$24:$M$24)</f>
        <v>5977.6862585905665</v>
      </c>
      <c r="P25" s="8">
        <f>'Budget 2025'!N25</f>
        <v>5965.7827396699631</v>
      </c>
    </row>
    <row r="26" spans="1:18" x14ac:dyDescent="0.35">
      <c r="A26" s="5" t="s">
        <v>22</v>
      </c>
      <c r="B26" s="7">
        <v>2.1574907420392342</v>
      </c>
      <c r="C26" s="7">
        <v>2.5143983893655935</v>
      </c>
      <c r="D26" s="7">
        <v>2.483026661916254</v>
      </c>
      <c r="E26" s="7">
        <v>2.6032310227323534</v>
      </c>
      <c r="F26" s="7">
        <v>2.6338334987338259</v>
      </c>
      <c r="G26" s="7">
        <v>2.7440281668289632</v>
      </c>
      <c r="H26" s="7">
        <v>2.7636454412685691</v>
      </c>
      <c r="I26" s="7">
        <v>2.6980911632998663</v>
      </c>
      <c r="J26" s="7">
        <v>2.6091247654732062</v>
      </c>
      <c r="K26" s="7">
        <v>2.5875289498274157</v>
      </c>
      <c r="L26" s="7">
        <v>2.4796140624563758</v>
      </c>
      <c r="M26" s="7">
        <v>2.3813067835618087</v>
      </c>
      <c r="N26" s="15">
        <f t="shared" ref="N26:N28" si="10">SUMPRODUCT(B26:M26,$B$24:$M$24)/SUM($B$24:$M$24)</f>
        <v>2.5921655927482394</v>
      </c>
      <c r="P26" s="7">
        <f>'Budget 2025'!N26</f>
        <v>2.5790489447985023</v>
      </c>
    </row>
    <row r="27" spans="1:18" x14ac:dyDescent="0.35">
      <c r="A27" s="5" t="s">
        <v>23</v>
      </c>
      <c r="B27" s="7">
        <v>12.442691131582757</v>
      </c>
      <c r="C27" s="7">
        <v>13.060034103800493</v>
      </c>
      <c r="D27" s="7">
        <v>13.000773550869875</v>
      </c>
      <c r="E27" s="7">
        <v>13.872120705330223</v>
      </c>
      <c r="F27" s="7">
        <v>14.397391438230889</v>
      </c>
      <c r="G27" s="7">
        <v>14.758610783260718</v>
      </c>
      <c r="H27" s="7">
        <v>13.509719746036961</v>
      </c>
      <c r="I27" s="7">
        <v>14.254773709954108</v>
      </c>
      <c r="J27" s="7">
        <v>13.324646891323814</v>
      </c>
      <c r="K27" s="7">
        <v>13.975010629047231</v>
      </c>
      <c r="L27" s="7">
        <v>13.727192385388269</v>
      </c>
      <c r="M27" s="7">
        <v>14.885054073073563</v>
      </c>
      <c r="N27" s="15">
        <f t="shared" si="10"/>
        <v>13.670827142798574</v>
      </c>
      <c r="P27" s="7">
        <f>'Budget 2025'!N27</f>
        <v>13.960595439757462</v>
      </c>
    </row>
    <row r="28" spans="1:18" x14ac:dyDescent="0.35">
      <c r="A28" s="5" t="s">
        <v>24</v>
      </c>
      <c r="B28" s="7">
        <v>6.4100451909701537</v>
      </c>
      <c r="C28" s="7">
        <v>5.594743819696065</v>
      </c>
      <c r="D28" s="7">
        <v>6.0024919262758756</v>
      </c>
      <c r="E28" s="7">
        <v>6.0768150538770271</v>
      </c>
      <c r="F28" s="7">
        <v>6.0586597875457731</v>
      </c>
      <c r="G28" s="7">
        <v>7.0770250743990921</v>
      </c>
      <c r="H28" s="7">
        <v>6.8342266733673309</v>
      </c>
      <c r="I28" s="7">
        <v>6.7892255819573153</v>
      </c>
      <c r="J28" s="7">
        <v>6.8309986931763298</v>
      </c>
      <c r="K28" s="7">
        <v>7.271160319322048</v>
      </c>
      <c r="L28" s="7">
        <v>7.2743125526368733</v>
      </c>
      <c r="M28" s="7">
        <v>7.8622495408720301</v>
      </c>
      <c r="N28" s="15">
        <f t="shared" si="10"/>
        <v>6.5705265789512826</v>
      </c>
      <c r="P28" s="7">
        <f>'Budget 2025'!N28</f>
        <v>6.7439986369460003</v>
      </c>
    </row>
    <row r="29" spans="1:18" x14ac:dyDescent="0.35">
      <c r="A29" s="5" t="s">
        <v>25</v>
      </c>
      <c r="B29" s="7">
        <v>11.810707465081631</v>
      </c>
      <c r="C29" s="7">
        <v>10.620106138536647</v>
      </c>
      <c r="D29" s="7">
        <v>11.027854245116455</v>
      </c>
      <c r="E29" s="7">
        <v>11.102177372717607</v>
      </c>
      <c r="F29" s="7">
        <v>11.084022106386355</v>
      </c>
      <c r="G29" s="7">
        <v>12.10238739323967</v>
      </c>
      <c r="H29" s="7">
        <v>11.859588992207909</v>
      </c>
      <c r="I29" s="7">
        <v>11.814587900797894</v>
      </c>
      <c r="J29" s="7">
        <v>11.85636101201691</v>
      </c>
      <c r="K29" s="7">
        <v>12.29652263816263</v>
      </c>
      <c r="L29" s="7">
        <v>12.299674871477453</v>
      </c>
      <c r="M29" s="7">
        <v>12.88761185971261</v>
      </c>
      <c r="N29" s="15">
        <f>SUMPRODUCT(B29:M29,$B$24:$M$24)/SUM($B$24:$M$24)</f>
        <v>11.628890243140091</v>
      </c>
      <c r="P29" s="7">
        <f>'Budget 2025'!N29</f>
        <v>11.769360955786579</v>
      </c>
    </row>
    <row r="30" spans="1:18" s="2" customFormat="1" x14ac:dyDescent="0.35">
      <c r="A30" s="9" t="s">
        <v>27</v>
      </c>
      <c r="B30" s="10">
        <v>3.5</v>
      </c>
      <c r="C30" s="10">
        <v>2.236631468851205</v>
      </c>
      <c r="D30" s="10">
        <v>2.4266530884824404</v>
      </c>
      <c r="E30" s="10">
        <v>2.7672070184371251</v>
      </c>
      <c r="F30" s="10">
        <v>1.8758652434621963</v>
      </c>
      <c r="G30" s="10">
        <v>1.0397383626090899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13.846095181842056</v>
      </c>
      <c r="P30" s="10">
        <f>'Budget 2025'!N30</f>
        <v>13.639935932123354</v>
      </c>
      <c r="R30" s="2" t="s">
        <v>95</v>
      </c>
    </row>
    <row r="31" spans="1:18" x14ac:dyDescent="0.35">
      <c r="A31" s="5" t="s">
        <v>62</v>
      </c>
      <c r="B31" s="7">
        <v>5856.5504116027669</v>
      </c>
      <c r="C31" s="7">
        <v>5817.4439270612438</v>
      </c>
      <c r="D31" s="7">
        <v>5826.7920553377289</v>
      </c>
      <c r="E31" s="7">
        <v>5826.054495596336</v>
      </c>
      <c r="F31" s="7">
        <v>5822.6986699524723</v>
      </c>
      <c r="G31" s="7">
        <v>5826.146300325624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14">
        <f>SUMPRODUCT(B31:M31,$B$30:$M$30)/SUM($B$30:$M$30)</f>
        <v>5832.0538198979639</v>
      </c>
      <c r="P31" s="8">
        <f>'Budget 2025'!N31</f>
        <v>5822.4314107916898</v>
      </c>
    </row>
    <row r="32" spans="1:18" x14ac:dyDescent="0.35">
      <c r="A32" s="5" t="s">
        <v>22</v>
      </c>
      <c r="B32" s="7">
        <v>0.90050000000000008</v>
      </c>
      <c r="C32" s="7">
        <v>0.90545160638844635</v>
      </c>
      <c r="D32" s="7">
        <v>0.90943015461918553</v>
      </c>
      <c r="E32" s="7">
        <v>0.90187879420380535</v>
      </c>
      <c r="F32" s="7">
        <v>0.90556766305041003</v>
      </c>
      <c r="G32" s="7">
        <v>0.91112483765070984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15">
        <f t="shared" ref="N32:N35" si="11">SUMPRODUCT(B32:M32,$B$30:$M$30)/SUM($B$30:$M$30)</f>
        <v>0.90462491886618446</v>
      </c>
      <c r="P32" s="7">
        <f>'Budget 2025'!N32</f>
        <v>0.90072278104426418</v>
      </c>
    </row>
    <row r="33" spans="1:18" x14ac:dyDescent="0.35">
      <c r="A33" s="5" t="s">
        <v>23</v>
      </c>
      <c r="B33" s="7">
        <v>7.7054999999999998</v>
      </c>
      <c r="C33" s="7">
        <v>8.6308233626621984</v>
      </c>
      <c r="D33" s="7">
        <v>8.6015019389828637</v>
      </c>
      <c r="E33" s="7">
        <v>8.5322005964005267</v>
      </c>
      <c r="F33" s="7">
        <v>8.5297282226603652</v>
      </c>
      <c r="G33" s="7">
        <v>8.4670090125622277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15">
        <f t="shared" si="11"/>
        <v>8.3460745453673049</v>
      </c>
      <c r="P33" s="7">
        <f>'Budget 2025'!N33</f>
        <v>8.5977728246687075</v>
      </c>
    </row>
    <row r="34" spans="1:18" x14ac:dyDescent="0.35">
      <c r="A34" s="5" t="s">
        <v>24</v>
      </c>
      <c r="B34" s="7">
        <v>12.041499999999999</v>
      </c>
      <c r="C34" s="7">
        <v>11.326660634533072</v>
      </c>
      <c r="D34" s="7">
        <v>11.355841843778368</v>
      </c>
      <c r="E34" s="7">
        <v>11.349639259452017</v>
      </c>
      <c r="F34" s="7">
        <v>11.387471448830436</v>
      </c>
      <c r="G34" s="7">
        <v>11.346980025850934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15">
        <f t="shared" si="11"/>
        <v>11.526828029748184</v>
      </c>
      <c r="P34" s="7">
        <f>'Budget 2025'!N34</f>
        <v>11.354385937535314</v>
      </c>
    </row>
    <row r="35" spans="1:18" x14ac:dyDescent="0.35">
      <c r="A35" s="5" t="s">
        <v>25</v>
      </c>
      <c r="B35" s="7">
        <v>16.47546564966688</v>
      </c>
      <c r="C35" s="7">
        <v>16.326660634533074</v>
      </c>
      <c r="D35" s="7">
        <v>16.355841843778371</v>
      </c>
      <c r="E35" s="7">
        <v>16.349639259452015</v>
      </c>
      <c r="F35" s="7">
        <v>16.387471448830436</v>
      </c>
      <c r="G35" s="7">
        <v>16.346980025850936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15">
        <f t="shared" si="11"/>
        <v>16.38374651830776</v>
      </c>
      <c r="P35" s="7">
        <f>'Budget 2025'!N35</f>
        <v>16.354385937535316</v>
      </c>
    </row>
    <row r="36" spans="1:18" s="2" customFormat="1" x14ac:dyDescent="0.35">
      <c r="A36" s="9" t="s">
        <v>28</v>
      </c>
      <c r="B36" s="10">
        <v>15</v>
      </c>
      <c r="C36" s="10">
        <v>6.9718300370732793</v>
      </c>
      <c r="D36" s="10">
        <v>21.377740629698575</v>
      </c>
      <c r="E36" s="10">
        <v>3.4013389836858625</v>
      </c>
      <c r="F36" s="10">
        <v>22.090582683858415</v>
      </c>
      <c r="G36" s="10">
        <v>4.5999105781269831</v>
      </c>
      <c r="H36" s="10">
        <v>41.570342436037755</v>
      </c>
      <c r="I36" s="10">
        <v>40.772908850295821</v>
      </c>
      <c r="J36" s="10">
        <v>79.848191617390938</v>
      </c>
      <c r="K36" s="10">
        <v>87.001223582021751</v>
      </c>
      <c r="L36" s="10">
        <v>77.797773748797013</v>
      </c>
      <c r="M36" s="10">
        <v>75.957949282463701</v>
      </c>
      <c r="N36" s="10">
        <f>SUM(B36:M36)</f>
        <v>476.3897924294501</v>
      </c>
      <c r="P36" s="10">
        <f>'Budget 2025'!N36</f>
        <v>422.7154641342064</v>
      </c>
      <c r="R36" s="33" t="s">
        <v>96</v>
      </c>
    </row>
    <row r="37" spans="1:18" x14ac:dyDescent="0.35">
      <c r="A37" s="5" t="s">
        <v>62</v>
      </c>
      <c r="B37" s="8">
        <v>5918.5614461215819</v>
      </c>
      <c r="C37" s="8">
        <v>5954.7474068744305</v>
      </c>
      <c r="D37" s="8">
        <v>6008.487528729278</v>
      </c>
      <c r="E37" s="8">
        <v>6032.4641273244106</v>
      </c>
      <c r="F37" s="8">
        <v>5995.2122871269266</v>
      </c>
      <c r="G37" s="8">
        <v>6003.959107012296</v>
      </c>
      <c r="H37" s="8">
        <v>6003.0099022008881</v>
      </c>
      <c r="I37" s="8">
        <v>6001.1415813643935</v>
      </c>
      <c r="J37" s="8">
        <v>6011.5797340087302</v>
      </c>
      <c r="K37" s="8">
        <v>5999.873328708426</v>
      </c>
      <c r="L37" s="8">
        <v>6040.1577963983682</v>
      </c>
      <c r="M37" s="8">
        <v>6028.7913742929259</v>
      </c>
      <c r="N37" s="14">
        <f>SUMPRODUCT(B37:M37,$B$36:$M$36)/SUM($B$36:$M$36)</f>
        <v>6010.6291773512794</v>
      </c>
      <c r="P37" s="8">
        <f>'Budget 2025'!N37</f>
        <v>6013.6725198079248</v>
      </c>
    </row>
    <row r="38" spans="1:18" x14ac:dyDescent="0.35">
      <c r="A38" s="5" t="s">
        <v>22</v>
      </c>
      <c r="B38" s="7">
        <v>1.5875425039932056</v>
      </c>
      <c r="C38" s="7">
        <v>1.55581825616196</v>
      </c>
      <c r="D38" s="7">
        <v>1.5456703570370478</v>
      </c>
      <c r="E38" s="7">
        <v>1.5544981502188289</v>
      </c>
      <c r="F38" s="7">
        <v>1.5749652268451888</v>
      </c>
      <c r="G38" s="7">
        <v>1.550664433212033</v>
      </c>
      <c r="H38" s="7">
        <v>1.5529204343999317</v>
      </c>
      <c r="I38" s="7">
        <v>1.559775170664488</v>
      </c>
      <c r="J38" s="7">
        <v>1.574293809992118</v>
      </c>
      <c r="K38" s="7">
        <v>1.5665537072833122</v>
      </c>
      <c r="L38" s="7">
        <v>1.5909633701438957</v>
      </c>
      <c r="M38" s="7">
        <v>1.5736399835601684</v>
      </c>
      <c r="N38" s="15">
        <f t="shared" ref="N38:N41" si="12">SUMPRODUCT(B38:M38,$B$36:$M$36)/SUM($B$36:$M$36)</f>
        <v>1.570914543008832</v>
      </c>
      <c r="P38" s="7">
        <f>'Budget 2025'!N38</f>
        <v>1.5594733437535224</v>
      </c>
    </row>
    <row r="39" spans="1:18" x14ac:dyDescent="0.35">
      <c r="A39" s="5" t="s">
        <v>23</v>
      </c>
      <c r="B39" s="7">
        <v>5.1835735348893781</v>
      </c>
      <c r="C39" s="7">
        <v>6.1747501029436389</v>
      </c>
      <c r="D39" s="7">
        <v>6.1701138363548873</v>
      </c>
      <c r="E39" s="7">
        <v>5.2234686936720482</v>
      </c>
      <c r="F39" s="7">
        <v>5.3979156550156189</v>
      </c>
      <c r="G39" s="7">
        <v>5.2385630090871285</v>
      </c>
      <c r="H39" s="7">
        <v>5.154121195813504</v>
      </c>
      <c r="I39" s="7">
        <v>5.2235177092100864</v>
      </c>
      <c r="J39" s="7">
        <v>5.4136752711466727</v>
      </c>
      <c r="K39" s="7">
        <v>5.4676453423692504</v>
      </c>
      <c r="L39" s="7">
        <v>5.21896765061995</v>
      </c>
      <c r="M39" s="7">
        <v>5.3018352976953551</v>
      </c>
      <c r="N39" s="15">
        <f t="shared" si="12"/>
        <v>5.3690361701507356</v>
      </c>
      <c r="P39" s="7">
        <f>'Budget 2025'!N39</f>
        <v>5.3287414331663765</v>
      </c>
    </row>
    <row r="40" spans="1:18" x14ac:dyDescent="0.35">
      <c r="A40" s="5" t="s">
        <v>24</v>
      </c>
      <c r="B40" s="7">
        <v>11.923022775590141</v>
      </c>
      <c r="C40" s="7">
        <v>10.242760241031911</v>
      </c>
      <c r="D40" s="7">
        <v>10.532752699193567</v>
      </c>
      <c r="E40" s="7">
        <v>10.348733359243901</v>
      </c>
      <c r="F40" s="7">
        <v>10.69098855373139</v>
      </c>
      <c r="G40" s="7">
        <v>10.471562805900506</v>
      </c>
      <c r="H40" s="7">
        <v>10.621765691520331</v>
      </c>
      <c r="I40" s="7">
        <v>10.57275529581463</v>
      </c>
      <c r="J40" s="7">
        <v>10.35009135733821</v>
      </c>
      <c r="K40" s="7">
        <v>10.245067451458144</v>
      </c>
      <c r="L40" s="7">
        <v>10.128283636555427</v>
      </c>
      <c r="M40" s="7">
        <v>9.9459133878472841</v>
      </c>
      <c r="N40" s="15">
        <f t="shared" si="12"/>
        <v>10.346131757225868</v>
      </c>
      <c r="P40" s="7">
        <f>'Budget 2025'!N40</f>
        <v>10.279206642306004</v>
      </c>
    </row>
    <row r="41" spans="1:18" x14ac:dyDescent="0.35">
      <c r="A41" s="5" t="s">
        <v>25</v>
      </c>
      <c r="B41" s="7">
        <v>16.695713692807836</v>
      </c>
      <c r="C41" s="7">
        <v>15.242760241031911</v>
      </c>
      <c r="D41" s="7">
        <v>15.532752699193571</v>
      </c>
      <c r="E41" s="7">
        <v>15.348733359243898</v>
      </c>
      <c r="F41" s="7">
        <v>15.69098855373139</v>
      </c>
      <c r="G41" s="7">
        <v>15.471562805900506</v>
      </c>
      <c r="H41" s="7">
        <v>15.621765691520331</v>
      </c>
      <c r="I41" s="7">
        <v>15.572755295814632</v>
      </c>
      <c r="J41" s="7">
        <v>15.350091357338208</v>
      </c>
      <c r="K41" s="7">
        <v>15.245067451458148</v>
      </c>
      <c r="L41" s="7">
        <v>15.128283636555427</v>
      </c>
      <c r="M41" s="7">
        <v>14.945913387847288</v>
      </c>
      <c r="N41" s="15">
        <f t="shared" si="12"/>
        <v>15.338974516882102</v>
      </c>
      <c r="P41" s="7">
        <f>'Budget 2025'!N41</f>
        <v>15.279206642306002</v>
      </c>
    </row>
    <row r="42" spans="1:18" s="2" customFormat="1" x14ac:dyDescent="0.35">
      <c r="A42" s="9" t="s">
        <v>29</v>
      </c>
      <c r="B42" s="10">
        <v>371.5</v>
      </c>
      <c r="C42" s="10">
        <v>376.54153850203045</v>
      </c>
      <c r="D42" s="10">
        <v>361.94560628977388</v>
      </c>
      <c r="E42" s="10">
        <v>378.83145400615444</v>
      </c>
      <c r="F42" s="10">
        <v>347.53355208063437</v>
      </c>
      <c r="G42" s="10">
        <v>390.86035106775637</v>
      </c>
      <c r="H42" s="10">
        <v>421.42965757406711</v>
      </c>
      <c r="I42" s="10">
        <v>453.95340712192166</v>
      </c>
      <c r="J42" s="10">
        <v>415.1518083932516</v>
      </c>
      <c r="K42" s="10">
        <v>407.24877642894324</v>
      </c>
      <c r="L42" s="10">
        <v>421.45222626227559</v>
      </c>
      <c r="M42" s="10">
        <v>458.5657346618998</v>
      </c>
      <c r="N42" s="10">
        <f>SUM(B42:M42)</f>
        <v>4805.0141123887088</v>
      </c>
      <c r="P42" s="10">
        <f>'Budget 2025'!N42</f>
        <v>4673.6446000430515</v>
      </c>
      <c r="R42" s="2" t="s">
        <v>93</v>
      </c>
    </row>
    <row r="43" spans="1:18" x14ac:dyDescent="0.35">
      <c r="A43" s="5" t="s">
        <v>62</v>
      </c>
      <c r="B43" s="8">
        <v>5902.1319271306775</v>
      </c>
      <c r="C43" s="8">
        <v>5916.5388608889907</v>
      </c>
      <c r="D43" s="8">
        <v>5922.1585347071341</v>
      </c>
      <c r="E43" s="8">
        <v>5914.5408823362368</v>
      </c>
      <c r="F43" s="8">
        <v>5925.7421265038583</v>
      </c>
      <c r="G43" s="8">
        <v>5920.6933281785159</v>
      </c>
      <c r="H43" s="8">
        <v>5898.7091970699539</v>
      </c>
      <c r="I43" s="8">
        <v>5885.422944566355</v>
      </c>
      <c r="J43" s="8">
        <v>5917.704795769384</v>
      </c>
      <c r="K43" s="8">
        <v>5911.2381960095681</v>
      </c>
      <c r="L43" s="8">
        <v>5935.6919896454965</v>
      </c>
      <c r="M43" s="8">
        <v>5909.7960485308868</v>
      </c>
      <c r="N43" s="14">
        <f>SUMPRODUCT(B43:M43,$B$42:$M$42)/SUM($B$42:$M$42)</f>
        <v>5912.8788372493782</v>
      </c>
      <c r="P43" s="8">
        <f>'Budget 2025'!N43</f>
        <v>5914.4155370661638</v>
      </c>
    </row>
    <row r="44" spans="1:18" x14ac:dyDescent="0.35">
      <c r="A44" s="5" t="s">
        <v>22</v>
      </c>
      <c r="B44" s="7">
        <v>2.3882593932791272</v>
      </c>
      <c r="C44" s="7">
        <v>2.3936691713336127</v>
      </c>
      <c r="D44" s="7">
        <v>2.354885619131633</v>
      </c>
      <c r="E44" s="7">
        <v>2.4778898766222879</v>
      </c>
      <c r="F44" s="7">
        <v>2.3768391101962543</v>
      </c>
      <c r="G44" s="7">
        <v>2.3486697159791485</v>
      </c>
      <c r="H44" s="7">
        <v>2.4365643626769233</v>
      </c>
      <c r="I44" s="7">
        <v>2.4656356934692685</v>
      </c>
      <c r="J44" s="7">
        <v>2.4544562372737064</v>
      </c>
      <c r="K44" s="7">
        <v>2.4642647089061502</v>
      </c>
      <c r="L44" s="7">
        <v>2.3499039419464474</v>
      </c>
      <c r="M44" s="7">
        <v>2.4319078930754228</v>
      </c>
      <c r="N44" s="15">
        <f t="shared" ref="N44:N47" si="13">SUMPRODUCT(B44:M44,$B$42:$M$42)/SUM($B$42:$M$42)</f>
        <v>2.4136989239675293</v>
      </c>
      <c r="P44" s="7">
        <f>'Budget 2025'!N44</f>
        <v>2.4107218075517403</v>
      </c>
    </row>
    <row r="45" spans="1:18" x14ac:dyDescent="0.35">
      <c r="A45" s="5" t="s">
        <v>23</v>
      </c>
      <c r="B45" s="7">
        <v>5.7182467341671179</v>
      </c>
      <c r="C45" s="7">
        <v>5.7263932942098927</v>
      </c>
      <c r="D45" s="7">
        <v>5.7547442836641336</v>
      </c>
      <c r="E45" s="7">
        <v>5.6690952101310179</v>
      </c>
      <c r="F45" s="7">
        <v>5.5841358339684488</v>
      </c>
      <c r="G45" s="7">
        <v>5.7363072984173389</v>
      </c>
      <c r="H45" s="7">
        <v>5.6944816896015844</v>
      </c>
      <c r="I45" s="7">
        <v>5.8263257121907746</v>
      </c>
      <c r="J45" s="7">
        <v>5.6808485031796447</v>
      </c>
      <c r="K45" s="7">
        <v>5.7576821264142648</v>
      </c>
      <c r="L45" s="7">
        <v>5.690349135017259</v>
      </c>
      <c r="M45" s="7">
        <v>5.6781288559454106</v>
      </c>
      <c r="N45" s="15">
        <f t="shared" si="13"/>
        <v>5.7114904650916607</v>
      </c>
      <c r="P45" s="7">
        <f>'Budget 2025'!N45</f>
        <v>5.7199741396739743</v>
      </c>
    </row>
    <row r="46" spans="1:18" x14ac:dyDescent="0.35">
      <c r="A46" s="5" t="s">
        <v>24</v>
      </c>
      <c r="B46" s="7">
        <v>11.260754806300239</v>
      </c>
      <c r="C46" s="7">
        <v>10.569978542140289</v>
      </c>
      <c r="D46" s="7">
        <v>10.671649082157771</v>
      </c>
      <c r="E46" s="7">
        <v>10.508995981960952</v>
      </c>
      <c r="F46" s="7">
        <v>10.680575147117446</v>
      </c>
      <c r="G46" s="7">
        <v>10.726306865268015</v>
      </c>
      <c r="H46" s="7">
        <v>10.650549700845437</v>
      </c>
      <c r="I46" s="7">
        <v>10.552609948263836</v>
      </c>
      <c r="J46" s="7">
        <v>10.454886761536853</v>
      </c>
      <c r="K46" s="7">
        <v>10.472078310104303</v>
      </c>
      <c r="L46" s="7">
        <v>10.481585454165025</v>
      </c>
      <c r="M46" s="7">
        <v>10.577167277613498</v>
      </c>
      <c r="N46" s="15">
        <f t="shared" si="13"/>
        <v>10.627069389369886</v>
      </c>
      <c r="P46" s="7">
        <f>'Budget 2025'!N46</f>
        <v>10.558154609501265</v>
      </c>
    </row>
    <row r="47" spans="1:18" x14ac:dyDescent="0.35">
      <c r="A47" s="5" t="s">
        <v>25</v>
      </c>
      <c r="B47" s="7">
        <v>15.922424608528955</v>
      </c>
      <c r="C47" s="7">
        <v>15.569978542140289</v>
      </c>
      <c r="D47" s="7">
        <v>15.671649082157771</v>
      </c>
      <c r="E47" s="7">
        <v>15.508995981960952</v>
      </c>
      <c r="F47" s="7">
        <v>15.680575147117448</v>
      </c>
      <c r="G47" s="7">
        <v>15.726306865268013</v>
      </c>
      <c r="H47" s="7">
        <v>15.650549700845438</v>
      </c>
      <c r="I47" s="7">
        <v>15.552609948263834</v>
      </c>
      <c r="J47" s="7">
        <v>15.454886761536853</v>
      </c>
      <c r="K47" s="7">
        <v>15.472078310104303</v>
      </c>
      <c r="L47" s="7">
        <v>15.481585454165023</v>
      </c>
      <c r="M47" s="7">
        <v>15.577167277613496</v>
      </c>
      <c r="N47" s="15">
        <f t="shared" si="13"/>
        <v>15.60091136661862</v>
      </c>
      <c r="P47" s="7">
        <f>'Budget 2025'!N47</f>
        <v>15.558154609501264</v>
      </c>
    </row>
    <row r="48" spans="1:18" s="2" customFormat="1" x14ac:dyDescent="0.35">
      <c r="A48" s="9" t="s">
        <v>70</v>
      </c>
      <c r="B48" s="10">
        <v>0</v>
      </c>
      <c r="C48" s="10">
        <v>4.25</v>
      </c>
      <c r="D48" s="10">
        <v>4.25</v>
      </c>
      <c r="E48" s="10">
        <v>4.25</v>
      </c>
      <c r="F48" s="10">
        <v>12.75</v>
      </c>
      <c r="G48" s="10">
        <v>12.75</v>
      </c>
      <c r="H48" s="10">
        <v>12.75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114.75</v>
      </c>
      <c r="P48" s="10">
        <f>'Budget 2025'!N48</f>
        <v>127.5</v>
      </c>
    </row>
    <row r="49" spans="1:17" x14ac:dyDescent="0.35">
      <c r="A49" s="5" t="s">
        <v>62</v>
      </c>
      <c r="B49" s="8">
        <v>3146.067415730337</v>
      </c>
      <c r="C49" s="8">
        <v>3146.067415730337</v>
      </c>
      <c r="D49" s="8">
        <v>3146.067415730337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14">
        <f>SUMPRODUCT(B49:M49,$B$48:$M$48)/SUM($B$48:$M$48)</f>
        <v>3146.0674157303379</v>
      </c>
      <c r="P49" s="8">
        <f>'Budget 2025'!N49</f>
        <v>3146.0674157303379</v>
      </c>
    </row>
    <row r="50" spans="1:17" x14ac:dyDescent="0.35">
      <c r="A50" s="5" t="s">
        <v>22</v>
      </c>
      <c r="B50" s="7">
        <v>2</v>
      </c>
      <c r="C50" s="7">
        <v>2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15">
        <f t="shared" ref="N50:N53" si="14">SUMPRODUCT(B50:M50,$B$48:$M$48)/SUM($B$48:$M$48)</f>
        <v>2</v>
      </c>
      <c r="P50" s="7">
        <f>'Budget 2025'!N50</f>
        <v>2</v>
      </c>
    </row>
    <row r="51" spans="1:17" x14ac:dyDescent="0.35">
      <c r="A51" s="5" t="s">
        <v>23</v>
      </c>
      <c r="B51" s="7">
        <v>40</v>
      </c>
      <c r="C51" s="7">
        <v>40</v>
      </c>
      <c r="D51" s="7">
        <v>40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15">
        <f t="shared" si="14"/>
        <v>40</v>
      </c>
      <c r="P51" s="7">
        <f>'Budget 2025'!N51</f>
        <v>40</v>
      </c>
    </row>
    <row r="52" spans="1:17" x14ac:dyDescent="0.35">
      <c r="A52" s="5" t="s">
        <v>24</v>
      </c>
      <c r="B52" s="7">
        <v>11</v>
      </c>
      <c r="C52" s="7">
        <v>11</v>
      </c>
      <c r="D52" s="7">
        <v>11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15">
        <f t="shared" si="14"/>
        <v>11</v>
      </c>
      <c r="P52" s="7">
        <f>'Budget 2025'!N52</f>
        <v>11</v>
      </c>
    </row>
    <row r="53" spans="1:17" x14ac:dyDescent="0.35">
      <c r="A53" s="5" t="s">
        <v>25</v>
      </c>
      <c r="B53" s="7">
        <v>20</v>
      </c>
      <c r="C53" s="7">
        <v>20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15">
        <f t="shared" si="14"/>
        <v>20</v>
      </c>
      <c r="P53" s="7">
        <f>'Budget 2025'!N53</f>
        <v>20</v>
      </c>
    </row>
    <row r="55" spans="1:17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  <c r="P55" s="6" t="s">
        <v>89</v>
      </c>
    </row>
    <row r="56" spans="1:17" s="2" customFormat="1" x14ac:dyDescent="0.35">
      <c r="A56" s="9" t="s">
        <v>14</v>
      </c>
      <c r="B56" s="10">
        <f t="shared" ref="B56:N56" si="15">SUM(B57:B59)</f>
        <v>4040</v>
      </c>
      <c r="C56" s="10">
        <f t="shared" si="15"/>
        <v>3610</v>
      </c>
      <c r="D56" s="10">
        <f t="shared" si="15"/>
        <v>3860</v>
      </c>
      <c r="E56" s="10">
        <f t="shared" si="15"/>
        <v>4015</v>
      </c>
      <c r="F56" s="10">
        <f t="shared" si="15"/>
        <v>4045</v>
      </c>
      <c r="G56" s="10">
        <f t="shared" si="15"/>
        <v>4115</v>
      </c>
      <c r="H56" s="10">
        <f t="shared" si="15"/>
        <v>4295</v>
      </c>
      <c r="I56" s="10">
        <f t="shared" si="15"/>
        <v>4410</v>
      </c>
      <c r="J56" s="10">
        <f t="shared" si="15"/>
        <v>3955</v>
      </c>
      <c r="K56" s="10">
        <f t="shared" si="15"/>
        <v>3535</v>
      </c>
      <c r="L56" s="10">
        <f t="shared" si="15"/>
        <v>3300</v>
      </c>
      <c r="M56" s="10">
        <f t="shared" si="15"/>
        <v>3720</v>
      </c>
      <c r="N56" s="10">
        <f t="shared" si="15"/>
        <v>46900</v>
      </c>
      <c r="P56" s="10">
        <f>'Budget 2025'!N56</f>
        <v>51650</v>
      </c>
      <c r="Q56" s="28">
        <f>N56/P56</f>
        <v>0.90803484995159733</v>
      </c>
    </row>
    <row r="57" spans="1:17" x14ac:dyDescent="0.35">
      <c r="A57" s="5" t="s">
        <v>59</v>
      </c>
      <c r="B57" s="8">
        <v>2050</v>
      </c>
      <c r="C57" s="8">
        <v>1900</v>
      </c>
      <c r="D57" s="8">
        <v>2160</v>
      </c>
      <c r="E57" s="8">
        <v>2075</v>
      </c>
      <c r="F57" s="8">
        <v>2120</v>
      </c>
      <c r="G57" s="8">
        <v>2140</v>
      </c>
      <c r="H57" s="8">
        <v>2145</v>
      </c>
      <c r="I57" s="8">
        <v>2160</v>
      </c>
      <c r="J57" s="8">
        <v>2105</v>
      </c>
      <c r="K57" s="8">
        <v>1835</v>
      </c>
      <c r="L57" s="8">
        <v>1740</v>
      </c>
      <c r="M57" s="8">
        <v>1970</v>
      </c>
      <c r="N57" s="8">
        <f t="shared" ref="N57:N59" si="16">SUM(B57:M57)</f>
        <v>24400</v>
      </c>
      <c r="P57" s="8">
        <f>'Budget 2025'!N57</f>
        <v>24400</v>
      </c>
    </row>
    <row r="58" spans="1:17" x14ac:dyDescent="0.35">
      <c r="A58" s="5" t="s">
        <v>58</v>
      </c>
      <c r="B58" s="8">
        <v>890</v>
      </c>
      <c r="C58" s="8">
        <v>810</v>
      </c>
      <c r="D58" s="8">
        <v>750</v>
      </c>
      <c r="E58" s="8">
        <v>940</v>
      </c>
      <c r="F58" s="8">
        <v>950</v>
      </c>
      <c r="G58" s="8">
        <v>950</v>
      </c>
      <c r="H58" s="8">
        <v>1000</v>
      </c>
      <c r="I58" s="8">
        <v>1050</v>
      </c>
      <c r="J58" s="8">
        <v>950</v>
      </c>
      <c r="K58" s="8">
        <v>900</v>
      </c>
      <c r="L58" s="8">
        <v>860</v>
      </c>
      <c r="M58" s="8">
        <v>950</v>
      </c>
      <c r="N58" s="8">
        <f t="shared" si="16"/>
        <v>11000</v>
      </c>
      <c r="P58" s="8">
        <f>'Budget 2025'!N58</f>
        <v>11000</v>
      </c>
    </row>
    <row r="59" spans="1:17" x14ac:dyDescent="0.35">
      <c r="A59" s="5" t="s">
        <v>57</v>
      </c>
      <c r="B59" s="8">
        <v>1100</v>
      </c>
      <c r="C59" s="8">
        <v>900</v>
      </c>
      <c r="D59" s="8">
        <v>950</v>
      </c>
      <c r="E59" s="8">
        <v>1000</v>
      </c>
      <c r="F59" s="8">
        <v>975</v>
      </c>
      <c r="G59" s="8">
        <v>1025</v>
      </c>
      <c r="H59" s="8">
        <v>1150</v>
      </c>
      <c r="I59" s="8">
        <v>1200</v>
      </c>
      <c r="J59" s="8">
        <v>900</v>
      </c>
      <c r="K59" s="8">
        <v>800</v>
      </c>
      <c r="L59" s="8">
        <v>700</v>
      </c>
      <c r="M59" s="8">
        <v>800</v>
      </c>
      <c r="N59" s="8">
        <f t="shared" si="16"/>
        <v>11500</v>
      </c>
      <c r="P59" s="8">
        <f>'Budget 2025'!N59</f>
        <v>16250</v>
      </c>
    </row>
    <row r="60" spans="1:17" s="2" customFormat="1" x14ac:dyDescent="0.35">
      <c r="A60" s="9" t="s">
        <v>17</v>
      </c>
      <c r="B60" s="10">
        <f>SUM(B61:B64)</f>
        <v>230</v>
      </c>
      <c r="C60" s="10">
        <f t="shared" ref="C60:M60" si="17">SUM(C61:C64)</f>
        <v>208</v>
      </c>
      <c r="D60" s="10">
        <f t="shared" si="17"/>
        <v>242</v>
      </c>
      <c r="E60" s="10">
        <f t="shared" si="17"/>
        <v>250</v>
      </c>
      <c r="F60" s="10">
        <f t="shared" si="17"/>
        <v>280</v>
      </c>
      <c r="G60" s="10">
        <f t="shared" si="17"/>
        <v>294</v>
      </c>
      <c r="H60" s="10">
        <f t="shared" si="17"/>
        <v>315</v>
      </c>
      <c r="I60" s="10">
        <f t="shared" si="17"/>
        <v>320</v>
      </c>
      <c r="J60" s="10">
        <f t="shared" si="17"/>
        <v>313</v>
      </c>
      <c r="K60" s="10">
        <f t="shared" si="17"/>
        <v>287</v>
      </c>
      <c r="L60" s="10">
        <f t="shared" si="17"/>
        <v>285</v>
      </c>
      <c r="M60" s="10">
        <f t="shared" si="17"/>
        <v>276</v>
      </c>
      <c r="N60" s="10">
        <f>SUM(B60:M60)</f>
        <v>3300</v>
      </c>
      <c r="P60" s="10">
        <f>'Budget 2025'!N60</f>
        <v>3300.3869731644691</v>
      </c>
      <c r="Q60" s="28">
        <f>N60/P60</f>
        <v>0.99988274915407938</v>
      </c>
    </row>
    <row r="61" spans="1:17" x14ac:dyDescent="0.35">
      <c r="A61" s="5" t="s">
        <v>59</v>
      </c>
      <c r="B61" s="8">
        <v>165</v>
      </c>
      <c r="C61" s="8">
        <v>150</v>
      </c>
      <c r="D61" s="8">
        <v>170</v>
      </c>
      <c r="E61" s="8">
        <v>160</v>
      </c>
      <c r="F61" s="8">
        <v>170</v>
      </c>
      <c r="G61" s="8">
        <v>180</v>
      </c>
      <c r="H61" s="8">
        <v>195</v>
      </c>
      <c r="I61" s="8">
        <v>200</v>
      </c>
      <c r="J61" s="8">
        <v>200</v>
      </c>
      <c r="K61" s="8">
        <v>180</v>
      </c>
      <c r="L61" s="8">
        <v>185</v>
      </c>
      <c r="M61" s="8">
        <v>175</v>
      </c>
      <c r="N61" s="8">
        <f t="shared" ref="N61:N64" si="18">SUM(B61:M61)</f>
        <v>2130</v>
      </c>
      <c r="P61" s="8">
        <f>'Budget 2025'!N61</f>
        <v>2130</v>
      </c>
    </row>
    <row r="62" spans="1:17" x14ac:dyDescent="0.35">
      <c r="A62" s="5" t="s">
        <v>58</v>
      </c>
      <c r="B62" s="8">
        <v>35</v>
      </c>
      <c r="C62" s="8">
        <v>30</v>
      </c>
      <c r="D62" s="8">
        <v>37</v>
      </c>
      <c r="E62" s="8">
        <v>40</v>
      </c>
      <c r="F62" s="8">
        <v>50</v>
      </c>
      <c r="G62" s="8">
        <v>52</v>
      </c>
      <c r="H62" s="8">
        <v>55</v>
      </c>
      <c r="I62" s="8">
        <v>55</v>
      </c>
      <c r="J62" s="8">
        <v>53</v>
      </c>
      <c r="K62" s="8">
        <v>47</v>
      </c>
      <c r="L62" s="8">
        <v>45</v>
      </c>
      <c r="M62" s="8">
        <v>51</v>
      </c>
      <c r="N62" s="8">
        <f t="shared" si="18"/>
        <v>550</v>
      </c>
      <c r="P62" s="8">
        <f>'Budget 2025'!N62</f>
        <v>550</v>
      </c>
    </row>
    <row r="63" spans="1:17" x14ac:dyDescent="0.35">
      <c r="A63" s="5" t="s">
        <v>57</v>
      </c>
      <c r="B63" s="8">
        <v>30</v>
      </c>
      <c r="C63" s="8">
        <v>28</v>
      </c>
      <c r="D63" s="8">
        <v>35</v>
      </c>
      <c r="E63" s="8">
        <v>50</v>
      </c>
      <c r="F63" s="8">
        <v>60</v>
      </c>
      <c r="G63" s="8">
        <v>62</v>
      </c>
      <c r="H63" s="8">
        <v>65</v>
      </c>
      <c r="I63" s="8">
        <v>65</v>
      </c>
      <c r="J63" s="8">
        <v>60</v>
      </c>
      <c r="K63" s="8">
        <v>60</v>
      </c>
      <c r="L63" s="8">
        <v>55</v>
      </c>
      <c r="M63" s="8">
        <v>50</v>
      </c>
      <c r="N63" s="8">
        <f t="shared" si="18"/>
        <v>620</v>
      </c>
      <c r="P63" s="8">
        <f>'Budget 2025'!N63</f>
        <v>620.38697316446883</v>
      </c>
    </row>
    <row r="64" spans="1:17" hidden="1" x14ac:dyDescent="0.35">
      <c r="A64" s="5" t="s">
        <v>74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f t="shared" si="18"/>
        <v>0</v>
      </c>
      <c r="P64" s="8"/>
    </row>
    <row r="65" spans="1:16" s="2" customFormat="1" x14ac:dyDescent="0.35">
      <c r="A65" s="9" t="s">
        <v>32</v>
      </c>
      <c r="B65" s="11">
        <f>B56/B60</f>
        <v>17.565217391304348</v>
      </c>
      <c r="C65" s="11">
        <f t="shared" ref="C65:N65" si="19">C56/C60</f>
        <v>17.35576923076923</v>
      </c>
      <c r="D65" s="11">
        <f t="shared" si="19"/>
        <v>15.950413223140496</v>
      </c>
      <c r="E65" s="11">
        <f t="shared" si="19"/>
        <v>16.059999999999999</v>
      </c>
      <c r="F65" s="11">
        <f t="shared" si="19"/>
        <v>14.446428571428571</v>
      </c>
      <c r="G65" s="11">
        <f t="shared" si="19"/>
        <v>13.996598639455783</v>
      </c>
      <c r="H65" s="11">
        <f t="shared" si="19"/>
        <v>13.634920634920634</v>
      </c>
      <c r="I65" s="11">
        <f t="shared" si="19"/>
        <v>13.78125</v>
      </c>
      <c r="J65" s="11">
        <f t="shared" si="19"/>
        <v>12.635782747603834</v>
      </c>
      <c r="K65" s="11">
        <f t="shared" si="19"/>
        <v>12.317073170731707</v>
      </c>
      <c r="L65" s="11">
        <f t="shared" si="19"/>
        <v>11.578947368421053</v>
      </c>
      <c r="M65" s="11">
        <f t="shared" si="19"/>
        <v>13.478260869565217</v>
      </c>
      <c r="N65" s="11">
        <f t="shared" si="19"/>
        <v>14.212121212121213</v>
      </c>
      <c r="P65" s="11">
        <f>'Budget 2025'!N64</f>
        <v>15.649679998123696</v>
      </c>
    </row>
    <row r="66" spans="1:16" s="2" customFormat="1" x14ac:dyDescent="0.35">
      <c r="A66" s="9" t="s">
        <v>33</v>
      </c>
      <c r="B66" s="10">
        <f t="shared" ref="B66:N66" si="20">SUM(B67:B68)</f>
        <v>237</v>
      </c>
      <c r="C66" s="10">
        <f t="shared" si="20"/>
        <v>235</v>
      </c>
      <c r="D66" s="10">
        <f t="shared" si="20"/>
        <v>258</v>
      </c>
      <c r="E66" s="10">
        <f t="shared" si="20"/>
        <v>257</v>
      </c>
      <c r="F66" s="10">
        <f t="shared" si="20"/>
        <v>290</v>
      </c>
      <c r="G66" s="10">
        <f t="shared" si="20"/>
        <v>305</v>
      </c>
      <c r="H66" s="10">
        <f t="shared" si="20"/>
        <v>315</v>
      </c>
      <c r="I66" s="10">
        <f t="shared" si="20"/>
        <v>320</v>
      </c>
      <c r="J66" s="10">
        <f t="shared" si="20"/>
        <v>285</v>
      </c>
      <c r="K66" s="10">
        <f t="shared" si="20"/>
        <v>253</v>
      </c>
      <c r="L66" s="10">
        <f t="shared" si="20"/>
        <v>242</v>
      </c>
      <c r="M66" s="10">
        <f t="shared" si="20"/>
        <v>253</v>
      </c>
      <c r="N66" s="10">
        <f t="shared" si="20"/>
        <v>3250</v>
      </c>
      <c r="P66" s="10">
        <f>'Budget 2025'!N65</f>
        <v>3230</v>
      </c>
    </row>
    <row r="67" spans="1:16" x14ac:dyDescent="0.35">
      <c r="A67" s="5" t="s">
        <v>35</v>
      </c>
      <c r="B67" s="8">
        <f>B74</f>
        <v>111.96</v>
      </c>
      <c r="C67" s="8">
        <f t="shared" ref="C67:M67" si="21">C74</f>
        <v>131.4</v>
      </c>
      <c r="D67" s="8">
        <f t="shared" si="21"/>
        <v>132.24</v>
      </c>
      <c r="E67" s="8">
        <f t="shared" si="21"/>
        <v>141.96</v>
      </c>
      <c r="F67" s="8">
        <f t="shared" si="21"/>
        <v>152.80000000000001</v>
      </c>
      <c r="G67" s="8">
        <f t="shared" si="21"/>
        <v>174.2</v>
      </c>
      <c r="H67" s="8">
        <f t="shared" si="21"/>
        <v>174.2</v>
      </c>
      <c r="I67" s="8">
        <f t="shared" si="21"/>
        <v>155.6</v>
      </c>
      <c r="J67" s="8">
        <f t="shared" si="21"/>
        <v>157.80000000000001</v>
      </c>
      <c r="K67" s="8">
        <f t="shared" si="21"/>
        <v>117.24</v>
      </c>
      <c r="L67" s="8">
        <f t="shared" si="21"/>
        <v>116.96</v>
      </c>
      <c r="M67" s="8">
        <f t="shared" si="21"/>
        <v>97.24</v>
      </c>
      <c r="N67" s="8">
        <f t="shared" ref="N67:N72" si="22">SUM(B67:M67)</f>
        <v>1663.6000000000001</v>
      </c>
      <c r="P67" s="8">
        <f>'Budget 2025'!N66</f>
        <v>1630</v>
      </c>
    </row>
    <row r="68" spans="1:16" x14ac:dyDescent="0.35">
      <c r="A68" s="5" t="s">
        <v>39</v>
      </c>
      <c r="B68" s="8">
        <f>B80</f>
        <v>125.04</v>
      </c>
      <c r="C68" s="8">
        <f t="shared" ref="C68:M68" si="23">C80</f>
        <v>103.6</v>
      </c>
      <c r="D68" s="8">
        <f t="shared" si="23"/>
        <v>125.76</v>
      </c>
      <c r="E68" s="8">
        <f t="shared" si="23"/>
        <v>115.04</v>
      </c>
      <c r="F68" s="8">
        <f t="shared" si="23"/>
        <v>137.19999999999999</v>
      </c>
      <c r="G68" s="8">
        <f t="shared" si="23"/>
        <v>130.80000000000001</v>
      </c>
      <c r="H68" s="8">
        <f t="shared" si="23"/>
        <v>140.80000000000001</v>
      </c>
      <c r="I68" s="8">
        <f t="shared" si="23"/>
        <v>164.4</v>
      </c>
      <c r="J68" s="8">
        <f t="shared" si="23"/>
        <v>127.2</v>
      </c>
      <c r="K68" s="8">
        <f t="shared" si="23"/>
        <v>135.76</v>
      </c>
      <c r="L68" s="8">
        <f t="shared" si="23"/>
        <v>125.04</v>
      </c>
      <c r="M68" s="8">
        <f t="shared" si="23"/>
        <v>155.76</v>
      </c>
      <c r="N68" s="8">
        <f t="shared" si="22"/>
        <v>1586.4</v>
      </c>
      <c r="P68" s="8">
        <f>'Budget 2025'!N67</f>
        <v>1480</v>
      </c>
    </row>
    <row r="69" spans="1:16" x14ac:dyDescent="0.35">
      <c r="A69" s="5" t="s">
        <v>41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f t="shared" si="22"/>
        <v>0</v>
      </c>
      <c r="P69" s="8">
        <f>'Budget 2025'!N68</f>
        <v>120</v>
      </c>
    </row>
    <row r="70" spans="1:16" x14ac:dyDescent="0.35">
      <c r="A70" s="9" t="s">
        <v>60</v>
      </c>
      <c r="B70" s="10">
        <f>B71+B72</f>
        <v>57.125659999999996</v>
      </c>
      <c r="C70" s="10">
        <f t="shared" ref="C70:M70" si="24">C71+C72</f>
        <v>53.497250000000001</v>
      </c>
      <c r="D70" s="10">
        <f t="shared" si="24"/>
        <v>58.810299999999984</v>
      </c>
      <c r="E70" s="10">
        <f t="shared" si="24"/>
        <v>75.263139999999993</v>
      </c>
      <c r="F70" s="10">
        <f t="shared" si="24"/>
        <v>125.39815</v>
      </c>
      <c r="G70" s="10">
        <f t="shared" si="24"/>
        <v>94.756160000000008</v>
      </c>
      <c r="H70" s="10">
        <f t="shared" si="24"/>
        <v>83.146400000000028</v>
      </c>
      <c r="I70" s="10">
        <f t="shared" si="24"/>
        <v>58.183650000000014</v>
      </c>
      <c r="J70" s="10">
        <f t="shared" si="24"/>
        <v>37.139549999999993</v>
      </c>
      <c r="K70" s="10">
        <f t="shared" si="24"/>
        <v>68.754850000000019</v>
      </c>
      <c r="L70" s="10">
        <f t="shared" si="24"/>
        <v>52.997440000000012</v>
      </c>
      <c r="M70" s="10">
        <f t="shared" si="24"/>
        <v>55</v>
      </c>
      <c r="N70" s="10">
        <f>SUM(B70:M70)</f>
        <v>820.07255000000009</v>
      </c>
      <c r="O70" s="2"/>
      <c r="P70" s="10">
        <f>'Budget 2025'!N69</f>
        <v>1676.5</v>
      </c>
    </row>
    <row r="71" spans="1:16" x14ac:dyDescent="0.35">
      <c r="A71" s="5" t="s">
        <v>55</v>
      </c>
      <c r="B71" s="8">
        <f>B86</f>
        <v>7.10975</v>
      </c>
      <c r="C71" s="8">
        <f t="shared" ref="C71:M71" si="25">C86</f>
        <v>40.527500000000003</v>
      </c>
      <c r="D71" s="8">
        <f t="shared" si="25"/>
        <v>51.952449999999985</v>
      </c>
      <c r="E71" s="8">
        <f t="shared" si="25"/>
        <v>50.126389999999994</v>
      </c>
      <c r="F71" s="8">
        <f t="shared" si="25"/>
        <v>109.9789</v>
      </c>
      <c r="G71" s="8">
        <f t="shared" si="25"/>
        <v>87.843810000000005</v>
      </c>
      <c r="H71" s="8">
        <f t="shared" si="25"/>
        <v>83.146400000000028</v>
      </c>
      <c r="I71" s="8">
        <f t="shared" si="25"/>
        <v>58.183650000000014</v>
      </c>
      <c r="J71" s="8">
        <f t="shared" si="25"/>
        <v>37.139549999999993</v>
      </c>
      <c r="K71" s="8">
        <f t="shared" si="25"/>
        <v>60.314450000000015</v>
      </c>
      <c r="L71" s="8">
        <f t="shared" si="25"/>
        <v>52.997440000000012</v>
      </c>
      <c r="M71" s="8">
        <f t="shared" si="25"/>
        <v>45</v>
      </c>
      <c r="N71" s="8">
        <f t="shared" si="22"/>
        <v>684.32029</v>
      </c>
      <c r="P71" s="8">
        <f>'Budget 2025'!N70</f>
        <v>671.5</v>
      </c>
    </row>
    <row r="72" spans="1:16" x14ac:dyDescent="0.35">
      <c r="A72" s="5" t="s">
        <v>56</v>
      </c>
      <c r="B72" s="8">
        <f>B92</f>
        <v>50.015909999999998</v>
      </c>
      <c r="C72" s="8">
        <f t="shared" ref="C72:M72" si="26">C92</f>
        <v>12.969749999999998</v>
      </c>
      <c r="D72" s="8">
        <f t="shared" si="26"/>
        <v>6.85785</v>
      </c>
      <c r="E72" s="8">
        <f t="shared" si="26"/>
        <v>25.136750000000003</v>
      </c>
      <c r="F72" s="8">
        <f t="shared" si="26"/>
        <v>15.41925</v>
      </c>
      <c r="G72" s="8">
        <f t="shared" si="26"/>
        <v>6.91235</v>
      </c>
      <c r="H72" s="8">
        <f t="shared" si="26"/>
        <v>0</v>
      </c>
      <c r="I72" s="8">
        <f t="shared" si="26"/>
        <v>0</v>
      </c>
      <c r="J72" s="8">
        <f t="shared" si="26"/>
        <v>0</v>
      </c>
      <c r="K72" s="8">
        <f t="shared" si="26"/>
        <v>8.4404000000000003</v>
      </c>
      <c r="L72" s="8">
        <f t="shared" si="26"/>
        <v>0</v>
      </c>
      <c r="M72" s="8">
        <f t="shared" si="26"/>
        <v>10</v>
      </c>
      <c r="N72" s="8">
        <f t="shared" si="22"/>
        <v>135.75226000000001</v>
      </c>
      <c r="P72" s="8">
        <f>'Budget 2025'!N71</f>
        <v>1005</v>
      </c>
    </row>
    <row r="73" spans="1:16" s="2" customFormat="1" x14ac:dyDescent="0.35">
      <c r="A73" s="9" t="s">
        <v>34</v>
      </c>
      <c r="B73" s="11">
        <f t="shared" ref="B73:N73" si="27">B56/B66</f>
        <v>17.046413502109704</v>
      </c>
      <c r="C73" s="11">
        <f t="shared" si="27"/>
        <v>15.361702127659575</v>
      </c>
      <c r="D73" s="11">
        <f t="shared" si="27"/>
        <v>14.961240310077519</v>
      </c>
      <c r="E73" s="11">
        <f t="shared" si="27"/>
        <v>15.622568093385214</v>
      </c>
      <c r="F73" s="11">
        <f t="shared" si="27"/>
        <v>13.948275862068966</v>
      </c>
      <c r="G73" s="11">
        <f t="shared" si="27"/>
        <v>13.491803278688524</v>
      </c>
      <c r="H73" s="11">
        <f t="shared" si="27"/>
        <v>13.634920634920634</v>
      </c>
      <c r="I73" s="11">
        <f t="shared" si="27"/>
        <v>13.78125</v>
      </c>
      <c r="J73" s="11">
        <f t="shared" si="27"/>
        <v>13.87719298245614</v>
      </c>
      <c r="K73" s="11">
        <f t="shared" si="27"/>
        <v>13.972332015810277</v>
      </c>
      <c r="L73" s="11">
        <f t="shared" si="27"/>
        <v>13.636363636363637</v>
      </c>
      <c r="M73" s="11">
        <f t="shared" si="27"/>
        <v>14.703557312252965</v>
      </c>
      <c r="N73" s="11">
        <f t="shared" si="27"/>
        <v>14.430769230769231</v>
      </c>
      <c r="P73" s="11">
        <f>'Budget 2025'!N72</f>
        <v>15.990712074303406</v>
      </c>
    </row>
    <row r="74" spans="1:16" s="2" customFormat="1" x14ac:dyDescent="0.35">
      <c r="A74" s="9" t="s">
        <v>35</v>
      </c>
      <c r="B74" s="10">
        <v>111.96</v>
      </c>
      <c r="C74" s="10">
        <v>131.4</v>
      </c>
      <c r="D74" s="10">
        <v>132.24</v>
      </c>
      <c r="E74" s="10">
        <v>141.96</v>
      </c>
      <c r="F74" s="10">
        <v>152.80000000000001</v>
      </c>
      <c r="G74" s="10">
        <v>174.2</v>
      </c>
      <c r="H74" s="10">
        <v>174.2</v>
      </c>
      <c r="I74" s="10">
        <v>155.6</v>
      </c>
      <c r="J74" s="10">
        <v>157.80000000000001</v>
      </c>
      <c r="K74" s="10">
        <v>117.24</v>
      </c>
      <c r="L74" s="10">
        <v>116.96</v>
      </c>
      <c r="M74" s="10">
        <v>97.24</v>
      </c>
      <c r="N74" s="10">
        <f>SUM(B74:M74)</f>
        <v>1663.6000000000001</v>
      </c>
      <c r="P74" s="10">
        <f>'Budget 2025'!N73</f>
        <v>1630</v>
      </c>
    </row>
    <row r="75" spans="1:16" x14ac:dyDescent="0.35">
      <c r="A75" s="5" t="s">
        <v>62</v>
      </c>
      <c r="B75" s="8">
        <v>6256.8826212248132</v>
      </c>
      <c r="C75" s="8">
        <v>6151.868610514075</v>
      </c>
      <c r="D75" s="8">
        <v>6323.6991261077992</v>
      </c>
      <c r="E75" s="8">
        <v>6386.986335942921</v>
      </c>
      <c r="F75" s="8">
        <v>6358.9708666294464</v>
      </c>
      <c r="G75" s="8">
        <v>6190.1227791957153</v>
      </c>
      <c r="H75" s="8">
        <v>6322.8213210565245</v>
      </c>
      <c r="I75" s="8">
        <v>6416.6271102070559</v>
      </c>
      <c r="J75" s="8">
        <v>6423.6804473507027</v>
      </c>
      <c r="K75" s="8">
        <v>6428.0880811817151</v>
      </c>
      <c r="L75" s="8">
        <v>6488.4941021435188</v>
      </c>
      <c r="M75" s="8">
        <v>6366.8032647219707</v>
      </c>
      <c r="N75" s="8">
        <f>SUMPRODUCT(B75:M75,$B$74:$M$74)/SUM($B$74:$M$74)</f>
        <v>6339.8289831040656</v>
      </c>
      <c r="P75" s="8">
        <f>'Budget 2025'!N74</f>
        <v>6355.6512817964895</v>
      </c>
    </row>
    <row r="76" spans="1:16" x14ac:dyDescent="0.35">
      <c r="A76" s="5" t="s">
        <v>36</v>
      </c>
      <c r="B76" s="7">
        <v>0.67659192825112102</v>
      </c>
      <c r="C76" s="7">
        <v>0.75659952264545605</v>
      </c>
      <c r="D76" s="7">
        <v>0.77547626089455102</v>
      </c>
      <c r="E76" s="7">
        <v>0.68147489270105199</v>
      </c>
      <c r="F76" s="7">
        <v>0.69078891603567594</v>
      </c>
      <c r="G76" s="7">
        <v>0.72768742391724095</v>
      </c>
      <c r="H76" s="7">
        <v>0.691827675722133</v>
      </c>
      <c r="I76" s="7">
        <v>0.72233360607861197</v>
      </c>
      <c r="J76" s="7">
        <v>0.63605023221700896</v>
      </c>
      <c r="K76" s="7">
        <v>0.58099210489050801</v>
      </c>
      <c r="L76" s="7">
        <v>0.56336860137759504</v>
      </c>
      <c r="M76" s="7">
        <v>0.57146909415498304</v>
      </c>
      <c r="N76" s="7">
        <f t="shared" ref="N76:N79" si="28">SUMPRODUCT(B76:M76,$B$74:$M$74)/SUM($B$74:$M$74)</f>
        <v>0.6790287564669204</v>
      </c>
      <c r="P76" s="7">
        <f>'Budget 2025'!N75</f>
        <v>0.60341465782487103</v>
      </c>
    </row>
    <row r="77" spans="1:16" x14ac:dyDescent="0.35">
      <c r="A77" s="5" t="s">
        <v>37</v>
      </c>
      <c r="B77" s="7">
        <v>5.4656261622258899</v>
      </c>
      <c r="C77" s="7">
        <v>5.07613497847702</v>
      </c>
      <c r="D77" s="7">
        <v>5.2983635262278002</v>
      </c>
      <c r="E77" s="7">
        <v>4.8780037640816802</v>
      </c>
      <c r="F77" s="7">
        <v>5.0062757777183702</v>
      </c>
      <c r="G77" s="7">
        <v>5.7426443854633797</v>
      </c>
      <c r="H77" s="7">
        <v>4.8599430171366098</v>
      </c>
      <c r="I77" s="7">
        <v>4.8092842786789296</v>
      </c>
      <c r="J77" s="7">
        <v>4.8555071502066198</v>
      </c>
      <c r="K77" s="7">
        <v>4.9385462761115697</v>
      </c>
      <c r="L77" s="7">
        <v>4.5792887219407303</v>
      </c>
      <c r="M77" s="7">
        <v>4.9813766170181104</v>
      </c>
      <c r="N77" s="7">
        <f t="shared" si="28"/>
        <v>5.0477902208185679</v>
      </c>
      <c r="P77" s="7">
        <f>'Budget 2025'!N76</f>
        <v>4.8411373574408625</v>
      </c>
    </row>
    <row r="78" spans="1:16" x14ac:dyDescent="0.35">
      <c r="A78" s="5" t="s">
        <v>38</v>
      </c>
      <c r="B78" s="7">
        <v>7.0157307141722498</v>
      </c>
      <c r="C78" s="7">
        <v>6.8284539106136597</v>
      </c>
      <c r="D78" s="7">
        <v>7.0932792972571699</v>
      </c>
      <c r="E78" s="7">
        <v>7.2353369377576202</v>
      </c>
      <c r="F78" s="7">
        <v>7.5618688268397998</v>
      </c>
      <c r="G78" s="7">
        <v>7.7032846327912701</v>
      </c>
      <c r="H78" s="7">
        <v>7.5590589744099201</v>
      </c>
      <c r="I78" s="7">
        <v>7.6173726414577301</v>
      </c>
      <c r="J78" s="7">
        <v>7.9039099754631801</v>
      </c>
      <c r="K78" s="7">
        <v>7.7867936679637797</v>
      </c>
      <c r="L78" s="7">
        <v>7.7503099254764303</v>
      </c>
      <c r="M78" s="7">
        <v>7.7998919360429797</v>
      </c>
      <c r="N78" s="7">
        <f t="shared" si="28"/>
        <v>7.4972344080294624</v>
      </c>
      <c r="P78" s="7">
        <f>'Budget 2025'!N77</f>
        <v>7.386331839135952</v>
      </c>
    </row>
    <row r="79" spans="1:16" x14ac:dyDescent="0.35">
      <c r="A79" s="5" t="s">
        <v>25</v>
      </c>
      <c r="B79" s="7">
        <v>14.501773791466499</v>
      </c>
      <c r="C79" s="7">
        <v>14.571456580486876</v>
      </c>
      <c r="D79" s="7">
        <v>14.265621590741752</v>
      </c>
      <c r="E79" s="7">
        <v>13.807353826490251</v>
      </c>
      <c r="F79" s="7">
        <v>13.8244942511165</v>
      </c>
      <c r="G79" s="7">
        <v>15.953417763133876</v>
      </c>
      <c r="H79" s="7">
        <v>14.411993091753001</v>
      </c>
      <c r="I79" s="7">
        <v>13.251460324476374</v>
      </c>
      <c r="J79" s="7">
        <v>13.194465801235125</v>
      </c>
      <c r="K79" s="7">
        <v>13.047580283867624</v>
      </c>
      <c r="L79" s="7">
        <v>12.529479074212388</v>
      </c>
      <c r="M79" s="7">
        <v>13.593399997157126</v>
      </c>
      <c r="N79" s="7">
        <f t="shared" si="28"/>
        <v>13.974456215361991</v>
      </c>
      <c r="P79" s="7">
        <f>'Budget 2025'!N78</f>
        <v>13.846499085482177</v>
      </c>
    </row>
    <row r="80" spans="1:16" s="2" customFormat="1" x14ac:dyDescent="0.35">
      <c r="A80" s="9" t="s">
        <v>39</v>
      </c>
      <c r="B80" s="10">
        <v>125.04</v>
      </c>
      <c r="C80" s="10">
        <v>103.6</v>
      </c>
      <c r="D80" s="10">
        <v>125.76</v>
      </c>
      <c r="E80" s="10">
        <v>115.04</v>
      </c>
      <c r="F80" s="10">
        <v>137.19999999999999</v>
      </c>
      <c r="G80" s="10">
        <v>130.80000000000001</v>
      </c>
      <c r="H80" s="10">
        <v>140.80000000000001</v>
      </c>
      <c r="I80" s="10">
        <v>164.4</v>
      </c>
      <c r="J80" s="10">
        <v>127.2</v>
      </c>
      <c r="K80" s="10">
        <v>135.76</v>
      </c>
      <c r="L80" s="10">
        <v>125.04</v>
      </c>
      <c r="M80" s="10">
        <v>155.76</v>
      </c>
      <c r="N80" s="10">
        <f>SUM(B80:M80)</f>
        <v>1586.4</v>
      </c>
      <c r="P80" s="10">
        <f>'Budget 2025'!N79</f>
        <v>1480</v>
      </c>
    </row>
    <row r="81" spans="1:16" x14ac:dyDescent="0.35">
      <c r="A81" s="5" t="s">
        <v>62</v>
      </c>
      <c r="B81" s="8">
        <v>6538.5941411155582</v>
      </c>
      <c r="C81" s="8">
        <v>6552.6193664297452</v>
      </c>
      <c r="D81" s="8">
        <v>6466.1138120759997</v>
      </c>
      <c r="E81" s="8">
        <v>6361.4348857892683</v>
      </c>
      <c r="F81" s="8">
        <v>6402.1857872246992</v>
      </c>
      <c r="G81" s="8">
        <v>6559.1838845379898</v>
      </c>
      <c r="H81" s="8">
        <v>6321.2723712592942</v>
      </c>
      <c r="I81" s="8">
        <v>6444.2453129372807</v>
      </c>
      <c r="J81" s="8">
        <v>6431.010455507927</v>
      </c>
      <c r="K81" s="8">
        <v>6471.0679997924835</v>
      </c>
      <c r="L81" s="8">
        <v>6428.6581637352856</v>
      </c>
      <c r="M81" s="8">
        <v>6431.8251580345504</v>
      </c>
      <c r="N81" s="8">
        <f>SUMPRODUCT(B81:M81,$B$80:$M$80)/SUM($B$80:$M$80)</f>
        <v>6448.1987937855756</v>
      </c>
      <c r="P81" s="8">
        <f>'Budget 2025'!N80</f>
        <v>6482.8119871932486</v>
      </c>
    </row>
    <row r="82" spans="1:16" x14ac:dyDescent="0.35">
      <c r="A82" s="5" t="s">
        <v>40</v>
      </c>
      <c r="B82" s="7">
        <v>1.8417041979522699</v>
      </c>
      <c r="C82" s="7">
        <v>1.8596930282913502</v>
      </c>
      <c r="D82" s="7">
        <v>1.8735510340095201</v>
      </c>
      <c r="E82" s="7">
        <v>1.8544609910629599</v>
      </c>
      <c r="F82" s="7">
        <v>1.8846035856533401</v>
      </c>
      <c r="G82" s="7">
        <v>1.8768145344607701</v>
      </c>
      <c r="H82" s="7">
        <v>2.14882182615318</v>
      </c>
      <c r="I82" s="7">
        <v>1.8592217051697502</v>
      </c>
      <c r="J82" s="7">
        <v>1.79331439749595</v>
      </c>
      <c r="K82" s="7">
        <v>1.82273437548896</v>
      </c>
      <c r="L82" s="7">
        <v>1.99927167439734</v>
      </c>
      <c r="M82" s="7">
        <v>1.90646668476809</v>
      </c>
      <c r="N82" s="7">
        <f t="shared" ref="N82:N85" si="29">SUMPRODUCT(B82:M82,$B$80:$M$80)/SUM($B$80:$M$80)</f>
        <v>1.895281875168447</v>
      </c>
      <c r="P82" s="7">
        <f>'Budget 2025'!N81</f>
        <v>1.8762420726514626</v>
      </c>
    </row>
    <row r="83" spans="1:16" x14ac:dyDescent="0.35">
      <c r="A83" s="5" t="s">
        <v>37</v>
      </c>
      <c r="B83" s="7">
        <v>4.5934303644653403</v>
      </c>
      <c r="C83" s="7">
        <v>5.8942951665708998</v>
      </c>
      <c r="D83" s="7">
        <v>6.3068521616145103</v>
      </c>
      <c r="E83" s="7">
        <v>6.8185978780908503</v>
      </c>
      <c r="F83" s="7">
        <v>6.6717924337466696</v>
      </c>
      <c r="G83" s="7">
        <v>5.8320026411745598</v>
      </c>
      <c r="H83" s="7">
        <v>7.4563750387447501</v>
      </c>
      <c r="I83" s="7">
        <v>6.3986640031608504</v>
      </c>
      <c r="J83" s="7">
        <v>5.7058917748348597</v>
      </c>
      <c r="K83" s="7">
        <v>5.3121744377802296</v>
      </c>
      <c r="L83" s="7">
        <v>6.4004655253189604</v>
      </c>
      <c r="M83" s="7">
        <v>5.7619502511586003</v>
      </c>
      <c r="N83" s="7">
        <f t="shared" si="29"/>
        <v>6.1064878911741483</v>
      </c>
      <c r="P83" s="7">
        <f>'Budget 2025'!N82</f>
        <v>10.254553163544609</v>
      </c>
    </row>
    <row r="84" spans="1:16" x14ac:dyDescent="0.35">
      <c r="A84" s="5" t="s">
        <v>38</v>
      </c>
      <c r="B84" s="7">
        <v>6.85513160050753</v>
      </c>
      <c r="C84" s="7">
        <v>6.5454381610632497</v>
      </c>
      <c r="D84" s="7">
        <v>6.3103676049286097</v>
      </c>
      <c r="E84" s="7">
        <v>6.47920283543134</v>
      </c>
      <c r="F84" s="7">
        <v>6.4580882388107899</v>
      </c>
      <c r="G84" s="7">
        <v>6.4970658036163496</v>
      </c>
      <c r="H84" s="7">
        <v>6.2775901963203395</v>
      </c>
      <c r="I84" s="7">
        <v>6.4413899765737499</v>
      </c>
      <c r="J84" s="7">
        <v>6.4545189855893499</v>
      </c>
      <c r="K84" s="7">
        <v>6.3793653537393302</v>
      </c>
      <c r="L84" s="7">
        <v>6.2550302039808496</v>
      </c>
      <c r="M84" s="7">
        <v>5.9537668263757597</v>
      </c>
      <c r="N84" s="7">
        <f t="shared" si="29"/>
        <v>6.397826935979964</v>
      </c>
      <c r="P84" s="7">
        <f>'Budget 2025'!N83</f>
        <v>6.6257918257808086</v>
      </c>
    </row>
    <row r="85" spans="1:16" x14ac:dyDescent="0.35">
      <c r="A85" s="5" t="s">
        <v>25</v>
      </c>
      <c r="B85" s="7">
        <v>11.867452514651491</v>
      </c>
      <c r="C85" s="7">
        <v>10.681380442303153</v>
      </c>
      <c r="D85" s="7">
        <v>10.731603562838552</v>
      </c>
      <c r="E85" s="7">
        <v>11.60382304131822</v>
      </c>
      <c r="F85" s="7">
        <v>11.543097025220002</v>
      </c>
      <c r="G85" s="7">
        <v>10.088098634936388</v>
      </c>
      <c r="H85" s="7">
        <v>11.779863142742441</v>
      </c>
      <c r="I85" s="7">
        <v>11.2510106280812</v>
      </c>
      <c r="J85" s="7">
        <v>11.990945068729461</v>
      </c>
      <c r="K85" s="7">
        <v>11.549301747608592</v>
      </c>
      <c r="L85" s="7">
        <v>11.145730521456981</v>
      </c>
      <c r="M85" s="7">
        <v>11.481729230078601</v>
      </c>
      <c r="N85" s="7">
        <f t="shared" si="29"/>
        <v>11.322335061354487</v>
      </c>
      <c r="P85" s="7">
        <f>'Budget 2025'!N84</f>
        <v>11.252249091491917</v>
      </c>
    </row>
    <row r="86" spans="1:16" hidden="1" x14ac:dyDescent="0.35">
      <c r="A86" s="9" t="s">
        <v>55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v>109.9789</v>
      </c>
      <c r="G86" s="10">
        <v>87.843810000000005</v>
      </c>
      <c r="H86" s="10">
        <v>83.146400000000028</v>
      </c>
      <c r="I86" s="10">
        <v>58.183650000000014</v>
      </c>
      <c r="J86" s="10">
        <v>37.139549999999993</v>
      </c>
      <c r="K86" s="10">
        <v>60.314450000000015</v>
      </c>
      <c r="L86" s="10">
        <v>52.997440000000012</v>
      </c>
      <c r="M86" s="10">
        <v>45</v>
      </c>
      <c r="N86" s="10">
        <f>SUM(B86:M86)</f>
        <v>684.32029</v>
      </c>
      <c r="O86" s="2"/>
      <c r="P86" s="10">
        <f>'Budget 2025'!N91</f>
        <v>671.5</v>
      </c>
    </row>
    <row r="87" spans="1:16" hidden="1" x14ac:dyDescent="0.35">
      <c r="A87" s="5" t="s">
        <v>62</v>
      </c>
      <c r="B87" s="8">
        <v>6322</v>
      </c>
      <c r="C87" s="8">
        <v>6322</v>
      </c>
      <c r="D87" s="8">
        <v>6322</v>
      </c>
      <c r="E87" s="8">
        <v>6322</v>
      </c>
      <c r="F87" s="8">
        <v>6322</v>
      </c>
      <c r="G87" s="8">
        <v>6322</v>
      </c>
      <c r="H87" s="8">
        <v>6322</v>
      </c>
      <c r="I87" s="8">
        <v>6322</v>
      </c>
      <c r="J87" s="8">
        <v>6322</v>
      </c>
      <c r="K87" s="8">
        <v>6322</v>
      </c>
      <c r="L87" s="8">
        <v>6322</v>
      </c>
      <c r="M87" s="8">
        <v>6322</v>
      </c>
      <c r="N87" s="14">
        <f>SUMPRODUCT(B87:M87,$B$86:$M$86)/SUM($B$86:$M$86)</f>
        <v>6322</v>
      </c>
      <c r="P87" s="8">
        <f>'Budget 2025'!N92</f>
        <v>6322</v>
      </c>
    </row>
    <row r="88" spans="1:16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7">
        <v>0.6</v>
      </c>
      <c r="G88" s="7">
        <v>0.6</v>
      </c>
      <c r="H88" s="7">
        <v>0.6</v>
      </c>
      <c r="I88" s="7">
        <v>0.6</v>
      </c>
      <c r="J88" s="7">
        <v>0.6</v>
      </c>
      <c r="K88" s="7">
        <v>0.6</v>
      </c>
      <c r="L88" s="7">
        <v>0.6</v>
      </c>
      <c r="M88" s="7">
        <v>0.6</v>
      </c>
      <c r="N88" s="15">
        <f t="shared" ref="N88:N91" si="30">SUMPRODUCT(B88:M88,$B$86:$M$86)/SUM($B$86:$M$86)</f>
        <v>0.6</v>
      </c>
      <c r="P88" s="7">
        <f>'Budget 2025'!N93</f>
        <v>0.6</v>
      </c>
    </row>
    <row r="89" spans="1:16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7">
        <v>7</v>
      </c>
      <c r="G89" s="7">
        <v>7</v>
      </c>
      <c r="H89" s="7">
        <v>7</v>
      </c>
      <c r="I89" s="7">
        <v>7</v>
      </c>
      <c r="J89" s="7">
        <v>7</v>
      </c>
      <c r="K89" s="7">
        <v>7</v>
      </c>
      <c r="L89" s="7">
        <v>7</v>
      </c>
      <c r="M89" s="7">
        <v>7</v>
      </c>
      <c r="N89" s="15">
        <f t="shared" si="30"/>
        <v>7.0000000000000009</v>
      </c>
      <c r="P89" s="7">
        <f>'Budget 2025'!N94</f>
        <v>7</v>
      </c>
    </row>
    <row r="90" spans="1:16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7">
        <v>12</v>
      </c>
      <c r="G90" s="7">
        <v>12</v>
      </c>
      <c r="H90" s="7">
        <v>12</v>
      </c>
      <c r="I90" s="7">
        <v>12</v>
      </c>
      <c r="J90" s="7">
        <v>12</v>
      </c>
      <c r="K90" s="7">
        <v>12</v>
      </c>
      <c r="L90" s="7">
        <v>12</v>
      </c>
      <c r="M90" s="7">
        <v>12</v>
      </c>
      <c r="N90" s="15">
        <f t="shared" si="30"/>
        <v>12</v>
      </c>
      <c r="P90" s="7">
        <f>'Budget 2025'!N95</f>
        <v>12</v>
      </c>
    </row>
    <row r="91" spans="1:16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7">
        <v>14</v>
      </c>
      <c r="G91" s="7">
        <v>14</v>
      </c>
      <c r="H91" s="7">
        <v>14</v>
      </c>
      <c r="I91" s="7">
        <v>14</v>
      </c>
      <c r="J91" s="7">
        <v>14</v>
      </c>
      <c r="K91" s="7">
        <v>14</v>
      </c>
      <c r="L91" s="7">
        <v>14</v>
      </c>
      <c r="M91" s="7">
        <v>14</v>
      </c>
      <c r="N91" s="15">
        <f t="shared" si="30"/>
        <v>14.000000000000002</v>
      </c>
      <c r="P91" s="7">
        <f>'Budget 2025'!N96</f>
        <v>14</v>
      </c>
    </row>
    <row r="92" spans="1:16" hidden="1" x14ac:dyDescent="0.35">
      <c r="A92" s="9" t="s">
        <v>56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v>15.41925</v>
      </c>
      <c r="G92" s="10">
        <v>6.91235</v>
      </c>
      <c r="H92" s="10">
        <v>0</v>
      </c>
      <c r="I92" s="10">
        <v>0</v>
      </c>
      <c r="J92" s="10">
        <v>0</v>
      </c>
      <c r="K92" s="10">
        <v>8.4404000000000003</v>
      </c>
      <c r="L92" s="10">
        <v>0</v>
      </c>
      <c r="M92" s="10">
        <v>10</v>
      </c>
      <c r="N92" s="10">
        <f>SUM(B92:M92)</f>
        <v>135.75226000000001</v>
      </c>
      <c r="O92" s="2"/>
      <c r="P92" s="10">
        <f>'Budget 2025'!N97</f>
        <v>1005</v>
      </c>
    </row>
    <row r="93" spans="1:16" hidden="1" x14ac:dyDescent="0.35">
      <c r="A93" s="5" t="s">
        <v>62</v>
      </c>
      <c r="B93" s="8">
        <v>5400</v>
      </c>
      <c r="C93" s="8">
        <v>5400</v>
      </c>
      <c r="D93" s="8">
        <v>5400</v>
      </c>
      <c r="E93" s="8">
        <v>5400</v>
      </c>
      <c r="F93" s="8">
        <v>5400</v>
      </c>
      <c r="G93" s="8">
        <v>5400</v>
      </c>
      <c r="H93" s="8">
        <v>5400</v>
      </c>
      <c r="I93" s="8">
        <v>5400</v>
      </c>
      <c r="J93" s="8">
        <v>5400</v>
      </c>
      <c r="K93" s="8">
        <v>5400</v>
      </c>
      <c r="L93" s="8">
        <v>5400</v>
      </c>
      <c r="M93" s="8">
        <v>5400</v>
      </c>
      <c r="N93" s="14">
        <f>SUMPRODUCT(B93:M93,$B$93:$M$93)/SUM($B$93:$M$93)</f>
        <v>5400</v>
      </c>
      <c r="P93" s="8">
        <f>'Budget 2025'!N98</f>
        <v>5400</v>
      </c>
    </row>
    <row r="94" spans="1:16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15">
        <f t="shared" ref="N94:N97" si="31">SUMPRODUCT(B94:M94,$B$93:$M$93)/SUM($B$93:$M$93)</f>
        <v>1</v>
      </c>
      <c r="P94" s="7">
        <f>'Budget 2025'!N99</f>
        <v>1</v>
      </c>
    </row>
    <row r="95" spans="1:16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7">
        <v>6</v>
      </c>
      <c r="G95" s="7">
        <v>6</v>
      </c>
      <c r="H95" s="7">
        <v>6</v>
      </c>
      <c r="I95" s="7">
        <v>6</v>
      </c>
      <c r="J95" s="7">
        <v>6</v>
      </c>
      <c r="K95" s="7">
        <v>6</v>
      </c>
      <c r="L95" s="7">
        <v>6</v>
      </c>
      <c r="M95" s="7">
        <v>6</v>
      </c>
      <c r="N95" s="15">
        <f t="shared" si="31"/>
        <v>6</v>
      </c>
      <c r="P95" s="7">
        <f>'Budget 2025'!N100</f>
        <v>6</v>
      </c>
    </row>
    <row r="96" spans="1:16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7">
        <v>15</v>
      </c>
      <c r="G96" s="7">
        <v>15</v>
      </c>
      <c r="H96" s="7">
        <v>15</v>
      </c>
      <c r="I96" s="7">
        <v>15</v>
      </c>
      <c r="J96" s="7">
        <v>15</v>
      </c>
      <c r="K96" s="7">
        <v>15</v>
      </c>
      <c r="L96" s="7">
        <v>15</v>
      </c>
      <c r="M96" s="7">
        <v>15</v>
      </c>
      <c r="N96" s="15">
        <f t="shared" si="31"/>
        <v>15</v>
      </c>
      <c r="P96" s="7">
        <f>'Budget 2025'!N101</f>
        <v>15</v>
      </c>
    </row>
    <row r="97" spans="1:17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7">
        <v>24</v>
      </c>
      <c r="G97" s="7">
        <v>24</v>
      </c>
      <c r="H97" s="7">
        <v>24</v>
      </c>
      <c r="I97" s="7">
        <v>24</v>
      </c>
      <c r="J97" s="7">
        <v>24</v>
      </c>
      <c r="K97" s="7">
        <v>24</v>
      </c>
      <c r="L97" s="7">
        <v>24</v>
      </c>
      <c r="M97" s="7">
        <v>24</v>
      </c>
      <c r="N97" s="15">
        <f t="shared" si="31"/>
        <v>24</v>
      </c>
      <c r="P97" s="7">
        <f>'Budget 2025'!N102</f>
        <v>24</v>
      </c>
    </row>
    <row r="99" spans="1:17" x14ac:dyDescent="0.35">
      <c r="A99" s="6" t="s">
        <v>48</v>
      </c>
      <c r="B99" s="6" t="s">
        <v>1</v>
      </c>
      <c r="C99" s="6" t="s">
        <v>2</v>
      </c>
      <c r="D99" s="6" t="s">
        <v>3</v>
      </c>
      <c r="E99" s="6" t="s">
        <v>4</v>
      </c>
      <c r="F99" s="6" t="s">
        <v>5</v>
      </c>
      <c r="G99" s="6" t="s">
        <v>6</v>
      </c>
      <c r="H99" s="6" t="s">
        <v>7</v>
      </c>
      <c r="I99" s="6" t="s">
        <v>8</v>
      </c>
      <c r="J99" s="6" t="s">
        <v>9</v>
      </c>
      <c r="K99" s="6" t="s">
        <v>10</v>
      </c>
      <c r="L99" s="6" t="s">
        <v>11</v>
      </c>
      <c r="M99" s="6" t="s">
        <v>12</v>
      </c>
      <c r="N99" s="6" t="s">
        <v>13</v>
      </c>
      <c r="O99" s="4"/>
      <c r="P99" s="6" t="s">
        <v>89</v>
      </c>
    </row>
    <row r="100" spans="1:17" s="2" customFormat="1" x14ac:dyDescent="0.35">
      <c r="A100" s="9" t="s">
        <v>14</v>
      </c>
      <c r="B100" s="10">
        <f>SUM(B101:B103)</f>
        <v>8106</v>
      </c>
      <c r="C100" s="10">
        <f t="shared" ref="C100:N100" si="32">SUM(C101:C103)</f>
        <v>7044</v>
      </c>
      <c r="D100" s="10">
        <f t="shared" si="32"/>
        <v>7554</v>
      </c>
      <c r="E100" s="10">
        <f t="shared" si="32"/>
        <v>7692</v>
      </c>
      <c r="F100" s="10">
        <f t="shared" si="32"/>
        <v>7896</v>
      </c>
      <c r="G100" s="10">
        <f t="shared" si="32"/>
        <v>7992.9999999999991</v>
      </c>
      <c r="H100" s="10">
        <f t="shared" si="32"/>
        <v>8151.9999999999982</v>
      </c>
      <c r="I100" s="10">
        <f t="shared" si="32"/>
        <v>8475</v>
      </c>
      <c r="J100" s="10">
        <f t="shared" si="32"/>
        <v>7883</v>
      </c>
      <c r="K100" s="10">
        <f t="shared" si="32"/>
        <v>7840.9999999999991</v>
      </c>
      <c r="L100" s="10">
        <f t="shared" si="32"/>
        <v>7210</v>
      </c>
      <c r="M100" s="10">
        <f t="shared" si="32"/>
        <v>7654.0000000000009</v>
      </c>
      <c r="N100" s="10">
        <f t="shared" si="32"/>
        <v>93500</v>
      </c>
      <c r="P100" s="10">
        <f>'Budget 2025'!N105</f>
        <v>90950</v>
      </c>
      <c r="Q100" s="28">
        <f>N100/P100</f>
        <v>1.02803738317757</v>
      </c>
    </row>
    <row r="101" spans="1:17" x14ac:dyDescent="0.35">
      <c r="A101" s="5" t="s">
        <v>30</v>
      </c>
      <c r="B101" s="8">
        <v>2085</v>
      </c>
      <c r="C101" s="8">
        <v>1783.9999999999998</v>
      </c>
      <c r="D101" s="8">
        <v>1974</v>
      </c>
      <c r="E101" s="8">
        <v>1997</v>
      </c>
      <c r="F101" s="8">
        <v>1991</v>
      </c>
      <c r="G101" s="8">
        <v>1967.9999999999993</v>
      </c>
      <c r="H101" s="8">
        <v>2131.9999999999986</v>
      </c>
      <c r="I101" s="8">
        <v>2305.0000000000009</v>
      </c>
      <c r="J101" s="8">
        <v>2063</v>
      </c>
      <c r="K101" s="8">
        <v>2061.9999999999991</v>
      </c>
      <c r="L101" s="8">
        <v>1755</v>
      </c>
      <c r="M101" s="8">
        <v>1884.0000000000009</v>
      </c>
      <c r="N101" s="8">
        <f>SUM(B101:M101)</f>
        <v>24000</v>
      </c>
      <c r="P101" s="8">
        <f>'Budget 2025'!N106</f>
        <v>24000</v>
      </c>
    </row>
    <row r="102" spans="1:17" x14ac:dyDescent="0.35">
      <c r="A102" s="5" t="s">
        <v>59</v>
      </c>
      <c r="B102" s="8">
        <v>4366</v>
      </c>
      <c r="C102" s="8">
        <v>3810</v>
      </c>
      <c r="D102" s="8">
        <v>4105</v>
      </c>
      <c r="E102" s="8">
        <v>4495</v>
      </c>
      <c r="F102" s="8">
        <v>4755</v>
      </c>
      <c r="G102" s="8">
        <v>4755</v>
      </c>
      <c r="H102" s="8">
        <v>5020</v>
      </c>
      <c r="I102" s="8">
        <v>5120</v>
      </c>
      <c r="J102" s="8">
        <v>4770</v>
      </c>
      <c r="K102" s="8">
        <v>4729</v>
      </c>
      <c r="L102" s="8">
        <v>4450</v>
      </c>
      <c r="M102" s="8">
        <v>4625</v>
      </c>
      <c r="N102" s="8">
        <f t="shared" ref="N102:N103" si="33">SUM(B102:M102)</f>
        <v>55000</v>
      </c>
      <c r="P102" s="8">
        <f>'Budget 2025'!N107</f>
        <v>52450</v>
      </c>
    </row>
    <row r="103" spans="1:17" x14ac:dyDescent="0.35">
      <c r="A103" s="5" t="s">
        <v>45</v>
      </c>
      <c r="B103" s="8">
        <v>1655</v>
      </c>
      <c r="C103" s="8">
        <v>1450</v>
      </c>
      <c r="D103" s="8">
        <v>1475</v>
      </c>
      <c r="E103" s="8">
        <v>1200</v>
      </c>
      <c r="F103" s="8">
        <v>1150</v>
      </c>
      <c r="G103" s="8">
        <v>1270</v>
      </c>
      <c r="H103" s="8">
        <v>1000</v>
      </c>
      <c r="I103" s="8">
        <v>1050</v>
      </c>
      <c r="J103" s="8">
        <v>1050</v>
      </c>
      <c r="K103" s="8">
        <v>1050</v>
      </c>
      <c r="L103" s="8">
        <v>1005</v>
      </c>
      <c r="M103" s="8">
        <v>1145</v>
      </c>
      <c r="N103" s="8">
        <f t="shared" si="33"/>
        <v>14500</v>
      </c>
      <c r="P103" s="8">
        <f>'Budget 2025'!N108</f>
        <v>14500</v>
      </c>
    </row>
    <row r="104" spans="1:17" s="2" customFormat="1" x14ac:dyDescent="0.35">
      <c r="A104" s="9" t="s">
        <v>17</v>
      </c>
      <c r="B104" s="10">
        <f t="shared" ref="B104:N104" si="34">SUM(B105:B107)</f>
        <v>775</v>
      </c>
      <c r="C104" s="10">
        <f t="shared" si="34"/>
        <v>675</v>
      </c>
      <c r="D104" s="10">
        <f t="shared" si="34"/>
        <v>700</v>
      </c>
      <c r="E104" s="10">
        <f t="shared" si="34"/>
        <v>665</v>
      </c>
      <c r="F104" s="10">
        <f t="shared" si="34"/>
        <v>715</v>
      </c>
      <c r="G104" s="10">
        <f t="shared" si="34"/>
        <v>720</v>
      </c>
      <c r="H104" s="10">
        <f t="shared" si="34"/>
        <v>720</v>
      </c>
      <c r="I104" s="10">
        <f t="shared" si="34"/>
        <v>725</v>
      </c>
      <c r="J104" s="10">
        <f t="shared" si="34"/>
        <v>710</v>
      </c>
      <c r="K104" s="10">
        <f t="shared" si="34"/>
        <v>650</v>
      </c>
      <c r="L104" s="10">
        <f t="shared" si="34"/>
        <v>589.99999999999989</v>
      </c>
      <c r="M104" s="10">
        <f t="shared" si="34"/>
        <v>605</v>
      </c>
      <c r="N104" s="10">
        <f t="shared" si="34"/>
        <v>8250</v>
      </c>
      <c r="P104" s="10">
        <f>'Budget 2025'!N109</f>
        <v>8000</v>
      </c>
      <c r="Q104" s="28">
        <f>N104/P104</f>
        <v>1.03125</v>
      </c>
    </row>
    <row r="105" spans="1:17" x14ac:dyDescent="0.35">
      <c r="A105" s="5" t="s">
        <v>30</v>
      </c>
      <c r="B105" s="8">
        <v>195</v>
      </c>
      <c r="C105" s="8">
        <v>185</v>
      </c>
      <c r="D105" s="8">
        <v>180</v>
      </c>
      <c r="E105" s="8">
        <v>155</v>
      </c>
      <c r="F105" s="8">
        <v>200</v>
      </c>
      <c r="G105" s="8">
        <v>209.99999999999997</v>
      </c>
      <c r="H105" s="8">
        <v>245</v>
      </c>
      <c r="I105" s="8">
        <v>250</v>
      </c>
      <c r="J105" s="8">
        <v>235</v>
      </c>
      <c r="K105" s="8">
        <v>200</v>
      </c>
      <c r="L105" s="8">
        <v>169.99999999999991</v>
      </c>
      <c r="M105" s="8">
        <v>175.00000000000006</v>
      </c>
      <c r="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  <v>59</v>
      </c>
      <c r="B106" s="8">
        <v>400</v>
      </c>
      <c r="C106" s="8">
        <v>350</v>
      </c>
      <c r="D106" s="8">
        <v>380</v>
      </c>
      <c r="E106" s="8">
        <v>400</v>
      </c>
      <c r="F106" s="8">
        <v>400</v>
      </c>
      <c r="G106" s="8">
        <v>400</v>
      </c>
      <c r="H106" s="8">
        <v>400</v>
      </c>
      <c r="I106" s="8">
        <v>400</v>
      </c>
      <c r="J106" s="8">
        <v>400</v>
      </c>
      <c r="K106" s="8">
        <v>370</v>
      </c>
      <c r="L106" s="8">
        <v>350</v>
      </c>
      <c r="M106" s="8">
        <v>350</v>
      </c>
      <c r="N106" s="8">
        <f t="shared" ref="N106:N107" si="35">SUM(B106:M106)</f>
        <v>4600</v>
      </c>
      <c r="P106" s="8">
        <f>'Budget 2025'!N111</f>
        <v>4400</v>
      </c>
    </row>
    <row r="107" spans="1:17" x14ac:dyDescent="0.35">
      <c r="A107" s="5" t="s">
        <v>45</v>
      </c>
      <c r="B107" s="8">
        <v>180</v>
      </c>
      <c r="C107" s="8">
        <v>140</v>
      </c>
      <c r="D107" s="8">
        <v>140</v>
      </c>
      <c r="E107" s="8">
        <v>110</v>
      </c>
      <c r="F107" s="8">
        <v>115</v>
      </c>
      <c r="G107" s="8">
        <v>110</v>
      </c>
      <c r="H107" s="8">
        <v>75</v>
      </c>
      <c r="I107" s="8">
        <v>75</v>
      </c>
      <c r="J107" s="8">
        <v>75</v>
      </c>
      <c r="K107" s="8">
        <v>80</v>
      </c>
      <c r="L107" s="8">
        <v>70</v>
      </c>
      <c r="M107" s="8">
        <v>80</v>
      </c>
      <c r="N107" s="8">
        <f t="shared" si="35"/>
        <v>1250</v>
      </c>
      <c r="P107" s="8">
        <f>'Budget 2025'!N112</f>
        <v>1200</v>
      </c>
    </row>
    <row r="108" spans="1:17" s="2" customFormat="1" x14ac:dyDescent="0.35">
      <c r="A108" s="9" t="s">
        <v>43</v>
      </c>
      <c r="B108" s="11">
        <f t="shared" ref="B108:N108" si="36">IFERROR(B100/B104,0)</f>
        <v>10.459354838709677</v>
      </c>
      <c r="C108" s="11">
        <f t="shared" si="36"/>
        <v>10.435555555555556</v>
      </c>
      <c r="D108" s="11">
        <f t="shared" si="36"/>
        <v>10.791428571428572</v>
      </c>
      <c r="E108" s="11">
        <f t="shared" si="36"/>
        <v>11.566917293233082</v>
      </c>
      <c r="F108" s="11">
        <f t="shared" si="36"/>
        <v>11.043356643356644</v>
      </c>
      <c r="G108" s="11">
        <f t="shared" si="36"/>
        <v>11.101388888888888</v>
      </c>
      <c r="H108" s="11">
        <f t="shared" si="36"/>
        <v>11.322222222222219</v>
      </c>
      <c r="I108" s="11">
        <f t="shared" si="36"/>
        <v>11.689655172413794</v>
      </c>
      <c r="J108" s="11">
        <f t="shared" si="36"/>
        <v>11.102816901408451</v>
      </c>
      <c r="K108" s="11">
        <f t="shared" si="36"/>
        <v>12.063076923076922</v>
      </c>
      <c r="L108" s="11">
        <f t="shared" si="36"/>
        <v>12.22033898305085</v>
      </c>
      <c r="M108" s="11">
        <f t="shared" si="36"/>
        <v>12.651239669421489</v>
      </c>
      <c r="N108" s="11">
        <f t="shared" si="36"/>
        <v>11.333333333333334</v>
      </c>
      <c r="P108" s="11">
        <f>'Budget 2025'!N113</f>
        <v>11.36875</v>
      </c>
    </row>
    <row r="109" spans="1:17" s="2" customFormat="1" x14ac:dyDescent="0.35">
      <c r="A109" s="9" t="s">
        <v>34</v>
      </c>
      <c r="B109" s="11">
        <f t="shared" ref="B109:N109" si="37">IFERROR(B100/B110,0)</f>
        <v>11.180689655172413</v>
      </c>
      <c r="C109" s="11">
        <f t="shared" si="37"/>
        <v>10.513432835820895</v>
      </c>
      <c r="D109" s="11">
        <f t="shared" si="37"/>
        <v>10.669491525423728</v>
      </c>
      <c r="E109" s="11">
        <f t="shared" si="37"/>
        <v>10.683333333333334</v>
      </c>
      <c r="F109" s="11">
        <f t="shared" si="37"/>
        <v>11.697777777777778</v>
      </c>
      <c r="G109" s="11">
        <f t="shared" si="37"/>
        <v>10.700133868808566</v>
      </c>
      <c r="H109" s="11">
        <f t="shared" si="37"/>
        <v>11.385474860335194</v>
      </c>
      <c r="I109" s="11">
        <f t="shared" si="37"/>
        <v>12.555555555555555</v>
      </c>
      <c r="J109" s="11">
        <f t="shared" si="37"/>
        <v>11.102816901408451</v>
      </c>
      <c r="K109" s="11">
        <f t="shared" si="37"/>
        <v>11.20142857142857</v>
      </c>
      <c r="L109" s="11">
        <f t="shared" si="37"/>
        <v>10.3</v>
      </c>
      <c r="M109" s="11">
        <f t="shared" si="37"/>
        <v>11.527108433734941</v>
      </c>
      <c r="N109" s="11">
        <f t="shared" si="37"/>
        <v>11.117717003567181</v>
      </c>
      <c r="P109" s="11">
        <f>'Budget 2025'!N114</f>
        <v>11.228395061728396</v>
      </c>
    </row>
    <row r="110" spans="1:17" s="2" customFormat="1" x14ac:dyDescent="0.35">
      <c r="A110" s="9" t="s">
        <v>49</v>
      </c>
      <c r="B110" s="10">
        <f>B111+B117</f>
        <v>725</v>
      </c>
      <c r="C110" s="10">
        <f t="shared" ref="C110:N110" si="38">C111+C117</f>
        <v>670</v>
      </c>
      <c r="D110" s="10">
        <f t="shared" si="38"/>
        <v>708</v>
      </c>
      <c r="E110" s="10">
        <f t="shared" si="38"/>
        <v>720</v>
      </c>
      <c r="F110" s="10">
        <f t="shared" si="38"/>
        <v>675</v>
      </c>
      <c r="G110" s="10">
        <f t="shared" si="38"/>
        <v>747</v>
      </c>
      <c r="H110" s="10">
        <f t="shared" si="38"/>
        <v>716</v>
      </c>
      <c r="I110" s="10">
        <f t="shared" si="38"/>
        <v>675</v>
      </c>
      <c r="J110" s="10">
        <f t="shared" si="38"/>
        <v>710</v>
      </c>
      <c r="K110" s="10">
        <f t="shared" si="38"/>
        <v>700</v>
      </c>
      <c r="L110" s="10">
        <f t="shared" si="38"/>
        <v>700</v>
      </c>
      <c r="M110" s="10">
        <f t="shared" si="38"/>
        <v>664</v>
      </c>
      <c r="N110" s="10">
        <f t="shared" si="38"/>
        <v>8410</v>
      </c>
      <c r="P110" s="10">
        <f>'Budget 2025'!N115</f>
        <v>8100</v>
      </c>
    </row>
    <row r="111" spans="1:17" s="2" customFormat="1" x14ac:dyDescent="0.35">
      <c r="A111" s="9" t="s">
        <v>50</v>
      </c>
      <c r="B111" s="10">
        <v>600</v>
      </c>
      <c r="C111" s="10">
        <v>555</v>
      </c>
      <c r="D111" s="10">
        <v>525</v>
      </c>
      <c r="E111" s="10">
        <v>550</v>
      </c>
      <c r="F111" s="10">
        <v>525</v>
      </c>
      <c r="G111" s="10">
        <v>557</v>
      </c>
      <c r="H111" s="10">
        <v>496</v>
      </c>
      <c r="I111" s="10">
        <v>475</v>
      </c>
      <c r="J111" s="10">
        <v>475</v>
      </c>
      <c r="K111" s="10">
        <v>500</v>
      </c>
      <c r="L111" s="10">
        <v>450</v>
      </c>
      <c r="M111" s="10">
        <v>437</v>
      </c>
      <c r="N111" s="10">
        <f>SUM(B111:M111)</f>
        <v>6145</v>
      </c>
      <c r="P111" s="10">
        <f>'Budget 2025'!N116</f>
        <v>5560</v>
      </c>
    </row>
    <row r="112" spans="1:17" x14ac:dyDescent="0.35">
      <c r="A112" s="5" t="s">
        <v>62</v>
      </c>
      <c r="B112" s="8">
        <v>6280.5639258707733</v>
      </c>
      <c r="C112" s="8">
        <v>6252.5209449662016</v>
      </c>
      <c r="D112" s="8">
        <v>6243.3113304552353</v>
      </c>
      <c r="E112" s="8">
        <v>6307.1116499014934</v>
      </c>
      <c r="F112" s="8">
        <v>6286.320470585174</v>
      </c>
      <c r="G112" s="8">
        <v>6280.575365955041</v>
      </c>
      <c r="H112" s="8">
        <v>6227.8661226093636</v>
      </c>
      <c r="I112" s="8">
        <v>6300.8924124671657</v>
      </c>
      <c r="J112" s="8">
        <v>6288.6627439250651</v>
      </c>
      <c r="K112" s="8">
        <v>6203.268833842174</v>
      </c>
      <c r="L112" s="8">
        <v>6216.2188489976097</v>
      </c>
      <c r="M112" s="8">
        <v>6209.7275495232852</v>
      </c>
      <c r="N112" s="8">
        <f>SUMPRODUCT(B112:M112,$B$111:$M$111)/SUM($B$111:$M$111)</f>
        <v>6259.6224891814381</v>
      </c>
      <c r="P112" s="8">
        <f>'Budget 2025'!N117</f>
        <v>5915.2264206877153</v>
      </c>
    </row>
    <row r="113" spans="1:17" x14ac:dyDescent="0.35">
      <c r="A113" s="5" t="s">
        <v>22</v>
      </c>
      <c r="B113" s="7">
        <v>0.56470909960042448</v>
      </c>
      <c r="C113" s="7">
        <v>0.55668013750489698</v>
      </c>
      <c r="D113" s="7">
        <v>0.55668584725896064</v>
      </c>
      <c r="E113" s="7">
        <v>0.54717053853854114</v>
      </c>
      <c r="F113" s="7">
        <v>0.52439432826124699</v>
      </c>
      <c r="G113" s="7">
        <v>0.51917582725195155</v>
      </c>
      <c r="H113" s="7">
        <v>0.52249650147958282</v>
      </c>
      <c r="I113" s="7">
        <v>0.51774101054531618</v>
      </c>
      <c r="J113" s="7">
        <v>0.52690205028145631</v>
      </c>
      <c r="K113" s="7">
        <v>0.49840500025710133</v>
      </c>
      <c r="L113" s="7">
        <v>0.52295587255406417</v>
      </c>
      <c r="M113" s="7">
        <v>0.50040880148417921</v>
      </c>
      <c r="N113" s="7">
        <f t="shared" ref="N113:N116" si="39">SUMPRODUCT(B113:M113,$B$111:$M$111)/SUM($B$111:$M$111)</f>
        <v>0.53117164651784732</v>
      </c>
      <c r="P113" s="7">
        <f>'Budget 2025'!N118</f>
        <v>0.57720242104926189</v>
      </c>
    </row>
    <row r="114" spans="1:17" x14ac:dyDescent="0.35">
      <c r="A114" s="5" t="s">
        <v>23</v>
      </c>
      <c r="B114" s="7">
        <v>4.3366044866718223</v>
      </c>
      <c r="C114" s="7">
        <v>4.2266053639473835</v>
      </c>
      <c r="D114" s="7">
        <v>4.270877115910193</v>
      </c>
      <c r="E114" s="7">
        <v>4.0494034477271237</v>
      </c>
      <c r="F114" s="7">
        <v>3.9386244255765148</v>
      </c>
      <c r="G114" s="7">
        <v>3.9237253546989335</v>
      </c>
      <c r="H114" s="7">
        <v>3.9034838211859615</v>
      </c>
      <c r="I114" s="7">
        <v>3.9664684899385532</v>
      </c>
      <c r="J114" s="7">
        <v>3.9002861479596929</v>
      </c>
      <c r="K114" s="7">
        <v>3.8293038738989487</v>
      </c>
      <c r="L114" s="7">
        <v>3.8365027992248084</v>
      </c>
      <c r="M114" s="7">
        <v>3.8300911040310046</v>
      </c>
      <c r="N114" s="7">
        <f>(SUMPRODUCT(B114:M114,$B$111:$M$111)/SUM($B$111:$M$111))</f>
        <v>4.0127043668777418</v>
      </c>
      <c r="P114" s="7">
        <f>'Budget 2025'!N119</f>
        <v>4.8848465793008069</v>
      </c>
    </row>
    <row r="115" spans="1:17" x14ac:dyDescent="0.35">
      <c r="A115" s="5" t="s">
        <v>38</v>
      </c>
      <c r="B115" s="7">
        <v>10.198743978869537</v>
      </c>
      <c r="C115" s="7">
        <v>10.500127999067407</v>
      </c>
      <c r="D115" s="7">
        <v>10.568633104806977</v>
      </c>
      <c r="E115" s="7">
        <v>10.302526796809302</v>
      </c>
      <c r="F115" s="7">
        <v>10.493195864746763</v>
      </c>
      <c r="G115" s="7">
        <v>10.539021687390765</v>
      </c>
      <c r="H115" s="7">
        <v>10.875039768203298</v>
      </c>
      <c r="I115" s="7">
        <v>10.398035061040366</v>
      </c>
      <c r="J115" s="7">
        <v>10.477870296492009</v>
      </c>
      <c r="K115" s="7">
        <v>11.103380495741433</v>
      </c>
      <c r="L115" s="7">
        <v>11.028392676127968</v>
      </c>
      <c r="M115" s="7">
        <v>11.065829480380927</v>
      </c>
      <c r="N115" s="7">
        <f t="shared" si="39"/>
        <v>10.610449415598552</v>
      </c>
      <c r="P115" s="7">
        <f>'Budget 2025'!N120</f>
        <v>11.469446555956317</v>
      </c>
    </row>
    <row r="116" spans="1:17" x14ac:dyDescent="0.35">
      <c r="A116" s="5" t="s">
        <v>25</v>
      </c>
      <c r="B116" s="7">
        <v>14.037435638170328</v>
      </c>
      <c r="C116" s="7">
        <v>14.309499149626227</v>
      </c>
      <c r="D116" s="7">
        <v>14.358717885817811</v>
      </c>
      <c r="E116" s="7">
        <v>14.035331329089148</v>
      </c>
      <c r="F116" s="7">
        <v>14.239081061970634</v>
      </c>
      <c r="G116" s="7">
        <v>14.288785559087417</v>
      </c>
      <c r="H116" s="7">
        <v>14.678457491697626</v>
      </c>
      <c r="I116" s="7">
        <v>14.147232494453617</v>
      </c>
      <c r="J116" s="7">
        <v>14.240206380772754</v>
      </c>
      <c r="K116" s="7">
        <v>14.931414071160797</v>
      </c>
      <c r="L116" s="7">
        <v>14.841492927324319</v>
      </c>
      <c r="M116" s="7">
        <v>14.890938937186972</v>
      </c>
      <c r="N116" s="7">
        <f t="shared" si="39"/>
        <v>14.397498974123028</v>
      </c>
      <c r="P116" s="7">
        <f>'Budget 2025'!N121</f>
        <v>15.241913451679135</v>
      </c>
    </row>
    <row r="117" spans="1:17" s="2" customFormat="1" x14ac:dyDescent="0.35">
      <c r="A117" s="9" t="s">
        <v>73</v>
      </c>
      <c r="B117" s="10">
        <v>125</v>
      </c>
      <c r="C117" s="10">
        <v>115</v>
      </c>
      <c r="D117" s="10">
        <v>183</v>
      </c>
      <c r="E117" s="10">
        <v>170</v>
      </c>
      <c r="F117" s="10">
        <v>150</v>
      </c>
      <c r="G117" s="10">
        <v>190</v>
      </c>
      <c r="H117" s="10">
        <v>220</v>
      </c>
      <c r="I117" s="10">
        <v>200</v>
      </c>
      <c r="J117" s="10">
        <v>235</v>
      </c>
      <c r="K117" s="10">
        <v>200</v>
      </c>
      <c r="L117" s="10">
        <v>250</v>
      </c>
      <c r="M117" s="10">
        <v>227</v>
      </c>
      <c r="N117" s="10">
        <f>SUM(B117:M117)</f>
        <v>2265</v>
      </c>
      <c r="P117" s="10">
        <f>'Budget 2025'!N122</f>
        <v>2540</v>
      </c>
    </row>
    <row r="118" spans="1:17" x14ac:dyDescent="0.35">
      <c r="A118" s="5" t="s">
        <v>62</v>
      </c>
      <c r="B118" s="8">
        <v>6058.5867795537588</v>
      </c>
      <c r="C118" s="8">
        <v>6047.2677329764447</v>
      </c>
      <c r="D118" s="8">
        <v>6100.9569924865418</v>
      </c>
      <c r="E118" s="8">
        <v>6145.8376813348095</v>
      </c>
      <c r="F118" s="8">
        <v>6178.293839954832</v>
      </c>
      <c r="G118" s="8">
        <v>6144.6558362548849</v>
      </c>
      <c r="H118" s="8">
        <v>6173.6557964518188</v>
      </c>
      <c r="I118" s="8">
        <v>6153.3994394142692</v>
      </c>
      <c r="J118" s="8">
        <v>6154.0234197157188</v>
      </c>
      <c r="K118" s="8">
        <v>6178.4593638232564</v>
      </c>
      <c r="L118" s="8">
        <v>6201.2343577470156</v>
      </c>
      <c r="M118" s="8">
        <v>6192.243582832557</v>
      </c>
      <c r="N118" s="8">
        <f>SUMPRODUCT(B118:M118,$B$117:$M$117)/SUM($B$117:$M$117)</f>
        <v>6152.306745832213</v>
      </c>
      <c r="P118" s="8">
        <f>'Budget 2025'!N123</f>
        <v>5792.8232136227871</v>
      </c>
    </row>
    <row r="119" spans="1:17" x14ac:dyDescent="0.35">
      <c r="A119" s="5" t="s">
        <v>22</v>
      </c>
      <c r="B119" s="7">
        <v>2.0346398096494878</v>
      </c>
      <c r="C119" s="7">
        <v>2.0348301421717121</v>
      </c>
      <c r="D119" s="7">
        <v>1.8115285921931794</v>
      </c>
      <c r="E119" s="7">
        <v>1.7529717071154969</v>
      </c>
      <c r="F119" s="7">
        <v>1.7549367212259399</v>
      </c>
      <c r="G119" s="7">
        <v>1.6815766500811715</v>
      </c>
      <c r="H119" s="7">
        <v>1.539332386768784</v>
      </c>
      <c r="I119" s="7">
        <v>1.6659169562316773</v>
      </c>
      <c r="J119" s="7">
        <v>1.6443406713015516</v>
      </c>
      <c r="K119" s="7">
        <v>1.6268729025754429</v>
      </c>
      <c r="L119" s="7">
        <v>1.5081926082940349</v>
      </c>
      <c r="M119" s="7">
        <v>1.5298900285962425</v>
      </c>
      <c r="N119" s="7">
        <f t="shared" ref="N119:N122" si="40">SUMPRODUCT(B119:M119,$B$117:$M$117)/SUM($B$117:$M$117)</f>
        <v>1.681481139076163</v>
      </c>
      <c r="P119" s="7">
        <f>'Budget 2025'!N124</f>
        <v>1.7606128453673298</v>
      </c>
    </row>
    <row r="120" spans="1:17" x14ac:dyDescent="0.35">
      <c r="A120" s="5" t="s">
        <v>23</v>
      </c>
      <c r="B120" s="7">
        <v>5.0116493886981672</v>
      </c>
      <c r="C120" s="7">
        <v>5.2597198625647987</v>
      </c>
      <c r="D120" s="7">
        <v>4.1282597332122357</v>
      </c>
      <c r="E120" s="7">
        <v>4.217937543276328</v>
      </c>
      <c r="F120" s="7">
        <v>4.316627015975345</v>
      </c>
      <c r="G120" s="7">
        <v>4.2131344399436639</v>
      </c>
      <c r="H120" s="7">
        <v>4.0309079002760599</v>
      </c>
      <c r="I120" s="7">
        <v>4.3306695244713316</v>
      </c>
      <c r="J120" s="7">
        <v>4.2956592508534328</v>
      </c>
      <c r="K120" s="7">
        <v>4.3373478395311764</v>
      </c>
      <c r="L120" s="7">
        <v>4.180751924511263</v>
      </c>
      <c r="M120" s="7">
        <v>4.2106071711834865</v>
      </c>
      <c r="N120" s="7">
        <f>(SUMPRODUCT(B120:M120,$B$117:$M$117)/SUM($B$117:$M$117))</f>
        <v>4.3190787686979659</v>
      </c>
      <c r="P120" s="7">
        <f>'Budget 2025'!N125</f>
        <v>5.7572096518405811</v>
      </c>
    </row>
    <row r="121" spans="1:17" x14ac:dyDescent="0.35">
      <c r="A121" s="5" t="s">
        <v>38</v>
      </c>
      <c r="B121" s="7">
        <v>11.044915479294424</v>
      </c>
      <c r="C121" s="7">
        <v>10.969659891034294</v>
      </c>
      <c r="D121" s="7">
        <v>10.864387326570256</v>
      </c>
      <c r="E121" s="7">
        <v>10.669188496015133</v>
      </c>
      <c r="F121" s="7">
        <v>10.626972239801209</v>
      </c>
      <c r="G121" s="7">
        <v>10.472962226418749</v>
      </c>
      <c r="H121" s="7">
        <v>10.594397772432478</v>
      </c>
      <c r="I121" s="7">
        <v>10.360152623648061</v>
      </c>
      <c r="J121" s="7">
        <v>10.398714884852577</v>
      </c>
      <c r="K121" s="7">
        <v>10.641103252811819</v>
      </c>
      <c r="L121" s="7">
        <v>11.158485039809603</v>
      </c>
      <c r="M121" s="7">
        <v>11.209544734828492</v>
      </c>
      <c r="N121" s="7">
        <f t="shared" si="40"/>
        <v>10.744760929086697</v>
      </c>
      <c r="P121" s="7">
        <f>'Budget 2025'!N126</f>
        <v>10.736864071482877</v>
      </c>
    </row>
    <row r="122" spans="1:17" x14ac:dyDescent="0.35">
      <c r="A122" s="5" t="s">
        <v>25</v>
      </c>
      <c r="B122" s="7">
        <v>14.90974942438277</v>
      </c>
      <c r="C122" s="7">
        <v>14.84734018738785</v>
      </c>
      <c r="D122" s="7">
        <v>14.934355410939485</v>
      </c>
      <c r="E122" s="7">
        <v>14.664548645077081</v>
      </c>
      <c r="F122" s="7">
        <v>14.501645658787249</v>
      </c>
      <c r="G122" s="7">
        <v>14.593262693041773</v>
      </c>
      <c r="H122" s="7">
        <v>14.562650311483569</v>
      </c>
      <c r="I122" s="7">
        <v>14.410845698581639</v>
      </c>
      <c r="J122" s="7">
        <v>14.439307148714073</v>
      </c>
      <c r="K122" s="7">
        <v>14.446672852262644</v>
      </c>
      <c r="L122" s="7">
        <v>14.680910574198689</v>
      </c>
      <c r="M122" s="7">
        <v>14.725773774797409</v>
      </c>
      <c r="N122" s="7">
        <f t="shared" si="40"/>
        <v>14.625426984119304</v>
      </c>
      <c r="P122" s="7">
        <f>'Budget 2025'!N127</f>
        <v>14.551758700752847</v>
      </c>
    </row>
    <row r="124" spans="1:17" x14ac:dyDescent="0.35">
      <c r="A124" s="6" t="s">
        <v>44</v>
      </c>
      <c r="B124" s="6" t="s">
        <v>1</v>
      </c>
      <c r="C124" s="6" t="s">
        <v>2</v>
      </c>
      <c r="D124" s="6" t="s">
        <v>3</v>
      </c>
      <c r="E124" s="6" t="s">
        <v>4</v>
      </c>
      <c r="F124" s="6" t="s">
        <v>5</v>
      </c>
      <c r="G124" s="6" t="s">
        <v>6</v>
      </c>
      <c r="H124" s="6" t="s">
        <v>7</v>
      </c>
      <c r="I124" s="6" t="s">
        <v>8</v>
      </c>
      <c r="J124" s="6" t="s">
        <v>9</v>
      </c>
      <c r="K124" s="6" t="s">
        <v>10</v>
      </c>
      <c r="L124" s="6" t="s">
        <v>11</v>
      </c>
      <c r="M124" s="6" t="s">
        <v>12</v>
      </c>
      <c r="N124" s="6" t="s">
        <v>13</v>
      </c>
      <c r="O124" s="4"/>
      <c r="P124" s="6" t="s">
        <v>89</v>
      </c>
    </row>
    <row r="125" spans="1:17" s="2" customFormat="1" x14ac:dyDescent="0.35">
      <c r="A125" s="9" t="s">
        <v>14</v>
      </c>
      <c r="B125" s="10">
        <f t="shared" ref="B125:N125" si="41">SUM(B126:B126)</f>
        <v>0</v>
      </c>
      <c r="C125" s="10">
        <f t="shared" si="41"/>
        <v>0</v>
      </c>
      <c r="D125" s="10">
        <f t="shared" si="41"/>
        <v>0</v>
      </c>
      <c r="E125" s="10">
        <f t="shared" si="41"/>
        <v>103.00700003222835</v>
      </c>
      <c r="F125" s="10">
        <f t="shared" si="41"/>
        <v>93.069999998767926</v>
      </c>
      <c r="G125" s="10">
        <f t="shared" si="41"/>
        <v>98.05900000904235</v>
      </c>
      <c r="H125" s="10">
        <f t="shared" si="41"/>
        <v>280.62450003328621</v>
      </c>
      <c r="I125" s="10">
        <f t="shared" si="41"/>
        <v>579.37850009221097</v>
      </c>
      <c r="J125" s="10">
        <f t="shared" si="41"/>
        <v>448.88900009712</v>
      </c>
      <c r="K125" s="10">
        <f t="shared" si="41"/>
        <v>536.382999964639</v>
      </c>
      <c r="L125" s="10">
        <f t="shared" si="41"/>
        <v>575.345000118852</v>
      </c>
      <c r="M125" s="10">
        <f t="shared" si="41"/>
        <v>590.09399996139598</v>
      </c>
      <c r="N125" s="10">
        <f t="shared" si="41"/>
        <v>3304.8500003075433</v>
      </c>
      <c r="P125" s="10">
        <f>'Budget 2025'!N130</f>
        <v>5038.6080002984163</v>
      </c>
      <c r="Q125" s="28">
        <f>N125/P125</f>
        <v>0.65590536118543263</v>
      </c>
    </row>
    <row r="126" spans="1:17" x14ac:dyDescent="0.35">
      <c r="A126" s="5" t="s">
        <v>71</v>
      </c>
      <c r="B126" s="8">
        <v>0</v>
      </c>
      <c r="C126" s="8">
        <v>0</v>
      </c>
      <c r="D126" s="8">
        <v>0</v>
      </c>
      <c r="E126" s="8">
        <v>103.00700003222835</v>
      </c>
      <c r="F126" s="8">
        <v>93.069999998767926</v>
      </c>
      <c r="G126" s="8">
        <v>98.05900000904235</v>
      </c>
      <c r="H126" s="8">
        <v>280.62450003328621</v>
      </c>
      <c r="I126" s="8">
        <v>579.37850009221097</v>
      </c>
      <c r="J126" s="8">
        <v>448.88900009712</v>
      </c>
      <c r="K126" s="8">
        <v>536.382999964639</v>
      </c>
      <c r="L126" s="8">
        <v>575.345000118852</v>
      </c>
      <c r="M126" s="8">
        <v>590.09399996139598</v>
      </c>
      <c r="N126" s="8">
        <f t="shared" ref="N126:N128" si="42">SUM(B126:M126)</f>
        <v>3304.8500003075433</v>
      </c>
      <c r="P126" s="8">
        <f>'Budget 2025'!N131</f>
        <v>5038.6080002984163</v>
      </c>
    </row>
    <row r="127" spans="1:17" s="2" customFormat="1" x14ac:dyDescent="0.35">
      <c r="A127" s="9" t="s">
        <v>17</v>
      </c>
      <c r="B127" s="10">
        <f t="shared" ref="B127:M127" si="43">SUM(B128:B128)</f>
        <v>0</v>
      </c>
      <c r="C127" s="10">
        <f t="shared" si="43"/>
        <v>0</v>
      </c>
      <c r="D127" s="10">
        <f t="shared" si="43"/>
        <v>0</v>
      </c>
      <c r="E127" s="10">
        <f t="shared" si="43"/>
        <v>0</v>
      </c>
      <c r="F127" s="10">
        <f t="shared" si="43"/>
        <v>0</v>
      </c>
      <c r="G127" s="10">
        <f t="shared" si="43"/>
        <v>0</v>
      </c>
      <c r="H127" s="10">
        <f t="shared" si="43"/>
        <v>0</v>
      </c>
      <c r="I127" s="10">
        <f t="shared" si="43"/>
        <v>20</v>
      </c>
      <c r="J127" s="10">
        <f t="shared" si="43"/>
        <v>37</v>
      </c>
      <c r="K127" s="10">
        <f t="shared" si="43"/>
        <v>51</v>
      </c>
      <c r="L127" s="10">
        <f t="shared" si="43"/>
        <v>60</v>
      </c>
      <c r="M127" s="10">
        <f t="shared" si="43"/>
        <v>70</v>
      </c>
      <c r="N127" s="10">
        <f t="shared" si="42"/>
        <v>238</v>
      </c>
      <c r="P127" s="10">
        <f>'Budget 2025'!N132</f>
        <v>448</v>
      </c>
      <c r="Q127" s="28">
        <f>N127/P127</f>
        <v>0.53125</v>
      </c>
    </row>
    <row r="128" spans="1:17" x14ac:dyDescent="0.35">
      <c r="A128" s="5" t="s">
        <v>71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20</v>
      </c>
      <c r="J128" s="8">
        <v>37</v>
      </c>
      <c r="K128" s="8">
        <v>51</v>
      </c>
      <c r="L128" s="8">
        <v>60</v>
      </c>
      <c r="M128" s="8">
        <v>70</v>
      </c>
      <c r="N128" s="8">
        <f t="shared" si="42"/>
        <v>238</v>
      </c>
      <c r="P128" s="8">
        <f>'Budget 2025'!N133</f>
        <v>448</v>
      </c>
    </row>
    <row r="129" spans="1:17" s="2" customFormat="1" x14ac:dyDescent="0.35">
      <c r="A129" s="9" t="s">
        <v>43</v>
      </c>
      <c r="B129" s="11">
        <f t="shared" ref="B129:M129" si="44">IFERROR(B125/B127,0)</f>
        <v>0</v>
      </c>
      <c r="C129" s="11">
        <f t="shared" si="44"/>
        <v>0</v>
      </c>
      <c r="D129" s="11">
        <f t="shared" si="44"/>
        <v>0</v>
      </c>
      <c r="E129" s="11">
        <f t="shared" si="44"/>
        <v>0</v>
      </c>
      <c r="F129" s="11">
        <f t="shared" si="44"/>
        <v>0</v>
      </c>
      <c r="G129" s="11">
        <f t="shared" si="44"/>
        <v>0</v>
      </c>
      <c r="H129" s="11">
        <f t="shared" si="44"/>
        <v>0</v>
      </c>
      <c r="I129" s="11">
        <f t="shared" si="44"/>
        <v>28.968925004610547</v>
      </c>
      <c r="J129" s="11">
        <f t="shared" si="44"/>
        <v>12.132135137760001</v>
      </c>
      <c r="K129" s="11">
        <f t="shared" si="44"/>
        <v>10.517313724796843</v>
      </c>
      <c r="L129" s="11">
        <f t="shared" si="44"/>
        <v>9.5890833353142</v>
      </c>
      <c r="M129" s="11">
        <f t="shared" si="44"/>
        <v>8.4299142851628002</v>
      </c>
      <c r="N129" s="11">
        <f>N125/N127</f>
        <v>13.885924371040097</v>
      </c>
      <c r="P129" s="11">
        <f>'Budget 2025'!N134</f>
        <v>11.246892857808964</v>
      </c>
    </row>
    <row r="130" spans="1:17" s="2" customFormat="1" x14ac:dyDescent="0.35">
      <c r="A130" s="9" t="s">
        <v>34</v>
      </c>
      <c r="B130" s="11">
        <f t="shared" ref="B130:M130" si="45">IFERROR(B125/B132,0)</f>
        <v>0</v>
      </c>
      <c r="C130" s="11">
        <f t="shared" si="45"/>
        <v>0</v>
      </c>
      <c r="D130" s="11">
        <f t="shared" si="45"/>
        <v>0</v>
      </c>
      <c r="E130" s="11">
        <f t="shared" si="45"/>
        <v>0</v>
      </c>
      <c r="F130" s="11">
        <f t="shared" si="45"/>
        <v>0</v>
      </c>
      <c r="G130" s="11">
        <f t="shared" si="45"/>
        <v>0</v>
      </c>
      <c r="H130" s="11">
        <f t="shared" si="45"/>
        <v>0</v>
      </c>
      <c r="I130" s="11">
        <f t="shared" si="45"/>
        <v>32.187694449567275</v>
      </c>
      <c r="J130" s="11">
        <f t="shared" si="45"/>
        <v>12.825400002774858</v>
      </c>
      <c r="K130" s="11">
        <f t="shared" si="45"/>
        <v>10.727659999292779</v>
      </c>
      <c r="L130" s="11">
        <f t="shared" si="45"/>
        <v>9.5890833353142</v>
      </c>
      <c r="M130" s="11">
        <f t="shared" si="45"/>
        <v>9.8348999993565993</v>
      </c>
      <c r="N130" s="11">
        <f>N125/N132</f>
        <v>14.81995515832979</v>
      </c>
      <c r="P130" s="11">
        <f>'Budget 2025'!N135</f>
        <v>11.63650808383006</v>
      </c>
    </row>
    <row r="131" spans="1:17" s="2" customFormat="1" x14ac:dyDescent="0.35">
      <c r="A131" s="9" t="s">
        <v>46</v>
      </c>
      <c r="B131" s="10">
        <v>0</v>
      </c>
      <c r="C131" s="10">
        <v>0</v>
      </c>
      <c r="D131" s="10">
        <v>7.3</v>
      </c>
      <c r="E131" s="10">
        <v>7.3</v>
      </c>
      <c r="F131" s="10">
        <v>14.6</v>
      </c>
      <c r="G131" s="10">
        <v>14.6</v>
      </c>
      <c r="H131" s="10">
        <v>7.3</v>
      </c>
      <c r="I131" s="10">
        <v>14.6</v>
      </c>
      <c r="J131" s="10">
        <v>29.2</v>
      </c>
      <c r="K131" s="10">
        <v>43.8</v>
      </c>
      <c r="L131" s="10">
        <v>43.8</v>
      </c>
      <c r="M131" s="10">
        <v>58.4</v>
      </c>
      <c r="N131" s="10">
        <f>SUM(B131:M131)</f>
        <v>240.9</v>
      </c>
      <c r="P131" s="10">
        <f>'Budget 2025'!N136</f>
        <v>430.7</v>
      </c>
    </row>
    <row r="132" spans="1:17" s="2" customFormat="1" x14ac:dyDescent="0.35">
      <c r="A132" s="9" t="s">
        <v>52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18</v>
      </c>
      <c r="J132" s="10">
        <v>35</v>
      </c>
      <c r="K132" s="10">
        <v>50</v>
      </c>
      <c r="L132" s="10">
        <v>60</v>
      </c>
      <c r="M132" s="10">
        <v>60</v>
      </c>
      <c r="N132" s="10">
        <f>SUM(B132:M132)</f>
        <v>223</v>
      </c>
      <c r="P132" s="10">
        <f>'Budget 2025'!N137</f>
        <v>433</v>
      </c>
    </row>
    <row r="133" spans="1:17" x14ac:dyDescent="0.35">
      <c r="A133" s="5" t="s">
        <v>62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4442.3524630978109</v>
      </c>
      <c r="J133" s="8">
        <v>4414.0197341055573</v>
      </c>
      <c r="K133" s="8">
        <v>4416.3842473113355</v>
      </c>
      <c r="L133" s="8">
        <v>4432.5862004850405</v>
      </c>
      <c r="M133" s="8">
        <v>4408.9259713034116</v>
      </c>
      <c r="N133" s="8">
        <f>SUMPRODUCT(B133:M133,$B$132:$M$132)/SUM($B$132:$M$132)</f>
        <v>4420.4617834185156</v>
      </c>
      <c r="P133" s="8">
        <f>'Budget 2025'!N138</f>
        <v>4423.7945910311291</v>
      </c>
    </row>
    <row r="134" spans="1:17" x14ac:dyDescent="0.35">
      <c r="A134" s="5" t="s">
        <v>22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0.38873573353044444</v>
      </c>
      <c r="J134" s="7">
        <v>0.35403485131504908</v>
      </c>
      <c r="K134" s="7">
        <v>0.38863711531936274</v>
      </c>
      <c r="L134" s="7">
        <v>0.37485738989539719</v>
      </c>
      <c r="M134" s="7">
        <v>0.36433237274630631</v>
      </c>
      <c r="N134" s="15">
        <f t="shared" ref="N134:N137" si="46">SUMPRODUCT(B134:M134,$B$132:$M$132)/SUM($B$132:$M$132)</f>
        <v>0.37296728486118857</v>
      </c>
      <c r="P134" s="7">
        <f>'Budget 2025'!N139</f>
        <v>0.36898824350858472</v>
      </c>
    </row>
    <row r="135" spans="1:17" x14ac:dyDescent="0.35">
      <c r="A135" s="5" t="s">
        <v>23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4.3469189899646095</v>
      </c>
      <c r="J135" s="7">
        <v>4.2775242942804486</v>
      </c>
      <c r="K135" s="7">
        <v>4.5771833228759133</v>
      </c>
      <c r="L135" s="7">
        <v>4.410710810024324</v>
      </c>
      <c r="M135" s="7">
        <v>4.3137913551427269</v>
      </c>
      <c r="N135" s="15">
        <f t="shared" si="46"/>
        <v>4.3959066734215133</v>
      </c>
      <c r="P135" s="7">
        <f>'Budget 2025'!N140</f>
        <v>4.4323109091173567</v>
      </c>
    </row>
    <row r="136" spans="1:17" x14ac:dyDescent="0.35">
      <c r="A136" s="5" t="s">
        <v>38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17.434023703251668</v>
      </c>
      <c r="J136" s="7">
        <v>17.203780063089837</v>
      </c>
      <c r="K136" s="7">
        <v>17.033950729465953</v>
      </c>
      <c r="L136" s="7">
        <v>16.871627410791572</v>
      </c>
      <c r="M136" s="7">
        <v>16.977285235598046</v>
      </c>
      <c r="N136" s="15">
        <f t="shared" si="46"/>
        <v>17.033977686651788</v>
      </c>
      <c r="P136" s="7">
        <f>'Budget 2025'!N141</f>
        <v>16.92589236972162</v>
      </c>
    </row>
    <row r="137" spans="1:17" x14ac:dyDescent="0.35">
      <c r="A137" s="5" t="s">
        <v>25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30.186701266561656</v>
      </c>
      <c r="J137" s="7">
        <v>30.265561275012825</v>
      </c>
      <c r="K137" s="7">
        <v>30.334870236874433</v>
      </c>
      <c r="L137" s="7">
        <v>30.21975773859311</v>
      </c>
      <c r="M137" s="7">
        <v>30.233061449365842</v>
      </c>
      <c r="N137" s="15">
        <f t="shared" si="46"/>
        <v>30.253667849976761</v>
      </c>
      <c r="P137" s="7">
        <f>'Budget 2025'!N142</f>
        <v>30.236602375317773</v>
      </c>
    </row>
    <row r="139" spans="1:17" x14ac:dyDescent="0.35">
      <c r="A139" s="6" t="s">
        <v>54</v>
      </c>
      <c r="B139" s="6" t="s">
        <v>1</v>
      </c>
      <c r="C139" s="6" t="s">
        <v>2</v>
      </c>
      <c r="D139" s="6" t="s">
        <v>3</v>
      </c>
      <c r="E139" s="6" t="s">
        <v>4</v>
      </c>
      <c r="F139" s="6" t="s">
        <v>5</v>
      </c>
      <c r="G139" s="6" t="s">
        <v>6</v>
      </c>
      <c r="H139" s="6" t="s">
        <v>7</v>
      </c>
      <c r="I139" s="6" t="s">
        <v>8</v>
      </c>
      <c r="J139" s="6" t="s">
        <v>9</v>
      </c>
      <c r="K139" s="6" t="s">
        <v>10</v>
      </c>
      <c r="L139" s="6" t="s">
        <v>11</v>
      </c>
      <c r="M139" s="6" t="s">
        <v>12</v>
      </c>
      <c r="N139" s="6" t="s">
        <v>13</v>
      </c>
      <c r="O139" s="4"/>
      <c r="P139" s="6" t="s">
        <v>89</v>
      </c>
    </row>
    <row r="140" spans="1:17" x14ac:dyDescent="0.35">
      <c r="A140" s="9" t="s">
        <v>14</v>
      </c>
      <c r="B140" s="10">
        <f>B141</f>
        <v>575</v>
      </c>
      <c r="C140" s="10">
        <f t="shared" ref="C140:M140" si="47">C141</f>
        <v>605</v>
      </c>
      <c r="D140" s="10">
        <f t="shared" si="47"/>
        <v>640</v>
      </c>
      <c r="E140" s="10">
        <f t="shared" si="47"/>
        <v>620</v>
      </c>
      <c r="F140" s="10">
        <f t="shared" si="47"/>
        <v>700</v>
      </c>
      <c r="G140" s="10">
        <f t="shared" si="47"/>
        <v>685</v>
      </c>
      <c r="H140" s="10">
        <f t="shared" si="47"/>
        <v>745</v>
      </c>
      <c r="I140" s="10">
        <f t="shared" si="47"/>
        <v>790</v>
      </c>
      <c r="J140" s="10">
        <f t="shared" si="47"/>
        <v>785</v>
      </c>
      <c r="K140" s="10">
        <f t="shared" si="47"/>
        <v>880</v>
      </c>
      <c r="L140" s="10">
        <f t="shared" si="47"/>
        <v>705</v>
      </c>
      <c r="M140" s="10">
        <f t="shared" si="47"/>
        <v>770</v>
      </c>
      <c r="N140" s="10">
        <f>SUM(B140:M140)</f>
        <v>8500</v>
      </c>
      <c r="O140" s="2"/>
      <c r="P140" s="10">
        <f>'Budget 2025'!N145</f>
        <v>8500</v>
      </c>
      <c r="Q140" s="28">
        <f>N140/P140</f>
        <v>1</v>
      </c>
    </row>
    <row r="141" spans="1:17" x14ac:dyDescent="0.35">
      <c r="A141" s="5" t="s">
        <v>75</v>
      </c>
      <c r="B141" s="8">
        <v>575</v>
      </c>
      <c r="C141" s="8">
        <v>605</v>
      </c>
      <c r="D141" s="8">
        <v>640</v>
      </c>
      <c r="E141" s="8">
        <v>620</v>
      </c>
      <c r="F141" s="8">
        <v>700</v>
      </c>
      <c r="G141" s="8">
        <v>685</v>
      </c>
      <c r="H141" s="8">
        <v>745</v>
      </c>
      <c r="I141" s="8">
        <v>790</v>
      </c>
      <c r="J141" s="8">
        <v>785</v>
      </c>
      <c r="K141" s="8">
        <v>880</v>
      </c>
      <c r="L141" s="8">
        <v>705</v>
      </c>
      <c r="M141" s="8">
        <v>770</v>
      </c>
      <c r="N141" s="8">
        <f>SUM(B141:M141)</f>
        <v>8500</v>
      </c>
      <c r="P141" s="8">
        <f>'Budget 2025'!N146</f>
        <v>8500</v>
      </c>
    </row>
    <row r="142" spans="1:17" x14ac:dyDescent="0.35">
      <c r="A142" s="9" t="s">
        <v>17</v>
      </c>
      <c r="B142" s="10">
        <f t="shared" ref="B142:N142" si="48">SUM(B143:B145)</f>
        <v>200</v>
      </c>
      <c r="C142" s="10">
        <f t="shared" si="48"/>
        <v>195</v>
      </c>
      <c r="D142" s="10">
        <f t="shared" si="48"/>
        <v>215</v>
      </c>
      <c r="E142" s="10">
        <f t="shared" si="48"/>
        <v>200</v>
      </c>
      <c r="F142" s="10">
        <f t="shared" si="48"/>
        <v>190</v>
      </c>
      <c r="G142" s="10">
        <f t="shared" si="48"/>
        <v>175</v>
      </c>
      <c r="H142" s="10">
        <f t="shared" si="48"/>
        <v>130</v>
      </c>
      <c r="I142" s="10">
        <f t="shared" si="48"/>
        <v>150</v>
      </c>
      <c r="J142" s="10">
        <f t="shared" si="48"/>
        <v>145</v>
      </c>
      <c r="K142" s="10">
        <f t="shared" si="48"/>
        <v>149.99999999999969</v>
      </c>
      <c r="L142" s="10">
        <f t="shared" si="48"/>
        <v>170</v>
      </c>
      <c r="M142" s="10">
        <f t="shared" si="48"/>
        <v>180.00000000000011</v>
      </c>
      <c r="N142" s="10">
        <f t="shared" si="48"/>
        <v>2100</v>
      </c>
      <c r="O142" s="2"/>
      <c r="P142" s="10">
        <f>'Budget 2025'!N147</f>
        <v>2100</v>
      </c>
      <c r="Q142" s="28">
        <f>N142/P142</f>
        <v>1</v>
      </c>
    </row>
    <row r="143" spans="1:17" x14ac:dyDescent="0.35">
      <c r="A143" s="5" t="s">
        <v>75</v>
      </c>
      <c r="B143" s="8">
        <v>152</v>
      </c>
      <c r="C143" s="8">
        <v>142</v>
      </c>
      <c r="D143" s="8">
        <v>152</v>
      </c>
      <c r="E143" s="8">
        <v>140</v>
      </c>
      <c r="F143" s="8">
        <v>121</v>
      </c>
      <c r="G143" s="8">
        <v>126</v>
      </c>
      <c r="H143" s="8">
        <v>101.5625</v>
      </c>
      <c r="I143" s="8">
        <v>116.25</v>
      </c>
      <c r="J143" s="8">
        <v>114.1875</v>
      </c>
      <c r="K143" s="8">
        <v>104.28571428571399</v>
      </c>
      <c r="L143" s="8">
        <v>110.74285714285715</v>
      </c>
      <c r="M143" s="8">
        <v>115.90909090909101</v>
      </c>
      <c r="N143" s="8">
        <f>SUM(B143:M143)</f>
        <v>1495.9376623376622</v>
      </c>
      <c r="P143" s="8">
        <f>'Budget 2025'!N148</f>
        <v>1467</v>
      </c>
    </row>
    <row r="144" spans="1:17" x14ac:dyDescent="0.35">
      <c r="A144" s="5" t="s">
        <v>76</v>
      </c>
      <c r="B144" s="8">
        <v>48</v>
      </c>
      <c r="C144" s="8">
        <v>53</v>
      </c>
      <c r="D144" s="8">
        <v>63</v>
      </c>
      <c r="E144" s="8">
        <v>60</v>
      </c>
      <c r="F144" s="8">
        <v>69</v>
      </c>
      <c r="G144" s="8">
        <v>49</v>
      </c>
      <c r="H144" s="8">
        <v>28.4375</v>
      </c>
      <c r="I144" s="8">
        <v>33.75</v>
      </c>
      <c r="J144" s="8">
        <v>30.8125</v>
      </c>
      <c r="K144" s="8">
        <v>45.714285714285701</v>
      </c>
      <c r="L144" s="8">
        <v>59.25714285714286</v>
      </c>
      <c r="M144" s="8">
        <v>64.090909090909093</v>
      </c>
      <c r="N144" s="8">
        <f t="shared" ref="N144:N145" si="49">SUM(B144:M144)</f>
        <v>604.06233766233765</v>
      </c>
      <c r="P144" s="8">
        <f>'Budget 2025'!N149</f>
        <v>633</v>
      </c>
    </row>
    <row r="145" spans="1:17" hidden="1" x14ac:dyDescent="0.35">
      <c r="A145" s="5" t="s">
        <v>78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>
        <f t="shared" si="49"/>
        <v>0</v>
      </c>
      <c r="P145" s="8"/>
    </row>
    <row r="146" spans="1:17" x14ac:dyDescent="0.35">
      <c r="A146" s="9" t="s">
        <v>43</v>
      </c>
      <c r="B146" s="11">
        <f>IFERROR(B140/B142,0)</f>
        <v>2.875</v>
      </c>
      <c r="C146" s="11">
        <f t="shared" ref="C146:N146" si="50">C140/C142</f>
        <v>3.1025641025641026</v>
      </c>
      <c r="D146" s="11">
        <f t="shared" si="50"/>
        <v>2.9767441860465116</v>
      </c>
      <c r="E146" s="11">
        <f t="shared" si="50"/>
        <v>3.1</v>
      </c>
      <c r="F146" s="11">
        <f t="shared" si="50"/>
        <v>3.6842105263157894</v>
      </c>
      <c r="G146" s="11">
        <f t="shared" si="50"/>
        <v>3.9142857142857141</v>
      </c>
      <c r="H146" s="11">
        <f t="shared" si="50"/>
        <v>5.7307692307692308</v>
      </c>
      <c r="I146" s="11">
        <f t="shared" si="50"/>
        <v>5.2666666666666666</v>
      </c>
      <c r="J146" s="11">
        <f t="shared" si="50"/>
        <v>5.4137931034482758</v>
      </c>
      <c r="K146" s="11">
        <f t="shared" si="50"/>
        <v>5.8666666666666787</v>
      </c>
      <c r="L146" s="11">
        <f t="shared" si="50"/>
        <v>4.1470588235294121</v>
      </c>
      <c r="M146" s="11">
        <f t="shared" si="50"/>
        <v>4.277777777777775</v>
      </c>
      <c r="N146" s="11">
        <f t="shared" si="50"/>
        <v>4.0476190476190474</v>
      </c>
      <c r="O146" s="2"/>
      <c r="P146" s="11">
        <f>'Budget 2025'!N150</f>
        <v>4.0476190476190474</v>
      </c>
    </row>
    <row r="147" spans="1:17" x14ac:dyDescent="0.35">
      <c r="A147" s="9" t="s">
        <v>34</v>
      </c>
      <c r="B147" s="11">
        <f>IFERROR(B140/B148,0)</f>
        <v>2.2115384615384617</v>
      </c>
      <c r="C147" s="11">
        <f t="shared" ref="C147:N147" si="51">C140/C148</f>
        <v>2.75</v>
      </c>
      <c r="D147" s="11">
        <f t="shared" si="51"/>
        <v>2.9090909090909092</v>
      </c>
      <c r="E147" s="11">
        <f t="shared" si="51"/>
        <v>3.5428571428571427</v>
      </c>
      <c r="F147" s="11">
        <f t="shared" si="51"/>
        <v>3.8888888888888888</v>
      </c>
      <c r="G147" s="11">
        <f t="shared" si="51"/>
        <v>3.9142857142857141</v>
      </c>
      <c r="H147" s="11">
        <f t="shared" si="51"/>
        <v>10.642857142857142</v>
      </c>
      <c r="I147" s="11">
        <f t="shared" si="51"/>
        <v>13.166666666666666</v>
      </c>
      <c r="J147" s="11">
        <f t="shared" si="51"/>
        <v>8.7222222222222214</v>
      </c>
      <c r="K147" s="11">
        <f t="shared" si="51"/>
        <v>5.8666666666666663</v>
      </c>
      <c r="L147" s="11">
        <f t="shared" si="51"/>
        <v>3.0652173913043477</v>
      </c>
      <c r="M147" s="11">
        <f t="shared" si="51"/>
        <v>3.5</v>
      </c>
      <c r="N147" s="11">
        <f t="shared" si="51"/>
        <v>4.1463414634146343</v>
      </c>
      <c r="O147" s="2"/>
      <c r="P147" s="11">
        <f>'Budget 2025'!N151</f>
        <v>4.1463414634146343</v>
      </c>
    </row>
    <row r="148" spans="1:17" x14ac:dyDescent="0.35">
      <c r="A148" s="9" t="s">
        <v>47</v>
      </c>
      <c r="B148" s="10">
        <v>260</v>
      </c>
      <c r="C148" s="10">
        <v>220</v>
      </c>
      <c r="D148" s="10">
        <v>220</v>
      </c>
      <c r="E148" s="10">
        <v>175</v>
      </c>
      <c r="F148" s="10">
        <v>180</v>
      </c>
      <c r="G148" s="10">
        <v>175</v>
      </c>
      <c r="H148" s="10">
        <v>70</v>
      </c>
      <c r="I148" s="10">
        <v>60</v>
      </c>
      <c r="J148" s="10">
        <v>90</v>
      </c>
      <c r="K148" s="10">
        <v>150</v>
      </c>
      <c r="L148" s="10">
        <v>230</v>
      </c>
      <c r="M148" s="10">
        <v>220</v>
      </c>
      <c r="N148" s="10">
        <f>SUM(B148:M148)</f>
        <v>2050</v>
      </c>
      <c r="O148" s="2"/>
      <c r="P148" s="10">
        <f>'Budget 2025'!N152</f>
        <v>2050</v>
      </c>
    </row>
    <row r="149" spans="1:17" x14ac:dyDescent="0.35">
      <c r="A149" s="5" t="s">
        <v>62</v>
      </c>
      <c r="B149" s="8">
        <v>3931.6482937188375</v>
      </c>
      <c r="C149" s="8">
        <v>3836.4396730497228</v>
      </c>
      <c r="D149" s="8">
        <v>3834.8511073279847</v>
      </c>
      <c r="E149" s="8">
        <v>3742.949739127871</v>
      </c>
      <c r="F149" s="8">
        <v>3747.2196527398801</v>
      </c>
      <c r="G149" s="8">
        <v>3754.384981325079</v>
      </c>
      <c r="H149" s="8">
        <v>3723.7460644881385</v>
      </c>
      <c r="I149" s="8">
        <v>3728.5725436561142</v>
      </c>
      <c r="J149" s="8">
        <v>3750.4824457230088</v>
      </c>
      <c r="K149" s="8">
        <v>3819.9149953734004</v>
      </c>
      <c r="L149" s="8">
        <v>3805.1583576746111</v>
      </c>
      <c r="M149" s="8">
        <v>3782.5930353165145</v>
      </c>
      <c r="N149" s="14">
        <f>SUMPRODUCT(B149:M149,$B$148:$M$148)/SUM($B$148:$M$148)</f>
        <v>3804.2486722984627</v>
      </c>
      <c r="O149" s="12"/>
      <c r="P149" s="8">
        <f>'Budget 2025'!N153</f>
        <v>3727.5040431597959</v>
      </c>
    </row>
    <row r="150" spans="1:17" x14ac:dyDescent="0.35">
      <c r="A150" s="5" t="s">
        <v>22</v>
      </c>
      <c r="B150" s="7">
        <v>0.15842596617216409</v>
      </c>
      <c r="C150" s="7">
        <v>0.16161943785194927</v>
      </c>
      <c r="D150" s="7">
        <v>0.14298790293864785</v>
      </c>
      <c r="E150" s="7">
        <v>0.15283700544089396</v>
      </c>
      <c r="F150" s="7">
        <v>0.15351444227094169</v>
      </c>
      <c r="G150" s="7">
        <v>0.14792524773694249</v>
      </c>
      <c r="H150" s="7">
        <v>0.16258170445781975</v>
      </c>
      <c r="I150" s="7">
        <v>0.15861611972178613</v>
      </c>
      <c r="J150" s="7">
        <v>0.15712630628655069</v>
      </c>
      <c r="K150" s="7">
        <v>0.14500727405254163</v>
      </c>
      <c r="L150" s="7">
        <v>0.17392872641514323</v>
      </c>
      <c r="M150" s="7">
        <v>0.17582793045488751</v>
      </c>
      <c r="N150" s="15">
        <f t="shared" ref="N150:N153" si="52">SUMPRODUCT(B150:M150,$B$148:$M$148)/SUM($B$148:$M$148)</f>
        <v>0.15802256440886267</v>
      </c>
      <c r="P150" s="7">
        <f>'Budget 2025'!N154</f>
        <v>0.15227341108882345</v>
      </c>
    </row>
    <row r="151" spans="1:17" x14ac:dyDescent="0.35">
      <c r="A151" s="5" t="s">
        <v>23</v>
      </c>
      <c r="B151" s="7">
        <v>9.1171700680444197</v>
      </c>
      <c r="C151" s="7">
        <v>6.5871254388620075</v>
      </c>
      <c r="D151" s="7">
        <v>7.0915735330983463</v>
      </c>
      <c r="E151" s="7">
        <v>8.068777238215068</v>
      </c>
      <c r="F151" s="7">
        <v>7.9587051475453512</v>
      </c>
      <c r="G151" s="7">
        <v>8.14595294212819</v>
      </c>
      <c r="H151" s="7">
        <v>9.3058081823200745</v>
      </c>
      <c r="I151" s="7">
        <v>9.2218732343748435</v>
      </c>
      <c r="J151" s="7">
        <v>8.6319619685043811</v>
      </c>
      <c r="K151" s="7">
        <v>6.4842937759414081</v>
      </c>
      <c r="L151" s="7">
        <v>5.2903085264825451</v>
      </c>
      <c r="M151" s="7">
        <v>6.0644735199603641</v>
      </c>
      <c r="N151" s="15">
        <f t="shared" si="52"/>
        <v>7.3927402173194281</v>
      </c>
      <c r="P151" s="7">
        <f>'Budget 2025'!N155</f>
        <v>7.9761081652071226</v>
      </c>
    </row>
    <row r="152" spans="1:17" x14ac:dyDescent="0.35">
      <c r="A152" s="5" t="s">
        <v>38</v>
      </c>
      <c r="B152" s="7">
        <v>17.138384172694799</v>
      </c>
      <c r="C152" s="7">
        <v>22.573946415840826</v>
      </c>
      <c r="D152" s="7">
        <v>23.088720156988817</v>
      </c>
      <c r="E152" s="7">
        <v>25.149801922185056</v>
      </c>
      <c r="F152" s="7">
        <v>25.108607096965134</v>
      </c>
      <c r="G152" s="7">
        <v>24.063076112105637</v>
      </c>
      <c r="H152" s="7">
        <v>31.548254798287466</v>
      </c>
      <c r="I152" s="7">
        <v>32.10761736508956</v>
      </c>
      <c r="J152" s="7">
        <v>28.647898829074755</v>
      </c>
      <c r="K152" s="7">
        <v>26.019849806631161</v>
      </c>
      <c r="L152" s="7">
        <v>28.849377845603122</v>
      </c>
      <c r="M152" s="7">
        <v>28.510737217148524</v>
      </c>
      <c r="N152" s="15">
        <f>SUMPRODUCT(B152:M152,$B$148:$M$148)/SUM($B$148:$M$148)</f>
        <v>24.954835024407831</v>
      </c>
      <c r="P152" s="7">
        <v>26.091111111111111</v>
      </c>
    </row>
    <row r="153" spans="1:17" x14ac:dyDescent="0.35">
      <c r="A153" s="5" t="s">
        <v>25</v>
      </c>
      <c r="B153" s="7">
        <v>34.228704209500762</v>
      </c>
      <c r="C153" s="7">
        <v>38.092208272286378</v>
      </c>
      <c r="D153" s="7">
        <v>38.043485198803594</v>
      </c>
      <c r="E153" s="7">
        <v>37.980388630840039</v>
      </c>
      <c r="F153" s="7">
        <v>37.989014887518017</v>
      </c>
      <c r="G153" s="7">
        <v>38.09917513954624</v>
      </c>
      <c r="H153" s="7">
        <v>37.844715563505844</v>
      </c>
      <c r="I153" s="7">
        <v>37.501165368448333</v>
      </c>
      <c r="J153" s="7">
        <v>37.900247723897962</v>
      </c>
      <c r="K153" s="7">
        <v>38.27158481834752</v>
      </c>
      <c r="L153" s="7">
        <v>39.226523053874672</v>
      </c>
      <c r="M153" s="7">
        <v>38.893299393498424</v>
      </c>
      <c r="N153" s="15">
        <f t="shared" si="52"/>
        <v>37.771145461510692</v>
      </c>
      <c r="P153" s="7">
        <v>37.913333333333334</v>
      </c>
    </row>
    <row r="155" spans="1:17" x14ac:dyDescent="0.35">
      <c r="A155" s="6" t="s">
        <v>53</v>
      </c>
      <c r="B155" s="6" t="s">
        <v>1</v>
      </c>
      <c r="C155" s="6" t="s">
        <v>2</v>
      </c>
      <c r="D155" s="6" t="s">
        <v>3</v>
      </c>
      <c r="E155" s="6" t="s">
        <v>4</v>
      </c>
      <c r="F155" s="6" t="s">
        <v>5</v>
      </c>
      <c r="G155" s="6" t="s">
        <v>6</v>
      </c>
      <c r="H155" s="6" t="s">
        <v>7</v>
      </c>
      <c r="I155" s="6" t="s">
        <v>8</v>
      </c>
      <c r="J155" s="6" t="s">
        <v>9</v>
      </c>
      <c r="K155" s="6" t="s">
        <v>10</v>
      </c>
      <c r="L155" s="6" t="s">
        <v>11</v>
      </c>
      <c r="M155" s="6" t="s">
        <v>12</v>
      </c>
      <c r="N155" s="6" t="s">
        <v>13</v>
      </c>
      <c r="P155" s="6" t="s">
        <v>89</v>
      </c>
    </row>
    <row r="156" spans="1:17" x14ac:dyDescent="0.35">
      <c r="A156" s="9" t="s">
        <v>14</v>
      </c>
      <c r="B156" s="10">
        <f t="shared" ref="B156" si="53">SUM(B157:B157)</f>
        <v>855.34222091161621</v>
      </c>
      <c r="C156" s="10">
        <f t="shared" ref="C156" si="54">SUM(C157:C157)</f>
        <v>725.41726106544297</v>
      </c>
      <c r="D156" s="10">
        <f t="shared" ref="D156" si="55">SUM(D157:D157)</f>
        <v>831.40134449932464</v>
      </c>
      <c r="E156" s="10">
        <f t="shared" ref="E156" si="56">SUM(E157:E157)</f>
        <v>852.99166213657622</v>
      </c>
      <c r="F156" s="10">
        <f t="shared" ref="F156" si="57">SUM(F157:F157)</f>
        <v>895.60642215045607</v>
      </c>
      <c r="G156" s="10">
        <f t="shared" ref="G156" si="58">SUM(G157:G157)</f>
        <v>869.21783053378635</v>
      </c>
      <c r="H156" s="10">
        <f t="shared" ref="H156" si="59">SUM(H157:H157)</f>
        <v>898.19175821821318</v>
      </c>
      <c r="I156" s="10">
        <f t="shared" ref="I156" si="60">SUM(I157:I157)</f>
        <v>898.19175821818453</v>
      </c>
      <c r="J156" s="10">
        <f t="shared" ref="J156" si="61">SUM(J157:J157)</f>
        <v>869.21783053380648</v>
      </c>
      <c r="K156" s="10">
        <f t="shared" ref="K156" si="62">SUM(K157:K157)</f>
        <v>835.96316967753535</v>
      </c>
      <c r="L156" s="10">
        <f t="shared" ref="L156" si="63">SUM(L157:L157)</f>
        <v>755.03430163076791</v>
      </c>
      <c r="M156" s="10">
        <f t="shared" ref="M156" si="64">SUM(M157:M157)</f>
        <v>800.06056083233898</v>
      </c>
      <c r="N156" s="10">
        <f t="shared" ref="N156" si="65">SUM(N157:N157)</f>
        <v>10086.636120408049</v>
      </c>
      <c r="P156" s="10">
        <f>'Budget 2025'!N160</f>
        <v>12700.68</v>
      </c>
      <c r="Q156" s="28">
        <f>N156/P156</f>
        <v>0.79418079350145421</v>
      </c>
    </row>
    <row r="157" spans="1:17" x14ac:dyDescent="0.35">
      <c r="A157" s="5" t="s">
        <v>57</v>
      </c>
      <c r="B157" s="8">
        <v>855.34222091161621</v>
      </c>
      <c r="C157" s="8">
        <v>725.41726106544297</v>
      </c>
      <c r="D157" s="8">
        <v>831.40134449932464</v>
      </c>
      <c r="E157" s="8">
        <v>852.99166213657622</v>
      </c>
      <c r="F157" s="8">
        <v>895.60642215045607</v>
      </c>
      <c r="G157" s="8">
        <v>869.21783053378635</v>
      </c>
      <c r="H157" s="8">
        <v>898.19175821821318</v>
      </c>
      <c r="I157" s="8">
        <v>898.19175821818453</v>
      </c>
      <c r="J157" s="8">
        <v>869.21783053380648</v>
      </c>
      <c r="K157" s="8">
        <v>835.96316967753535</v>
      </c>
      <c r="L157" s="8">
        <v>755.03430163076791</v>
      </c>
      <c r="M157" s="8">
        <v>800.06056083233898</v>
      </c>
      <c r="N157" s="8">
        <f>SUM(B157:M157)</f>
        <v>10086.636120408049</v>
      </c>
      <c r="P157" s="8">
        <f>'Budget 2025'!N161</f>
        <v>12700.68</v>
      </c>
    </row>
    <row r="158" spans="1:17" x14ac:dyDescent="0.35">
      <c r="A158" s="9" t="s">
        <v>17</v>
      </c>
      <c r="B158" s="10">
        <f t="shared" ref="B158" si="66">SUM(B159:B159)</f>
        <v>37.082969213213431</v>
      </c>
      <c r="C158" s="10">
        <f t="shared" ref="C158" si="67">SUM(C159:C159)</f>
        <v>45.781754503525889</v>
      </c>
      <c r="D158" s="10">
        <f t="shared" ref="D158" si="68">SUM(D159:D159)</f>
        <v>49.875215814981175</v>
      </c>
      <c r="E158" s="10">
        <f t="shared" ref="E158" si="69">SUM(E159:E159)</f>
        <v>48.699910513283996</v>
      </c>
      <c r="F158" s="10">
        <f t="shared" ref="F158" si="70">SUM(F159:F159)</f>
        <v>53.91040273228959</v>
      </c>
      <c r="G158" s="10">
        <f t="shared" ref="G158" si="71">SUM(G159:G159)</f>
        <v>49.044588055961981</v>
      </c>
      <c r="H158" s="10">
        <f t="shared" ref="H158" si="72">SUM(H159:H159)</f>
        <v>53.75048172230462</v>
      </c>
      <c r="I158" s="10">
        <f t="shared" ref="I158" si="73">SUM(I159:I159)</f>
        <v>54.928069035556078</v>
      </c>
      <c r="J158" s="10">
        <f t="shared" ref="J158" si="74">SUM(J159:J159)</f>
        <v>52.490057632365897</v>
      </c>
      <c r="K158" s="10">
        <f t="shared" ref="K158" si="75">SUM(K159:K159)</f>
        <v>58.9392620725177</v>
      </c>
      <c r="L158" s="10">
        <f t="shared" ref="L158" si="76">SUM(L159:L159)</f>
        <v>47.083778655668738</v>
      </c>
      <c r="M158" s="10">
        <f t="shared" ref="M158" si="77">SUM(M159:M159)</f>
        <v>54.413510048330878</v>
      </c>
      <c r="N158" s="10">
        <f t="shared" ref="N158" si="78">SUM(N159:N159)</f>
        <v>606</v>
      </c>
      <c r="P158" s="10">
        <f>'Budget 2025'!N162</f>
        <v>606</v>
      </c>
      <c r="Q158" s="28">
        <f>N158/P158</f>
        <v>1</v>
      </c>
    </row>
    <row r="159" spans="1:17" x14ac:dyDescent="0.35">
      <c r="A159" s="5" t="s">
        <v>57</v>
      </c>
      <c r="B159" s="8">
        <v>37.082969213213431</v>
      </c>
      <c r="C159" s="8">
        <v>45.781754503525889</v>
      </c>
      <c r="D159" s="8">
        <v>49.875215814981175</v>
      </c>
      <c r="E159" s="8">
        <v>48.699910513283996</v>
      </c>
      <c r="F159" s="8">
        <v>53.91040273228959</v>
      </c>
      <c r="G159" s="8">
        <v>49.044588055961981</v>
      </c>
      <c r="H159" s="8">
        <v>53.75048172230462</v>
      </c>
      <c r="I159" s="8">
        <v>54.928069035556078</v>
      </c>
      <c r="J159" s="8">
        <v>52.490057632365897</v>
      </c>
      <c r="K159" s="8">
        <v>58.9392620725177</v>
      </c>
      <c r="L159" s="8">
        <v>47.083778655668738</v>
      </c>
      <c r="M159" s="8">
        <v>54.413510048330878</v>
      </c>
      <c r="N159" s="8">
        <f>SUM(B159:M159)</f>
        <v>606</v>
      </c>
      <c r="P159" s="8">
        <f>'Budget 2025'!N163</f>
        <v>606</v>
      </c>
    </row>
    <row r="160" spans="1:17" x14ac:dyDescent="0.35">
      <c r="A160" s="9" t="s">
        <v>43</v>
      </c>
      <c r="B160" s="11">
        <f>IFERROR(B156/B158,0)</f>
        <v>23.065634685122248</v>
      </c>
      <c r="C160" s="11">
        <f t="shared" ref="C160:M160" si="79">IFERROR(C156/C158,0)</f>
        <v>15.845117098113285</v>
      </c>
      <c r="D160" s="11">
        <f t="shared" si="79"/>
        <v>16.669629011401572</v>
      </c>
      <c r="E160" s="11">
        <f t="shared" si="79"/>
        <v>17.515261386443484</v>
      </c>
      <c r="F160" s="11">
        <f t="shared" si="79"/>
        <v>16.612868328917777</v>
      </c>
      <c r="G160" s="11">
        <f t="shared" si="79"/>
        <v>17.723012160729567</v>
      </c>
      <c r="H160" s="11">
        <f t="shared" si="79"/>
        <v>16.71039457578469</v>
      </c>
      <c r="I160" s="11">
        <f t="shared" si="79"/>
        <v>16.352145159822864</v>
      </c>
      <c r="J160" s="11">
        <f t="shared" si="79"/>
        <v>16.559666149001103</v>
      </c>
      <c r="K160" s="11">
        <f t="shared" si="79"/>
        <v>14.183468545109758</v>
      </c>
      <c r="L160" s="11">
        <f t="shared" si="79"/>
        <v>16.035975089264934</v>
      </c>
      <c r="M160" s="11">
        <f t="shared" si="79"/>
        <v>14.703344079838141</v>
      </c>
      <c r="N160" s="11">
        <f t="shared" ref="N160" si="80">N156/N158</f>
        <v>16.644614060079288</v>
      </c>
      <c r="P160" s="11">
        <f>'Budget 2025'!N164</f>
        <v>20.958217821782178</v>
      </c>
    </row>
    <row r="161" spans="1:16" x14ac:dyDescent="0.35">
      <c r="A161" s="9" t="s">
        <v>34</v>
      </c>
      <c r="B161" s="11">
        <f>IFERROR(B156/B162,0)</f>
        <v>24.438349168903319</v>
      </c>
      <c r="C161" s="11">
        <f t="shared" ref="C161:M161" si="81">IFERROR(C156/C162,0)</f>
        <v>16.120383579232065</v>
      </c>
      <c r="D161" s="11">
        <f t="shared" si="81"/>
        <v>16.628026889986494</v>
      </c>
      <c r="E161" s="11">
        <f t="shared" si="81"/>
        <v>18.955370269701692</v>
      </c>
      <c r="F161" s="11">
        <f t="shared" si="81"/>
        <v>16.283753130008293</v>
      </c>
      <c r="G161" s="11">
        <f t="shared" si="81"/>
        <v>19.315951789639698</v>
      </c>
      <c r="H161" s="11">
        <f t="shared" si="81"/>
        <v>17.963835164364262</v>
      </c>
      <c r="I161" s="11">
        <f t="shared" si="81"/>
        <v>16.330759240330629</v>
      </c>
      <c r="J161" s="11">
        <f t="shared" si="81"/>
        <v>17.384356610676129</v>
      </c>
      <c r="K161" s="11">
        <f t="shared" si="81"/>
        <v>15.19933035777337</v>
      </c>
      <c r="L161" s="11">
        <f t="shared" si="81"/>
        <v>15.100686032615359</v>
      </c>
      <c r="M161" s="11">
        <f t="shared" si="81"/>
        <v>14.546555651497073</v>
      </c>
      <c r="N161" s="11">
        <f t="shared" ref="N161" si="82">N156/N162</f>
        <v>17.095993424420424</v>
      </c>
      <c r="P161" s="11">
        <f>'Budget 2025'!N165</f>
        <v>21.526576271186443</v>
      </c>
    </row>
    <row r="162" spans="1:16" x14ac:dyDescent="0.35">
      <c r="A162" s="9" t="s">
        <v>47</v>
      </c>
      <c r="B162" s="10">
        <v>35</v>
      </c>
      <c r="C162" s="10">
        <v>45</v>
      </c>
      <c r="D162" s="10">
        <v>50</v>
      </c>
      <c r="E162" s="10">
        <v>45</v>
      </c>
      <c r="F162" s="10">
        <v>55</v>
      </c>
      <c r="G162" s="10">
        <v>45</v>
      </c>
      <c r="H162" s="10">
        <v>50</v>
      </c>
      <c r="I162" s="10">
        <v>55</v>
      </c>
      <c r="J162" s="10">
        <v>50</v>
      </c>
      <c r="K162" s="10">
        <v>55</v>
      </c>
      <c r="L162" s="10">
        <v>50</v>
      </c>
      <c r="M162" s="10">
        <v>55</v>
      </c>
      <c r="N162" s="10">
        <f>SUM(B162:M162)</f>
        <v>590</v>
      </c>
      <c r="P162" s="10">
        <f>'Budget 2025'!N166</f>
        <v>590</v>
      </c>
    </row>
    <row r="163" spans="1:16" x14ac:dyDescent="0.35">
      <c r="A163" s="9" t="s">
        <v>77</v>
      </c>
      <c r="B163" s="10">
        <v>35</v>
      </c>
      <c r="C163" s="10">
        <v>45</v>
      </c>
      <c r="D163" s="10">
        <v>50</v>
      </c>
      <c r="E163" s="10">
        <v>45</v>
      </c>
      <c r="F163" s="10">
        <v>55</v>
      </c>
      <c r="G163" s="10">
        <v>45</v>
      </c>
      <c r="H163" s="10">
        <v>50</v>
      </c>
      <c r="I163" s="10">
        <v>55</v>
      </c>
      <c r="J163" s="10">
        <v>50</v>
      </c>
      <c r="K163" s="10">
        <v>55</v>
      </c>
      <c r="L163" s="10">
        <v>50</v>
      </c>
      <c r="M163" s="10">
        <v>55</v>
      </c>
      <c r="N163" s="10">
        <f>SUM(B163:M163)</f>
        <v>590</v>
      </c>
      <c r="P163" s="10">
        <v>351.87307127735914</v>
      </c>
    </row>
    <row r="164" spans="1:16" x14ac:dyDescent="0.35">
      <c r="A164" s="5" t="s">
        <v>62</v>
      </c>
      <c r="B164" s="8">
        <v>6824.4902225997639</v>
      </c>
      <c r="C164" s="8">
        <v>6820.3469675853594</v>
      </c>
      <c r="D164" s="8">
        <v>6806.1230503826937</v>
      </c>
      <c r="E164" s="8">
        <v>6833.932414756966</v>
      </c>
      <c r="F164" s="8">
        <v>6994.3648077539901</v>
      </c>
      <c r="G164" s="8">
        <v>7027.7690366285115</v>
      </c>
      <c r="H164" s="8">
        <v>7159.1562120685448</v>
      </c>
      <c r="I164" s="8">
        <v>7071.2556940585901</v>
      </c>
      <c r="J164" s="8">
        <v>6895.4537268545728</v>
      </c>
      <c r="K164" s="8">
        <v>6801.9028317959619</v>
      </c>
      <c r="L164" s="8">
        <v>6932.819878290059</v>
      </c>
      <c r="M164" s="8">
        <v>6909.6968587777419</v>
      </c>
      <c r="N164" s="14">
        <f>SUMPRODUCT(B164:M164,$B$162:$M$162)/SUM($B$162:$M$162)</f>
        <v>6927.0747298402011</v>
      </c>
      <c r="P164" s="8">
        <v>6964.592728943494</v>
      </c>
    </row>
    <row r="165" spans="1:16" x14ac:dyDescent="0.35">
      <c r="A165" s="5" t="s">
        <v>22</v>
      </c>
      <c r="B165" s="7">
        <v>1.6046894421393501</v>
      </c>
      <c r="C165" s="7">
        <v>1.5533081138093199</v>
      </c>
      <c r="D165" s="7">
        <v>1.6021666736738667</v>
      </c>
      <c r="E165" s="7">
        <v>1.5398952022829162</v>
      </c>
      <c r="F165" s="7">
        <v>1.5376645005722094</v>
      </c>
      <c r="G165" s="7">
        <v>1.2555952186996624</v>
      </c>
      <c r="H165" s="7">
        <v>1.2555952186996624</v>
      </c>
      <c r="I165" s="7">
        <v>1.29559521869966</v>
      </c>
      <c r="J165" s="7">
        <v>1.1555952186996601</v>
      </c>
      <c r="K165" s="7">
        <v>1.2555952186996624</v>
      </c>
      <c r="L165" s="7">
        <v>1.1825559521869899</v>
      </c>
      <c r="M165" s="7">
        <v>1.2555952186996622</v>
      </c>
      <c r="N165" s="15">
        <f t="shared" ref="N165:N168" si="83">SUMPRODUCT(B165:M165,$B$162:$M$162)/SUM($B$162:$M$162)</f>
        <v>1.3654245361363342</v>
      </c>
      <c r="P165" s="7">
        <v>1.6045739805569803</v>
      </c>
    </row>
    <row r="166" spans="1:16" x14ac:dyDescent="0.35">
      <c r="A166" s="5" t="s">
        <v>23</v>
      </c>
      <c r="B166" s="7">
        <v>2.9538162037923059</v>
      </c>
      <c r="C166" s="7">
        <v>3.1341807059133933</v>
      </c>
      <c r="D166" s="7">
        <v>3.1951670551646072</v>
      </c>
      <c r="E166" s="7">
        <v>3.3934830644611829</v>
      </c>
      <c r="F166" s="7">
        <v>3.2981006712672354</v>
      </c>
      <c r="G166" s="7">
        <v>2.8070270920194642</v>
      </c>
      <c r="H166" s="7">
        <v>2.8034330774321643</v>
      </c>
      <c r="I166" s="7">
        <v>3.0056476055558021</v>
      </c>
      <c r="J166" s="7">
        <v>2.6376748457291481</v>
      </c>
      <c r="K166" s="7">
        <v>2.88308071810722</v>
      </c>
      <c r="L166" s="7">
        <v>2.593483111042977</v>
      </c>
      <c r="M166" s="7">
        <v>2.6436861976992021</v>
      </c>
      <c r="N166" s="15">
        <f t="shared" si="83"/>
        <v>2.9417133830568267</v>
      </c>
      <c r="P166" s="7">
        <v>3.3562014809042306</v>
      </c>
    </row>
    <row r="167" spans="1:16" x14ac:dyDescent="0.35">
      <c r="A167" s="5" t="s">
        <v>38</v>
      </c>
      <c r="B167" s="7">
        <v>4.4327769749624331</v>
      </c>
      <c r="C167" s="7">
        <v>4.5234544554619722</v>
      </c>
      <c r="D167" s="7">
        <v>4.5521376375757292</v>
      </c>
      <c r="E167" s="7">
        <v>4.5576540170831441</v>
      </c>
      <c r="F167" s="7">
        <v>4.7566333824107767</v>
      </c>
      <c r="G167" s="7">
        <v>4.5532701609917909</v>
      </c>
      <c r="H167" s="7">
        <v>4.6037047519600041</v>
      </c>
      <c r="I167" s="7">
        <v>4.8185718922915539</v>
      </c>
      <c r="J167" s="7">
        <v>4.5690436952893529</v>
      </c>
      <c r="K167" s="7">
        <v>4.9641888327929982</v>
      </c>
      <c r="L167" s="7">
        <v>4.6397494251868796</v>
      </c>
      <c r="M167" s="7">
        <v>4.7276789214345705</v>
      </c>
      <c r="N167" s="15">
        <f t="shared" si="83"/>
        <v>4.6552797029230319</v>
      </c>
      <c r="P167" s="7">
        <v>6.0187754563748772</v>
      </c>
    </row>
    <row r="168" spans="1:16" x14ac:dyDescent="0.35">
      <c r="A168" s="5" t="s">
        <v>25</v>
      </c>
      <c r="B168" s="7">
        <v>9.295414204357213</v>
      </c>
      <c r="C168" s="7">
        <v>9.5622703326100158</v>
      </c>
      <c r="D168" s="7">
        <v>9.5266894901104155</v>
      </c>
      <c r="E168" s="7">
        <v>9.1730303432048945</v>
      </c>
      <c r="F168" s="7">
        <v>7.382980757124729</v>
      </c>
      <c r="G168" s="7">
        <v>7.4119872723258613</v>
      </c>
      <c r="H168" s="7">
        <v>7.6268328491735806</v>
      </c>
      <c r="I168" s="7">
        <v>7.9622651451577555</v>
      </c>
      <c r="J168" s="7">
        <v>9.8485976694516477</v>
      </c>
      <c r="K168" s="7">
        <v>10.62814110418763</v>
      </c>
      <c r="L168" s="7">
        <v>9.9458142460428469</v>
      </c>
      <c r="M168" s="7">
        <v>10.112334823720609</v>
      </c>
      <c r="N168" s="15">
        <f t="shared" si="83"/>
        <v>9.0408116410478829</v>
      </c>
      <c r="P168" s="7">
        <v>7.5847943529754023</v>
      </c>
    </row>
    <row r="170" spans="1:16" x14ac:dyDescent="0.35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spans="1:16" x14ac:dyDescent="0.35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P171" s="12"/>
    </row>
    <row r="172" spans="1:16" x14ac:dyDescent="0.35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spans="1:16" x14ac:dyDescent="0.35">
      <c r="N173" s="12"/>
    </row>
    <row r="174" spans="1:16" x14ac:dyDescent="0.35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spans="1:16" x14ac:dyDescent="0.35">
      <c r="N175" s="12"/>
    </row>
    <row r="176" spans="1:16" x14ac:dyDescent="0.35">
      <c r="N176" s="27"/>
    </row>
  </sheetData>
  <pageMargins left="0.7" right="0.7" top="0.75" bottom="0.75" header="0.3" footer="0.3"/>
  <pageSetup paperSize="9" orientation="portrait" r:id="rId1"/>
  <ignoredErrors>
    <ignoredError sqref="N12 N17 N73 P129 N157:N158 N142 N104 N120 N114" formula="1"/>
    <ignoredError sqref="M60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3F89-1306-4854-B1CA-7CA656BB35AE}">
  <dimension ref="B2:L11"/>
  <sheetViews>
    <sheetView workbookViewId="0">
      <selection activeCell="F11" sqref="F11"/>
    </sheetView>
  </sheetViews>
  <sheetFormatPr defaultRowHeight="14.5" x14ac:dyDescent="0.35"/>
  <cols>
    <col min="2" max="2" width="12.90625" customWidth="1"/>
    <col min="3" max="3" width="11.453125" bestFit="1" customWidth="1"/>
    <col min="4" max="4" width="10.08984375" bestFit="1" customWidth="1"/>
    <col min="5" max="5" width="9.1796875" bestFit="1" customWidth="1"/>
    <col min="6" max="6" width="9.08984375" bestFit="1" customWidth="1"/>
    <col min="7" max="7" width="9.1796875" bestFit="1" customWidth="1"/>
    <col min="8" max="8" width="9.08984375" bestFit="1" customWidth="1"/>
  </cols>
  <sheetData>
    <row r="2" spans="2:12" x14ac:dyDescent="0.35">
      <c r="B2" s="31" t="s">
        <v>79</v>
      </c>
      <c r="C2" s="31" t="s">
        <v>80</v>
      </c>
      <c r="D2" s="31"/>
      <c r="E2" s="31" t="s">
        <v>83</v>
      </c>
      <c r="F2" s="31"/>
      <c r="G2" s="31" t="s">
        <v>86</v>
      </c>
      <c r="H2" s="31"/>
      <c r="I2" s="31" t="s">
        <v>87</v>
      </c>
      <c r="J2" s="31"/>
      <c r="K2" s="32" t="s">
        <v>84</v>
      </c>
      <c r="L2" s="32"/>
    </row>
    <row r="3" spans="2:12" x14ac:dyDescent="0.35">
      <c r="B3" s="31"/>
      <c r="C3" s="22" t="s">
        <v>81</v>
      </c>
      <c r="D3" s="22" t="s">
        <v>82</v>
      </c>
      <c r="E3" s="22" t="s">
        <v>81</v>
      </c>
      <c r="F3" s="22" t="s">
        <v>82</v>
      </c>
      <c r="G3" s="22" t="s">
        <v>81</v>
      </c>
      <c r="H3" s="22" t="s">
        <v>82</v>
      </c>
      <c r="I3" s="22" t="s">
        <v>81</v>
      </c>
      <c r="J3" s="22" t="s">
        <v>82</v>
      </c>
      <c r="K3" s="22" t="s">
        <v>80</v>
      </c>
      <c r="L3" s="22" t="s">
        <v>83</v>
      </c>
    </row>
    <row r="4" spans="2:12" ht="21.5" customHeight="1" x14ac:dyDescent="0.35">
      <c r="B4" s="16" t="s">
        <v>0</v>
      </c>
      <c r="C4" s="18">
        <f>SUM('Budget 2025'!B5:G5)</f>
        <v>45360.043140994094</v>
      </c>
      <c r="D4" s="19">
        <f>SUM('Outlook 0+12'!B5:G5)</f>
        <v>45598.813105141955</v>
      </c>
      <c r="E4" s="19">
        <f>SUM('Budget 2025'!B8:G8)</f>
        <v>3295.0000000692289</v>
      </c>
      <c r="F4" s="19">
        <f>SUM('Outlook 0+12'!B8:G8)</f>
        <v>3331.5648181053439</v>
      </c>
      <c r="G4" s="19">
        <f>SUM('Budget 2025'!B13:G13)</f>
        <v>3275.5000000692298</v>
      </c>
      <c r="H4" s="19">
        <f>SUM('Outlook 0+12'!B13:G13)</f>
        <v>3397.7500000583723</v>
      </c>
      <c r="I4" s="20">
        <f>C4/E4</f>
        <v>13.766325687417622</v>
      </c>
      <c r="J4" s="20">
        <f>D4/F4</f>
        <v>13.68690558182624</v>
      </c>
      <c r="K4" s="21">
        <f>D4/C4</f>
        <v>1.0052638830921232</v>
      </c>
      <c r="L4" s="21">
        <f>F4/E4</f>
        <v>1.0110970616192252</v>
      </c>
    </row>
    <row r="5" spans="2:12" ht="21.5" customHeight="1" x14ac:dyDescent="0.35">
      <c r="B5" s="16" t="s">
        <v>31</v>
      </c>
      <c r="C5" s="18">
        <f>SUM('Budget 2025'!B56:G56)</f>
        <v>25550</v>
      </c>
      <c r="D5" s="19">
        <f>SUM('Outlook 0+12'!B56:G56)</f>
        <v>23685</v>
      </c>
      <c r="E5" s="19">
        <f>SUM('Budget 2025'!B60:G60)</f>
        <v>1487</v>
      </c>
      <c r="F5" s="19">
        <f>SUM('Outlook 0+12'!B60:G60)</f>
        <v>1504</v>
      </c>
      <c r="G5" s="19">
        <f>SUM('Budget 2025'!B65:G65)</f>
        <v>1562</v>
      </c>
      <c r="H5" s="19">
        <f>SUM('Outlook 0+12'!B66:G66)</f>
        <v>1582</v>
      </c>
      <c r="I5" s="20">
        <f t="shared" ref="I5:J9" si="0">C5/E5</f>
        <v>17.182246133154003</v>
      </c>
      <c r="J5" s="20">
        <f t="shared" si="0"/>
        <v>15.748005319148936</v>
      </c>
      <c r="K5" s="21">
        <f t="shared" ref="K5:K9" si="1">D5/C5</f>
        <v>0.92700587084148733</v>
      </c>
      <c r="L5" s="21">
        <f t="shared" ref="L5:L9" si="2">F5/E5</f>
        <v>1.0114324142568931</v>
      </c>
    </row>
    <row r="6" spans="2:12" ht="21.5" customHeight="1" x14ac:dyDescent="0.35">
      <c r="B6" s="16" t="s">
        <v>48</v>
      </c>
      <c r="C6" s="18">
        <f>SUM('Budget 2025'!B105:G105)</f>
        <v>45094</v>
      </c>
      <c r="D6" s="19">
        <f>SUM('Outlook 0+12'!B100:G100)</f>
        <v>46285</v>
      </c>
      <c r="E6" s="19">
        <f>SUM('Budget 2025'!B109:G109)</f>
        <v>3966.5</v>
      </c>
      <c r="F6" s="19">
        <f>SUM('Outlook 0+12'!B104:G104)</f>
        <v>4250</v>
      </c>
      <c r="G6" s="19">
        <f>SUM('Budget 2025'!B115:G115)</f>
        <v>4050</v>
      </c>
      <c r="H6" s="19">
        <f>SUM('Outlook 0+12'!B110:G110)</f>
        <v>4245</v>
      </c>
      <c r="I6" s="20">
        <f t="shared" si="0"/>
        <v>11.368712971133242</v>
      </c>
      <c r="J6" s="20">
        <f t="shared" si="0"/>
        <v>10.890588235294118</v>
      </c>
      <c r="K6" s="21">
        <f t="shared" si="1"/>
        <v>1.0264114959861623</v>
      </c>
      <c r="L6" s="21">
        <f t="shared" si="2"/>
        <v>1.0714735913273667</v>
      </c>
    </row>
    <row r="7" spans="2:12" ht="21.5" customHeight="1" x14ac:dyDescent="0.35">
      <c r="B7" s="16" t="s">
        <v>44</v>
      </c>
      <c r="C7" s="18">
        <f>SUM('Budget 2025'!B130:G130)</f>
        <v>1603.028000262656</v>
      </c>
      <c r="D7" s="19">
        <f>SUM('Outlook 0+12'!B125:G125)</f>
        <v>294.1360000400386</v>
      </c>
      <c r="E7" s="19">
        <f>SUM('Budget 2025'!B132:G132)</f>
        <v>57</v>
      </c>
      <c r="F7" s="19">
        <f>SUM('Outlook 0+12'!B127:G127)</f>
        <v>0</v>
      </c>
      <c r="G7" s="19">
        <f>SUM('Budget 2025'!B137:G137)</f>
        <v>53</v>
      </c>
      <c r="H7" s="19">
        <f>SUM('Outlook 0+12'!B132:G132)</f>
        <v>0</v>
      </c>
      <c r="I7" s="20">
        <f t="shared" si="0"/>
        <v>28.123298250222035</v>
      </c>
      <c r="J7" s="20" t="e">
        <f t="shared" si="0"/>
        <v>#DIV/0!</v>
      </c>
      <c r="K7" s="21">
        <f t="shared" si="1"/>
        <v>0.1834877494291082</v>
      </c>
      <c r="L7" s="21">
        <f t="shared" si="2"/>
        <v>0</v>
      </c>
    </row>
    <row r="8" spans="2:12" ht="21.5" customHeight="1" x14ac:dyDescent="0.35">
      <c r="B8" s="16" t="s">
        <v>54</v>
      </c>
      <c r="C8" s="18">
        <f>SUM('Budget 2025'!B145:G145)</f>
        <v>3825</v>
      </c>
      <c r="D8" s="19">
        <f>SUM('Outlook 0+12'!B140:G140)</f>
        <v>3825</v>
      </c>
      <c r="E8" s="19">
        <f>SUM('Budget 2025'!B147:G147)</f>
        <v>1062</v>
      </c>
      <c r="F8" s="19">
        <f>SUM('Outlook 0+12'!B142:G142)</f>
        <v>1175</v>
      </c>
      <c r="G8" s="19">
        <f>SUM('Budget 2025'!B152:G152)</f>
        <v>1100</v>
      </c>
      <c r="H8" s="19">
        <f>SUM('Outlook 0+12'!B148:G148)</f>
        <v>1230</v>
      </c>
      <c r="I8" s="20">
        <f t="shared" si="0"/>
        <v>3.6016949152542375</v>
      </c>
      <c r="J8" s="20">
        <f t="shared" si="0"/>
        <v>3.2553191489361701</v>
      </c>
      <c r="K8" s="21">
        <f t="shared" si="1"/>
        <v>1</v>
      </c>
      <c r="L8" s="21">
        <f t="shared" si="2"/>
        <v>1.1064030131826741</v>
      </c>
    </row>
    <row r="9" spans="2:12" ht="21.5" customHeight="1" x14ac:dyDescent="0.35">
      <c r="B9" s="16" t="s">
        <v>53</v>
      </c>
      <c r="C9" s="18">
        <f>SUM('Budget 2025'!B160:G160)</f>
        <v>5910.67</v>
      </c>
      <c r="D9" s="19">
        <f>SUM('Outlook 0+12'!B156:G156)</f>
        <v>5029.9767412972024</v>
      </c>
      <c r="E9" s="19">
        <f>SUM('Budget 2025'!B162:G162)</f>
        <v>265</v>
      </c>
      <c r="F9" s="19">
        <f>SUM('Outlook 0+12'!B158:G158)</f>
        <v>284.39484083325607</v>
      </c>
      <c r="G9" s="19">
        <f>SUM('Budget 2025'!B166:G166)</f>
        <v>245</v>
      </c>
      <c r="H9" s="19">
        <f>SUM('Outlook 0+12'!B162:G162)</f>
        <v>275</v>
      </c>
      <c r="I9" s="20">
        <f t="shared" si="0"/>
        <v>22.304415094339625</v>
      </c>
      <c r="J9" s="20">
        <f t="shared" si="0"/>
        <v>17.686596305895488</v>
      </c>
      <c r="K9" s="21">
        <f t="shared" si="1"/>
        <v>0.85099941991300521</v>
      </c>
      <c r="L9" s="21">
        <f t="shared" si="2"/>
        <v>1.0731880786160606</v>
      </c>
    </row>
    <row r="10" spans="2:12" ht="21.5" customHeight="1" x14ac:dyDescent="0.35">
      <c r="B10" s="23" t="s">
        <v>85</v>
      </c>
      <c r="C10" s="24">
        <f>SUM(C4:C9)</f>
        <v>127342.74114125675</v>
      </c>
      <c r="D10" s="24">
        <f t="shared" ref="D10:F10" si="3">SUM(D4:D9)</f>
        <v>124717.92584647919</v>
      </c>
      <c r="E10" s="24">
        <f t="shared" si="3"/>
        <v>10132.500000069229</v>
      </c>
      <c r="F10" s="24">
        <f t="shared" si="3"/>
        <v>10544.9596589386</v>
      </c>
      <c r="G10" s="24">
        <f t="shared" ref="G10" si="4">SUM(G4:G9)</f>
        <v>10285.500000069231</v>
      </c>
      <c r="H10" s="24">
        <f t="shared" ref="H10" si="5">SUM(H4:H9)</f>
        <v>10729.750000058371</v>
      </c>
      <c r="I10" s="25">
        <f t="shared" ref="I10" si="6">C10/E10</f>
        <v>12.567751407884204</v>
      </c>
      <c r="J10" s="25">
        <f t="shared" ref="J10" si="7">D10/F10</f>
        <v>11.827254904741157</v>
      </c>
      <c r="K10" s="26">
        <f t="shared" ref="K10" si="8">D10/C10</f>
        <v>0.97938779021675104</v>
      </c>
      <c r="L10" s="26">
        <f t="shared" ref="L10" si="9">F10/E10</f>
        <v>1.0407066033917152</v>
      </c>
    </row>
    <row r="11" spans="2:12" x14ac:dyDescent="0.35">
      <c r="F11" s="17">
        <f>F10/E10</f>
        <v>1.0407066033917152</v>
      </c>
      <c r="H11" s="17">
        <f>H10/G10</f>
        <v>1.0431918720515434</v>
      </c>
    </row>
  </sheetData>
  <mergeCells count="6">
    <mergeCell ref="B2:B3"/>
    <mergeCell ref="C2:D2"/>
    <mergeCell ref="E2:F2"/>
    <mergeCell ref="I2:J2"/>
    <mergeCell ref="K2:L2"/>
    <mergeCell ref="G2:H2"/>
  </mergeCells>
  <pageMargins left="0.7" right="0.7" top="0.75" bottom="0.75" header="0.3" footer="0.3"/>
  <ignoredErrors>
    <ignoredError sqref="G7:H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2025</vt:lpstr>
      <vt:lpstr>Outlook 0+12</vt:lpstr>
      <vt:lpstr>BudgVSact.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 Likitanupak</dc:creator>
  <cp:lastModifiedBy>Yasmine Safitri</cp:lastModifiedBy>
  <cp:lastPrinted>2024-08-09T09:31:08Z</cp:lastPrinted>
  <dcterms:created xsi:type="dcterms:W3CDTF">2022-01-11T13:46:11Z</dcterms:created>
  <dcterms:modified xsi:type="dcterms:W3CDTF">2025-01-14T10:18:10Z</dcterms:modified>
</cp:coreProperties>
</file>